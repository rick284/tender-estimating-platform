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Guide" sheetId="1" state="visible" r:id="rId1"/>
    <sheet xmlns:r="http://schemas.openxmlformats.org/officeDocument/2006/relationships" name="Cover &amp; Instructions" sheetId="2" state="visible" r:id="rId2"/>
    <sheet xmlns:r="http://schemas.openxmlformats.org/officeDocument/2006/relationships" name="Scope Coverage" sheetId="3" state="visible" r:id="rId3"/>
    <sheet xmlns:r="http://schemas.openxmlformats.org/officeDocument/2006/relationships" name="Summary" sheetId="4" state="visible" r:id="rId4"/>
    <sheet xmlns:r="http://schemas.openxmlformats.org/officeDocument/2006/relationships" name="Consolidated Package" sheetId="5" state="visible" r:id="rId5"/>
    <sheet xmlns:r="http://schemas.openxmlformats.org/officeDocument/2006/relationships" name="Tender Build-Up" sheetId="6" state="visible" r:id="rId6"/>
    <sheet xmlns:r="http://schemas.openxmlformats.org/officeDocument/2006/relationships" name="Commercial Inputs" sheetId="7" state="visible" r:id="rId7"/>
    <sheet xmlns:r="http://schemas.openxmlformats.org/officeDocument/2006/relationships" name="QS Takeoff" sheetId="8" state="visible" r:id="rId8"/>
    <sheet xmlns:r="http://schemas.openxmlformats.org/officeDocument/2006/relationships" name="Resource Build-Up" sheetId="9" state="visible" r:id="rId9"/>
    <sheet xmlns:r="http://schemas.openxmlformats.org/officeDocument/2006/relationships" name="Resource Rate Library" sheetId="10" state="visible" r:id="rId10"/>
    <sheet xmlns:r="http://schemas.openxmlformats.org/officeDocument/2006/relationships" name="Rate Verification" sheetId="11" state="visible" r:id="rId11"/>
    <sheet xmlns:r="http://schemas.openxmlformats.org/officeDocument/2006/relationships" name="Programme Export" sheetId="12" state="visible" r:id="rId12"/>
    <sheet xmlns:r="http://schemas.openxmlformats.org/officeDocument/2006/relationships" name="MS Project Import" sheetId="13" state="visible" r:id="rId13"/>
    <sheet xmlns:r="http://schemas.openxmlformats.org/officeDocument/2006/relationships" name="Programme Adjudication" sheetId="14" state="visible" r:id="rId14"/>
    <sheet xmlns:r="http://schemas.openxmlformats.org/officeDocument/2006/relationships" name="Programme Notes" sheetId="15" state="visible" r:id="rId15"/>
    <sheet xmlns:r="http://schemas.openxmlformats.org/officeDocument/2006/relationships" name="Weather Risk" sheetId="16" state="visible" r:id="rId16"/>
    <sheet xmlns:r="http://schemas.openxmlformats.org/officeDocument/2006/relationships" name="Risk Truth" sheetId="17" state="visible" r:id="rId17"/>
    <sheet xmlns:r="http://schemas.openxmlformats.org/officeDocument/2006/relationships" name="Estimate Review Board" sheetId="18" state="visible" r:id="rId18"/>
    <sheet xmlns:r="http://schemas.openxmlformats.org/officeDocument/2006/relationships" name="ERB Adjudication" sheetId="19" state="visible" r:id="rId19"/>
    <sheet xmlns:r="http://schemas.openxmlformats.org/officeDocument/2006/relationships" name="Stage Cashflow" sheetId="20" state="visible" r:id="rId20"/>
    <sheet xmlns:r="http://schemas.openxmlformats.org/officeDocument/2006/relationships" name="Materials &amp; Component Takeoff" sheetId="21" state="visible" r:id="rId21"/>
    <sheet xmlns:r="http://schemas.openxmlformats.org/officeDocument/2006/relationships" name="Supplier Quote Register" sheetId="22" state="visible" r:id="rId22"/>
    <sheet xmlns:r="http://schemas.openxmlformats.org/officeDocument/2006/relationships" name="Source &amp; Markup Register" sheetId="23" state="visible" r:id="rId23"/>
    <sheet xmlns:r="http://schemas.openxmlformats.org/officeDocument/2006/relationships" name="Email Log" sheetId="24" state="visible" r:id="rId24"/>
    <sheet xmlns:r="http://schemas.openxmlformats.org/officeDocument/2006/relationships" name="RFI Log" sheetId="25" state="visible" r:id="rId25"/>
    <sheet xmlns:r="http://schemas.openxmlformats.org/officeDocument/2006/relationships" name="Quote Log" sheetId="26" state="visible" r:id="rId26"/>
    <sheet xmlns:r="http://schemas.openxmlformats.org/officeDocument/2006/relationships" name="Document Register" sheetId="27" state="visible" r:id="rId27"/>
    <sheet xmlns:r="http://schemas.openxmlformats.org/officeDocument/2006/relationships" name="Decision Log" sheetId="28" state="visible" r:id="rId28"/>
    <sheet xmlns:r="http://schemas.openxmlformats.org/officeDocument/2006/relationships" name="Contacts" sheetId="29" state="visible" r:id="rId29"/>
    <sheet xmlns:r="http://schemas.openxmlformats.org/officeDocument/2006/relationships" name="Change Log" sheetId="30" state="visible" r:id="rId30"/>
  </sheets>
  <definedNames/>
</workbook>
</file>

<file path=xl/styles.xml><?xml version="1.0" encoding="utf-8"?>
<styleSheet xmlns="http://schemas.openxmlformats.org/spreadsheetml/2006/main">
  <numFmts count="13">
    <numFmt numFmtId="164" formatCode="_-&quot;$&quot;* #,##0.00_-;\-&quot;$&quot;* #,##0.00_-;_-&quot;$&quot;* &quot;-&quot;??_-;_-@_-"/>
    <numFmt numFmtId="165" formatCode="\$#,##0.00"/>
    <numFmt numFmtId="166" formatCode="\$#,##0.00;[Red]\-\$#,##0.00"/>
    <numFmt numFmtId="167" formatCode="0\ &quot;months&quot;"/>
    <numFmt numFmtId="168" formatCode="0.0%"/>
    <numFmt numFmtId="169" formatCode="0.0"/>
    <numFmt numFmtId="170" formatCode="dd-mmm-yyyy"/>
    <numFmt numFmtId="171" formatCode="$#,##0.00"/>
    <numFmt numFmtId="172" formatCode="$#,##0.00;[Red]-$#,##0.00"/>
    <numFmt numFmtId="173" formatCode="#,##0.00;[Red]-#,##0.00;-"/>
    <numFmt numFmtId="174" formatCode="$#,##0.00;[Red]-$#,##0.00;-$"/>
    <numFmt numFmtId="175" formatCode="0.0000%"/>
    <numFmt numFmtId="176" formatCode="0.0 &quot;WD&quot;"/>
  </numFmts>
  <fonts count="57">
    <font>
      <name val="Carlito"/>
      <sz val="11"/>
    </font>
    <font>
      <name val="Carlito"/>
      <b val="1"/>
      <color rgb="FFFFFFFF"/>
      <sz val="13"/>
    </font>
    <font>
      <name val="Carlito"/>
      <b val="1"/>
      <sz val="11"/>
    </font>
    <font>
      <name val="Carlito"/>
      <b val="1"/>
      <color rgb="FFFFFFFF"/>
      <sz val="12"/>
    </font>
    <font>
      <name val="Carlito"/>
      <b val="1"/>
      <color rgb="FFFFFFFF"/>
      <sz val="11"/>
    </font>
    <font>
      <name val="Carlito"/>
      <b val="1"/>
      <color rgb="FFFFFFFF"/>
      <sz val="14"/>
    </font>
    <font>
      <name val="Carlito"/>
      <sz val="11"/>
    </font>
    <font>
      <name val="Carlito"/>
      <b val="1"/>
      <color theme="0"/>
      <sz val="12"/>
    </font>
    <font>
      <name val="Carlito"/>
      <color theme="0"/>
      <sz val="11"/>
    </font>
    <font>
      <name val="Carlito"/>
      <i val="1"/>
      <color rgb="FF1F1F1F"/>
      <sz val="11"/>
    </font>
    <font>
      <name val="Carlito"/>
      <sz val="10"/>
    </font>
    <font>
      <name val="Carlito"/>
      <b val="1"/>
      <color rgb="FFC00000"/>
      <sz val="11"/>
    </font>
    <font>
      <name val="Carlito"/>
      <b val="1"/>
      <color rgb="FF000000"/>
      <sz val="11"/>
    </font>
    <font>
      <name val="Carlito"/>
      <i val="1"/>
      <sz val="11"/>
    </font>
    <font>
      <name val="Carlito"/>
      <color rgb="FFC00000"/>
      <sz val="11"/>
    </font>
    <font>
      <name val="Carlito"/>
      <b val="1"/>
      <color rgb="FF375623"/>
      <sz val="11"/>
    </font>
    <font>
      <name val="Carlito"/>
      <i val="1"/>
      <color rgb="FF666666"/>
      <sz val="11"/>
    </font>
    <font>
      <name val="Carlito"/>
      <b val="1"/>
      <color rgb="FF1F1F1F"/>
      <sz val="11"/>
    </font>
    <font>
      <name val="Carlito"/>
      <b val="1"/>
      <i val="1"/>
      <sz val="11"/>
    </font>
    <font>
      <name val="Carlito"/>
      <i val="1"/>
      <color rgb="FF17394D"/>
      <sz val="11"/>
    </font>
    <font>
      <name val="Carlito"/>
      <b val="1"/>
      <color rgb="FFFFFFFF"/>
      <sz val="10"/>
    </font>
    <font>
      <name val="Carlito"/>
      <b val="1"/>
      <sz val="9"/>
    </font>
    <font>
      <name val="Carlito"/>
      <sz val="9"/>
    </font>
    <font>
      <name val="Carlito"/>
      <b val="1"/>
      <color rgb="FFFFFFFF"/>
      <sz val="17"/>
    </font>
    <font>
      <name val="Carlito"/>
      <b val="1"/>
      <color rgb="FF173A4D"/>
      <sz val="11"/>
    </font>
    <font>
      <name val="Carlito"/>
      <b val="1"/>
      <sz val="22"/>
    </font>
    <font>
      <name val="Carlito"/>
      <b val="1"/>
      <color rgb="FF173A4D"/>
      <sz val="22"/>
    </font>
    <font>
      <name val="Carlito"/>
      <b val="1"/>
      <color rgb="FFA33A3A"/>
      <sz val="11"/>
    </font>
    <font>
      <name val="Carlito"/>
      <color rgb="FFA33A3A"/>
      <sz val="11"/>
    </font>
    <font>
      <name val="Carlito"/>
      <b val="1"/>
      <color rgb="FFFFFFFF"/>
      <sz val="16"/>
    </font>
    <font>
      <name val="Carlito"/>
      <b val="1"/>
      <sz val="20"/>
    </font>
    <font>
      <name val="Carlito"/>
      <b val="1"/>
      <color rgb="FF173A4D"/>
      <sz val="20"/>
    </font>
    <font>
      <name val="Carlito"/>
      <color rgb="FFFFFFFF"/>
      <sz val="11"/>
    </font>
    <font>
      <name val="Carlito"/>
      <i val="1"/>
      <color rgb="FFFFFFFF"/>
      <sz val="11"/>
    </font>
    <font>
      <name val="Carlito"/>
      <b val="1"/>
      <i val="1"/>
      <color rgb="FFFFFFFF"/>
      <sz val="11"/>
    </font>
    <font>
      <name val="Aptos"/>
      <b val="1"/>
      <color rgb="FFFFFFFF"/>
      <sz val="17"/>
    </font>
    <font>
      <name val="Aptos"/>
      <b val="1"/>
      <color rgb="FF173A4D"/>
      <sz val="11"/>
    </font>
    <font>
      <name val="Aptos"/>
      <sz val="11"/>
    </font>
    <font>
      <name val="Aptos"/>
      <b val="1"/>
      <color rgb="FFFFFFFF"/>
      <sz val="11"/>
    </font>
    <font>
      <name val="Aptos"/>
      <b val="1"/>
      <color rgb="FF173A4D"/>
      <sz val="22"/>
    </font>
    <font>
      <name val="Aptos"/>
      <b val="1"/>
      <sz val="11"/>
    </font>
    <font>
      <name val="Aptos"/>
      <b val="1"/>
      <color rgb="FFA33A3A"/>
      <sz val="11"/>
    </font>
    <font>
      <name val="Aptos"/>
      <b val="1"/>
      <color rgb="FF1F1F1F"/>
      <sz val="11"/>
    </font>
    <font>
      <name val="Aptos"/>
      <b val="1"/>
      <color rgb="FFFFFFFF"/>
      <sz val="14"/>
    </font>
    <font>
      <name val="Aptos"/>
      <b val="1"/>
      <color rgb="FFFFFFFF"/>
      <sz val="10"/>
    </font>
    <font>
      <name val="Aptos"/>
      <b val="1"/>
      <color rgb="FF173A4D"/>
      <sz val="10"/>
    </font>
    <font>
      <name val="Aptos"/>
      <sz val="10"/>
    </font>
    <font>
      <name val="Aptos"/>
      <b val="1"/>
      <sz val="10"/>
    </font>
    <font>
      <name val="Aptos"/>
      <b val="1"/>
      <color rgb="FFA33A3A"/>
      <sz val="10"/>
    </font>
    <font>
      <name val="Aptos"/>
      <b val="1"/>
      <color rgb="FF1F1F1F"/>
      <sz val="10"/>
    </font>
    <font>
      <name val="Aptos"/>
      <b val="1"/>
      <color rgb="FFFFFFFF"/>
      <sz val="16"/>
    </font>
    <font>
      <name val="Aptos"/>
      <b val="1"/>
      <color rgb="FF173A4D"/>
      <sz val="20"/>
    </font>
    <font>
      <name val="Aptos"/>
      <b val="1"/>
      <i val="1"/>
      <color rgb="FFFFFFFF"/>
      <sz val="11"/>
    </font>
    <font>
      <name val="Aptos"/>
      <b val="1"/>
      <i val="1"/>
      <color rgb="FFFFFFFF"/>
      <sz val="10"/>
    </font>
    <font>
      <name val="Carlito"/>
      <color rgb="FF000000"/>
      <sz val="11"/>
    </font>
    <font>
      <b val="1"/>
    </font>
    <font>
      <b val="1"/>
      <sz val="14"/>
    </font>
  </fonts>
  <fills count="93">
    <fill>
      <patternFill/>
    </fill>
    <fill>
      <patternFill patternType="gray125"/>
    </fill>
    <fill>
      <patternFill patternType="solid">
        <fgColor rgb="FF1F4E78"/>
      </patternFill>
    </fill>
    <fill>
      <patternFill patternType="solid">
        <fgColor rgb="FFD9EAF7"/>
      </patternFill>
    </fill>
    <fill>
      <patternFill patternType="solid">
        <fgColor rgb="FFD9EAD3"/>
      </patternFill>
    </fill>
    <fill>
      <patternFill patternType="solid">
        <fgColor rgb="FFFCE4D6"/>
      </patternFill>
    </fill>
    <fill>
      <patternFill patternType="solid">
        <fgColor rgb="FFE2F0D9"/>
      </patternFill>
    </fill>
    <fill>
      <patternFill patternType="solid">
        <fgColor rgb="FFFFF2CC"/>
      </patternFill>
    </fill>
    <fill>
      <patternFill patternType="solid">
        <fgColor rgb="FFEAF2F8"/>
      </patternFill>
    </fill>
    <fill>
      <patternFill patternType="solid">
        <fgColor rgb="FF5B9BD5"/>
      </patternFill>
    </fill>
    <fill>
      <patternFill patternType="solid">
        <fgColor rgb="FFFF9999"/>
      </patternFill>
    </fill>
    <fill>
      <patternFill patternType="solid">
        <fgColor rgb="FFF4B183"/>
      </patternFill>
    </fill>
    <fill>
      <patternFill patternType="solid">
        <fgColor rgb="FF17365D"/>
      </patternFill>
    </fill>
    <fill>
      <patternFill patternType="solid">
        <fgColor rgb="FFFFFFFF"/>
      </patternFill>
    </fill>
    <fill>
      <patternFill patternType="solid">
        <fgColor rgb="FFF2F2F2"/>
      </patternFill>
    </fill>
    <fill>
      <patternFill patternType="solid">
        <fgColor rgb="FF4472C4"/>
      </patternFill>
    </fill>
    <fill>
      <patternFill patternType="solid">
        <fgColor rgb="FFEAF4E2"/>
      </patternFill>
    </fill>
    <fill>
      <patternFill patternType="solid">
        <fgColor rgb="FFFFF2CC"/>
      </patternFill>
    </fill>
    <fill>
      <patternFill patternType="solid">
        <fgColor rgb="FFE2F0D9"/>
      </patternFill>
    </fill>
    <fill>
      <patternFill patternType="solid">
        <fgColor rgb="FF1F4E78"/>
      </patternFill>
    </fill>
    <fill>
      <patternFill patternType="solid">
        <fgColor rgb="FFF4B183"/>
      </patternFill>
    </fill>
    <fill>
      <patternFill patternType="solid">
        <fgColor rgb="FFD9EAF7"/>
      </patternFill>
    </fill>
    <fill>
      <patternFill patternType="solid">
        <fgColor rgb="FFE2F0D9"/>
      </patternFill>
    </fill>
    <fill>
      <patternFill patternType="solid">
        <fgColor rgb="FFFFF2CC"/>
      </patternFill>
    </fill>
    <fill>
      <patternFill patternType="solid">
        <fgColor rgb="FFF4CCCC"/>
      </patternFill>
    </fill>
    <fill>
      <patternFill patternType="solid">
        <fgColor rgb="FFFCE4D6"/>
      </patternFill>
    </fill>
    <fill>
      <patternFill patternType="solid">
        <fgColor rgb="FF5B9BD5"/>
      </patternFill>
    </fill>
    <fill>
      <patternFill patternType="solid">
        <fgColor rgb="FFE2F0D9"/>
      </patternFill>
    </fill>
    <fill>
      <patternFill patternType="solid">
        <fgColor rgb="FF17365D"/>
      </patternFill>
    </fill>
    <fill>
      <patternFill patternType="solid">
        <fgColor rgb="FFF3F6F8"/>
      </patternFill>
    </fill>
    <fill>
      <patternFill patternType="solid">
        <fgColor rgb="FFFFF2CC"/>
      </patternFill>
    </fill>
    <fill>
      <patternFill patternType="solid">
        <fgColor rgb="FFE2F0D9"/>
      </patternFill>
    </fill>
    <fill>
      <patternFill patternType="solid">
        <fgColor rgb="FFD9EAF7"/>
      </patternFill>
    </fill>
    <fill>
      <patternFill patternType="solid">
        <fgColor rgb="FF1F4E78"/>
      </patternFill>
    </fill>
    <fill>
      <patternFill patternType="solid">
        <fgColor rgb="FFD9EAD3"/>
      </patternFill>
    </fill>
    <fill>
      <patternFill patternType="solid">
        <fgColor rgb="FF5B9BD5"/>
      </patternFill>
    </fill>
    <fill>
      <patternFill patternType="solid">
        <fgColor rgb="FFD9EAF7"/>
      </patternFill>
    </fill>
    <fill>
      <patternFill patternType="solid">
        <fgColor rgb="FFE2F0D9"/>
      </patternFill>
    </fill>
    <fill>
      <patternFill patternType="solid">
        <fgColor rgb="FFFCE4D6"/>
      </patternFill>
    </fill>
    <fill>
      <patternFill patternType="solid">
        <fgColor rgb="FFFFF2CC"/>
      </patternFill>
    </fill>
    <fill>
      <patternFill patternType="solid">
        <fgColor rgb="FFE7E6E6"/>
      </patternFill>
    </fill>
    <fill>
      <patternFill patternType="solid">
        <fgColor rgb="FF5B9BD5"/>
      </patternFill>
    </fill>
    <fill>
      <patternFill patternType="solid">
        <fgColor rgb="FFD9EAF7"/>
      </patternFill>
    </fill>
    <fill>
      <patternFill patternType="solid">
        <fgColor rgb="FF1F4E78"/>
      </patternFill>
    </fill>
    <fill>
      <patternFill patternType="solid">
        <fgColor rgb="FFE2F0D9"/>
      </patternFill>
    </fill>
    <fill>
      <patternFill patternType="solid">
        <fgColor rgb="FFFCE4D6"/>
      </patternFill>
    </fill>
    <fill>
      <patternFill patternType="solid">
        <fgColor rgb="FFFFF2CC"/>
      </patternFill>
    </fill>
    <fill>
      <patternFill patternType="solid">
        <fgColor rgb="FF1F4E78"/>
      </patternFill>
    </fill>
    <fill>
      <patternFill patternType="solid">
        <fgColor rgb="FFE2F0D9"/>
      </patternFill>
    </fill>
    <fill>
      <patternFill patternType="solid">
        <fgColor rgb="FF1F4E78"/>
      </patternFill>
    </fill>
    <fill>
      <patternFill patternType="solid">
        <fgColor rgb="FFFCE4D6"/>
      </patternFill>
    </fill>
    <fill>
      <patternFill patternType="solid">
        <fgColor rgb="FFD9EAF7"/>
      </patternFill>
    </fill>
    <fill>
      <patternFill patternType="solid">
        <fgColor rgb="FF5B9BD5"/>
      </patternFill>
    </fill>
    <fill>
      <patternFill patternType="solid">
        <fgColor rgb="FFFFF2CC"/>
      </patternFill>
    </fill>
    <fill>
      <patternFill patternType="solid">
        <fgColor rgb="FFE2F0D9"/>
      </patternFill>
    </fill>
    <fill>
      <patternFill patternType="solid">
        <fgColor rgb="FFFFFFFF"/>
      </patternFill>
    </fill>
    <fill>
      <patternFill patternType="solid">
        <fgColor rgb="FF17394D"/>
      </patternFill>
    </fill>
    <fill>
      <patternFill patternType="solid">
        <fgColor rgb="FFEAF2F5"/>
      </patternFill>
    </fill>
    <fill>
      <patternFill patternType="solid">
        <fgColor rgb="FF1F4E78"/>
      </patternFill>
    </fill>
    <fill>
      <patternFill patternType="solid">
        <fgColor rgb="FFD9EAF7"/>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1F4E78"/>
      </patternFill>
    </fill>
    <fill>
      <patternFill patternType="solid">
        <fgColor rgb="FF1F4E78"/>
      </patternFill>
    </fill>
    <fill>
      <patternFill patternType="solid">
        <fgColor rgb="FF1F4E78"/>
      </patternFill>
    </fill>
    <fill>
      <patternFill patternType="solid">
        <fgColor rgb="FFD9EAF7"/>
      </patternFill>
    </fill>
    <fill>
      <patternFill patternType="solid">
        <fgColor rgb="FF1F4E78"/>
      </patternFill>
    </fill>
    <fill>
      <patternFill patternType="solid">
        <fgColor rgb="FF1F4E78"/>
      </patternFill>
    </fill>
    <fill>
      <patternFill patternType="solid">
        <fgColor rgb="FFD9EAF7"/>
      </patternFill>
    </fill>
    <fill>
      <patternFill patternType="solid">
        <fgColor rgb="FFE2F0D9"/>
      </patternFill>
    </fill>
    <fill>
      <patternFill patternType="solid">
        <fgColor rgb="FFFFF2CC"/>
      </patternFill>
    </fill>
    <fill>
      <patternFill patternType="solid">
        <fgColor rgb="FFF4CCCC"/>
      </patternFill>
    </fill>
    <fill>
      <patternFill patternType="solid">
        <fgColor rgb="FF1F4E78"/>
      </patternFill>
    </fill>
    <fill>
      <patternFill patternType="solid">
        <fgColor rgb="FFD9EAF7"/>
      </patternFill>
    </fill>
    <fill>
      <patternFill patternType="solid">
        <fgColor rgb="FFFFF2CC"/>
      </patternFill>
    </fill>
    <fill>
      <patternFill patternType="solid">
        <fgColor rgb="FFE2F0D9"/>
      </patternFill>
    </fill>
    <fill>
      <patternFill patternType="solid">
        <fgColor rgb="FFF4CCCC"/>
      </patternFill>
    </fill>
    <fill>
      <patternFill patternType="solid">
        <fgColor rgb="FF1F4E78"/>
      </patternFill>
    </fill>
    <fill>
      <patternFill patternType="solid">
        <fgColor rgb="FF173A4D"/>
      </patternFill>
    </fill>
    <fill>
      <patternFill patternType="solid">
        <fgColor rgb="FFEAF2F0"/>
      </patternFill>
    </fill>
    <fill>
      <patternFill patternType="solid">
        <fgColor rgb="FF4D8C83"/>
      </patternFill>
    </fill>
    <fill>
      <patternFill patternType="solid">
        <fgColor rgb="FFF5F7F7"/>
      </patternFill>
    </fill>
    <fill>
      <patternFill patternType="solid">
        <fgColor rgb="FFFFF5D6"/>
      </patternFill>
    </fill>
    <fill>
      <patternFill patternType="solid">
        <fgColor rgb="FFFCE8E8"/>
      </patternFill>
    </fill>
    <fill>
      <patternFill patternType="solid">
        <fgColor rgb="FF6B7280"/>
      </patternFill>
    </fill>
    <fill>
      <patternFill patternType="solid">
        <fgColor rgb="FFFFFFFF"/>
      </patternFill>
    </fill>
  </fills>
  <borders count="31">
    <border/>
    <border>
      <left style="thin">
        <color rgb="FFD9E1F2"/>
      </left>
      <right style="thin">
        <color rgb="FFD9E1F2"/>
      </right>
      <top style="thin">
        <color rgb="FFD9E1F2"/>
      </top>
      <bottom style="thin">
        <color rgb="FFD9E1F2"/>
      </bottom>
    </border>
    <border>
      <left style="thin">
        <color rgb="FFD9E1F2"/>
      </left>
    </border>
    <border>
      <left style="thin">
        <color rgb="FFD9E1F2"/>
      </left>
      <right style="thin">
        <color rgb="FFD9E1F2"/>
      </right>
      <top style="thin">
        <color rgb="FF000000"/>
      </top>
      <bottom style="thin">
        <color rgb="FFD9E1F2"/>
      </bottom>
    </border>
    <border/>
    <border>
      <left style="thin">
        <color rgb="FFD9E1F2"/>
      </left>
      <bottom style="thin">
        <color rgb="FFD9E1F2"/>
      </bottom>
    </border>
    <border>
      <bottom style="thin">
        <color rgb="FFD9E1F2"/>
      </bottom>
    </border>
    <border>
      <left style="thin">
        <color rgb="FFD9E1F2"/>
      </left>
      <top style="thin">
        <color rgb="FFD9E1F2"/>
      </top>
    </border>
    <border>
      <top style="thin">
        <color rgb="FFD9E1F2"/>
      </top>
    </border>
    <border>
      <right style="thin">
        <color rgb="FFD9E1F2"/>
      </right>
      <top style="thin">
        <color rgb="FFD9E1F2"/>
      </top>
    </border>
    <border>
      <right style="thin">
        <color rgb="FFD9E1F2"/>
      </right>
    </border>
    <border>
      <right style="thin">
        <color rgb="FFD9E1F2"/>
      </right>
      <bottom style="thin">
        <color rgb="FFD9E1F2"/>
      </bottom>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border>
      <left style="thin">
        <color rgb="FFD9E1F2"/>
      </left>
      <right style="thin">
        <color rgb="FFD9E1F2"/>
      </right>
      <top style="thin">
        <color rgb="FFD9E1F2"/>
      </top>
      <bottom style="thin">
        <color rgb="FFD9E1F2"/>
      </bottom>
    </border>
    <border>
      <left style="thin">
        <color rgb="FFD9E1F2"/>
      </left>
      <top style="thin">
        <color rgb="FFD9E1F2"/>
      </top>
    </border>
    <border>
      <top style="thin">
        <color rgb="FFD9E1F2"/>
      </top>
    </border>
    <border>
      <left style="thin">
        <color rgb="FFD9E1F2"/>
      </left>
    </border>
    <border>
      <right style="thin">
        <color rgb="FFD9E1F2"/>
      </right>
      <top style="thin">
        <color rgb="FFD9E1F2"/>
      </top>
    </border>
    <border>
      <right style="thin">
        <color rgb="FFD9E1F2"/>
      </right>
    </border>
    <border>
      <bottom style="thin">
        <color rgb="FFD9E1F2"/>
      </bottom>
    </border>
    <border>
      <right style="thin">
        <color rgb="FFD9E1F2"/>
      </right>
      <bottom style="thin">
        <color rgb="FFD9E1F2"/>
      </bottom>
    </border>
    <border>
      <left style="thin">
        <color rgb="FFD9E1F2"/>
      </left>
      <bottom style="thin">
        <color rgb="FFD9E1F2"/>
      </bottom>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D9E1F2"/>
      </left>
      <right style="thin">
        <color rgb="FFD9E1F2"/>
      </right>
      <top style="thin">
        <color rgb="FF000000"/>
      </top>
      <bottom style="thin">
        <color rgb="FFD9E1F2"/>
      </bottom>
    </border>
    <border>
      <top style="thin">
        <color rgb="FFD9E1F2"/>
      </top>
      <bottom style="thin">
        <color rgb="FFD9E1F2"/>
      </bottom>
    </border>
    <border>
      <right style="thin">
        <color rgb="FFD9E1F2"/>
      </right>
      <top style="thin">
        <color rgb="FFD9E1F2"/>
      </top>
      <bottom style="thin">
        <color rgb="FFD9E1F2"/>
      </bottom>
    </border>
  </borders>
  <cellStyleXfs count="2">
    <xf numFmtId="0" fontId="6" fillId="0" borderId="15"/>
    <xf numFmtId="44" fontId="6" fillId="0" borderId="15"/>
  </cellStyleXfs>
  <cellXfs count="1532">
    <xf numFmtId="0" fontId="0" fillId="0" borderId="0" pivotButton="0" quotePrefix="0" xfId="0"/>
    <xf numFmtId="0" fontId="0" fillId="0" borderId="0" pivotButton="0" quotePrefix="0" xfId="0"/>
    <xf numFmtId="0" fontId="8" fillId="0" borderId="0" applyAlignment="1" pivotButton="0" quotePrefix="0" xfId="0">
      <alignment vertical="center"/>
    </xf>
    <xf numFmtId="0" fontId="0" fillId="0" borderId="0" applyAlignment="1" pivotButton="0" quotePrefix="0" xfId="0">
      <alignment vertical="center"/>
    </xf>
    <xf numFmtId="164" fontId="0" fillId="0" borderId="0" pivotButton="0" quotePrefix="0" xfId="1"/>
    <xf numFmtId="164" fontId="2" fillId="8" borderId="1" applyAlignment="1" pivotButton="0" quotePrefix="0" xfId="0">
      <alignment vertical="top" wrapText="1"/>
    </xf>
    <xf numFmtId="164" fontId="2" fillId="4" borderId="1" applyAlignment="1" pivotButton="0" quotePrefix="0" xfId="0">
      <alignment vertical="top" wrapText="1"/>
    </xf>
    <xf numFmtId="0" fontId="2" fillId="4" borderId="1" applyAlignment="1" pivotButton="0" quotePrefix="0" xfId="0">
      <alignment vertical="top" wrapText="1"/>
    </xf>
    <xf numFmtId="0" fontId="2" fillId="8" borderId="1" applyAlignment="1" pivotButton="0" quotePrefix="0" xfId="0">
      <alignment vertical="top" wrapText="1"/>
    </xf>
    <xf numFmtId="0" fontId="2" fillId="3" borderId="1" applyAlignment="1" pivotButton="0" quotePrefix="0" xfId="0">
      <alignment vertical="top" wrapText="1"/>
    </xf>
    <xf numFmtId="0" fontId="2" fillId="4" borderId="0" applyAlignment="1" pivotButton="0" quotePrefix="0" xfId="0">
      <alignment vertical="top" wrapText="1"/>
    </xf>
    <xf numFmtId="0" fontId="4" fillId="2" borderId="0" applyAlignment="1" pivotButton="0" quotePrefix="0" xfId="0">
      <alignment vertical="top" wrapText="1"/>
    </xf>
    <xf numFmtId="0" fontId="4" fillId="2" borderId="0" applyAlignment="1" pivotButton="0" quotePrefix="0" xfId="0">
      <alignment vertical="center" wrapText="1"/>
    </xf>
    <xf numFmtId="0" fontId="4" fillId="2" borderId="1" applyAlignment="1" pivotButton="0" quotePrefix="0" xfId="0">
      <alignment vertical="center" wrapText="1"/>
    </xf>
    <xf numFmtId="4" fontId="4" fillId="2" borderId="1" applyAlignment="1" pivotButton="0" quotePrefix="0" xfId="0">
      <alignment vertical="center" wrapText="1"/>
    </xf>
    <xf numFmtId="165" fontId="4" fillId="2" borderId="1" applyAlignment="1" pivotButton="0" quotePrefix="0" xfId="0">
      <alignment vertical="center" wrapText="1"/>
    </xf>
    <xf numFmtId="0" fontId="3" fillId="2" borderId="0" applyAlignment="1" pivotButton="0" quotePrefix="0" xfId="0">
      <alignment vertical="top" wrapText="1"/>
    </xf>
    <xf numFmtId="4" fontId="2" fillId="7" borderId="0" applyAlignment="1" pivotButton="0" quotePrefix="0" xfId="0">
      <alignment vertical="center" wrapText="1"/>
    </xf>
    <xf numFmtId="4" fontId="2" fillId="6" borderId="1" applyAlignment="1" pivotButton="0" quotePrefix="0" xfId="0">
      <alignment vertical="center" wrapText="1"/>
    </xf>
    <xf numFmtId="0" fontId="4" fillId="15" borderId="0" applyAlignment="1" pivotButton="0" quotePrefix="0" xfId="0">
      <alignment horizontal="center"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4" fontId="2" fillId="0" borderId="0" applyAlignment="1" pivotButton="0" quotePrefix="0" xfId="0">
      <alignment vertical="center" wrapText="1"/>
    </xf>
    <xf numFmtId="165" fontId="2" fillId="0" borderId="0" applyAlignment="1" pivotButton="0" quotePrefix="0" xfId="0">
      <alignment vertical="center" wrapText="1"/>
    </xf>
    <xf numFmtId="166" fontId="2" fillId="0" borderId="1" applyAlignment="1" pivotButton="0" quotePrefix="0" xfId="0">
      <alignment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1" applyAlignment="1" pivotButton="0" quotePrefix="0" xfId="0">
      <alignment vertical="top" wrapText="1"/>
    </xf>
    <xf numFmtId="0" fontId="7" fillId="2" borderId="0" applyAlignment="1" pivotButton="0" quotePrefix="0" xfId="0">
      <alignment vertical="center" wrapText="1"/>
    </xf>
    <xf numFmtId="0" fontId="0" fillId="0" borderId="0" applyAlignment="1" pivotButton="0" quotePrefix="0" xfId="0">
      <alignment vertical="center"/>
    </xf>
    <xf numFmtId="0" fontId="4" fillId="2" borderId="0" applyAlignment="1" pivotButton="0" quotePrefix="0" xfId="0">
      <alignment horizontal="center" vertical="center" wrapText="1"/>
    </xf>
    <xf numFmtId="0" fontId="2" fillId="3" borderId="1" applyAlignment="1" pivotButton="0" quotePrefix="0" xfId="0">
      <alignment vertical="center" wrapText="1"/>
    </xf>
    <xf numFmtId="0" fontId="2" fillId="14" borderId="1" applyAlignment="1" pivotButton="0" quotePrefix="0" xfId="0">
      <alignment vertical="center" wrapText="1"/>
    </xf>
    <xf numFmtId="0" fontId="2" fillId="14" borderId="0" applyAlignment="1" pivotButton="0" quotePrefix="0" xfId="0">
      <alignment vertical="center" wrapText="1"/>
    </xf>
    <xf numFmtId="0" fontId="2" fillId="13" borderId="1" applyAlignment="1" pivotButton="0" quotePrefix="0" xfId="0">
      <alignment vertical="center" wrapText="1"/>
    </xf>
    <xf numFmtId="0" fontId="2" fillId="13" borderId="0" applyAlignment="1" pivotButton="0" quotePrefix="0" xfId="0">
      <alignment vertical="center" wrapText="1"/>
    </xf>
    <xf numFmtId="167" fontId="0" fillId="0" borderId="0" applyAlignment="1" pivotButton="0" quotePrefix="0" xfId="0">
      <alignment vertical="top" wrapText="1"/>
    </xf>
    <xf numFmtId="164" fontId="0" fillId="0" borderId="0" applyAlignment="1" pivotButton="0" quotePrefix="0" xfId="0">
      <alignment vertical="top" wrapText="1"/>
    </xf>
    <xf numFmtId="164" fontId="0" fillId="8" borderId="1" applyAlignment="1" pivotButton="0" quotePrefix="0" xfId="0">
      <alignment vertical="top" wrapText="1"/>
    </xf>
    <xf numFmtId="164" fontId="0" fillId="8" borderId="0" applyAlignment="1" pivotButton="0" quotePrefix="0" xfId="0">
      <alignment vertical="top" wrapText="1"/>
    </xf>
    <xf numFmtId="164" fontId="4" fillId="2" borderId="0" applyAlignment="1" pivotButton="0" quotePrefix="0" xfId="0">
      <alignment vertical="top" wrapText="1"/>
    </xf>
    <xf numFmtId="164" fontId="0" fillId="0" borderId="0" applyAlignment="1" pivotButton="0" quotePrefix="0" xfId="0">
      <alignment wrapText="1"/>
    </xf>
    <xf numFmtId="168" fontId="0" fillId="0" borderId="0" applyAlignment="1" pivotButton="0" quotePrefix="0" xfId="0">
      <alignment wrapText="1"/>
    </xf>
    <xf numFmtId="165" fontId="0" fillId="0" borderId="0" applyAlignment="1" pivotButton="0" quotePrefix="0" xfId="0">
      <alignment vertical="top" wrapText="1"/>
    </xf>
    <xf numFmtId="0" fontId="0" fillId="16" borderId="7" applyAlignment="1" pivotButton="0" quotePrefix="0" xfId="0">
      <alignment wrapText="1"/>
    </xf>
    <xf numFmtId="0" fontId="0" fillId="16" borderId="8" applyAlignment="1" pivotButton="0" quotePrefix="0" xfId="0">
      <alignment wrapText="1"/>
    </xf>
    <xf numFmtId="0" fontId="0" fillId="16" borderId="2" applyAlignment="1" pivotButton="0" quotePrefix="0" xfId="0">
      <alignment wrapText="1"/>
    </xf>
    <xf numFmtId="0" fontId="0" fillId="16" borderId="0" applyAlignment="1" pivotButton="0" quotePrefix="0" xfId="0">
      <alignment wrapText="1"/>
    </xf>
    <xf numFmtId="165" fontId="0" fillId="7" borderId="8" applyAlignment="1" pivotButton="0" quotePrefix="0" xfId="0">
      <alignment wrapText="1"/>
    </xf>
    <xf numFmtId="0" fontId="0" fillId="7" borderId="8" applyAlignment="1" pivotButton="0" quotePrefix="0" xfId="0">
      <alignment wrapText="1"/>
    </xf>
    <xf numFmtId="0" fontId="0" fillId="7" borderId="9" applyAlignment="1" pivotButton="0" quotePrefix="0" xfId="0">
      <alignment wrapText="1"/>
    </xf>
    <xf numFmtId="165" fontId="0" fillId="7" borderId="0" applyAlignment="1" pivotButton="0" quotePrefix="0" xfId="0">
      <alignment wrapText="1"/>
    </xf>
    <xf numFmtId="0" fontId="0" fillId="7" borderId="0" applyAlignment="1" pivotButton="0" quotePrefix="0" xfId="0">
      <alignment wrapText="1"/>
    </xf>
    <xf numFmtId="0" fontId="0" fillId="7" borderId="10" applyAlignment="1" pivotButton="0" quotePrefix="0" xfId="0">
      <alignment wrapText="1"/>
    </xf>
    <xf numFmtId="165" fontId="0" fillId="7" borderId="6" applyAlignment="1" pivotButton="0" quotePrefix="0" xfId="0">
      <alignment wrapText="1"/>
    </xf>
    <xf numFmtId="0" fontId="0" fillId="7" borderId="6" applyAlignment="1" pivotButton="0" quotePrefix="0" xfId="0">
      <alignment wrapText="1"/>
    </xf>
    <xf numFmtId="0" fontId="0" fillId="7" borderId="11" applyAlignment="1" pivotButton="0" quotePrefix="0" xfId="0">
      <alignment wrapText="1"/>
    </xf>
    <xf numFmtId="49" fontId="0" fillId="7" borderId="8" applyAlignment="1" pivotButton="0" quotePrefix="0" xfId="0">
      <alignment wrapText="1"/>
    </xf>
    <xf numFmtId="49" fontId="0" fillId="7" borderId="0" applyAlignment="1" pivotButton="0" quotePrefix="0" xfId="0">
      <alignment wrapText="1"/>
    </xf>
    <xf numFmtId="2" fontId="0" fillId="7" borderId="0" applyAlignment="1" pivotButton="0" quotePrefix="0" xfId="0">
      <alignment wrapText="1"/>
    </xf>
    <xf numFmtId="2" fontId="0" fillId="7" borderId="6" applyAlignment="1" pivotButton="0" quotePrefix="0" xfId="0">
      <alignment wrapText="1"/>
    </xf>
    <xf numFmtId="168" fontId="0" fillId="7" borderId="0" applyAlignment="1" pivotButton="0" quotePrefix="0" xfId="0">
      <alignment wrapText="1"/>
    </xf>
    <xf numFmtId="168" fontId="0" fillId="7" borderId="6" applyAlignment="1" pivotButton="0" quotePrefix="0" xfId="0">
      <alignment wrapText="1"/>
    </xf>
    <xf numFmtId="49" fontId="0" fillId="7" borderId="6" applyAlignment="1" pivotButton="0" quotePrefix="0" xfId="0">
      <alignment wrapText="1"/>
    </xf>
    <xf numFmtId="0" fontId="10" fillId="16" borderId="2" applyAlignment="1" pivotButton="0" quotePrefix="0" xfId="0">
      <alignment wrapText="1"/>
    </xf>
    <xf numFmtId="0" fontId="10" fillId="16" borderId="0" applyAlignment="1" pivotButton="0" quotePrefix="0" xfId="0">
      <alignment wrapText="1"/>
    </xf>
    <xf numFmtId="0" fontId="10" fillId="16" borderId="5" applyAlignment="1" pivotButton="0" quotePrefix="0" xfId="0">
      <alignment wrapText="1"/>
    </xf>
    <xf numFmtId="0" fontId="10" fillId="16" borderId="6" applyAlignment="1" pivotButton="0" quotePrefix="0" xfId="0">
      <alignment wrapText="1"/>
    </xf>
    <xf numFmtId="4" fontId="2" fillId="6" borderId="0" applyAlignment="1" pivotButton="0" quotePrefix="0" xfId="0">
      <alignment vertical="center" wrapText="1"/>
    </xf>
    <xf numFmtId="0" fontId="2" fillId="6" borderId="1" applyAlignment="1" pivotButton="0" quotePrefix="0" xfId="0">
      <alignment vertical="center" wrapText="1"/>
    </xf>
    <xf numFmtId="0" fontId="2" fillId="6" borderId="0" applyAlignment="1" pivotButton="0" quotePrefix="0" xfId="0">
      <alignment vertical="center" wrapText="1"/>
    </xf>
    <xf numFmtId="165" fontId="10" fillId="7" borderId="0" applyAlignment="1" pivotButton="0" quotePrefix="0" xfId="0">
      <alignment wrapText="1"/>
    </xf>
    <xf numFmtId="0" fontId="10" fillId="7" borderId="0" applyAlignment="1" pivotButton="0" quotePrefix="0" xfId="0">
      <alignment wrapText="1"/>
    </xf>
    <xf numFmtId="49" fontId="10" fillId="7" borderId="0" applyAlignment="1" pivotButton="0" quotePrefix="0" xfId="0">
      <alignment wrapText="1"/>
    </xf>
    <xf numFmtId="0" fontId="10" fillId="7" borderId="10" applyAlignment="1" pivotButton="0" quotePrefix="0" xfId="0">
      <alignment wrapText="1"/>
    </xf>
    <xf numFmtId="165" fontId="10" fillId="7" borderId="6" applyAlignment="1" pivotButton="0" quotePrefix="0" xfId="0">
      <alignment wrapText="1"/>
    </xf>
    <xf numFmtId="0" fontId="10" fillId="7" borderId="6" applyAlignment="1" pivotButton="0" quotePrefix="0" xfId="0">
      <alignment wrapText="1"/>
    </xf>
    <xf numFmtId="49" fontId="10" fillId="7" borderId="6" applyAlignment="1" pivotButton="0" quotePrefix="0" xfId="0">
      <alignment wrapText="1"/>
    </xf>
    <xf numFmtId="0" fontId="10" fillId="7" borderId="11" applyAlignment="1" pivotButton="0" quotePrefix="0" xfId="0">
      <alignment wrapText="1"/>
    </xf>
    <xf numFmtId="0" fontId="0" fillId="6" borderId="2" applyAlignment="1" pivotButton="0" quotePrefix="0" xfId="0">
      <alignment wrapText="1"/>
    </xf>
    <xf numFmtId="0" fontId="0" fillId="6" borderId="0" applyAlignment="1" pivotButton="0" quotePrefix="0" xfId="0">
      <alignment wrapText="1"/>
    </xf>
    <xf numFmtId="2" fontId="0" fillId="6" borderId="0" applyAlignment="1" pivotButton="0" quotePrefix="0" xfId="0">
      <alignment wrapText="1"/>
    </xf>
    <xf numFmtId="165" fontId="0" fillId="6" borderId="0" applyAlignment="1" pivotButton="0" quotePrefix="0" xfId="0">
      <alignment wrapText="1"/>
    </xf>
    <xf numFmtId="0" fontId="0" fillId="6" borderId="5" applyAlignment="1" pivotButton="0" quotePrefix="0" xfId="0">
      <alignment wrapText="1"/>
    </xf>
    <xf numFmtId="0" fontId="0" fillId="6" borderId="6" applyAlignment="1" pivotButton="0" quotePrefix="0" xfId="0">
      <alignment wrapText="1"/>
    </xf>
    <xf numFmtId="2" fontId="0" fillId="6" borderId="6" applyAlignment="1" pivotButton="0" quotePrefix="0" xfId="0">
      <alignment wrapText="1"/>
    </xf>
    <xf numFmtId="165" fontId="0" fillId="6" borderId="6" applyAlignment="1" pivotButton="0" quotePrefix="0" xfId="0">
      <alignment wrapText="1"/>
    </xf>
    <xf numFmtId="165" fontId="11" fillId="17" borderId="0" applyAlignment="1" pivotButton="0" quotePrefix="0" xfId="0">
      <alignment wrapText="1"/>
    </xf>
    <xf numFmtId="165" fontId="0" fillId="18" borderId="0" applyAlignment="1" pivotButton="0" quotePrefix="0" xfId="0">
      <alignment wrapText="1"/>
    </xf>
    <xf numFmtId="0" fontId="2"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2" fillId="25" borderId="0" pivotButton="0" quotePrefix="0" xfId="0"/>
    <xf numFmtId="0" fontId="4" fillId="26" borderId="12" applyAlignment="1" pivotButton="0" quotePrefix="0" xfId="0">
      <alignment vertical="top" wrapText="1"/>
    </xf>
    <xf numFmtId="0" fontId="4" fillId="26" borderId="13" applyAlignment="1" pivotButton="0" quotePrefix="0" xfId="0">
      <alignment vertical="top" wrapText="1"/>
    </xf>
    <xf numFmtId="0" fontId="4" fillId="26" borderId="14" applyAlignment="1" pivotButton="0" quotePrefix="0" xfId="0">
      <alignment vertical="top" wrapText="1"/>
    </xf>
    <xf numFmtId="0" fontId="0" fillId="0" borderId="0" applyAlignment="1" pivotButton="0" quotePrefix="0" xfId="0">
      <alignment vertical="top"/>
    </xf>
    <xf numFmtId="0" fontId="2" fillId="23" borderId="0" applyAlignment="1" pivotButton="0" quotePrefix="0" xfId="0">
      <alignment vertical="top" wrapText="1"/>
    </xf>
    <xf numFmtId="0" fontId="2" fillId="24" borderId="0" applyAlignment="1" pivotButton="0" quotePrefix="0" xfId="0">
      <alignment vertical="top" wrapText="1"/>
    </xf>
    <xf numFmtId="0" fontId="2" fillId="22" borderId="0" applyAlignment="1" pivotButton="0" quotePrefix="0" xfId="0">
      <alignment vertical="top" wrapText="1"/>
    </xf>
    <xf numFmtId="0" fontId="2" fillId="0" borderId="0" pivotButton="0" quotePrefix="0" xfId="0"/>
    <xf numFmtId="0" fontId="2" fillId="0" borderId="0" applyAlignment="1" pivotButton="0" quotePrefix="0" xfId="0">
      <alignment vertical="center"/>
    </xf>
    <xf numFmtId="0" fontId="2" fillId="5" borderId="1" applyAlignment="1" pivotButton="0" quotePrefix="0" xfId="0">
      <alignment vertical="center" wrapText="1"/>
    </xf>
    <xf numFmtId="0" fontId="2" fillId="5" borderId="0" applyAlignment="1" pivotButton="0" quotePrefix="0" xfId="0">
      <alignment vertical="center" wrapText="1"/>
    </xf>
    <xf numFmtId="0" fontId="0" fillId="0" borderId="0" applyAlignment="1" pivotButton="0" quotePrefix="0" xfId="0">
      <alignment vertical="center" wrapText="1"/>
    </xf>
    <xf numFmtId="0" fontId="0" fillId="0" borderId="1" applyAlignment="1" pivotButton="0" quotePrefix="0" xfId="0">
      <alignment vertical="center" wrapText="1"/>
    </xf>
    <xf numFmtId="0" fontId="2" fillId="4" borderId="1" applyAlignment="1" pivotButton="0" quotePrefix="0" xfId="0">
      <alignment vertical="center" wrapText="1"/>
    </xf>
    <xf numFmtId="0" fontId="2" fillId="4" borderId="0" applyAlignment="1" pivotButton="0" quotePrefix="0" xfId="0">
      <alignment vertical="center" wrapText="1"/>
    </xf>
    <xf numFmtId="0" fontId="0" fillId="7" borderId="1" applyAlignment="1" pivotButton="0" quotePrefix="0" xfId="0">
      <alignment vertical="center" wrapText="1"/>
    </xf>
    <xf numFmtId="0" fontId="0" fillId="0" borderId="2" applyAlignment="1" pivotButton="0" quotePrefix="0" xfId="0">
      <alignment vertical="center" wrapText="1"/>
    </xf>
    <xf numFmtId="0" fontId="0" fillId="0" borderId="10" applyAlignment="1" pivotButton="0" quotePrefix="0" xfId="0">
      <alignment vertical="center" wrapText="1"/>
    </xf>
    <xf numFmtId="0" fontId="0" fillId="0" borderId="5" applyAlignment="1" pivotButton="0" quotePrefix="0" xfId="0">
      <alignment vertical="center" wrapText="1"/>
    </xf>
    <xf numFmtId="0" fontId="0" fillId="0" borderId="6" applyAlignment="1" pivotButton="0" quotePrefix="0" xfId="0">
      <alignment vertical="center" wrapText="1"/>
    </xf>
    <xf numFmtId="0" fontId="0" fillId="0" borderId="11" applyAlignment="1" pivotButton="0" quotePrefix="0" xfId="0">
      <alignment vertical="center" wrapText="1"/>
    </xf>
    <xf numFmtId="0" fontId="2" fillId="21" borderId="0" applyAlignment="1" pivotButton="0" quotePrefix="0" xfId="0">
      <alignment horizontal="center" vertical="center"/>
    </xf>
    <xf numFmtId="0" fontId="0" fillId="23" borderId="0" applyAlignment="1" pivotButton="0" quotePrefix="0" xfId="0">
      <alignment vertical="center" wrapText="1"/>
    </xf>
    <xf numFmtId="0" fontId="0" fillId="0" borderId="1" applyAlignment="1" pivotButton="0" quotePrefix="0" xfId="0">
      <alignment vertical="center"/>
    </xf>
    <xf numFmtId="4" fontId="0" fillId="0" borderId="1" applyAlignment="1" pivotButton="0" quotePrefix="0" xfId="0">
      <alignment vertical="center" wrapText="1"/>
    </xf>
    <xf numFmtId="164" fontId="0" fillId="0" borderId="1" applyAlignment="1" pivotButton="0" quotePrefix="0" xfId="0">
      <alignment vertical="center" wrapText="1"/>
    </xf>
    <xf numFmtId="164" fontId="0" fillId="0" borderId="0" applyAlignment="1" pivotButton="0" quotePrefix="0" xfId="0">
      <alignment vertical="center" wrapText="1"/>
    </xf>
    <xf numFmtId="164" fontId="2" fillId="3" borderId="1" applyAlignment="1" pivotButton="0" quotePrefix="0" xfId="0">
      <alignment vertical="center" wrapText="1"/>
    </xf>
    <xf numFmtId="0" fontId="2" fillId="3" borderId="0" applyAlignment="1" pivotButton="0" quotePrefix="0" xfId="0">
      <alignment vertical="center" wrapText="1"/>
    </xf>
    <xf numFmtId="164" fontId="0" fillId="8" borderId="1" applyAlignment="1" pivotButton="0" quotePrefix="0" xfId="0">
      <alignment vertical="center" wrapText="1"/>
    </xf>
    <xf numFmtId="165" fontId="0" fillId="8" borderId="1" applyAlignment="1" pivotButton="0" quotePrefix="0" xfId="0">
      <alignment vertical="center"/>
    </xf>
    <xf numFmtId="165" fontId="2" fillId="4" borderId="1" applyAlignment="1" pivotButton="0" quotePrefix="0" xfId="0">
      <alignment vertical="center"/>
    </xf>
    <xf numFmtId="164" fontId="0" fillId="0" borderId="2" applyAlignment="1" pivotButton="0" quotePrefix="0" xfId="0">
      <alignment vertical="center" wrapText="1"/>
    </xf>
    <xf numFmtId="165" fontId="2" fillId="4" borderId="1" applyAlignment="1" pivotButton="0" quotePrefix="0" xfId="0">
      <alignment vertical="center" wrapText="1"/>
    </xf>
    <xf numFmtId="165" fontId="0" fillId="8" borderId="1" applyAlignment="1" pivotButton="0" quotePrefix="0" xfId="0">
      <alignment vertical="center" wrapText="1"/>
    </xf>
    <xf numFmtId="165" fontId="0" fillId="0" borderId="0" applyAlignment="1" pivotButton="0" quotePrefix="0" xfId="0">
      <alignment vertical="center" wrapText="1"/>
    </xf>
    <xf numFmtId="164" fontId="2" fillId="8" borderId="1" applyAlignment="1" pivotButton="0" quotePrefix="0" xfId="0">
      <alignment vertical="center" wrapText="1"/>
    </xf>
    <xf numFmtId="164" fontId="2" fillId="4" borderId="1" applyAlignment="1" pivotButton="0" quotePrefix="0" xfId="0">
      <alignment vertical="center" wrapText="1"/>
    </xf>
    <xf numFmtId="164" fontId="0" fillId="8" borderId="0" applyAlignment="1" pivotButton="0" quotePrefix="0" xfId="0">
      <alignment vertical="center" wrapText="1"/>
    </xf>
    <xf numFmtId="164" fontId="2" fillId="8" borderId="0" applyAlignment="1" pivotButton="0" quotePrefix="0" xfId="0">
      <alignment vertical="top" wrapText="1"/>
    </xf>
    <xf numFmtId="0" fontId="3" fillId="2" borderId="0" applyAlignment="1" pivotButton="0" quotePrefix="0" xfId="0">
      <alignment vertical="center" wrapText="1"/>
    </xf>
    <xf numFmtId="10" fontId="0" fillId="7" borderId="0" applyAlignment="1" pivotButton="0" quotePrefix="0" xfId="0">
      <alignment vertical="center" wrapText="1"/>
    </xf>
    <xf numFmtId="165" fontId="0" fillId="7" borderId="0" applyAlignment="1" pivotButton="0" quotePrefix="0" xfId="0">
      <alignment vertical="center" wrapText="1"/>
    </xf>
    <xf numFmtId="0" fontId="0" fillId="10" borderId="1" applyAlignment="1" pivotButton="0" quotePrefix="0" xfId="0">
      <alignment vertical="center" wrapText="1"/>
    </xf>
    <xf numFmtId="0" fontId="0" fillId="11" borderId="1" applyAlignment="1" pivotButton="0" quotePrefix="0" xfId="0">
      <alignment vertical="center" wrapText="1"/>
    </xf>
    <xf numFmtId="0" fontId="0" fillId="7" borderId="0" applyAlignment="1" pivotButton="0" quotePrefix="0" xfId="0">
      <alignment vertical="center" wrapText="1"/>
    </xf>
    <xf numFmtId="168" fontId="0" fillId="7" borderId="0" applyAlignment="1" pivotButton="0" quotePrefix="0" xfId="0">
      <alignment vertical="center" wrapText="1"/>
    </xf>
    <xf numFmtId="0" fontId="5" fillId="12" borderId="0" applyAlignment="1" pivotButton="0" quotePrefix="0" xfId="0">
      <alignment vertical="center" wrapText="1"/>
    </xf>
    <xf numFmtId="4" fontId="5" fillId="12" borderId="0" applyAlignment="1" pivotButton="0" quotePrefix="0" xfId="0">
      <alignment vertical="center" wrapText="1"/>
    </xf>
    <xf numFmtId="165" fontId="5" fillId="12" borderId="0" applyAlignment="1" pivotButton="0" quotePrefix="0" xfId="0">
      <alignment vertical="center" wrapText="1"/>
    </xf>
    <xf numFmtId="0" fontId="5" fillId="12" borderId="1" applyAlignment="1" pivotButton="0" quotePrefix="0" xfId="0">
      <alignment vertical="center" wrapText="1"/>
    </xf>
    <xf numFmtId="0" fontId="0" fillId="6" borderId="0" applyAlignment="1" pivotButton="0" quotePrefix="0" xfId="0">
      <alignment vertical="center" wrapText="1"/>
    </xf>
    <xf numFmtId="0" fontId="0" fillId="14" borderId="1" applyAlignment="1" pivotButton="0" quotePrefix="0" xfId="0">
      <alignment vertical="center" wrapText="1"/>
    </xf>
    <xf numFmtId="4" fontId="0" fillId="7" borderId="1" applyAlignment="1" pivotButton="0" quotePrefix="0" xfId="0">
      <alignment vertical="center" wrapText="1"/>
    </xf>
    <xf numFmtId="4" fontId="0" fillId="6" borderId="1" applyAlignment="1" pivotButton="0" quotePrefix="0" xfId="0">
      <alignment vertical="center" wrapText="1"/>
    </xf>
    <xf numFmtId="0" fontId="0" fillId="6" borderId="1" applyAlignment="1" pivotButton="0" quotePrefix="0" xfId="0">
      <alignment vertical="center" wrapText="1"/>
    </xf>
    <xf numFmtId="0" fontId="0" fillId="13" borderId="1" applyAlignment="1" pivotButton="0" quotePrefix="0" xfId="0">
      <alignment vertical="center" wrapText="1"/>
    </xf>
    <xf numFmtId="4" fontId="2" fillId="7" borderId="1" applyAlignment="1" pivotButton="0" quotePrefix="0" xfId="0">
      <alignment vertical="center" wrapText="1"/>
    </xf>
    <xf numFmtId="0" fontId="0" fillId="14" borderId="0" applyAlignment="1" pivotButton="0" quotePrefix="0" xfId="0">
      <alignment vertical="center" wrapText="1"/>
    </xf>
    <xf numFmtId="4" fontId="0" fillId="7" borderId="0" applyAlignment="1" pivotButton="0" quotePrefix="0" xfId="0">
      <alignment vertical="center" wrapText="1"/>
    </xf>
    <xf numFmtId="4" fontId="0" fillId="6" borderId="0" applyAlignment="1" pivotButton="0" quotePrefix="0" xfId="0">
      <alignment vertical="center" wrapText="1"/>
    </xf>
    <xf numFmtId="0" fontId="0" fillId="13" borderId="0" applyAlignment="1" pivotButton="0" quotePrefix="0" xfId="0">
      <alignment vertical="center" wrapText="1"/>
    </xf>
    <xf numFmtId="0" fontId="2" fillId="4" borderId="3" applyAlignment="1" pivotButton="0" quotePrefix="0" xfId="0">
      <alignment vertical="center" wrapText="1"/>
    </xf>
    <xf numFmtId="4" fontId="2" fillId="4" borderId="3" applyAlignment="1" pivotButton="0" quotePrefix="0" xfId="0">
      <alignment vertical="center" wrapText="1"/>
    </xf>
    <xf numFmtId="165" fontId="2" fillId="4" borderId="3" applyAlignment="1" pivotButton="0" quotePrefix="0" xfId="0">
      <alignment vertical="center" wrapText="1"/>
    </xf>
    <xf numFmtId="165" fontId="0" fillId="0" borderId="1" applyAlignment="1" pivotButton="0" quotePrefix="0" xfId="0">
      <alignment vertical="center" wrapText="1"/>
    </xf>
    <xf numFmtId="166" fontId="0" fillId="0" borderId="1" applyAlignment="1" pivotButton="0" quotePrefix="0" xfId="0">
      <alignment vertical="center" wrapText="1"/>
    </xf>
    <xf numFmtId="4" fontId="2" fillId="0" borderId="1" applyAlignment="1" pivotButton="0" quotePrefix="0" xfId="0">
      <alignment vertical="center" wrapText="1"/>
    </xf>
    <xf numFmtId="165" fontId="2" fillId="0" borderId="1" applyAlignment="1" pivotButton="0" quotePrefix="0" xfId="0">
      <alignment vertical="center" wrapText="1"/>
    </xf>
    <xf numFmtId="4" fontId="0" fillId="0" borderId="0" applyAlignment="1" pivotButton="0" quotePrefix="0" xfId="0">
      <alignment vertical="center" wrapText="1"/>
    </xf>
    <xf numFmtId="10" fontId="0" fillId="0" borderId="1" applyAlignment="1" pivotButton="0" quotePrefix="0" xfId="0">
      <alignment vertical="center" wrapText="1"/>
    </xf>
    <xf numFmtId="166" fontId="0" fillId="0" borderId="0" applyAlignment="1" pivotButton="0" quotePrefix="0" xfId="0">
      <alignment vertical="center" wrapText="1"/>
    </xf>
    <xf numFmtId="0" fontId="4" fillId="9" borderId="0" applyAlignment="1" pivotButton="0" quotePrefix="0" xfId="0">
      <alignment vertical="center" wrapText="1"/>
    </xf>
    <xf numFmtId="164" fontId="0" fillId="6" borderId="0" applyAlignment="1" pivotButton="0" quotePrefix="0" xfId="0">
      <alignment vertical="center" wrapText="1"/>
    </xf>
    <xf numFmtId="168" fontId="0" fillId="0" borderId="0" applyAlignment="1" pivotButton="0" quotePrefix="0" xfId="0">
      <alignment vertical="center" wrapText="1"/>
    </xf>
    <xf numFmtId="168" fontId="0" fillId="6" borderId="0" applyAlignment="1" pivotButton="0" quotePrefix="0" xfId="0">
      <alignment vertical="center" wrapText="1"/>
    </xf>
    <xf numFmtId="168" fontId="4" fillId="2" borderId="0" applyAlignment="1" pivotButton="0" quotePrefix="0" xfId="0">
      <alignment vertical="center" wrapText="1"/>
    </xf>
    <xf numFmtId="164" fontId="4" fillId="2" borderId="0" applyAlignment="1" pivotButton="0" quotePrefix="0" xfId="0">
      <alignment vertical="center" wrapText="1"/>
    </xf>
    <xf numFmtId="0" fontId="4" fillId="2" borderId="7" applyAlignment="1" pivotButton="0" quotePrefix="0" xfId="0">
      <alignment horizontal="center" vertical="center" wrapText="1"/>
    </xf>
    <xf numFmtId="0" fontId="4" fillId="2" borderId="8" applyAlignment="1" pivotButton="0" quotePrefix="0" xfId="0">
      <alignment horizontal="center" vertical="center" wrapText="1"/>
    </xf>
    <xf numFmtId="0" fontId="4" fillId="2" borderId="9" applyAlignment="1" pivotButton="0" quotePrefix="0" xfId="0">
      <alignment horizontal="center" vertical="center" wrapText="1"/>
    </xf>
    <xf numFmtId="0" fontId="2" fillId="21" borderId="0" applyAlignment="1" pivotButton="0" quotePrefix="0" xfId="0">
      <alignment vertical="center"/>
    </xf>
    <xf numFmtId="0" fontId="0" fillId="22" borderId="0" applyAlignment="1" pivotButton="0" quotePrefix="0" xfId="0">
      <alignment vertical="center"/>
    </xf>
    <xf numFmtId="165" fontId="0" fillId="22" borderId="0" applyAlignment="1" pivotButton="0" quotePrefix="0" xfId="0">
      <alignment vertical="center"/>
    </xf>
    <xf numFmtId="0" fontId="0" fillId="24" borderId="0" applyAlignment="1" pivotButton="0" quotePrefix="0" xfId="0">
      <alignment vertical="center"/>
    </xf>
    <xf numFmtId="165" fontId="0" fillId="24" borderId="0" applyAlignment="1" pivotButton="0" quotePrefix="0" xfId="0">
      <alignment vertical="center"/>
    </xf>
    <xf numFmtId="0" fontId="0" fillId="23" borderId="0" applyAlignment="1" pivotButton="0" quotePrefix="0" xfId="0">
      <alignment vertical="center"/>
    </xf>
    <xf numFmtId="165" fontId="0" fillId="23" borderId="0" applyAlignment="1" pivotButton="0" quotePrefix="0" xfId="0">
      <alignment vertical="center"/>
    </xf>
    <xf numFmtId="0" fontId="2" fillId="25" borderId="0" applyAlignment="1" pivotButton="0" quotePrefix="0" xfId="0">
      <alignment vertical="center"/>
    </xf>
    <xf numFmtId="0" fontId="4" fillId="26" borderId="0" applyAlignment="1" pivotButton="0" quotePrefix="0" xfId="0">
      <alignment vertical="center" wrapText="1"/>
    </xf>
    <xf numFmtId="165" fontId="0" fillId="22" borderId="0" applyAlignment="1" pivotButton="0" quotePrefix="0" xfId="0">
      <alignment vertical="center" wrapText="1"/>
    </xf>
    <xf numFmtId="169" fontId="0" fillId="22" borderId="0" applyAlignment="1" pivotButton="0" quotePrefix="0" xfId="0">
      <alignment vertical="center" wrapText="1"/>
    </xf>
    <xf numFmtId="169" fontId="11" fillId="23" borderId="0" applyAlignment="1" pivotButton="0" quotePrefix="0" xfId="0">
      <alignment vertical="center" wrapText="1"/>
    </xf>
    <xf numFmtId="0" fontId="0" fillId="22" borderId="0" applyAlignment="1" pivotButton="0" quotePrefix="0" xfId="0">
      <alignment vertical="center" wrapText="1"/>
    </xf>
    <xf numFmtId="0" fontId="2" fillId="23" borderId="0" applyAlignment="1" pivotButton="0" quotePrefix="0" xfId="0">
      <alignment vertical="center" wrapText="1"/>
    </xf>
    <xf numFmtId="0" fontId="2" fillId="24" borderId="0" applyAlignment="1" pivotButton="0" quotePrefix="0" xfId="0">
      <alignment vertical="center" wrapText="1"/>
    </xf>
    <xf numFmtId="169" fontId="14" fillId="23" borderId="0" applyAlignment="1" pivotButton="0" quotePrefix="0" xfId="0">
      <alignment vertical="center" wrapText="1"/>
    </xf>
    <xf numFmtId="0" fontId="2" fillId="22" borderId="0" applyAlignment="1" pivotButton="0" quotePrefix="0" xfId="0">
      <alignment vertical="center" wrapText="1"/>
    </xf>
    <xf numFmtId="165" fontId="2" fillId="6" borderId="1" applyAlignment="1" pivotButton="0" quotePrefix="0" xfId="0">
      <alignment horizontal="center" vertical="center" wrapText="1"/>
    </xf>
    <xf numFmtId="10" fontId="0" fillId="7" borderId="0" applyAlignment="1" pivotButton="0" quotePrefix="0" xfId="0">
      <alignment vertical="center" wrapText="1"/>
    </xf>
    <xf numFmtId="10" fontId="0" fillId="7" borderId="1" applyAlignment="1" pivotButton="0" quotePrefix="0" xfId="0">
      <alignment vertical="center" wrapText="1"/>
    </xf>
    <xf numFmtId="1" fontId="0" fillId="7" borderId="0" applyAlignment="1" pivotButton="0" quotePrefix="0" xfId="0">
      <alignment vertical="center" wrapText="1"/>
    </xf>
    <xf numFmtId="0" fontId="4" fillId="19" borderId="0" applyAlignment="1" pivotButton="0" quotePrefix="0" xfId="0">
      <alignment vertical="center"/>
    </xf>
    <xf numFmtId="0" fontId="2" fillId="3" borderId="0" applyAlignment="1" pivotButton="0" quotePrefix="0" xfId="0">
      <alignment vertical="center" wrapText="1"/>
    </xf>
    <xf numFmtId="0" fontId="5" fillId="2" borderId="1" applyAlignment="1" pivotButton="0" quotePrefix="0" xfId="0">
      <alignment vertical="center" wrapText="1"/>
    </xf>
    <xf numFmtId="0" fontId="1" fillId="2" borderId="0" applyAlignment="1" pivotButton="0" quotePrefix="0" xfId="0">
      <alignment vertical="center" wrapText="1"/>
    </xf>
    <xf numFmtId="0" fontId="4" fillId="2" borderId="1" applyAlignment="1" pivotButton="0" quotePrefix="0" xfId="0">
      <alignment vertical="center" wrapText="1"/>
    </xf>
    <xf numFmtId="0" fontId="2" fillId="3" borderId="1" applyAlignment="1" pivotButton="0" quotePrefix="0" xfId="0">
      <alignment vertical="center" wrapText="1"/>
    </xf>
    <xf numFmtId="0" fontId="2" fillId="3" borderId="7" applyAlignment="1" pivotButton="0" quotePrefix="0" xfId="0">
      <alignment vertical="center" wrapText="1"/>
    </xf>
    <xf numFmtId="0" fontId="2" fillId="3" borderId="8" applyAlignment="1" pivotButton="0" quotePrefix="0" xfId="0">
      <alignment vertical="center" wrapText="1"/>
    </xf>
    <xf numFmtId="0" fontId="2" fillId="3" borderId="9" applyAlignment="1" pivotButton="0" quotePrefix="0" xfId="0">
      <alignment vertical="center" wrapText="1"/>
    </xf>
    <xf numFmtId="0" fontId="3" fillId="2" borderId="0" applyAlignment="1" pivotButton="0" quotePrefix="0" xfId="0">
      <alignment vertical="center" wrapText="1"/>
    </xf>
    <xf numFmtId="165" fontId="0" fillId="0" borderId="2" applyAlignment="1" pivotButton="0" quotePrefix="0" xfId="0">
      <alignment vertical="center" wrapText="1"/>
    </xf>
    <xf numFmtId="0" fontId="0" fillId="0" borderId="0" applyAlignment="1" pivotButton="0" quotePrefix="0" xfId="0">
      <alignment vertical="center" wrapText="1"/>
    </xf>
    <xf numFmtId="0" fontId="4" fillId="19" borderId="0" pivotButton="0" quotePrefix="0" xfId="0"/>
    <xf numFmtId="0" fontId="7" fillId="2" borderId="2" applyAlignment="1" pivotButton="0" quotePrefix="0" xfId="0">
      <alignment vertical="center" wrapText="1"/>
    </xf>
    <xf numFmtId="0" fontId="0" fillId="0" borderId="0" applyAlignment="1" pivotButton="0" quotePrefix="0" xfId="0">
      <alignment wrapText="1"/>
    </xf>
    <xf numFmtId="0" fontId="2" fillId="11" borderId="2" applyAlignment="1" pivotButton="0" quotePrefix="0" xfId="0">
      <alignment vertical="center" wrapText="1"/>
    </xf>
    <xf numFmtId="164" fontId="0" fillId="0" borderId="2" applyAlignment="1" pivotButton="0" quotePrefix="0" xfId="0">
      <alignment vertical="top" wrapText="1"/>
    </xf>
    <xf numFmtId="164" fontId="0" fillId="0" borderId="2" applyAlignment="1" pivotButton="0" quotePrefix="0" xfId="0">
      <alignment vertical="top"/>
    </xf>
    <xf numFmtId="0" fontId="0" fillId="0" borderId="0" pivotButton="0" quotePrefix="0" xfId="0"/>
    <xf numFmtId="164" fontId="0" fillId="0" borderId="2" applyAlignment="1" pivotButton="0" quotePrefix="0" xfId="0">
      <alignment vertical="center"/>
    </xf>
    <xf numFmtId="0" fontId="0" fillId="0" borderId="0" applyAlignment="1" pivotButton="0" quotePrefix="0" xfId="0">
      <alignment vertical="center"/>
    </xf>
    <xf numFmtId="164" fontId="2" fillId="3" borderId="2" applyAlignment="1" pivotButton="0" quotePrefix="0" xfId="0">
      <alignment vertical="top" wrapText="1"/>
    </xf>
    <xf numFmtId="0" fontId="4" fillId="2" borderId="2" applyAlignment="1" pivotButton="0" quotePrefix="0" xfId="0">
      <alignment vertical="center" wrapText="1"/>
    </xf>
    <xf numFmtId="0" fontId="0" fillId="0" borderId="2" applyAlignment="1" pivotButton="0" quotePrefix="0" xfId="0">
      <alignment vertical="center" wrapText="1"/>
    </xf>
    <xf numFmtId="10" fontId="0" fillId="7" borderId="0" applyAlignment="1" pivotButton="0" quotePrefix="0" xfId="0">
      <alignment vertical="center" wrapText="1"/>
    </xf>
    <xf numFmtId="0" fontId="0" fillId="7" borderId="0" applyAlignment="1" pivotButton="0" quotePrefix="0" xfId="0">
      <alignment vertical="center" wrapText="1"/>
    </xf>
    <xf numFmtId="0" fontId="2" fillId="7" borderId="5" applyAlignment="1" pivotButton="0" quotePrefix="0" xfId="0">
      <alignment vertical="center" wrapText="1"/>
    </xf>
    <xf numFmtId="0" fontId="2" fillId="7" borderId="6" applyAlignment="1" pivotButton="0" quotePrefix="0" xfId="0">
      <alignment vertical="center" wrapText="1"/>
    </xf>
    <xf numFmtId="0" fontId="5" fillId="12" borderId="5" applyAlignment="1" pivotButton="0" quotePrefix="0" xfId="0">
      <alignment vertical="center" wrapText="1"/>
    </xf>
    <xf numFmtId="0" fontId="0" fillId="0" borderId="6" applyAlignment="1" pivotButton="0" quotePrefix="0" xfId="0">
      <alignment vertical="center" wrapText="1"/>
    </xf>
    <xf numFmtId="0" fontId="5" fillId="12" borderId="4" applyAlignment="1" pivotButton="0" quotePrefix="0" xfId="0">
      <alignment vertical="center" wrapText="1"/>
    </xf>
    <xf numFmtId="0" fontId="0" fillId="3" borderId="0" applyAlignment="1" pivotButton="0" quotePrefix="0" xfId="0">
      <alignment wrapText="1"/>
    </xf>
    <xf numFmtId="0" fontId="9" fillId="3" borderId="0" applyAlignment="1" pivotButton="0" quotePrefix="0" xfId="0">
      <alignment wrapText="1"/>
    </xf>
    <xf numFmtId="0" fontId="5" fillId="2" borderId="0" applyAlignment="1" pivotButton="0" quotePrefix="0" xfId="0">
      <alignment vertical="center" wrapText="1"/>
    </xf>
    <xf numFmtId="164" fontId="4" fillId="2" borderId="0" applyAlignment="1" pivotButton="0" quotePrefix="0" xfId="0">
      <alignment vertical="center" wrapText="1"/>
    </xf>
    <xf numFmtId="0" fontId="2" fillId="5" borderId="0" applyAlignment="1" pivotButton="0" quotePrefix="0" xfId="0">
      <alignment vertical="center" wrapText="1"/>
    </xf>
    <xf numFmtId="0" fontId="2" fillId="7" borderId="0" applyAlignment="1" pivotButton="0" quotePrefix="0" xfId="0">
      <alignment vertical="center" wrapText="1"/>
    </xf>
    <xf numFmtId="0" fontId="5" fillId="2" borderId="0" applyAlignment="1" pivotButton="0" quotePrefix="0" xfId="0">
      <alignment wrapText="1"/>
    </xf>
    <xf numFmtId="0" fontId="2" fillId="6" borderId="0" applyAlignment="1" pivotButton="0" quotePrefix="0" xfId="0">
      <alignment vertical="center" wrapText="1"/>
    </xf>
    <xf numFmtId="0" fontId="5" fillId="19" borderId="0" applyAlignment="1" pivotButton="0" quotePrefix="0" xfId="0">
      <alignment vertical="center"/>
    </xf>
    <xf numFmtId="0" fontId="12" fillId="20" borderId="0" applyAlignment="1" pivotButton="0" quotePrefix="0" xfId="0">
      <alignment vertical="center" wrapText="1"/>
    </xf>
    <xf numFmtId="0" fontId="2" fillId="20" borderId="0" applyAlignment="1" pivotButton="0" quotePrefix="0" xfId="0">
      <alignment vertical="center" wrapText="1"/>
    </xf>
    <xf numFmtId="0" fontId="0" fillId="21" borderId="0" applyAlignment="1" pivotButton="0" quotePrefix="0" xfId="0">
      <alignment vertical="center" wrapText="1"/>
    </xf>
    <xf numFmtId="0" fontId="13" fillId="22" borderId="0" applyAlignment="1" pivotButton="0" quotePrefix="0" xfId="0">
      <alignment vertical="center"/>
    </xf>
    <xf numFmtId="0" fontId="15" fillId="27" borderId="0" applyAlignment="1" pivotButton="0" quotePrefix="0" xfId="0">
      <alignment vertical="center" wrapText="1"/>
    </xf>
    <xf numFmtId="0" fontId="0" fillId="0" borderId="15" pivotButton="0" quotePrefix="0" xfId="0"/>
    <xf numFmtId="0" fontId="8" fillId="0" borderId="15" applyAlignment="1" pivotButton="0" quotePrefix="0" xfId="0">
      <alignment vertical="center"/>
    </xf>
    <xf numFmtId="0" fontId="0" fillId="0" borderId="15" applyAlignment="1" pivotButton="0" quotePrefix="0" xfId="0">
      <alignment vertical="center"/>
    </xf>
    <xf numFmtId="164" fontId="0" fillId="0" borderId="15" pivotButton="0" quotePrefix="0" xfId="0"/>
    <xf numFmtId="164" fontId="2" fillId="8" borderId="16" applyAlignment="1" pivotButton="0" quotePrefix="0" xfId="0">
      <alignment vertical="top" wrapText="1"/>
    </xf>
    <xf numFmtId="164" fontId="2" fillId="4" borderId="16" applyAlignment="1" pivotButton="0" quotePrefix="0" xfId="0">
      <alignment vertical="top" wrapText="1"/>
    </xf>
    <xf numFmtId="0" fontId="2" fillId="4" borderId="16" applyAlignment="1" pivotButton="0" quotePrefix="0" xfId="0">
      <alignment vertical="top" wrapText="1"/>
    </xf>
    <xf numFmtId="0" fontId="2" fillId="8" borderId="16" applyAlignment="1" pivotButton="0" quotePrefix="0" xfId="0">
      <alignment vertical="top" wrapText="1"/>
    </xf>
    <xf numFmtId="0" fontId="2" fillId="3" borderId="16" applyAlignment="1" pivotButton="0" quotePrefix="0" xfId="0">
      <alignment vertical="top" wrapText="1"/>
    </xf>
    <xf numFmtId="0" fontId="2" fillId="4" borderId="15" applyAlignment="1" pivotButton="0" quotePrefix="0" xfId="0">
      <alignment vertical="top" wrapText="1"/>
    </xf>
    <xf numFmtId="0" fontId="4" fillId="2" borderId="15" applyAlignment="1" pivotButton="0" quotePrefix="0" xfId="0">
      <alignment vertical="top" wrapText="1"/>
    </xf>
    <xf numFmtId="0" fontId="4" fillId="2" borderId="15" applyAlignment="1" pivotButton="0" quotePrefix="0" xfId="0">
      <alignment vertical="center" wrapText="1"/>
    </xf>
    <xf numFmtId="0" fontId="4" fillId="2" borderId="16" applyAlignment="1" pivotButton="0" quotePrefix="0" xfId="0">
      <alignment vertical="center" wrapText="1"/>
    </xf>
    <xf numFmtId="4" fontId="4" fillId="2" borderId="16" applyAlignment="1" pivotButton="0" quotePrefix="0" xfId="0">
      <alignment vertical="center" wrapText="1"/>
    </xf>
    <xf numFmtId="165" fontId="4" fillId="2" borderId="16" applyAlignment="1" pivotButton="0" quotePrefix="0" xfId="0">
      <alignment vertical="center" wrapText="1"/>
    </xf>
    <xf numFmtId="0" fontId="3" fillId="2" borderId="15" applyAlignment="1" pivotButton="0" quotePrefix="0" xfId="0">
      <alignment vertical="top" wrapText="1"/>
    </xf>
    <xf numFmtId="4" fontId="2" fillId="7" borderId="15" applyAlignment="1" pivotButton="0" quotePrefix="0" xfId="0">
      <alignment vertical="center" wrapText="1"/>
    </xf>
    <xf numFmtId="4" fontId="2" fillId="6" borderId="16" applyAlignment="1" pivotButton="0" quotePrefix="0" xfId="0">
      <alignment vertical="center" wrapText="1"/>
    </xf>
    <xf numFmtId="0" fontId="4" fillId="15" borderId="15" applyAlignment="1" pivotButton="0" quotePrefix="0" xfId="0">
      <alignment horizontal="center" vertical="center" wrapText="1"/>
    </xf>
    <xf numFmtId="0" fontId="2" fillId="0" borderId="16" applyAlignment="1" pivotButton="0" quotePrefix="0" xfId="0">
      <alignment vertical="center" wrapText="1"/>
    </xf>
    <xf numFmtId="0" fontId="2" fillId="0" borderId="15" applyAlignment="1" pivotButton="0" quotePrefix="0" xfId="0">
      <alignment vertical="center" wrapText="1"/>
    </xf>
    <xf numFmtId="4" fontId="2" fillId="0" borderId="15" applyAlignment="1" pivotButton="0" quotePrefix="0" xfId="0">
      <alignment vertical="center" wrapText="1"/>
    </xf>
    <xf numFmtId="165" fontId="2" fillId="0" borderId="15" applyAlignment="1" pivotButton="0" quotePrefix="0" xfId="0">
      <alignment vertical="center" wrapText="1"/>
    </xf>
    <xf numFmtId="166" fontId="2" fillId="0" borderId="16" applyAlignment="1" pivotButton="0" quotePrefix="0" xfId="0">
      <alignment vertical="center" wrapText="1"/>
    </xf>
    <xf numFmtId="0" fontId="2" fillId="0" borderId="15" applyAlignment="1" pivotButton="0" quotePrefix="0" xfId="0">
      <alignment vertical="top" wrapText="1"/>
    </xf>
    <xf numFmtId="0" fontId="0" fillId="0" borderId="15" applyAlignment="1" pivotButton="0" quotePrefix="0" xfId="0">
      <alignment vertical="top" wrapText="1"/>
    </xf>
    <xf numFmtId="0" fontId="0" fillId="0" borderId="15" applyAlignment="1" pivotButton="0" quotePrefix="0" xfId="0">
      <alignment wrapText="1"/>
    </xf>
    <xf numFmtId="0" fontId="0" fillId="0" borderId="16" applyAlignment="1" pivotButton="0" quotePrefix="0" xfId="0">
      <alignment vertical="top" wrapText="1"/>
    </xf>
    <xf numFmtId="0" fontId="7" fillId="2" borderId="15" applyAlignment="1" pivotButton="0" quotePrefix="0" xfId="0">
      <alignment vertical="center" wrapText="1"/>
    </xf>
    <xf numFmtId="0" fontId="4" fillId="2" borderId="15" applyAlignment="1" pivotButton="0" quotePrefix="0" xfId="0">
      <alignment horizontal="center" vertical="center" wrapText="1"/>
    </xf>
    <xf numFmtId="0" fontId="2" fillId="3" borderId="16" applyAlignment="1" pivotButton="0" quotePrefix="0" xfId="0">
      <alignment vertical="center" wrapText="1"/>
    </xf>
    <xf numFmtId="0" fontId="2" fillId="14" borderId="16" applyAlignment="1" pivotButton="0" quotePrefix="0" xfId="0">
      <alignment vertical="center" wrapText="1"/>
    </xf>
    <xf numFmtId="0" fontId="2" fillId="14" borderId="15" applyAlignment="1" pivotButton="0" quotePrefix="0" xfId="0">
      <alignment vertical="center" wrapText="1"/>
    </xf>
    <xf numFmtId="0" fontId="2" fillId="13" borderId="16" applyAlignment="1" pivotButton="0" quotePrefix="0" xfId="0">
      <alignment vertical="center" wrapText="1"/>
    </xf>
    <xf numFmtId="0" fontId="2" fillId="13" borderId="15" applyAlignment="1" pivotButton="0" quotePrefix="0" xfId="0">
      <alignment vertical="center" wrapText="1"/>
    </xf>
    <xf numFmtId="167" fontId="0" fillId="0" borderId="15" applyAlignment="1" pivotButton="0" quotePrefix="0" xfId="0">
      <alignment vertical="top" wrapText="1"/>
    </xf>
    <xf numFmtId="164" fontId="0" fillId="0" borderId="15" applyAlignment="1" pivotButton="0" quotePrefix="0" xfId="0">
      <alignment vertical="top" wrapText="1"/>
    </xf>
    <xf numFmtId="164" fontId="0" fillId="8" borderId="16" applyAlignment="1" pivotButton="0" quotePrefix="0" xfId="0">
      <alignment vertical="top" wrapText="1"/>
    </xf>
    <xf numFmtId="164" fontId="0" fillId="8" borderId="15" applyAlignment="1" pivotButton="0" quotePrefix="0" xfId="0">
      <alignment vertical="top" wrapText="1"/>
    </xf>
    <xf numFmtId="164" fontId="4" fillId="2" borderId="15" applyAlignment="1" pivotButton="0" quotePrefix="0" xfId="0">
      <alignment vertical="top" wrapText="1"/>
    </xf>
    <xf numFmtId="164" fontId="0" fillId="0" borderId="15" applyAlignment="1" pivotButton="0" quotePrefix="0" xfId="0">
      <alignment wrapText="1"/>
    </xf>
    <xf numFmtId="168" fontId="0" fillId="0" borderId="15" applyAlignment="1" pivotButton="0" quotePrefix="0" xfId="0">
      <alignment wrapText="1"/>
    </xf>
    <xf numFmtId="165" fontId="0" fillId="0" borderId="15" applyAlignment="1" pivotButton="0" quotePrefix="0" xfId="0">
      <alignment vertical="top" wrapText="1"/>
    </xf>
    <xf numFmtId="0" fontId="0" fillId="16" borderId="17" applyAlignment="1" pivotButton="0" quotePrefix="0" xfId="0">
      <alignment wrapText="1"/>
    </xf>
    <xf numFmtId="0" fontId="0" fillId="16" borderId="18" applyAlignment="1" pivotButton="0" quotePrefix="0" xfId="0">
      <alignment wrapText="1"/>
    </xf>
    <xf numFmtId="0" fontId="0" fillId="16" borderId="19" applyAlignment="1" pivotButton="0" quotePrefix="0" xfId="0">
      <alignment wrapText="1"/>
    </xf>
    <xf numFmtId="0" fontId="0" fillId="16" borderId="15" applyAlignment="1" pivotButton="0" quotePrefix="0" xfId="0">
      <alignment wrapText="1"/>
    </xf>
    <xf numFmtId="165" fontId="0" fillId="7" borderId="18" applyAlignment="1" pivotButton="0" quotePrefix="0" xfId="0">
      <alignment wrapText="1"/>
    </xf>
    <xf numFmtId="0" fontId="0" fillId="7" borderId="18" applyAlignment="1" pivotButton="0" quotePrefix="0" xfId="0">
      <alignment wrapText="1"/>
    </xf>
    <xf numFmtId="0" fontId="0" fillId="7" borderId="20" applyAlignment="1" pivotButton="0" quotePrefix="0" xfId="0">
      <alignment wrapText="1"/>
    </xf>
    <xf numFmtId="165" fontId="0" fillId="7" borderId="15" applyAlignment="1" pivotButton="0" quotePrefix="0" xfId="0">
      <alignment wrapText="1"/>
    </xf>
    <xf numFmtId="0" fontId="0" fillId="7" borderId="15" applyAlignment="1" pivotButton="0" quotePrefix="0" xfId="0">
      <alignment wrapText="1"/>
    </xf>
    <xf numFmtId="0" fontId="0" fillId="7" borderId="21" applyAlignment="1" pivotButton="0" quotePrefix="0" xfId="0">
      <alignment wrapText="1"/>
    </xf>
    <xf numFmtId="165" fontId="0" fillId="7" borderId="22" applyAlignment="1" pivotButton="0" quotePrefix="0" xfId="0">
      <alignment wrapText="1"/>
    </xf>
    <xf numFmtId="0" fontId="0" fillId="7" borderId="22" applyAlignment="1" pivotButton="0" quotePrefix="0" xfId="0">
      <alignment wrapText="1"/>
    </xf>
    <xf numFmtId="0" fontId="0" fillId="7" borderId="23" applyAlignment="1" pivotButton="0" quotePrefix="0" xfId="0">
      <alignment wrapText="1"/>
    </xf>
    <xf numFmtId="49" fontId="0" fillId="7" borderId="18" applyAlignment="1" pivotButton="0" quotePrefix="0" xfId="0">
      <alignment wrapText="1"/>
    </xf>
    <xf numFmtId="49" fontId="0" fillId="7" borderId="15" applyAlignment="1" pivotButton="0" quotePrefix="0" xfId="0">
      <alignment wrapText="1"/>
    </xf>
    <xf numFmtId="2" fontId="0" fillId="7" borderId="15" applyAlignment="1" pivotButton="0" quotePrefix="0" xfId="0">
      <alignment wrapText="1"/>
    </xf>
    <xf numFmtId="2" fontId="0" fillId="7" borderId="22" applyAlignment="1" pivotButton="0" quotePrefix="0" xfId="0">
      <alignment wrapText="1"/>
    </xf>
    <xf numFmtId="168" fontId="0" fillId="7" borderId="15" applyAlignment="1" pivotButton="0" quotePrefix="0" xfId="0">
      <alignment wrapText="1"/>
    </xf>
    <xf numFmtId="168" fontId="0" fillId="7" borderId="22" applyAlignment="1" pivotButton="0" quotePrefix="0" xfId="0">
      <alignment wrapText="1"/>
    </xf>
    <xf numFmtId="49" fontId="0" fillId="7" borderId="22" applyAlignment="1" pivotButton="0" quotePrefix="0" xfId="0">
      <alignment wrapText="1"/>
    </xf>
    <xf numFmtId="0" fontId="10" fillId="16" borderId="19" applyAlignment="1" pivotButton="0" quotePrefix="0" xfId="0">
      <alignment wrapText="1"/>
    </xf>
    <xf numFmtId="0" fontId="10" fillId="16" borderId="15" applyAlignment="1" pivotButton="0" quotePrefix="0" xfId="0">
      <alignment wrapText="1"/>
    </xf>
    <xf numFmtId="0" fontId="10" fillId="16" borderId="24" applyAlignment="1" pivotButton="0" quotePrefix="0" xfId="0">
      <alignment wrapText="1"/>
    </xf>
    <xf numFmtId="0" fontId="10" fillId="16" borderId="22" applyAlignment="1" pivotButton="0" quotePrefix="0" xfId="0">
      <alignment wrapText="1"/>
    </xf>
    <xf numFmtId="4" fontId="2" fillId="6" borderId="15" applyAlignment="1" pivotButton="0" quotePrefix="0" xfId="0">
      <alignment vertical="center" wrapText="1"/>
    </xf>
    <xf numFmtId="0" fontId="2" fillId="6" borderId="16" applyAlignment="1" pivotButton="0" quotePrefix="0" xfId="0">
      <alignment vertical="center" wrapText="1"/>
    </xf>
    <xf numFmtId="0" fontId="2" fillId="6" borderId="15" applyAlignment="1" pivotButton="0" quotePrefix="0" xfId="0">
      <alignment vertical="center" wrapText="1"/>
    </xf>
    <xf numFmtId="165" fontId="10" fillId="7" borderId="15" applyAlignment="1" pivotButton="0" quotePrefix="0" xfId="0">
      <alignment wrapText="1"/>
    </xf>
    <xf numFmtId="0" fontId="10" fillId="7" borderId="15" applyAlignment="1" pivotButton="0" quotePrefix="0" xfId="0">
      <alignment wrapText="1"/>
    </xf>
    <xf numFmtId="49" fontId="10" fillId="7" borderId="15" applyAlignment="1" pivotButton="0" quotePrefix="0" xfId="0">
      <alignment wrapText="1"/>
    </xf>
    <xf numFmtId="0" fontId="10" fillId="7" borderId="21" applyAlignment="1" pivotButton="0" quotePrefix="0" xfId="0">
      <alignment wrapText="1"/>
    </xf>
    <xf numFmtId="165" fontId="10" fillId="7" borderId="22" applyAlignment="1" pivotButton="0" quotePrefix="0" xfId="0">
      <alignment wrapText="1"/>
    </xf>
    <xf numFmtId="0" fontId="10" fillId="7" borderId="22" applyAlignment="1" pivotButton="0" quotePrefix="0" xfId="0">
      <alignment wrapText="1"/>
    </xf>
    <xf numFmtId="49" fontId="10" fillId="7" borderId="22" applyAlignment="1" pivotButton="0" quotePrefix="0" xfId="0">
      <alignment wrapText="1"/>
    </xf>
    <xf numFmtId="0" fontId="10" fillId="7" borderId="23" applyAlignment="1" pivotButton="0" quotePrefix="0" xfId="0">
      <alignment wrapText="1"/>
    </xf>
    <xf numFmtId="0" fontId="0" fillId="6" borderId="19" applyAlignment="1" pivotButton="0" quotePrefix="0" xfId="0">
      <alignment wrapText="1"/>
    </xf>
    <xf numFmtId="0" fontId="0" fillId="6" borderId="15" applyAlignment="1" pivotButton="0" quotePrefix="0" xfId="0">
      <alignment wrapText="1"/>
    </xf>
    <xf numFmtId="2" fontId="0" fillId="6" borderId="15" applyAlignment="1" pivotButton="0" quotePrefix="0" xfId="0">
      <alignment wrapText="1"/>
    </xf>
    <xf numFmtId="165" fontId="0" fillId="6" borderId="15" applyAlignment="1" pivotButton="0" quotePrefix="0" xfId="0">
      <alignment wrapText="1"/>
    </xf>
    <xf numFmtId="0" fontId="0" fillId="6" borderId="24" applyAlignment="1" pivotButton="0" quotePrefix="0" xfId="0">
      <alignment wrapText="1"/>
    </xf>
    <xf numFmtId="0" fontId="0" fillId="6" borderId="22" applyAlignment="1" pivotButton="0" quotePrefix="0" xfId="0">
      <alignment wrapText="1"/>
    </xf>
    <xf numFmtId="2" fontId="0" fillId="6" borderId="22" applyAlignment="1" pivotButton="0" quotePrefix="0" xfId="0">
      <alignment wrapText="1"/>
    </xf>
    <xf numFmtId="165" fontId="0" fillId="6" borderId="22" applyAlignment="1" pivotButton="0" quotePrefix="0" xfId="0">
      <alignment wrapText="1"/>
    </xf>
    <xf numFmtId="165" fontId="11" fillId="7" borderId="15" applyAlignment="1" pivotButton="0" quotePrefix="0" xfId="0">
      <alignment wrapText="1"/>
    </xf>
    <xf numFmtId="0" fontId="2" fillId="3" borderId="15" pivotButton="0" quotePrefix="0" xfId="0"/>
    <xf numFmtId="0" fontId="0" fillId="6" borderId="15" pivotButton="0" quotePrefix="0" xfId="0"/>
    <xf numFmtId="0" fontId="0" fillId="7" borderId="15" pivotButton="0" quotePrefix="0" xfId="0"/>
    <xf numFmtId="0" fontId="0" fillId="24" borderId="15" pivotButton="0" quotePrefix="0" xfId="0"/>
    <xf numFmtId="0" fontId="2" fillId="5" borderId="15" pivotButton="0" quotePrefix="0" xfId="0"/>
    <xf numFmtId="0" fontId="4" fillId="9" borderId="25" applyAlignment="1" pivotButton="0" quotePrefix="0" xfId="0">
      <alignment vertical="top" wrapText="1"/>
    </xf>
    <xf numFmtId="0" fontId="4" fillId="9" borderId="26" applyAlignment="1" pivotButton="0" quotePrefix="0" xfId="0">
      <alignment vertical="top" wrapText="1"/>
    </xf>
    <xf numFmtId="0" fontId="4" fillId="9" borderId="27" applyAlignment="1" pivotButton="0" quotePrefix="0" xfId="0">
      <alignment vertical="top" wrapText="1"/>
    </xf>
    <xf numFmtId="0" fontId="0" fillId="0" borderId="15" applyAlignment="1" pivotButton="0" quotePrefix="0" xfId="0">
      <alignment vertical="top"/>
    </xf>
    <xf numFmtId="0" fontId="2" fillId="7" borderId="15" applyAlignment="1" pivotButton="0" quotePrefix="0" xfId="0">
      <alignment vertical="top" wrapText="1"/>
    </xf>
    <xf numFmtId="0" fontId="2" fillId="24" borderId="15" applyAlignment="1" pivotButton="0" quotePrefix="0" xfId="0">
      <alignment vertical="top" wrapText="1"/>
    </xf>
    <xf numFmtId="0" fontId="2" fillId="6" borderId="15" applyAlignment="1" pivotButton="0" quotePrefix="0" xfId="0">
      <alignment vertical="top" wrapText="1"/>
    </xf>
    <xf numFmtId="0" fontId="2" fillId="0" borderId="15" pivotButton="0" quotePrefix="0" xfId="0"/>
    <xf numFmtId="0" fontId="2" fillId="0" borderId="15" applyAlignment="1" pivotButton="0" quotePrefix="0" xfId="0">
      <alignment vertical="center"/>
    </xf>
    <xf numFmtId="0" fontId="2" fillId="5" borderId="16" applyAlignment="1" pivotButton="0" quotePrefix="0" xfId="0">
      <alignment vertical="center" wrapText="1"/>
    </xf>
    <xf numFmtId="0" fontId="2" fillId="5" borderId="15" applyAlignment="1" pivotButton="0" quotePrefix="0" xfId="0">
      <alignment vertical="center" wrapText="1"/>
    </xf>
    <xf numFmtId="0" fontId="0" fillId="0" borderId="15" applyAlignment="1" pivotButton="0" quotePrefix="0" xfId="0">
      <alignment vertical="center" wrapText="1"/>
    </xf>
    <xf numFmtId="0" fontId="0" fillId="0" borderId="16" applyAlignment="1" pivotButton="0" quotePrefix="0" xfId="0">
      <alignment vertical="center" wrapText="1"/>
    </xf>
    <xf numFmtId="0" fontId="2" fillId="4" borderId="16" applyAlignment="1" pivotButton="0" quotePrefix="0" xfId="0">
      <alignment vertical="center" wrapText="1"/>
    </xf>
    <xf numFmtId="0" fontId="2" fillId="4" borderId="15" applyAlignment="1" pivotButton="0" quotePrefix="0" xfId="0">
      <alignment vertical="center" wrapText="1"/>
    </xf>
    <xf numFmtId="0" fontId="0" fillId="7" borderId="16" applyAlignment="1" pivotButton="0" quotePrefix="0" xfId="0">
      <alignment vertical="center" wrapText="1"/>
    </xf>
    <xf numFmtId="0" fontId="0" fillId="0" borderId="19" applyAlignment="1" pivotButton="0" quotePrefix="0" xfId="0">
      <alignment vertical="center" wrapText="1"/>
    </xf>
    <xf numFmtId="0" fontId="0" fillId="0" borderId="21" applyAlignment="1" pivotButton="0" quotePrefix="0" xfId="0">
      <alignment vertical="center" wrapText="1"/>
    </xf>
    <xf numFmtId="0" fontId="0" fillId="0" borderId="24" applyAlignment="1" pivotButton="0" quotePrefix="0" xfId="0">
      <alignment vertical="center" wrapText="1"/>
    </xf>
    <xf numFmtId="0" fontId="0" fillId="0" borderId="22" applyAlignment="1" pivotButton="0" quotePrefix="0" xfId="0">
      <alignment vertical="center" wrapText="1"/>
    </xf>
    <xf numFmtId="0" fontId="0" fillId="0" borderId="23" applyAlignment="1" pivotButton="0" quotePrefix="0" xfId="0">
      <alignment vertical="center" wrapText="1"/>
    </xf>
    <xf numFmtId="0" fontId="2" fillId="3" borderId="15" applyAlignment="1" pivotButton="0" quotePrefix="0" xfId="0">
      <alignment horizontal="center" vertical="center"/>
    </xf>
    <xf numFmtId="0" fontId="0" fillId="7" borderId="15" applyAlignment="1" pivotButton="0" quotePrefix="0" xfId="0">
      <alignment vertical="center" wrapText="1"/>
    </xf>
    <xf numFmtId="0" fontId="0" fillId="0" borderId="16" applyAlignment="1" pivotButton="0" quotePrefix="0" xfId="0">
      <alignment vertical="center"/>
    </xf>
    <xf numFmtId="4" fontId="0" fillId="0" borderId="16" applyAlignment="1" pivotButton="0" quotePrefix="0" xfId="0">
      <alignment vertical="center" wrapText="1"/>
    </xf>
    <xf numFmtId="164" fontId="0" fillId="0" borderId="16" applyAlignment="1" pivotButton="0" quotePrefix="0" xfId="0">
      <alignment vertical="center" wrapText="1"/>
    </xf>
    <xf numFmtId="164" fontId="0" fillId="0" borderId="15" applyAlignment="1" pivotButton="0" quotePrefix="0" xfId="0">
      <alignment vertical="center" wrapText="1"/>
    </xf>
    <xf numFmtId="164" fontId="2" fillId="3" borderId="16" applyAlignment="1" pivotButton="0" quotePrefix="0" xfId="0">
      <alignment vertical="center" wrapText="1"/>
    </xf>
    <xf numFmtId="0" fontId="2" fillId="3" borderId="15" applyAlignment="1" pivotButton="0" quotePrefix="0" xfId="0">
      <alignment vertical="center" wrapText="1"/>
    </xf>
    <xf numFmtId="164" fontId="0" fillId="8" borderId="16" applyAlignment="1" pivotButton="0" quotePrefix="0" xfId="0">
      <alignment vertical="center" wrapText="1"/>
    </xf>
    <xf numFmtId="165" fontId="0" fillId="8" borderId="16" applyAlignment="1" pivotButton="0" quotePrefix="0" xfId="0">
      <alignment vertical="center"/>
    </xf>
    <xf numFmtId="165" fontId="2" fillId="4" borderId="16" applyAlignment="1" pivotButton="0" quotePrefix="0" xfId="0">
      <alignment vertical="center"/>
    </xf>
    <xf numFmtId="164" fontId="0" fillId="0" borderId="19" applyAlignment="1" pivotButton="0" quotePrefix="0" xfId="0">
      <alignment vertical="center" wrapText="1"/>
    </xf>
    <xf numFmtId="165" fontId="2" fillId="4" borderId="16" applyAlignment="1" pivotButton="0" quotePrefix="0" xfId="0">
      <alignment vertical="center" wrapText="1"/>
    </xf>
    <xf numFmtId="165" fontId="0" fillId="8" borderId="16" applyAlignment="1" pivotButton="0" quotePrefix="0" xfId="0">
      <alignment vertical="center" wrapText="1"/>
    </xf>
    <xf numFmtId="165" fontId="0" fillId="0" borderId="15" applyAlignment="1" pivotButton="0" quotePrefix="0" xfId="0">
      <alignment vertical="center" wrapText="1"/>
    </xf>
    <xf numFmtId="164" fontId="2" fillId="8" borderId="16" applyAlignment="1" pivotButton="0" quotePrefix="0" xfId="0">
      <alignment vertical="center" wrapText="1"/>
    </xf>
    <xf numFmtId="164" fontId="2" fillId="4" borderId="16" applyAlignment="1" pivotButton="0" quotePrefix="0" xfId="0">
      <alignment vertical="center" wrapText="1"/>
    </xf>
    <xf numFmtId="164" fontId="0" fillId="8" borderId="15" applyAlignment="1" pivotButton="0" quotePrefix="0" xfId="0">
      <alignment vertical="center" wrapText="1"/>
    </xf>
    <xf numFmtId="164" fontId="2" fillId="8" borderId="15" applyAlignment="1" pivotButton="0" quotePrefix="0" xfId="0">
      <alignment vertical="top" wrapText="1"/>
    </xf>
    <xf numFmtId="0" fontId="3" fillId="2" borderId="15" applyAlignment="1" pivotButton="0" quotePrefix="0" xfId="0">
      <alignment vertical="center" wrapText="1"/>
    </xf>
    <xf numFmtId="10" fontId="0" fillId="7" borderId="15" applyAlignment="1" pivotButton="0" quotePrefix="0" xfId="0">
      <alignment vertical="center" wrapText="1"/>
    </xf>
    <xf numFmtId="165" fontId="0" fillId="7" borderId="15" applyAlignment="1" pivotButton="0" quotePrefix="0" xfId="0">
      <alignment vertical="center" wrapText="1"/>
    </xf>
    <xf numFmtId="0" fontId="0" fillId="10" borderId="16" applyAlignment="1" pivotButton="0" quotePrefix="0" xfId="0">
      <alignment vertical="center" wrapText="1"/>
    </xf>
    <xf numFmtId="0" fontId="0" fillId="11" borderId="16" applyAlignment="1" pivotButton="0" quotePrefix="0" xfId="0">
      <alignment vertical="center" wrapText="1"/>
    </xf>
    <xf numFmtId="168" fontId="0" fillId="7" borderId="15" applyAlignment="1" pivotButton="0" quotePrefix="0" xfId="0">
      <alignment vertical="center" wrapText="1"/>
    </xf>
    <xf numFmtId="0" fontId="5" fillId="12" borderId="15" applyAlignment="1" pivotButton="0" quotePrefix="0" xfId="0">
      <alignment vertical="center" wrapText="1"/>
    </xf>
    <xf numFmtId="4" fontId="5" fillId="12" borderId="15" applyAlignment="1" pivotButton="0" quotePrefix="0" xfId="0">
      <alignment vertical="center" wrapText="1"/>
    </xf>
    <xf numFmtId="165" fontId="5" fillId="12" borderId="15" applyAlignment="1" pivotButton="0" quotePrefix="0" xfId="0">
      <alignment vertical="center" wrapText="1"/>
    </xf>
    <xf numFmtId="0" fontId="5" fillId="12" borderId="16" applyAlignment="1" pivotButton="0" quotePrefix="0" xfId="0">
      <alignment vertical="center" wrapText="1"/>
    </xf>
    <xf numFmtId="0" fontId="0" fillId="6" borderId="15" applyAlignment="1" pivotButton="0" quotePrefix="0" xfId="0">
      <alignment vertical="center" wrapText="1"/>
    </xf>
    <xf numFmtId="0" fontId="0" fillId="14" borderId="16" applyAlignment="1" pivotButton="0" quotePrefix="0" xfId="0">
      <alignment vertical="center" wrapText="1"/>
    </xf>
    <xf numFmtId="4" fontId="0" fillId="7" borderId="16" applyAlignment="1" pivotButton="0" quotePrefix="0" xfId="0">
      <alignment vertical="center" wrapText="1"/>
    </xf>
    <xf numFmtId="4" fontId="0" fillId="6" borderId="16" applyAlignment="1" pivotButton="0" quotePrefix="0" xfId="0">
      <alignment vertical="center" wrapText="1"/>
    </xf>
    <xf numFmtId="0" fontId="0" fillId="6" borderId="16" applyAlignment="1" pivotButton="0" quotePrefix="0" xfId="0">
      <alignment vertical="center" wrapText="1"/>
    </xf>
    <xf numFmtId="0" fontId="0" fillId="13" borderId="16" applyAlignment="1" pivotButton="0" quotePrefix="0" xfId="0">
      <alignment vertical="center" wrapText="1"/>
    </xf>
    <xf numFmtId="4" fontId="2" fillId="7" borderId="16" applyAlignment="1" pivotButton="0" quotePrefix="0" xfId="0">
      <alignment vertical="center" wrapText="1"/>
    </xf>
    <xf numFmtId="0" fontId="0" fillId="14" borderId="15" applyAlignment="1" pivotButton="0" quotePrefix="0" xfId="0">
      <alignment vertical="center" wrapText="1"/>
    </xf>
    <xf numFmtId="4" fontId="0" fillId="7" borderId="15" applyAlignment="1" pivotButton="0" quotePrefix="0" xfId="0">
      <alignment vertical="center" wrapText="1"/>
    </xf>
    <xf numFmtId="4" fontId="0" fillId="6" borderId="15" applyAlignment="1" pivotButton="0" quotePrefix="0" xfId="0">
      <alignment vertical="center" wrapText="1"/>
    </xf>
    <xf numFmtId="0" fontId="0" fillId="13" borderId="15" applyAlignment="1" pivotButton="0" quotePrefix="0" xfId="0">
      <alignment vertical="center" wrapText="1"/>
    </xf>
    <xf numFmtId="0" fontId="2" fillId="4" borderId="28" applyAlignment="1" pivotButton="0" quotePrefix="0" xfId="0">
      <alignment vertical="center" wrapText="1"/>
    </xf>
    <xf numFmtId="4" fontId="2" fillId="4" borderId="28" applyAlignment="1" pivotButton="0" quotePrefix="0" xfId="0">
      <alignment vertical="center" wrapText="1"/>
    </xf>
    <xf numFmtId="165" fontId="2" fillId="4" borderId="28" applyAlignment="1" pivotButton="0" quotePrefix="0" xfId="0">
      <alignment vertical="center" wrapText="1"/>
    </xf>
    <xf numFmtId="165" fontId="0" fillId="0" borderId="16" applyAlignment="1" pivotButton="0" quotePrefix="0" xfId="0">
      <alignment vertical="center" wrapText="1"/>
    </xf>
    <xf numFmtId="166" fontId="0" fillId="0" borderId="16" applyAlignment="1" pivotButton="0" quotePrefix="0" xfId="0">
      <alignment vertical="center" wrapText="1"/>
    </xf>
    <xf numFmtId="4" fontId="2" fillId="0" borderId="16" applyAlignment="1" pivotButton="0" quotePrefix="0" xfId="0">
      <alignment vertical="center" wrapText="1"/>
    </xf>
    <xf numFmtId="165" fontId="2" fillId="0" borderId="16" applyAlignment="1" pivotButton="0" quotePrefix="0" xfId="0">
      <alignment vertical="center" wrapText="1"/>
    </xf>
    <xf numFmtId="4" fontId="0" fillId="0" borderId="15" applyAlignment="1" pivotButton="0" quotePrefix="0" xfId="0">
      <alignment vertical="center" wrapText="1"/>
    </xf>
    <xf numFmtId="10" fontId="0" fillId="0" borderId="16" applyAlignment="1" pivotButton="0" quotePrefix="0" xfId="0">
      <alignment vertical="center" wrapText="1"/>
    </xf>
    <xf numFmtId="166" fontId="0" fillId="0" borderId="15" applyAlignment="1" pivotButton="0" quotePrefix="0" xfId="0">
      <alignment vertical="center" wrapText="1"/>
    </xf>
    <xf numFmtId="0" fontId="4" fillId="9" borderId="15" applyAlignment="1" pivotButton="0" quotePrefix="0" xfId="0">
      <alignment vertical="center" wrapText="1"/>
    </xf>
    <xf numFmtId="164" fontId="0" fillId="6" borderId="15" applyAlignment="1" pivotButton="0" quotePrefix="0" xfId="0">
      <alignment vertical="center" wrapText="1"/>
    </xf>
    <xf numFmtId="168" fontId="0" fillId="0" borderId="15" applyAlignment="1" pivotButton="0" quotePrefix="0" xfId="0">
      <alignment vertical="center" wrapText="1"/>
    </xf>
    <xf numFmtId="168" fontId="0" fillId="6" borderId="15" applyAlignment="1" pivotButton="0" quotePrefix="0" xfId="0">
      <alignment vertical="center" wrapText="1"/>
    </xf>
    <xf numFmtId="168" fontId="4" fillId="2" borderId="15" applyAlignment="1" pivotButton="0" quotePrefix="0" xfId="0">
      <alignment vertical="center" wrapText="1"/>
    </xf>
    <xf numFmtId="164" fontId="4" fillId="2" borderId="15" applyAlignment="1" pivotButton="0" quotePrefix="0" xfId="0">
      <alignment vertical="center" wrapText="1"/>
    </xf>
    <xf numFmtId="0" fontId="4" fillId="2" borderId="17" applyAlignment="1" pivotButton="0" quotePrefix="0" xfId="0">
      <alignment horizontal="center" vertical="center" wrapText="1"/>
    </xf>
    <xf numFmtId="0" fontId="4" fillId="2" borderId="18" applyAlignment="1" pivotButton="0" quotePrefix="0" xfId="0">
      <alignment horizontal="center" vertical="center" wrapText="1"/>
    </xf>
    <xf numFmtId="0" fontId="4" fillId="2" borderId="20" applyAlignment="1" pivotButton="0" quotePrefix="0" xfId="0">
      <alignment horizontal="center" vertical="center" wrapText="1"/>
    </xf>
    <xf numFmtId="0" fontId="2" fillId="3" borderId="15" applyAlignment="1" pivotButton="0" quotePrefix="0" xfId="0">
      <alignment vertical="center"/>
    </xf>
    <xf numFmtId="0" fontId="0" fillId="6" borderId="15" applyAlignment="1" pivotButton="0" quotePrefix="0" xfId="0">
      <alignment vertical="center"/>
    </xf>
    <xf numFmtId="165" fontId="0" fillId="6" borderId="15" applyAlignment="1" pivotButton="0" quotePrefix="0" xfId="0">
      <alignment vertical="center"/>
    </xf>
    <xf numFmtId="0" fontId="0" fillId="24" borderId="15" applyAlignment="1" pivotButton="0" quotePrefix="0" xfId="0">
      <alignment vertical="center"/>
    </xf>
    <xf numFmtId="165" fontId="0" fillId="24" borderId="15" applyAlignment="1" pivotButton="0" quotePrefix="0" xfId="0">
      <alignment vertical="center"/>
    </xf>
    <xf numFmtId="0" fontId="0" fillId="7" borderId="15" applyAlignment="1" pivotButton="0" quotePrefix="0" xfId="0">
      <alignment vertical="center"/>
    </xf>
    <xf numFmtId="165" fontId="0" fillId="7" borderId="15" applyAlignment="1" pivotButton="0" quotePrefix="0" xfId="0">
      <alignment vertical="center"/>
    </xf>
    <xf numFmtId="0" fontId="2" fillId="5" borderId="15" applyAlignment="1" pivotButton="0" quotePrefix="0" xfId="0">
      <alignment vertical="center"/>
    </xf>
    <xf numFmtId="165" fontId="0" fillId="6" borderId="15" applyAlignment="1" pivotButton="0" quotePrefix="0" xfId="0">
      <alignment vertical="center" wrapText="1"/>
    </xf>
    <xf numFmtId="169" fontId="0" fillId="6" borderId="15" applyAlignment="1" pivotButton="0" quotePrefix="0" xfId="0">
      <alignment vertical="center" wrapText="1"/>
    </xf>
    <xf numFmtId="169" fontId="11" fillId="7" borderId="15" applyAlignment="1" pivotButton="0" quotePrefix="0" xfId="0">
      <alignment vertical="center" wrapText="1"/>
    </xf>
    <xf numFmtId="0" fontId="2" fillId="7" borderId="15" applyAlignment="1" pivotButton="0" quotePrefix="0" xfId="0">
      <alignment vertical="center" wrapText="1"/>
    </xf>
    <xf numFmtId="0" fontId="2" fillId="24" borderId="15" applyAlignment="1" pivotButton="0" quotePrefix="0" xfId="0">
      <alignment vertical="center" wrapText="1"/>
    </xf>
    <xf numFmtId="169" fontId="14" fillId="7" borderId="15" applyAlignment="1" pivotButton="0" quotePrefix="0" xfId="0">
      <alignment vertical="center" wrapText="1"/>
    </xf>
    <xf numFmtId="165" fontId="2" fillId="6" borderId="16" applyAlignment="1" pivotButton="0" quotePrefix="0" xfId="0">
      <alignment horizontal="center" vertical="center" wrapText="1"/>
    </xf>
    <xf numFmtId="10" fontId="0" fillId="7" borderId="16" applyAlignment="1" pivotButton="0" quotePrefix="0" xfId="0">
      <alignment vertical="center" wrapText="1"/>
    </xf>
    <xf numFmtId="1" fontId="0" fillId="7" borderId="15" applyAlignment="1" pivotButton="0" quotePrefix="0" xfId="0">
      <alignment vertical="center" wrapText="1"/>
    </xf>
    <xf numFmtId="0" fontId="4" fillId="2" borderId="15" applyAlignment="1" pivotButton="0" quotePrefix="0" xfId="0">
      <alignment vertical="center"/>
    </xf>
    <xf numFmtId="0" fontId="5" fillId="2" borderId="16" applyAlignment="1" pivotButton="0" quotePrefix="0" xfId="0">
      <alignment vertical="center" wrapText="1"/>
    </xf>
    <xf numFmtId="0" fontId="1" fillId="2" borderId="15" applyAlignment="1" pivotButton="0" quotePrefix="0" xfId="0">
      <alignment vertical="center" wrapText="1"/>
    </xf>
    <xf numFmtId="0" fontId="2" fillId="3" borderId="17" applyAlignment="1" pivotButton="0" quotePrefix="0" xfId="0">
      <alignment vertical="center" wrapText="1"/>
    </xf>
    <xf numFmtId="0" fontId="2" fillId="3" borderId="18" applyAlignment="1" pivotButton="0" quotePrefix="0" xfId="0">
      <alignment vertical="center" wrapText="1"/>
    </xf>
    <xf numFmtId="0" fontId="2" fillId="3" borderId="20" applyAlignment="1" pivotButton="0" quotePrefix="0" xfId="0">
      <alignment vertical="center" wrapText="1"/>
    </xf>
    <xf numFmtId="165" fontId="0" fillId="0" borderId="19" applyAlignment="1" pivotButton="0" quotePrefix="0" xfId="0">
      <alignment vertical="center" wrapText="1"/>
    </xf>
    <xf numFmtId="0" fontId="4" fillId="2" borderId="15" pivotButton="0" quotePrefix="0" xfId="0"/>
    <xf numFmtId="0" fontId="7" fillId="2" borderId="19" applyAlignment="1" pivotButton="0" quotePrefix="0" xfId="0">
      <alignment vertical="center" wrapText="1"/>
    </xf>
    <xf numFmtId="0" fontId="2" fillId="11" borderId="19" applyAlignment="1" pivotButton="0" quotePrefix="0" xfId="0">
      <alignment vertical="center" wrapText="1"/>
    </xf>
    <xf numFmtId="164" fontId="0" fillId="0" borderId="19" applyAlignment="1" pivotButton="0" quotePrefix="0" xfId="0">
      <alignment vertical="top" wrapText="1"/>
    </xf>
    <xf numFmtId="164" fontId="0" fillId="0" borderId="19" applyAlignment="1" pivotButton="0" quotePrefix="0" xfId="0">
      <alignment vertical="top"/>
    </xf>
    <xf numFmtId="164" fontId="0" fillId="0" borderId="19" applyAlignment="1" pivotButton="0" quotePrefix="0" xfId="0">
      <alignment vertical="center"/>
    </xf>
    <xf numFmtId="164" fontId="2" fillId="3" borderId="19" applyAlignment="1" pivotButton="0" quotePrefix="0" xfId="0">
      <alignment vertical="top" wrapText="1"/>
    </xf>
    <xf numFmtId="0" fontId="4" fillId="2" borderId="19" applyAlignment="1" pivotButton="0" quotePrefix="0" xfId="0">
      <alignment vertical="center" wrapText="1"/>
    </xf>
    <xf numFmtId="0" fontId="2" fillId="7" borderId="24" applyAlignment="1" pivotButton="0" quotePrefix="0" xfId="0">
      <alignment vertical="center" wrapText="1"/>
    </xf>
    <xf numFmtId="0" fontId="2" fillId="7" borderId="22" applyAlignment="1" pivotButton="0" quotePrefix="0" xfId="0">
      <alignment vertical="center" wrapText="1"/>
    </xf>
    <xf numFmtId="0" fontId="5" fillId="12" borderId="24" applyAlignment="1" pivotButton="0" quotePrefix="0" xfId="0">
      <alignment vertical="center" wrapText="1"/>
    </xf>
    <xf numFmtId="0" fontId="0" fillId="3" borderId="15" applyAlignment="1" pivotButton="0" quotePrefix="0" xfId="0">
      <alignment wrapText="1"/>
    </xf>
    <xf numFmtId="0" fontId="9" fillId="3" borderId="15" applyAlignment="1" pivotButton="0" quotePrefix="0" xfId="0">
      <alignment wrapText="1"/>
    </xf>
    <xf numFmtId="0" fontId="5" fillId="2" borderId="15" applyAlignment="1" pivotButton="0" quotePrefix="0" xfId="0">
      <alignment vertical="center" wrapText="1"/>
    </xf>
    <xf numFmtId="0" fontId="5" fillId="2" borderId="15" applyAlignment="1" pivotButton="0" quotePrefix="0" xfId="0">
      <alignment wrapText="1"/>
    </xf>
    <xf numFmtId="0" fontId="5" fillId="2" borderId="15" applyAlignment="1" pivotButton="0" quotePrefix="0" xfId="0">
      <alignment vertical="center"/>
    </xf>
    <xf numFmtId="0" fontId="12" fillId="11" borderId="15" applyAlignment="1" pivotButton="0" quotePrefix="0" xfId="0">
      <alignment vertical="center" wrapText="1"/>
    </xf>
    <xf numFmtId="0" fontId="2" fillId="11" borderId="15" applyAlignment="1" pivotButton="0" quotePrefix="0" xfId="0">
      <alignment vertical="center" wrapText="1"/>
    </xf>
    <xf numFmtId="0" fontId="0" fillId="3" borderId="15" applyAlignment="1" pivotButton="0" quotePrefix="0" xfId="0">
      <alignment vertical="center" wrapText="1"/>
    </xf>
    <xf numFmtId="0" fontId="13" fillId="6" borderId="15" applyAlignment="1" pivotButton="0" quotePrefix="0" xfId="0">
      <alignment vertical="center"/>
    </xf>
    <xf numFmtId="0" fontId="15" fillId="6" borderId="15" applyAlignment="1" pivotButton="0" quotePrefix="0" xfId="0">
      <alignment vertical="center" wrapText="1"/>
    </xf>
    <xf numFmtId="0" fontId="0" fillId="28" borderId="0" pivotButton="0" quotePrefix="0" xfId="0"/>
    <xf numFmtId="0" fontId="5" fillId="28" borderId="0" pivotButton="0" quotePrefix="0" xfId="0"/>
    <xf numFmtId="0" fontId="5" fillId="28" borderId="0" applyAlignment="1" pivotButton="0" quotePrefix="0" xfId="0">
      <alignment vertical="center"/>
    </xf>
    <xf numFmtId="0" fontId="0" fillId="28" borderId="15" pivotButton="0" quotePrefix="0" xfId="0"/>
    <xf numFmtId="0" fontId="5" fillId="28" borderId="15" pivotButton="0" quotePrefix="0" xfId="0"/>
    <xf numFmtId="0" fontId="5" fillId="28" borderId="15" applyAlignment="1" pivotButton="0" quotePrefix="0" xfId="0">
      <alignment vertical="center"/>
    </xf>
    <xf numFmtId="0" fontId="0" fillId="29" borderId="0" pivotButton="0" quotePrefix="0" xfId="0"/>
    <xf numFmtId="0" fontId="16" fillId="29" borderId="0" pivotButton="0" quotePrefix="0" xfId="0"/>
    <xf numFmtId="0" fontId="16" fillId="29" borderId="0" applyAlignment="1" pivotButton="0" quotePrefix="0" xfId="0">
      <alignment wrapText="1"/>
    </xf>
    <xf numFmtId="0" fontId="0" fillId="29" borderId="15" pivotButton="0" quotePrefix="0" xfId="0"/>
    <xf numFmtId="0" fontId="16" fillId="29" borderId="15" pivotButton="0" quotePrefix="0" xfId="0"/>
    <xf numFmtId="0" fontId="16" fillId="29" borderId="15" applyAlignment="1" pivotButton="0" quotePrefix="0" xfId="0">
      <alignment wrapText="1"/>
    </xf>
    <xf numFmtId="0" fontId="4" fillId="28" borderId="0" pivotButton="0" quotePrefix="0" xfId="0"/>
    <xf numFmtId="0" fontId="4" fillId="28" borderId="15" pivotButton="0" quotePrefix="0" xfId="0"/>
    <xf numFmtId="0" fontId="0" fillId="30" borderId="0" pivotButton="0" quotePrefix="0" xfId="0"/>
    <xf numFmtId="0" fontId="0" fillId="30" borderId="15" pivotButton="0" quotePrefix="0" xfId="0"/>
    <xf numFmtId="4" fontId="0" fillId="0" borderId="0" pivotButton="0" quotePrefix="0" xfId="0"/>
    <xf numFmtId="4" fontId="0" fillId="30" borderId="0" pivotButton="0" quotePrefix="0" xfId="0"/>
    <xf numFmtId="4" fontId="0" fillId="0" borderId="15" pivotButton="0" quotePrefix="0" xfId="0"/>
    <xf numFmtId="4" fontId="0" fillId="30" borderId="15" pivotButton="0" quotePrefix="0" xfId="0"/>
    <xf numFmtId="170" fontId="0" fillId="30" borderId="0" pivotButton="0" quotePrefix="0" xfId="0"/>
    <xf numFmtId="170" fontId="0" fillId="30" borderId="15" pivotButton="0" quotePrefix="0" xfId="0"/>
    <xf numFmtId="170" fontId="0" fillId="0" borderId="0" pivotButton="0" quotePrefix="0" xfId="0"/>
    <xf numFmtId="170" fontId="0" fillId="0" borderId="15" pivotButton="0" quotePrefix="0" xfId="0"/>
    <xf numFmtId="1" fontId="0" fillId="0" borderId="0" pivotButton="0" quotePrefix="0" xfId="0"/>
    <xf numFmtId="1" fontId="0" fillId="30" borderId="0" pivotButton="0" quotePrefix="0" xfId="0"/>
    <xf numFmtId="1" fontId="0" fillId="0" borderId="15" pivotButton="0" quotePrefix="0" xfId="0"/>
    <xf numFmtId="1" fontId="0" fillId="30" borderId="15" pivotButton="0" quotePrefix="0" xfId="0"/>
    <xf numFmtId="171" fontId="0" fillId="0" borderId="0" pivotButton="0" quotePrefix="0" xfId="0"/>
    <xf numFmtId="171" fontId="0" fillId="30" borderId="0" pivotButton="0" quotePrefix="0" xfId="0"/>
    <xf numFmtId="171" fontId="0" fillId="0" borderId="15" pivotButton="0" quotePrefix="0" xfId="0"/>
    <xf numFmtId="171" fontId="0" fillId="30" borderId="15" pivotButton="0" quotePrefix="0" xfId="0"/>
    <xf numFmtId="0" fontId="0" fillId="0" borderId="0" pivotButton="0" quotePrefix="0" xfId="0"/>
    <xf numFmtId="10" fontId="0" fillId="0" borderId="0" pivotButton="0" quotePrefix="0" xfId="0"/>
    <xf numFmtId="10" fontId="0" fillId="0" borderId="15" pivotButton="0" quotePrefix="0" xfId="0"/>
    <xf numFmtId="2" fontId="0" fillId="30" borderId="0" pivotButton="0" quotePrefix="0" xfId="0"/>
    <xf numFmtId="2" fontId="0" fillId="30" borderId="15" pivotButton="0" quotePrefix="0" xfId="0"/>
    <xf numFmtId="0" fontId="0" fillId="31" borderId="0" pivotButton="0" quotePrefix="0" xfId="0"/>
    <xf numFmtId="0" fontId="2" fillId="31" borderId="0" pivotButton="0" quotePrefix="0" xfId="0"/>
    <xf numFmtId="0" fontId="0" fillId="31" borderId="15" pivotButton="0" quotePrefix="0" xfId="0"/>
    <xf numFmtId="0" fontId="2" fillId="31" borderId="15" pivotButton="0" quotePrefix="0" xfId="0"/>
    <xf numFmtId="171" fontId="0" fillId="31" borderId="0" pivotButton="0" quotePrefix="0" xfId="0"/>
    <xf numFmtId="171" fontId="2" fillId="31" borderId="0" pivotButton="0" quotePrefix="0" xfId="0"/>
    <xf numFmtId="171" fontId="0" fillId="31" borderId="15" pivotButton="0" quotePrefix="0" xfId="0"/>
    <xf numFmtId="171" fontId="2" fillId="31" borderId="15" pivotButton="0" quotePrefix="0" xfId="0"/>
    <xf numFmtId="0" fontId="0" fillId="29" borderId="0" applyAlignment="1" pivotButton="0" quotePrefix="0" xfId="0">
      <alignment wrapText="1"/>
    </xf>
    <xf numFmtId="0" fontId="0" fillId="29" borderId="15" applyAlignment="1" pivotButton="0" quotePrefix="0" xfId="0">
      <alignment wrapText="1"/>
    </xf>
    <xf numFmtId="0" fontId="0" fillId="32" borderId="0" pivotButton="0" quotePrefix="0" xfId="0"/>
    <xf numFmtId="0" fontId="2" fillId="32" borderId="0" pivotButton="0" quotePrefix="0" xfId="0"/>
    <xf numFmtId="0" fontId="0" fillId="32" borderId="15" pivotButton="0" quotePrefix="0" xfId="0"/>
    <xf numFmtId="0" fontId="2" fillId="32" borderId="15" pivotButton="0" quotePrefix="0" xfId="0"/>
    <xf numFmtId="0" fontId="5" fillId="28" borderId="0" applyAlignment="1" pivotButton="0" quotePrefix="0" xfId="0">
      <alignment vertical="top"/>
    </xf>
    <xf numFmtId="0" fontId="16" fillId="29" borderId="0" applyAlignment="1" pivotButton="0" quotePrefix="0" xfId="0">
      <alignment vertical="top" wrapText="1"/>
    </xf>
    <xf numFmtId="0" fontId="4" fillId="28" borderId="0" applyAlignment="1" pivotButton="0" quotePrefix="0" xfId="0">
      <alignment vertical="top"/>
    </xf>
    <xf numFmtId="4" fontId="0" fillId="0" borderId="0" applyAlignment="1" pivotButton="0" quotePrefix="0" xfId="0">
      <alignment vertical="top"/>
    </xf>
    <xf numFmtId="4" fontId="0" fillId="30" borderId="0" applyAlignment="1" pivotButton="0" quotePrefix="0" xfId="0">
      <alignment vertical="top"/>
    </xf>
    <xf numFmtId="170" fontId="0" fillId="30" borderId="0" applyAlignment="1" pivotButton="0" quotePrefix="0" xfId="0">
      <alignment vertical="top"/>
    </xf>
    <xf numFmtId="1" fontId="0" fillId="0" borderId="0" applyAlignment="1" pivotButton="0" quotePrefix="0" xfId="0">
      <alignment vertical="top"/>
    </xf>
    <xf numFmtId="1" fontId="0" fillId="30" borderId="0" applyAlignment="1" pivotButton="0" quotePrefix="0" xfId="0">
      <alignment vertical="top"/>
    </xf>
    <xf numFmtId="170" fontId="0" fillId="0" borderId="0" applyAlignment="1" pivotButton="0" quotePrefix="0" xfId="0">
      <alignment vertical="top"/>
    </xf>
    <xf numFmtId="171" fontId="0" fillId="0" borderId="0" applyAlignment="1" pivotButton="0" quotePrefix="0" xfId="0">
      <alignment vertical="top"/>
    </xf>
    <xf numFmtId="0" fontId="0" fillId="29" borderId="0" applyAlignment="1" pivotButton="0" quotePrefix="0" xfId="0">
      <alignment vertical="top" wrapText="1"/>
    </xf>
    <xf numFmtId="171" fontId="0" fillId="30" borderId="0" applyAlignment="1" pivotButton="0" quotePrefix="0" xfId="0">
      <alignment vertical="top"/>
    </xf>
    <xf numFmtId="0" fontId="0" fillId="30" borderId="0" applyAlignment="1" pivotButton="0" quotePrefix="0" xfId="0">
      <alignment vertical="top"/>
    </xf>
    <xf numFmtId="10" fontId="0" fillId="0" borderId="0" applyAlignment="1" pivotButton="0" quotePrefix="0" xfId="0">
      <alignment vertical="top"/>
    </xf>
    <xf numFmtId="2" fontId="0" fillId="30" borderId="0" applyAlignment="1" pivotButton="0" quotePrefix="0" xfId="0">
      <alignment vertical="top"/>
    </xf>
    <xf numFmtId="0" fontId="2" fillId="31" borderId="0" applyAlignment="1" pivotButton="0" quotePrefix="0" xfId="0">
      <alignment vertical="top"/>
    </xf>
    <xf numFmtId="171" fontId="2" fillId="31" borderId="0" applyAlignment="1" pivotButton="0" quotePrefix="0" xfId="0">
      <alignment vertical="top"/>
    </xf>
    <xf numFmtId="0" fontId="2" fillId="32" borderId="0" applyAlignment="1" pivotButton="0" quotePrefix="0" xfId="0">
      <alignment vertical="top"/>
    </xf>
    <xf numFmtId="0" fontId="0" fillId="29" borderId="0" applyAlignment="1" pivotButton="0" quotePrefix="0" xfId="0">
      <alignment vertical="top"/>
    </xf>
    <xf numFmtId="0" fontId="5" fillId="28" borderId="15" applyAlignment="1" pivotButton="0" quotePrefix="0" xfId="0">
      <alignment vertical="top"/>
    </xf>
    <xf numFmtId="0" fontId="16" fillId="29" borderId="15" applyAlignment="1" pivotButton="0" quotePrefix="0" xfId="0">
      <alignment vertical="top" wrapText="1"/>
    </xf>
    <xf numFmtId="0" fontId="4" fillId="28" borderId="15" applyAlignment="1" pivotButton="0" quotePrefix="0" xfId="0">
      <alignment vertical="top"/>
    </xf>
    <xf numFmtId="4" fontId="0" fillId="0" borderId="15" applyAlignment="1" pivotButton="0" quotePrefix="0" xfId="0">
      <alignment vertical="top"/>
    </xf>
    <xf numFmtId="4" fontId="0" fillId="30" borderId="15" applyAlignment="1" pivotButton="0" quotePrefix="0" xfId="0">
      <alignment vertical="top"/>
    </xf>
    <xf numFmtId="170" fontId="0" fillId="30" borderId="15" applyAlignment="1" pivotButton="0" quotePrefix="0" xfId="0">
      <alignment vertical="top"/>
    </xf>
    <xf numFmtId="1" fontId="0" fillId="0" borderId="15" applyAlignment="1" pivotButton="0" quotePrefix="0" xfId="0">
      <alignment vertical="top"/>
    </xf>
    <xf numFmtId="1" fontId="0" fillId="30" borderId="15" applyAlignment="1" pivotButton="0" quotePrefix="0" xfId="0">
      <alignment vertical="top"/>
    </xf>
    <xf numFmtId="170" fontId="0" fillId="0" borderId="15" applyAlignment="1" pivotButton="0" quotePrefix="0" xfId="0">
      <alignment vertical="top"/>
    </xf>
    <xf numFmtId="171" fontId="0" fillId="0" borderId="15" applyAlignment="1" pivotButton="0" quotePrefix="0" xfId="0">
      <alignment vertical="top"/>
    </xf>
    <xf numFmtId="0" fontId="0" fillId="29" borderId="15" applyAlignment="1" pivotButton="0" quotePrefix="0" xfId="0">
      <alignment vertical="top" wrapText="1"/>
    </xf>
    <xf numFmtId="171" fontId="0" fillId="30" borderId="15" applyAlignment="1" pivotButton="0" quotePrefix="0" xfId="0">
      <alignment vertical="top"/>
    </xf>
    <xf numFmtId="0" fontId="0" fillId="30" borderId="15" applyAlignment="1" pivotButton="0" quotePrefix="0" xfId="0">
      <alignment vertical="top"/>
    </xf>
    <xf numFmtId="10" fontId="0" fillId="0" borderId="15" applyAlignment="1" pivotButton="0" quotePrefix="0" xfId="0">
      <alignment vertical="top"/>
    </xf>
    <xf numFmtId="2" fontId="0" fillId="30" borderId="15" applyAlignment="1" pivotButton="0" quotePrefix="0" xfId="0">
      <alignment vertical="top"/>
    </xf>
    <xf numFmtId="0" fontId="2" fillId="31" borderId="15" applyAlignment="1" pivotButton="0" quotePrefix="0" xfId="0">
      <alignment vertical="top"/>
    </xf>
    <xf numFmtId="171" fontId="2" fillId="31" borderId="15" applyAlignment="1" pivotButton="0" quotePrefix="0" xfId="0">
      <alignment vertical="top"/>
    </xf>
    <xf numFmtId="0" fontId="2" fillId="32" borderId="15" applyAlignment="1" pivotButton="0" quotePrefix="0" xfId="0">
      <alignment vertical="top"/>
    </xf>
    <xf numFmtId="0" fontId="0" fillId="29" borderId="15" applyAlignment="1" pivotButton="0" quotePrefix="0" xfId="0">
      <alignment vertical="top"/>
    </xf>
    <xf numFmtId="0" fontId="5" fillId="28" borderId="0" applyAlignment="1" pivotButton="0" quotePrefix="0" xfId="0">
      <alignment vertical="top" wrapText="1"/>
    </xf>
    <xf numFmtId="0" fontId="4" fillId="28" borderId="0" applyAlignment="1" pivotButton="0" quotePrefix="0" xfId="0">
      <alignment vertical="top" wrapText="1"/>
    </xf>
    <xf numFmtId="4" fontId="0" fillId="0" borderId="0" applyAlignment="1" pivotButton="0" quotePrefix="0" xfId="0">
      <alignment vertical="top" wrapText="1"/>
    </xf>
    <xf numFmtId="4" fontId="0" fillId="30" borderId="0" applyAlignment="1" pivotButton="0" quotePrefix="0" xfId="0">
      <alignment vertical="top" wrapText="1"/>
    </xf>
    <xf numFmtId="170" fontId="0" fillId="30" borderId="0" applyAlignment="1" pivotButton="0" quotePrefix="0" xfId="0">
      <alignment vertical="top" wrapText="1"/>
    </xf>
    <xf numFmtId="1" fontId="0" fillId="0" borderId="0" applyAlignment="1" pivotButton="0" quotePrefix="0" xfId="0">
      <alignment vertical="top" wrapText="1"/>
    </xf>
    <xf numFmtId="1" fontId="0" fillId="30" borderId="0" applyAlignment="1" pivotButton="0" quotePrefix="0" xfId="0">
      <alignment vertical="top" wrapText="1"/>
    </xf>
    <xf numFmtId="170" fontId="0" fillId="0" borderId="0" applyAlignment="1" pivotButton="0" quotePrefix="0" xfId="0">
      <alignment vertical="top" wrapText="1"/>
    </xf>
    <xf numFmtId="171" fontId="0" fillId="0" borderId="0" applyAlignment="1" pivotButton="0" quotePrefix="0" xfId="0">
      <alignment vertical="top" wrapText="1"/>
    </xf>
    <xf numFmtId="171" fontId="0" fillId="30" borderId="0" applyAlignment="1" pivotButton="0" quotePrefix="0" xfId="0">
      <alignment vertical="top" wrapText="1"/>
    </xf>
    <xf numFmtId="0" fontId="0" fillId="30" borderId="0" applyAlignment="1" pivotButton="0" quotePrefix="0" xfId="0">
      <alignment vertical="top" wrapText="1"/>
    </xf>
    <xf numFmtId="10" fontId="0" fillId="0" borderId="0" applyAlignment="1" pivotButton="0" quotePrefix="0" xfId="0">
      <alignment vertical="top" wrapText="1"/>
    </xf>
    <xf numFmtId="2" fontId="0" fillId="30" borderId="0" applyAlignment="1" pivotButton="0" quotePrefix="0" xfId="0">
      <alignment vertical="top" wrapText="1"/>
    </xf>
    <xf numFmtId="0" fontId="2" fillId="31" borderId="0" applyAlignment="1" pivotButton="0" quotePrefix="0" xfId="0">
      <alignment vertical="top" wrapText="1"/>
    </xf>
    <xf numFmtId="171" fontId="2" fillId="31" borderId="0" applyAlignment="1" pivotButton="0" quotePrefix="0" xfId="0">
      <alignment vertical="top" wrapText="1"/>
    </xf>
    <xf numFmtId="0" fontId="2" fillId="32" borderId="0" applyAlignment="1" pivotButton="0" quotePrefix="0" xfId="0">
      <alignment vertical="top" wrapText="1"/>
    </xf>
    <xf numFmtId="0" fontId="5" fillId="28" borderId="15" applyAlignment="1" pivotButton="0" quotePrefix="0" xfId="0">
      <alignment vertical="top" wrapText="1"/>
    </xf>
    <xf numFmtId="0" fontId="4" fillId="28" borderId="15" applyAlignment="1" pivotButton="0" quotePrefix="0" xfId="0">
      <alignment vertical="top" wrapText="1"/>
    </xf>
    <xf numFmtId="4" fontId="0" fillId="0" borderId="15" applyAlignment="1" pivotButton="0" quotePrefix="0" xfId="0">
      <alignment vertical="top" wrapText="1"/>
    </xf>
    <xf numFmtId="4" fontId="0" fillId="30" borderId="15" applyAlignment="1" pivotButton="0" quotePrefix="0" xfId="0">
      <alignment vertical="top" wrapText="1"/>
    </xf>
    <xf numFmtId="170" fontId="0" fillId="30" borderId="15" applyAlignment="1" pivotButton="0" quotePrefix="0" xfId="0">
      <alignment vertical="top" wrapText="1"/>
    </xf>
    <xf numFmtId="1" fontId="0" fillId="0" borderId="15" applyAlignment="1" pivotButton="0" quotePrefix="0" xfId="0">
      <alignment vertical="top" wrapText="1"/>
    </xf>
    <xf numFmtId="1" fontId="0" fillId="30" borderId="15" applyAlignment="1" pivotButton="0" quotePrefix="0" xfId="0">
      <alignment vertical="top" wrapText="1"/>
    </xf>
    <xf numFmtId="170" fontId="0" fillId="0" borderId="15" applyAlignment="1" pivotButton="0" quotePrefix="0" xfId="0">
      <alignment vertical="top" wrapText="1"/>
    </xf>
    <xf numFmtId="171" fontId="0" fillId="0" borderId="15" applyAlignment="1" pivotButton="0" quotePrefix="0" xfId="0">
      <alignment vertical="top" wrapText="1"/>
    </xf>
    <xf numFmtId="171" fontId="0" fillId="30" borderId="15" applyAlignment="1" pivotButton="0" quotePrefix="0" xfId="0">
      <alignment vertical="top" wrapText="1"/>
    </xf>
    <xf numFmtId="0" fontId="0" fillId="30" borderId="15" applyAlignment="1" pivotButton="0" quotePrefix="0" xfId="0">
      <alignment vertical="top" wrapText="1"/>
    </xf>
    <xf numFmtId="10" fontId="0" fillId="0" borderId="15" applyAlignment="1" pivotButton="0" quotePrefix="0" xfId="0">
      <alignment vertical="top" wrapText="1"/>
    </xf>
    <xf numFmtId="2" fontId="0" fillId="30" borderId="15" applyAlignment="1" pivotButton="0" quotePrefix="0" xfId="0">
      <alignment vertical="top" wrapText="1"/>
    </xf>
    <xf numFmtId="0" fontId="2" fillId="31" borderId="15" applyAlignment="1" pivotButton="0" quotePrefix="0" xfId="0">
      <alignment vertical="top" wrapText="1"/>
    </xf>
    <xf numFmtId="171" fontId="2" fillId="31" borderId="15" applyAlignment="1" pivotButton="0" quotePrefix="0" xfId="0">
      <alignment vertical="top" wrapText="1"/>
    </xf>
    <xf numFmtId="0" fontId="2" fillId="32" borderId="15" applyAlignment="1" pivotButton="0" quotePrefix="0" xfId="0">
      <alignment vertical="top" wrapText="1"/>
    </xf>
    <xf numFmtId="0" fontId="4" fillId="28" borderId="0" applyAlignment="1" pivotButton="0" quotePrefix="0" xfId="0">
      <alignment wrapText="1"/>
    </xf>
    <xf numFmtId="0" fontId="4" fillId="28" borderId="0" applyAlignment="1" pivotButton="0" quotePrefix="0" xfId="0">
      <alignment horizontal="center" wrapText="1"/>
    </xf>
    <xf numFmtId="0" fontId="4" fillId="28" borderId="15" applyAlignment="1" pivotButton="0" quotePrefix="0" xfId="0">
      <alignment wrapText="1"/>
    </xf>
    <xf numFmtId="0" fontId="4" fillId="28" borderId="15" applyAlignment="1" pivotButton="0" quotePrefix="0" xfId="0">
      <alignment horizontal="center" wrapText="1"/>
    </xf>
    <xf numFmtId="165" fontId="0" fillId="31" borderId="0" applyAlignment="1" pivotButton="0" quotePrefix="0" xfId="0">
      <alignment vertical="center" wrapText="1"/>
    </xf>
    <xf numFmtId="165" fontId="2" fillId="31" borderId="0" applyAlignment="1" pivotButton="0" quotePrefix="0" xfId="0">
      <alignment vertical="center" wrapText="1"/>
    </xf>
    <xf numFmtId="171" fontId="2" fillId="31" borderId="0" applyAlignment="1" pivotButton="0" quotePrefix="0" xfId="0">
      <alignment vertical="center" wrapText="1"/>
    </xf>
    <xf numFmtId="165" fontId="0" fillId="31" borderId="15" applyAlignment="1" pivotButton="0" quotePrefix="0" xfId="0">
      <alignment vertical="center" wrapText="1"/>
    </xf>
    <xf numFmtId="165" fontId="2" fillId="31" borderId="15" applyAlignment="1" pivotButton="0" quotePrefix="0" xfId="0">
      <alignment vertical="center" wrapText="1"/>
    </xf>
    <xf numFmtId="171" fontId="2" fillId="31" borderId="15" applyAlignment="1" pivotButton="0" quotePrefix="0" xfId="0">
      <alignment vertical="center" wrapText="1"/>
    </xf>
    <xf numFmtId="10" fontId="0" fillId="29" borderId="0" applyAlignment="1" pivotButton="0" quotePrefix="0" xfId="0">
      <alignment vertical="center" wrapText="1"/>
    </xf>
    <xf numFmtId="10" fontId="0" fillId="29" borderId="15" applyAlignment="1" pivotButton="0" quotePrefix="0" xfId="0">
      <alignment vertical="center" wrapText="1"/>
    </xf>
    <xf numFmtId="10" fontId="0" fillId="0" borderId="0" applyAlignment="1" pivotButton="0" quotePrefix="0" xfId="0">
      <alignment vertical="center" wrapText="1"/>
    </xf>
    <xf numFmtId="10" fontId="0" fillId="0" borderId="15" applyAlignment="1" pivotButton="0" quotePrefix="0" xfId="0">
      <alignment vertical="center" wrapText="1"/>
    </xf>
    <xf numFmtId="171" fontId="0" fillId="6" borderId="0" applyAlignment="1" pivotButton="0" quotePrefix="0" xfId="0">
      <alignment vertical="center" wrapText="1"/>
    </xf>
    <xf numFmtId="171" fontId="0" fillId="6" borderId="15" applyAlignment="1" pivotButton="0" quotePrefix="0" xfId="0">
      <alignment vertical="center" wrapText="1"/>
    </xf>
    <xf numFmtId="171" fontId="0" fillId="0" borderId="0" applyAlignment="1" pivotButton="0" quotePrefix="0" xfId="0">
      <alignment wrapText="1"/>
    </xf>
    <xf numFmtId="171" fontId="0" fillId="0" borderId="15" applyAlignment="1" pivotButton="0" quotePrefix="0" xfId="0">
      <alignment wrapText="1"/>
    </xf>
    <xf numFmtId="0" fontId="8" fillId="0" borderId="0" applyAlignment="1" pivotButton="0" quotePrefix="0" xfId="0">
      <alignment vertical="center"/>
    </xf>
    <xf numFmtId="164" fontId="0" fillId="0" borderId="0" pivotButton="0" quotePrefix="0" xfId="0"/>
    <xf numFmtId="165" fontId="11" fillId="7" borderId="0" applyAlignment="1" pivotButton="0" quotePrefix="0" xfId="0">
      <alignment wrapText="1"/>
    </xf>
    <xf numFmtId="0" fontId="2" fillId="3" borderId="0" pivotButton="0" quotePrefix="0" xfId="0"/>
    <xf numFmtId="0" fontId="0" fillId="6" borderId="0" pivotButton="0" quotePrefix="0" xfId="0"/>
    <xf numFmtId="0" fontId="0" fillId="7" borderId="0" pivotButton="0" quotePrefix="0" xfId="0"/>
    <xf numFmtId="0" fontId="2" fillId="5" borderId="0" pivotButton="0" quotePrefix="0" xfId="0"/>
    <xf numFmtId="0" fontId="4" fillId="9" borderId="12" applyAlignment="1" pivotButton="0" quotePrefix="0" xfId="0">
      <alignment vertical="top" wrapText="1"/>
    </xf>
    <xf numFmtId="0" fontId="4" fillId="9" borderId="13" applyAlignment="1" pivotButton="0" quotePrefix="0" xfId="0">
      <alignment vertical="top" wrapText="1"/>
    </xf>
    <xf numFmtId="0" fontId="4" fillId="9" borderId="14" applyAlignment="1" pivotButton="0" quotePrefix="0" xfId="0">
      <alignment vertical="top" wrapText="1"/>
    </xf>
    <xf numFmtId="0" fontId="2" fillId="7" borderId="0" applyAlignment="1" pivotButton="0" quotePrefix="0" xfId="0">
      <alignment vertical="top" wrapText="1"/>
    </xf>
    <xf numFmtId="0" fontId="2" fillId="6" borderId="0" applyAlignment="1" pivotButton="0" quotePrefix="0" xfId="0">
      <alignment vertical="top" wrapText="1"/>
    </xf>
    <xf numFmtId="0" fontId="2" fillId="0" borderId="0" pivotButton="0" quotePrefix="0" xfId="0"/>
    <xf numFmtId="0" fontId="2" fillId="0" borderId="0" applyAlignment="1" pivotButton="0" quotePrefix="0" xfId="0">
      <alignment vertical="center"/>
    </xf>
    <xf numFmtId="0" fontId="2" fillId="3" borderId="0" applyAlignment="1" pivotButton="0" quotePrefix="0" xfId="0">
      <alignment horizontal="center" vertical="center"/>
    </xf>
    <xf numFmtId="0" fontId="2" fillId="3" borderId="0" applyAlignment="1" pivotButton="0" quotePrefix="0" xfId="0">
      <alignment vertical="center"/>
    </xf>
    <xf numFmtId="0" fontId="0" fillId="6" borderId="0" applyAlignment="1" pivotButton="0" quotePrefix="0" xfId="0">
      <alignment vertical="center"/>
    </xf>
    <xf numFmtId="165" fontId="0" fillId="6" borderId="0" applyAlignment="1" pivotButton="0" quotePrefix="0" xfId="0">
      <alignment vertical="center"/>
    </xf>
    <xf numFmtId="0" fontId="0" fillId="7" borderId="0" applyAlignment="1" pivotButton="0" quotePrefix="0" xfId="0">
      <alignment vertical="center"/>
    </xf>
    <xf numFmtId="165" fontId="0" fillId="7" borderId="0" applyAlignment="1" pivotButton="0" quotePrefix="0" xfId="0">
      <alignment vertical="center"/>
    </xf>
    <xf numFmtId="0" fontId="2" fillId="5" borderId="0" applyAlignment="1" pivotButton="0" quotePrefix="0" xfId="0">
      <alignment vertical="center"/>
    </xf>
    <xf numFmtId="165" fontId="0" fillId="6" borderId="0" applyAlignment="1" pivotButton="0" quotePrefix="0" xfId="0">
      <alignment vertical="center" wrapText="1"/>
    </xf>
    <xf numFmtId="169" fontId="0" fillId="6" borderId="0" applyAlignment="1" pivotButton="0" quotePrefix="0" xfId="0">
      <alignment vertical="center" wrapText="1"/>
    </xf>
    <xf numFmtId="169" fontId="11" fillId="7" borderId="0" applyAlignment="1" pivotButton="0" quotePrefix="0" xfId="0">
      <alignment vertical="center" wrapText="1"/>
    </xf>
    <xf numFmtId="169" fontId="14" fillId="7" borderId="0" applyAlignment="1" pivotButton="0" quotePrefix="0" xfId="0">
      <alignment vertical="center" wrapText="1"/>
    </xf>
    <xf numFmtId="0" fontId="4" fillId="2" borderId="0" applyAlignment="1" pivotButton="0" quotePrefix="0" xfId="0">
      <alignment vertical="center"/>
    </xf>
    <xf numFmtId="0" fontId="4" fillId="2" borderId="0" pivotButton="0" quotePrefix="0" xfId="0"/>
    <xf numFmtId="0" fontId="5" fillId="2" borderId="0" applyAlignment="1" pivotButton="0" quotePrefix="0" xfId="0">
      <alignment vertical="center"/>
    </xf>
    <xf numFmtId="0" fontId="12" fillId="11" borderId="0" applyAlignment="1" pivotButton="0" quotePrefix="0" xfId="0">
      <alignment vertical="center" wrapText="1"/>
    </xf>
    <xf numFmtId="0" fontId="2" fillId="11" borderId="0" applyAlignment="1" pivotButton="0" quotePrefix="0" xfId="0">
      <alignment vertical="center" wrapText="1"/>
    </xf>
    <xf numFmtId="0" fontId="0" fillId="3" borderId="0" applyAlignment="1" pivotButton="0" quotePrefix="0" xfId="0">
      <alignment vertical="center" wrapText="1"/>
    </xf>
    <xf numFmtId="0" fontId="13" fillId="6" borderId="0" applyAlignment="1" pivotButton="0" quotePrefix="0" xfId="0">
      <alignment vertical="center"/>
    </xf>
    <xf numFmtId="0" fontId="15" fillId="6" borderId="0" applyAlignment="1" pivotButton="0" quotePrefix="0" xfId="0">
      <alignment vertical="center" wrapText="1"/>
    </xf>
    <xf numFmtId="0" fontId="0" fillId="12" borderId="0" pivotButton="0" quotePrefix="0" xfId="0"/>
    <xf numFmtId="0" fontId="5" fillId="12" borderId="0" pivotButton="0" quotePrefix="0" xfId="0"/>
    <xf numFmtId="0" fontId="5" fillId="12" borderId="0" applyAlignment="1" pivotButton="0" quotePrefix="0" xfId="0">
      <alignment vertical="center"/>
    </xf>
    <xf numFmtId="0" fontId="4" fillId="12" borderId="0" pivotButton="0" quotePrefix="0" xfId="0"/>
    <xf numFmtId="4" fontId="0" fillId="7" borderId="0" pivotButton="0" quotePrefix="0" xfId="0"/>
    <xf numFmtId="170" fontId="0" fillId="7" borderId="0" pivotButton="0" quotePrefix="0" xfId="0"/>
    <xf numFmtId="1" fontId="0" fillId="7" borderId="0" pivotButton="0" quotePrefix="0" xfId="0"/>
    <xf numFmtId="171" fontId="0" fillId="7" borderId="0" pivotButton="0" quotePrefix="0" xfId="0"/>
    <xf numFmtId="2" fontId="0" fillId="7" borderId="0" pivotButton="0" quotePrefix="0" xfId="0"/>
    <xf numFmtId="0" fontId="2" fillId="6" borderId="0" pivotButton="0" quotePrefix="0" xfId="0"/>
    <xf numFmtId="171" fontId="0" fillId="6" borderId="0" pivotButton="0" quotePrefix="0" xfId="0"/>
    <xf numFmtId="171" fontId="2" fillId="6" borderId="0" pivotButton="0" quotePrefix="0" xfId="0"/>
    <xf numFmtId="0" fontId="0" fillId="3" borderId="0" pivotButton="0" quotePrefix="0" xfId="0"/>
    <xf numFmtId="0" fontId="5" fillId="12" borderId="0" applyAlignment="1" pivotButton="0" quotePrefix="0" xfId="0">
      <alignment vertical="top"/>
    </xf>
    <xf numFmtId="0" fontId="4" fillId="12" borderId="0" applyAlignment="1" pivotButton="0" quotePrefix="0" xfId="0">
      <alignment vertical="top"/>
    </xf>
    <xf numFmtId="4" fontId="0" fillId="7" borderId="0" applyAlignment="1" pivotButton="0" quotePrefix="0" xfId="0">
      <alignment vertical="top"/>
    </xf>
    <xf numFmtId="170" fontId="0" fillId="7" borderId="0" applyAlignment="1" pivotButton="0" quotePrefix="0" xfId="0">
      <alignment vertical="top"/>
    </xf>
    <xf numFmtId="1" fontId="0" fillId="7" borderId="0" applyAlignment="1" pivotButton="0" quotePrefix="0" xfId="0">
      <alignment vertical="top"/>
    </xf>
    <xf numFmtId="171" fontId="0" fillId="7" borderId="0" applyAlignment="1" pivotButton="0" quotePrefix="0" xfId="0">
      <alignment vertical="top"/>
    </xf>
    <xf numFmtId="0" fontId="0" fillId="7" borderId="0" applyAlignment="1" pivotButton="0" quotePrefix="0" xfId="0">
      <alignment vertical="top"/>
    </xf>
    <xf numFmtId="2" fontId="0" fillId="7" borderId="0" applyAlignment="1" pivotButton="0" quotePrefix="0" xfId="0">
      <alignment vertical="top"/>
    </xf>
    <xf numFmtId="0" fontId="2" fillId="6" borderId="0" applyAlignment="1" pivotButton="0" quotePrefix="0" xfId="0">
      <alignment vertical="top"/>
    </xf>
    <xf numFmtId="171" fontId="2" fillId="6" borderId="0" applyAlignment="1" pivotButton="0" quotePrefix="0" xfId="0">
      <alignment vertical="top"/>
    </xf>
    <xf numFmtId="0" fontId="2" fillId="3" borderId="0" applyAlignment="1" pivotButton="0" quotePrefix="0" xfId="0">
      <alignment vertical="top"/>
    </xf>
    <xf numFmtId="0" fontId="5" fillId="12" borderId="0" applyAlignment="1" pivotButton="0" quotePrefix="0" xfId="0">
      <alignment vertical="top" wrapText="1"/>
    </xf>
    <xf numFmtId="0" fontId="4" fillId="12" borderId="0" applyAlignment="1" pivotButton="0" quotePrefix="0" xfId="0">
      <alignment vertical="top" wrapText="1"/>
    </xf>
    <xf numFmtId="4" fontId="0" fillId="7" borderId="0" applyAlignment="1" pivotButton="0" quotePrefix="0" xfId="0">
      <alignment vertical="top" wrapText="1"/>
    </xf>
    <xf numFmtId="170" fontId="0" fillId="7" borderId="0" applyAlignment="1" pivotButton="0" quotePrefix="0" xfId="0">
      <alignment vertical="top" wrapText="1"/>
    </xf>
    <xf numFmtId="1" fontId="0" fillId="7" borderId="0" applyAlignment="1" pivotButton="0" quotePrefix="0" xfId="0">
      <alignment vertical="top" wrapText="1"/>
    </xf>
    <xf numFmtId="171" fontId="0" fillId="7" borderId="0" applyAlignment="1" pivotButton="0" quotePrefix="0" xfId="0">
      <alignment vertical="top" wrapText="1"/>
    </xf>
    <xf numFmtId="0" fontId="0" fillId="7" borderId="0" applyAlignment="1" pivotButton="0" quotePrefix="0" xfId="0">
      <alignment vertical="top" wrapText="1"/>
    </xf>
    <xf numFmtId="2" fontId="0" fillId="7" borderId="0" applyAlignment="1" pivotButton="0" quotePrefix="0" xfId="0">
      <alignment vertical="top" wrapText="1"/>
    </xf>
    <xf numFmtId="171" fontId="2" fillId="6" borderId="0" applyAlignment="1" pivotButton="0" quotePrefix="0" xfId="0">
      <alignment vertical="top" wrapText="1"/>
    </xf>
    <xf numFmtId="0" fontId="2" fillId="3" borderId="0" applyAlignment="1" pivotButton="0" quotePrefix="0" xfId="0">
      <alignment vertical="top" wrapText="1"/>
    </xf>
    <xf numFmtId="0" fontId="4" fillId="12" borderId="0" applyAlignment="1" pivotButton="0" quotePrefix="0" xfId="0">
      <alignment wrapText="1"/>
    </xf>
    <xf numFmtId="0" fontId="4" fillId="12" borderId="0" applyAlignment="1" pivotButton="0" quotePrefix="0" xfId="0">
      <alignment horizontal="center" wrapText="1"/>
    </xf>
    <xf numFmtId="165" fontId="2" fillId="6" borderId="0" applyAlignment="1" pivotButton="0" quotePrefix="0" xfId="0">
      <alignment vertical="center" wrapText="1"/>
    </xf>
    <xf numFmtId="171" fontId="2" fillId="6" borderId="0" applyAlignment="1" pivotButton="0" quotePrefix="0" xfId="0">
      <alignment vertical="center" wrapText="1"/>
    </xf>
    <xf numFmtId="0" fontId="0" fillId="33" borderId="0" pivotButton="0" quotePrefix="0" xfId="0"/>
    <xf numFmtId="0" fontId="5" fillId="33" borderId="0" pivotButton="0" quotePrefix="0" xfId="0"/>
    <xf numFmtId="0" fontId="5" fillId="33" borderId="0" applyAlignment="1" pivotButton="0" quotePrefix="0" xfId="0">
      <alignment vertical="center"/>
    </xf>
    <xf numFmtId="0" fontId="0" fillId="34" borderId="0" pivotButton="0" quotePrefix="0" xfId="0"/>
    <xf numFmtId="0" fontId="2" fillId="34" borderId="0" pivotButton="0" quotePrefix="0" xfId="0"/>
    <xf numFmtId="0" fontId="2" fillId="34" borderId="0" applyAlignment="1" pivotButton="0" quotePrefix="0" xfId="0">
      <alignment wrapText="1"/>
    </xf>
    <xf numFmtId="0" fontId="0" fillId="35" borderId="0" pivotButton="0" quotePrefix="0" xfId="0"/>
    <xf numFmtId="0" fontId="4" fillId="35" borderId="0" pivotButton="0" quotePrefix="0" xfId="0"/>
    <xf numFmtId="0" fontId="4" fillId="35" borderId="0" applyAlignment="1" pivotButton="0" quotePrefix="0" xfId="0">
      <alignment wrapText="1"/>
    </xf>
    <xf numFmtId="0" fontId="4" fillId="35" borderId="0" applyAlignment="1" pivotButton="0" quotePrefix="0" xfId="0">
      <alignment vertical="center" wrapText="1"/>
    </xf>
    <xf numFmtId="0" fontId="0" fillId="36" borderId="0" pivotButton="0" quotePrefix="0" xfId="0"/>
    <xf numFmtId="0" fontId="17" fillId="36" borderId="0" pivotButton="0" quotePrefix="0" xfId="0"/>
    <xf numFmtId="0" fontId="17" fillId="36" borderId="0" applyAlignment="1" pivotButton="0" quotePrefix="0" xfId="0">
      <alignment vertical="center"/>
    </xf>
    <xf numFmtId="171" fontId="0" fillId="37" borderId="0" applyAlignment="1" pivotButton="0" quotePrefix="0" xfId="0">
      <alignment wrapText="1"/>
    </xf>
    <xf numFmtId="0" fontId="0" fillId="37" borderId="0" applyAlignment="1" pivotButton="0" quotePrefix="0" xfId="0">
      <alignment wrapText="1"/>
    </xf>
    <xf numFmtId="0" fontId="0" fillId="38" borderId="0" applyAlignment="1" pivotButton="0" quotePrefix="0" xfId="0">
      <alignment wrapText="1"/>
    </xf>
    <xf numFmtId="0" fontId="0" fillId="39" borderId="0" applyAlignment="1" pivotButton="0" quotePrefix="0" xfId="0">
      <alignment wrapText="1"/>
    </xf>
    <xf numFmtId="171" fontId="0" fillId="39" borderId="0" applyAlignment="1" pivotButton="0" quotePrefix="0" xfId="0">
      <alignment wrapText="1"/>
    </xf>
    <xf numFmtId="168" fontId="0" fillId="39" borderId="0" applyAlignment="1" pivotButton="0" quotePrefix="0" xfId="0">
      <alignment wrapText="1"/>
    </xf>
    <xf numFmtId="10" fontId="0" fillId="40" borderId="0" applyAlignment="1" pivotButton="0" quotePrefix="0" xfId="0">
      <alignment vertical="center" wrapText="1"/>
    </xf>
    <xf numFmtId="165" fontId="0" fillId="37" borderId="0" applyAlignment="1" pivotButton="0" quotePrefix="0" xfId="0">
      <alignment vertical="center" wrapText="1"/>
    </xf>
    <xf numFmtId="0" fontId="0" fillId="36" borderId="0" applyAlignment="1" pivotButton="0" quotePrefix="0" xfId="0">
      <alignment wrapText="1"/>
    </xf>
    <xf numFmtId="171" fontId="0" fillId="36" borderId="0" applyAlignment="1" pivotButton="0" quotePrefix="0" xfId="0">
      <alignment wrapText="1"/>
    </xf>
    <xf numFmtId="0" fontId="17" fillId="36" borderId="0" applyAlignment="1" pivotButton="0" quotePrefix="0" xfId="0">
      <alignment wrapText="1"/>
    </xf>
    <xf numFmtId="171" fontId="17" fillId="36" borderId="0" applyAlignment="1" pivotButton="0" quotePrefix="0" xfId="0">
      <alignment wrapText="1"/>
    </xf>
    <xf numFmtId="0" fontId="17" fillId="36" borderId="0" applyAlignment="1" pivotButton="0" quotePrefix="0" xfId="0">
      <alignment vertical="center" wrapText="1"/>
    </xf>
    <xf numFmtId="171" fontId="17" fillId="36" borderId="0" applyAlignment="1" pivotButton="0" quotePrefix="0" xfId="0">
      <alignment vertical="center" wrapText="1"/>
    </xf>
    <xf numFmtId="0" fontId="0" fillId="36" borderId="0" applyAlignment="1" pivotButton="0" quotePrefix="0" xfId="0">
      <alignment vertical="center" wrapText="1"/>
    </xf>
    <xf numFmtId="0" fontId="0" fillId="38" borderId="0" applyAlignment="1" pivotButton="0" quotePrefix="0" xfId="0">
      <alignment vertical="center" wrapText="1"/>
    </xf>
    <xf numFmtId="0" fontId="0" fillId="2" borderId="0" pivotButton="0" quotePrefix="0" xfId="0"/>
    <xf numFmtId="0" fontId="5" fillId="2" borderId="0" pivotButton="0" quotePrefix="0" xfId="0"/>
    <xf numFmtId="0" fontId="0" fillId="4" borderId="0" pivotButton="0" quotePrefix="0" xfId="0"/>
    <xf numFmtId="0" fontId="2" fillId="4" borderId="0" pivotButton="0" quotePrefix="0" xfId="0"/>
    <xf numFmtId="0" fontId="2" fillId="4" borderId="0" applyAlignment="1" pivotButton="0" quotePrefix="0" xfId="0">
      <alignment wrapText="1"/>
    </xf>
    <xf numFmtId="0" fontId="0" fillId="9" borderId="0" pivotButton="0" quotePrefix="0" xfId="0"/>
    <xf numFmtId="0" fontId="4" fillId="9" borderId="0" pivotButton="0" quotePrefix="0" xfId="0"/>
    <xf numFmtId="0" fontId="4" fillId="9" borderId="0" applyAlignment="1" pivotButton="0" quotePrefix="0" xfId="0">
      <alignment wrapText="1"/>
    </xf>
    <xf numFmtId="0" fontId="17" fillId="3" borderId="0" pivotButton="0" quotePrefix="0" xfId="0"/>
    <xf numFmtId="0" fontId="17" fillId="3" borderId="0" applyAlignment="1" pivotButton="0" quotePrefix="0" xfId="0">
      <alignment vertical="center"/>
    </xf>
    <xf numFmtId="171" fontId="0" fillId="6" borderId="0" applyAlignment="1" pivotButton="0" quotePrefix="0" xfId="0">
      <alignment wrapText="1"/>
    </xf>
    <xf numFmtId="0" fontId="0" fillId="5" borderId="0" applyAlignment="1" pivotButton="0" quotePrefix="0" xfId="0">
      <alignment wrapText="1"/>
    </xf>
    <xf numFmtId="171" fontId="0" fillId="7" borderId="0" applyAlignment="1" pivotButton="0" quotePrefix="0" xfId="0">
      <alignment wrapText="1"/>
    </xf>
    <xf numFmtId="171" fontId="0" fillId="3" borderId="0" applyAlignment="1" pivotButton="0" quotePrefix="0" xfId="0">
      <alignment wrapText="1"/>
    </xf>
    <xf numFmtId="0" fontId="17" fillId="3" borderId="0" applyAlignment="1" pivotButton="0" quotePrefix="0" xfId="0">
      <alignment wrapText="1"/>
    </xf>
    <xf numFmtId="171" fontId="17" fillId="3" borderId="0" applyAlignment="1" pivotButton="0" quotePrefix="0" xfId="0">
      <alignment wrapText="1"/>
    </xf>
    <xf numFmtId="0" fontId="17" fillId="3" borderId="0" applyAlignment="1" pivotButton="0" quotePrefix="0" xfId="0">
      <alignment vertical="center" wrapText="1"/>
    </xf>
    <xf numFmtId="171" fontId="17" fillId="3" borderId="0" applyAlignment="1" pivotButton="0" quotePrefix="0" xfId="0">
      <alignment vertical="center" wrapText="1"/>
    </xf>
    <xf numFmtId="0" fontId="0" fillId="5" borderId="0" applyAlignment="1" pivotButton="0" quotePrefix="0" xfId="0">
      <alignment vertical="center" wrapText="1"/>
    </xf>
    <xf numFmtId="0" fontId="0" fillId="41" borderId="0" pivotButton="0" quotePrefix="0" xfId="0"/>
    <xf numFmtId="0" fontId="4" fillId="41" borderId="0" pivotButton="0" quotePrefix="0" xfId="0"/>
    <xf numFmtId="0" fontId="4" fillId="41" borderId="0" applyAlignment="1" pivotButton="0" quotePrefix="0" xfId="0">
      <alignment wrapText="1"/>
    </xf>
    <xf numFmtId="0" fontId="0" fillId="42" borderId="0" pivotButton="0" quotePrefix="0" xfId="0"/>
    <xf numFmtId="0" fontId="2" fillId="42" borderId="0" pivotButton="0" quotePrefix="0" xfId="0"/>
    <xf numFmtId="0" fontId="2" fillId="42" borderId="0" applyAlignment="1" pivotButton="0" quotePrefix="0" xfId="0">
      <alignment wrapText="1"/>
    </xf>
    <xf numFmtId="0" fontId="0" fillId="43" borderId="0" pivotButton="0" quotePrefix="0" xfId="0"/>
    <xf numFmtId="0" fontId="1" fillId="43" borderId="0" pivotButton="0" quotePrefix="0" xfId="0"/>
    <xf numFmtId="0" fontId="1" fillId="43" borderId="0" applyAlignment="1" pivotButton="0" quotePrefix="0" xfId="0">
      <alignment vertical="center"/>
    </xf>
    <xf numFmtId="0" fontId="0" fillId="44" borderId="0" applyAlignment="1" pivotButton="0" quotePrefix="0" xfId="0">
      <alignment wrapText="1"/>
    </xf>
    <xf numFmtId="0" fontId="2" fillId="44" borderId="0" applyAlignment="1" pivotButton="0" quotePrefix="0" xfId="0">
      <alignment wrapText="1"/>
    </xf>
    <xf numFmtId="0" fontId="0" fillId="45" borderId="0" applyAlignment="1" pivotButton="0" quotePrefix="0" xfId="0">
      <alignment wrapText="1"/>
    </xf>
    <xf numFmtId="0" fontId="2" fillId="45" borderId="0" applyAlignment="1" pivotButton="0" quotePrefix="0" xfId="0">
      <alignment wrapText="1"/>
    </xf>
    <xf numFmtId="0" fontId="2" fillId="3" borderId="0" applyAlignment="1" pivotButton="0" quotePrefix="0" xfId="0">
      <alignment wrapText="1"/>
    </xf>
    <xf numFmtId="0" fontId="1" fillId="2" borderId="0" pivotButton="0" quotePrefix="0" xfId="0"/>
    <xf numFmtId="0" fontId="1" fillId="2" borderId="0" applyAlignment="1" pivotButton="0" quotePrefix="0" xfId="0">
      <alignment vertical="center"/>
    </xf>
    <xf numFmtId="0" fontId="2" fillId="6" borderId="0" applyAlignment="1" pivotButton="0" quotePrefix="0" xfId="0">
      <alignment wrapText="1"/>
    </xf>
    <xf numFmtId="0" fontId="2" fillId="5" borderId="0" applyAlignment="1" pivotButton="0" quotePrefix="0" xfId="0">
      <alignment wrapText="1"/>
    </xf>
    <xf numFmtId="0" fontId="0" fillId="46" borderId="1" applyAlignment="1" pivotButton="0" quotePrefix="0" xfId="0">
      <alignment vertical="center" wrapText="1"/>
    </xf>
    <xf numFmtId="0" fontId="0" fillId="46" borderId="0" applyAlignment="1" pivotButton="0" quotePrefix="0" xfId="0">
      <alignment vertical="center" wrapText="1"/>
    </xf>
    <xf numFmtId="0" fontId="0" fillId="47" borderId="0" pivotButton="0" quotePrefix="0" xfId="0"/>
    <xf numFmtId="0" fontId="4" fillId="47" borderId="0" pivotButton="0" quotePrefix="0" xfId="0"/>
    <xf numFmtId="0" fontId="4" fillId="47" borderId="0" applyAlignment="1" pivotButton="0" quotePrefix="0" xfId="0">
      <alignment wrapText="1"/>
    </xf>
    <xf numFmtId="0" fontId="0" fillId="48" borderId="0" pivotButton="0" quotePrefix="0" xfId="0"/>
    <xf numFmtId="172" fontId="0" fillId="48" borderId="0" pivotButton="0" quotePrefix="0" xfId="0"/>
    <xf numFmtId="172" fontId="0" fillId="48" borderId="0" applyAlignment="1" pivotButton="0" quotePrefix="0" xfId="0">
      <alignment wrapText="1"/>
    </xf>
    <xf numFmtId="0" fontId="4" fillId="2" borderId="0" applyAlignment="1" pivotButton="0" quotePrefix="0" xfId="0">
      <alignment wrapText="1"/>
    </xf>
    <xf numFmtId="172" fontId="0" fillId="6" borderId="0" pivotButton="0" quotePrefix="0" xfId="0"/>
    <xf numFmtId="172" fontId="0" fillId="6" borderId="0" applyAlignment="1" pivotButton="0" quotePrefix="0" xfId="0">
      <alignment wrapText="1"/>
    </xf>
    <xf numFmtId="0" fontId="0" fillId="49" borderId="0" pivotButton="0" quotePrefix="0" xfId="0"/>
    <xf numFmtId="0" fontId="4" fillId="49" borderId="0" pivotButton="0" quotePrefix="0" xfId="0"/>
    <xf numFmtId="0" fontId="4" fillId="49" borderId="0" applyAlignment="1" pivotButton="0" quotePrefix="0" xfId="0">
      <alignment wrapText="1"/>
    </xf>
    <xf numFmtId="0" fontId="4" fillId="49" borderId="0" applyAlignment="1" pivotButton="0" quotePrefix="0" xfId="0">
      <alignment vertical="center" wrapText="1"/>
    </xf>
    <xf numFmtId="0" fontId="0" fillId="50" borderId="0" pivotButton="0" quotePrefix="0" xfId="0"/>
    <xf numFmtId="0" fontId="2" fillId="50" borderId="0" pivotButton="0" quotePrefix="0" xfId="0"/>
    <xf numFmtId="0" fontId="2" fillId="50" borderId="0" applyAlignment="1" pivotButton="0" quotePrefix="0" xfId="0">
      <alignment wrapText="1"/>
    </xf>
    <xf numFmtId="0" fontId="2" fillId="50" borderId="0" applyAlignment="1" pivotButton="0" quotePrefix="0" xfId="0">
      <alignment vertical="center" wrapText="1"/>
    </xf>
    <xf numFmtId="0" fontId="0" fillId="51" borderId="0" pivotButton="0" quotePrefix="0" xfId="0"/>
    <xf numFmtId="0" fontId="13" fillId="51" borderId="0" pivotButton="0" quotePrefix="0" xfId="0"/>
    <xf numFmtId="0" fontId="13" fillId="51" borderId="0" applyAlignment="1" pivotButton="0" quotePrefix="0" xfId="0">
      <alignment wrapText="1"/>
    </xf>
    <xf numFmtId="0" fontId="2" fillId="0" borderId="0" applyAlignment="1" pivotButton="0" quotePrefix="0" xfId="0">
      <alignment wrapText="1"/>
    </xf>
    <xf numFmtId="0" fontId="0" fillId="50" borderId="0" applyAlignment="1" pivotButton="0" quotePrefix="0" xfId="0">
      <alignment wrapText="1"/>
    </xf>
    <xf numFmtId="0" fontId="2" fillId="51" borderId="0" applyAlignment="1" pivotButton="0" quotePrefix="0" xfId="0">
      <alignment wrapText="1"/>
    </xf>
    <xf numFmtId="0" fontId="0" fillId="51" borderId="0" applyAlignment="1" pivotButton="0" quotePrefix="0" xfId="0">
      <alignment wrapText="1"/>
    </xf>
    <xf numFmtId="0" fontId="18" fillId="51" borderId="0" applyAlignment="1" pivotButton="0" quotePrefix="0" xfId="0">
      <alignment wrapText="1"/>
    </xf>
    <xf numFmtId="0" fontId="2" fillId="51" borderId="0" pivotButton="0" quotePrefix="0" xfId="0"/>
    <xf numFmtId="0" fontId="2" fillId="51" borderId="0" applyAlignment="1" pivotButton="0" quotePrefix="0" xfId="0">
      <alignment horizontal="center"/>
    </xf>
    <xf numFmtId="0" fontId="0" fillId="52" borderId="0" pivotButton="0" quotePrefix="0" xfId="0"/>
    <xf numFmtId="0" fontId="4" fillId="52" borderId="0" pivotButton="0" quotePrefix="0" xfId="0"/>
    <xf numFmtId="0" fontId="4" fillId="52" borderId="0" applyAlignment="1" pivotButton="0" quotePrefix="0" xfId="0">
      <alignment wrapText="1"/>
    </xf>
    <xf numFmtId="0" fontId="0" fillId="53" borderId="0" pivotButton="0" quotePrefix="0" xfId="0"/>
    <xf numFmtId="0" fontId="0" fillId="53" borderId="0" applyAlignment="1" pivotButton="0" quotePrefix="0" xfId="0">
      <alignment wrapText="1"/>
    </xf>
    <xf numFmtId="168" fontId="0" fillId="0" borderId="0" pivotButton="0" quotePrefix="0" xfId="0"/>
    <xf numFmtId="0" fontId="4" fillId="49" borderId="0" applyAlignment="1" pivotButton="0" quotePrefix="0" xfId="0">
      <alignment vertical="top" wrapText="1"/>
    </xf>
    <xf numFmtId="0" fontId="2" fillId="50" borderId="0" applyAlignment="1" pivotButton="0" quotePrefix="0" xfId="0">
      <alignment vertical="top" wrapText="1"/>
    </xf>
    <xf numFmtId="0" fontId="13" fillId="51" borderId="0" applyAlignment="1" pivotButton="0" quotePrefix="0" xfId="0">
      <alignment vertical="top" wrapText="1"/>
    </xf>
    <xf numFmtId="0" fontId="4" fillId="49" borderId="0" applyAlignment="1" pivotButton="0" quotePrefix="0" xfId="0">
      <alignment vertical="top"/>
    </xf>
    <xf numFmtId="0" fontId="2" fillId="51" borderId="0" applyAlignment="1" pivotButton="0" quotePrefix="0" xfId="0">
      <alignment horizontal="center" vertical="top"/>
    </xf>
    <xf numFmtId="0" fontId="18" fillId="51" borderId="0" applyAlignment="1" pivotButton="0" quotePrefix="0" xfId="0">
      <alignment vertical="top" wrapText="1"/>
    </xf>
    <xf numFmtId="0" fontId="4" fillId="52" borderId="0" applyAlignment="1" pivotButton="0" quotePrefix="0" xfId="0">
      <alignment vertical="top" wrapText="1"/>
    </xf>
    <xf numFmtId="0" fontId="0" fillId="53" borderId="0" applyAlignment="1" pivotButton="0" quotePrefix="0" xfId="0">
      <alignment vertical="top"/>
    </xf>
    <xf numFmtId="0" fontId="0" fillId="53" borderId="0" applyAlignment="1" pivotButton="0" quotePrefix="0" xfId="0">
      <alignment vertical="top" wrapText="1"/>
    </xf>
    <xf numFmtId="168" fontId="0" fillId="0" borderId="0" applyAlignment="1" pivotButton="0" quotePrefix="0" xfId="0">
      <alignment vertical="top"/>
    </xf>
    <xf numFmtId="0" fontId="2" fillId="51" borderId="0" applyAlignment="1" pivotButton="0" quotePrefix="0" xfId="0">
      <alignment horizontal="center" vertical="top" wrapText="1"/>
    </xf>
    <xf numFmtId="168" fontId="0" fillId="0" borderId="0" applyAlignment="1" pivotButton="0" quotePrefix="0" xfId="0">
      <alignment vertical="top" wrapText="1"/>
    </xf>
    <xf numFmtId="0" fontId="0" fillId="51" borderId="0" applyAlignment="1" pivotButton="0" quotePrefix="0" xfId="0">
      <alignment vertical="center" wrapText="1"/>
    </xf>
    <xf numFmtId="0" fontId="2" fillId="51" borderId="0" applyAlignment="1" pivotButton="0" quotePrefix="0" xfId="0">
      <alignment vertical="center" wrapText="1"/>
    </xf>
    <xf numFmtId="0" fontId="2" fillId="54" borderId="0" applyAlignment="1" pivotButton="0" quotePrefix="0" xfId="0">
      <alignment wrapText="1"/>
    </xf>
    <xf numFmtId="0" fontId="0" fillId="54" borderId="0" applyAlignment="1" pivotButton="0" quotePrefix="0" xfId="0">
      <alignment wrapText="1"/>
    </xf>
    <xf numFmtId="0" fontId="0" fillId="49" borderId="0" applyAlignment="1" pivotButton="0" quotePrefix="0" xfId="0">
      <alignment vertical="top" wrapText="1"/>
    </xf>
    <xf numFmtId="0" fontId="0" fillId="52" borderId="0" applyAlignment="1" pivotButton="0" quotePrefix="0" xfId="0">
      <alignment vertical="top" wrapText="1"/>
    </xf>
    <xf numFmtId="0" fontId="0" fillId="55" borderId="0" applyAlignment="1" pivotButton="0" quotePrefix="0" xfId="0">
      <alignment vertical="top" wrapText="1"/>
    </xf>
    <xf numFmtId="0" fontId="0" fillId="5" borderId="0" pivotButton="0" quotePrefix="0" xfId="0"/>
    <xf numFmtId="0" fontId="13" fillId="3" borderId="0" pivotButton="0" quotePrefix="0" xfId="0"/>
    <xf numFmtId="0" fontId="13" fillId="3" borderId="0" applyAlignment="1" pivotButton="0" quotePrefix="0" xfId="0">
      <alignment wrapText="1"/>
    </xf>
    <xf numFmtId="0" fontId="18" fillId="3" borderId="0" applyAlignment="1" pivotButton="0" quotePrefix="0" xfId="0">
      <alignment wrapText="1"/>
    </xf>
    <xf numFmtId="0" fontId="2" fillId="3" borderId="0" applyAlignment="1" pivotButton="0" quotePrefix="0" xfId="0">
      <alignment horizontal="center"/>
    </xf>
    <xf numFmtId="0" fontId="2" fillId="5" borderId="0" applyAlignment="1" pivotButton="0" quotePrefix="0" xfId="0">
      <alignment vertical="top" wrapText="1"/>
    </xf>
    <xf numFmtId="0" fontId="13" fillId="3" borderId="0" applyAlignment="1" pivotButton="0" quotePrefix="0" xfId="0">
      <alignment vertical="top" wrapText="1"/>
    </xf>
    <xf numFmtId="0" fontId="4" fillId="2" borderId="0" applyAlignment="1" pivotButton="0" quotePrefix="0" xfId="0">
      <alignment vertical="top"/>
    </xf>
    <xf numFmtId="0" fontId="2" fillId="3" borderId="0" applyAlignment="1" pivotButton="0" quotePrefix="0" xfId="0">
      <alignment horizontal="center" vertical="top"/>
    </xf>
    <xf numFmtId="0" fontId="18" fillId="3" borderId="0" applyAlignment="1" pivotButton="0" quotePrefix="0" xfId="0">
      <alignment vertical="top" wrapText="1"/>
    </xf>
    <xf numFmtId="0" fontId="4" fillId="9" borderId="0" applyAlignment="1" pivotButton="0" quotePrefix="0" xfId="0">
      <alignment vertical="top" wrapText="1"/>
    </xf>
    <xf numFmtId="0" fontId="2" fillId="3" borderId="0" applyAlignment="1" pivotButton="0" quotePrefix="0" xfId="0">
      <alignment horizontal="center" vertical="top" wrapText="1"/>
    </xf>
    <xf numFmtId="0" fontId="0" fillId="2" borderId="0" applyAlignment="1" pivotButton="0" quotePrefix="0" xfId="0">
      <alignment vertical="top" wrapText="1"/>
    </xf>
    <xf numFmtId="0" fontId="0" fillId="9" borderId="0" applyAlignment="1" pivotButton="0" quotePrefix="0" xfId="0">
      <alignment vertical="top" wrapText="1"/>
    </xf>
    <xf numFmtId="0" fontId="0" fillId="13" borderId="0" applyAlignment="1" pivotButton="0" quotePrefix="0" xfId="0">
      <alignment vertical="top" wrapText="1"/>
    </xf>
    <xf numFmtId="0" fontId="0" fillId="56" borderId="0" pivotButton="0" quotePrefix="0" xfId="0"/>
    <xf numFmtId="0" fontId="5" fillId="56" borderId="0" pivotButton="0" quotePrefix="0" xfId="0"/>
    <xf numFmtId="0" fontId="5" fillId="56" borderId="0" applyAlignment="1" pivotButton="0" quotePrefix="0" xfId="0">
      <alignment horizontal="left"/>
    </xf>
    <xf numFmtId="0" fontId="5" fillId="56" borderId="0" applyAlignment="1" pivotButton="0" quotePrefix="0" xfId="0">
      <alignment horizontal="left" vertical="center"/>
    </xf>
    <xf numFmtId="0" fontId="0" fillId="57" borderId="0" pivotButton="0" quotePrefix="0" xfId="0"/>
    <xf numFmtId="0" fontId="19" fillId="57" borderId="0" pivotButton="0" quotePrefix="0" xfId="0"/>
    <xf numFmtId="0" fontId="19" fillId="57" borderId="0" applyAlignment="1" pivotButton="0" quotePrefix="0" xfId="0">
      <alignment wrapText="1"/>
    </xf>
    <xf numFmtId="0" fontId="4" fillId="56" borderId="0" pivotButton="0" quotePrefix="0" xfId="0"/>
    <xf numFmtId="0" fontId="4" fillId="56" borderId="0" applyAlignment="1" pivotButton="0" quotePrefix="0" xfId="0">
      <alignment wrapText="1"/>
    </xf>
    <xf numFmtId="0" fontId="4" fillId="56" borderId="0" applyAlignment="1" pivotButton="0" quotePrefix="0" xfId="0">
      <alignment horizontal="center" wrapText="1"/>
    </xf>
    <xf numFmtId="0" fontId="4" fillId="56" borderId="0" applyAlignment="1" pivotButton="0" quotePrefix="0" xfId="0">
      <alignment horizontal="center" vertical="center" wrapText="1"/>
    </xf>
    <xf numFmtId="2" fontId="0" fillId="0" borderId="0" applyAlignment="1" pivotButton="0" quotePrefix="0" xfId="0">
      <alignment wrapText="1"/>
    </xf>
    <xf numFmtId="0" fontId="5" fillId="56" borderId="0" applyAlignment="1" pivotButton="0" quotePrefix="0" xfId="0">
      <alignment horizontal="left" vertical="center" wrapText="1"/>
    </xf>
    <xf numFmtId="173" fontId="2" fillId="6" borderId="0" applyAlignment="1" pivotButton="0" quotePrefix="0" xfId="0">
      <alignment vertical="center" wrapText="1"/>
    </xf>
    <xf numFmtId="173" fontId="0" fillId="6" borderId="1" applyAlignment="1" pivotButton="0" quotePrefix="0" xfId="0">
      <alignment vertical="center" wrapText="1"/>
    </xf>
    <xf numFmtId="173" fontId="2" fillId="6" borderId="1" applyAlignment="1" pivotButton="0" quotePrefix="0" xfId="0">
      <alignment vertical="center" wrapText="1"/>
    </xf>
    <xf numFmtId="173" fontId="0" fillId="6" borderId="0" applyAlignment="1" pivotButton="0" quotePrefix="0" xfId="0">
      <alignment vertical="center" wrapText="1"/>
    </xf>
    <xf numFmtId="174" fontId="0" fillId="8" borderId="1" applyAlignment="1" pivotButton="0" quotePrefix="0" xfId="0">
      <alignment vertical="center" wrapText="1"/>
    </xf>
    <xf numFmtId="174" fontId="2" fillId="4" borderId="1" applyAlignment="1" pivotButton="0" quotePrefix="0" xfId="0">
      <alignment vertical="center" wrapText="1"/>
    </xf>
    <xf numFmtId="174" fontId="0" fillId="8" borderId="0" applyAlignment="1" pivotButton="0" quotePrefix="0" xfId="0">
      <alignment vertical="center" wrapText="1"/>
    </xf>
    <xf numFmtId="174" fontId="0" fillId="8" borderId="0" applyAlignment="1" pivotButton="0" quotePrefix="0" xfId="0">
      <alignment vertical="top" wrapText="1"/>
    </xf>
    <xf numFmtId="174" fontId="2" fillId="8" borderId="1" applyAlignment="1" pivotButton="0" quotePrefix="0" xfId="0">
      <alignment vertical="center" wrapText="1"/>
    </xf>
    <xf numFmtId="174" fontId="0" fillId="8" borderId="1" applyAlignment="1" pivotButton="0" quotePrefix="0" xfId="0">
      <alignment vertical="top" wrapText="1"/>
    </xf>
    <xf numFmtId="174" fontId="2" fillId="4" borderId="1" applyAlignment="1" pivotButton="0" quotePrefix="0" xfId="0">
      <alignment vertical="top" wrapText="1"/>
    </xf>
    <xf numFmtId="174" fontId="2" fillId="8" borderId="0" applyAlignment="1" pivotButton="0" quotePrefix="0" xfId="0">
      <alignment vertical="top" wrapText="1"/>
    </xf>
    <xf numFmtId="174" fontId="2" fillId="8" borderId="1" applyAlignment="1" pivotButton="0" quotePrefix="0" xfId="0">
      <alignment vertical="top" wrapText="1"/>
    </xf>
    <xf numFmtId="174" fontId="4" fillId="2" borderId="0" applyAlignment="1" pivotButton="0" quotePrefix="0" xfId="0">
      <alignment vertical="top" wrapText="1"/>
    </xf>
    <xf numFmtId="174" fontId="0" fillId="0" borderId="0" applyAlignment="1" pivotButton="0" quotePrefix="0" xfId="0">
      <alignment vertical="top" wrapText="1"/>
    </xf>
    <xf numFmtId="174" fontId="0" fillId="0" borderId="1" applyAlignment="1" pivotButton="0" quotePrefix="0" xfId="0">
      <alignment vertical="center" wrapText="1"/>
    </xf>
    <xf numFmtId="174" fontId="0" fillId="0" borderId="0" applyAlignment="1" pivotButton="0" quotePrefix="0" xfId="0">
      <alignment vertical="center" wrapText="1"/>
    </xf>
    <xf numFmtId="174" fontId="2" fillId="3" borderId="1" applyAlignment="1" pivotButton="0" quotePrefix="0" xfId="0">
      <alignment vertical="center" wrapText="1"/>
    </xf>
    <xf numFmtId="174" fontId="0" fillId="0" borderId="2" applyAlignment="1" pivotButton="0" quotePrefix="0" xfId="0">
      <alignment vertical="center" wrapText="1"/>
    </xf>
    <xf numFmtId="0" fontId="0" fillId="58" borderId="0" applyAlignment="1" pivotButton="0" quotePrefix="0" xfId="0">
      <alignment vertical="top" wrapText="1"/>
    </xf>
    <xf numFmtId="0" fontId="0" fillId="58" borderId="0" pivotButton="0" quotePrefix="0" xfId="0"/>
    <xf numFmtId="0" fontId="4" fillId="58" borderId="0" applyAlignment="1" pivotButton="0" quotePrefix="0" xfId="0">
      <alignment vertical="top" wrapText="1"/>
    </xf>
    <xf numFmtId="0" fontId="4" fillId="58" borderId="0" pivotButton="0" quotePrefix="0" xfId="0"/>
    <xf numFmtId="0" fontId="4" fillId="58" borderId="0" applyAlignment="1" pivotButton="0" quotePrefix="0" xfId="0">
      <alignment wrapText="1"/>
    </xf>
    <xf numFmtId="0" fontId="4" fillId="58" borderId="0" applyAlignment="1" pivotButton="0" quotePrefix="0" xfId="0">
      <alignment vertical="center" wrapText="1"/>
    </xf>
    <xf numFmtId="0" fontId="0" fillId="59" borderId="0" applyAlignment="1" pivotButton="0" quotePrefix="0" xfId="0">
      <alignment vertical="top" wrapText="1"/>
    </xf>
    <xf numFmtId="0" fontId="0" fillId="59" borderId="0" pivotButton="0" quotePrefix="0" xfId="0"/>
    <xf numFmtId="0" fontId="2" fillId="59" borderId="0" applyAlignment="1" pivotButton="0" quotePrefix="0" xfId="0">
      <alignment vertical="top" wrapText="1"/>
    </xf>
    <xf numFmtId="0" fontId="2" fillId="59" borderId="0" pivotButton="0" quotePrefix="0" xfId="0"/>
    <xf numFmtId="0" fontId="2" fillId="59" borderId="0" applyAlignment="1" pivotButton="0" quotePrefix="0" xfId="0">
      <alignment wrapText="1"/>
    </xf>
    <xf numFmtId="171" fontId="2" fillId="59" borderId="0" applyAlignment="1" pivotButton="0" quotePrefix="0" xfId="0">
      <alignment vertical="top" wrapText="1"/>
    </xf>
    <xf numFmtId="175" fontId="0" fillId="0" borderId="0" applyAlignment="1" pivotButton="0" quotePrefix="0" xfId="0">
      <alignment vertical="top" wrapText="1"/>
    </xf>
    <xf numFmtId="171" fontId="2" fillId="59" borderId="0" applyAlignment="1" pivotButton="0" quotePrefix="0" xfId="0">
      <alignment wrapText="1"/>
    </xf>
    <xf numFmtId="2" fontId="2" fillId="59" borderId="0" applyAlignment="1" pivotButton="0" quotePrefix="0" xfId="0">
      <alignment wrapText="1"/>
    </xf>
    <xf numFmtId="2" fontId="0" fillId="0" borderId="0" applyAlignment="1" pivotButton="0" quotePrefix="0" xfId="0">
      <alignment vertical="top" wrapText="1"/>
    </xf>
    <xf numFmtId="0" fontId="0" fillId="3" borderId="0" applyAlignment="1" pivotButton="0" quotePrefix="0" xfId="0">
      <alignment vertical="top" wrapText="1"/>
    </xf>
    <xf numFmtId="171" fontId="2" fillId="3" borderId="0" applyAlignment="1" pivotButton="0" quotePrefix="0" xfId="0">
      <alignment vertical="top" wrapText="1"/>
    </xf>
    <xf numFmtId="171" fontId="2" fillId="3" borderId="0" applyAlignment="1" pivotButton="0" quotePrefix="0" xfId="0">
      <alignment wrapText="1"/>
    </xf>
    <xf numFmtId="2" fontId="2" fillId="3" borderId="0" applyAlignment="1" pivotButton="0" quotePrefix="0" xfId="0">
      <alignment wrapText="1"/>
    </xf>
    <xf numFmtId="0" fontId="0" fillId="60" borderId="1" applyAlignment="1" pivotButton="0" quotePrefix="0" xfId="0">
      <alignment vertical="top" wrapText="1"/>
    </xf>
    <xf numFmtId="164" fontId="0" fillId="60" borderId="2" applyAlignment="1" pivotButton="0" quotePrefix="0" xfId="0">
      <alignment vertical="top" wrapText="1"/>
    </xf>
    <xf numFmtId="0" fontId="0" fillId="60" borderId="0" applyAlignment="1" pivotButton="0" quotePrefix="0" xfId="0">
      <alignment wrapText="1"/>
    </xf>
    <xf numFmtId="0" fontId="0" fillId="60" borderId="0" pivotButton="0" quotePrefix="0" xfId="0"/>
    <xf numFmtId="0" fontId="4" fillId="60" borderId="1" applyAlignment="1" pivotButton="0" quotePrefix="0" xfId="0">
      <alignment vertical="top" wrapText="1"/>
    </xf>
    <xf numFmtId="164" fontId="4" fillId="60" borderId="2" applyAlignment="1" pivotButton="0" quotePrefix="0" xfId="0">
      <alignment vertical="top" wrapText="1"/>
    </xf>
    <xf numFmtId="0" fontId="4" fillId="60" borderId="0" applyAlignment="1" pivotButton="0" quotePrefix="0" xfId="0">
      <alignment wrapText="1"/>
    </xf>
    <xf numFmtId="0" fontId="4" fillId="60" borderId="0" pivotButton="0" quotePrefix="0" xfId="0"/>
    <xf numFmtId="0" fontId="4" fillId="60" borderId="1" applyAlignment="1" pivotButton="0" quotePrefix="0" xfId="0">
      <alignment vertical="center" wrapText="1"/>
    </xf>
    <xf numFmtId="164" fontId="4" fillId="60" borderId="2" applyAlignment="1" pivotButton="0" quotePrefix="0" xfId="0">
      <alignment vertical="center" wrapText="1"/>
    </xf>
    <xf numFmtId="0" fontId="4" fillId="60" borderId="0" applyAlignment="1" pivotButton="0" quotePrefix="0" xfId="0">
      <alignment vertical="center" wrapText="1"/>
    </xf>
    <xf numFmtId="172" fontId="0" fillId="0" borderId="0" applyAlignment="1" pivotButton="0" quotePrefix="0" xfId="0">
      <alignment wrapText="1"/>
    </xf>
    <xf numFmtId="172" fontId="0" fillId="0" borderId="0" pivotButton="0" quotePrefix="0" xfId="0"/>
    <xf numFmtId="172" fontId="4" fillId="60" borderId="0" applyAlignment="1" pivotButton="0" quotePrefix="0" xfId="0">
      <alignment vertical="center" wrapText="1"/>
    </xf>
    <xf numFmtId="0" fontId="0" fillId="2" borderId="1" applyAlignment="1" pivotButton="0" quotePrefix="0" xfId="0">
      <alignment vertical="top" wrapText="1"/>
    </xf>
    <xf numFmtId="164" fontId="0" fillId="2" borderId="2" applyAlignment="1" pivotButton="0" quotePrefix="0" xfId="0">
      <alignment vertical="top" wrapText="1"/>
    </xf>
    <xf numFmtId="0" fontId="0" fillId="2" borderId="0" applyAlignment="1" pivotButton="0" quotePrefix="0" xfId="0">
      <alignment wrapText="1"/>
    </xf>
    <xf numFmtId="0" fontId="4" fillId="2" borderId="1" applyAlignment="1" pivotButton="0" quotePrefix="0" xfId="0">
      <alignment vertical="top" wrapText="1"/>
    </xf>
    <xf numFmtId="164" fontId="4" fillId="2" borderId="2" applyAlignment="1" pivotButton="0" quotePrefix="0" xfId="0">
      <alignment vertical="top" wrapText="1"/>
    </xf>
    <xf numFmtId="164" fontId="4" fillId="2" borderId="2" applyAlignment="1" pivotButton="0" quotePrefix="0" xfId="0">
      <alignment vertical="center" wrapText="1"/>
    </xf>
    <xf numFmtId="172" fontId="4" fillId="2" borderId="0" applyAlignment="1" pivotButton="0" quotePrefix="0" xfId="0">
      <alignment vertical="center" wrapText="1"/>
    </xf>
    <xf numFmtId="0" fontId="2" fillId="0" borderId="1" applyAlignment="1" pivotButton="0" quotePrefix="0" xfId="0">
      <alignment vertical="top" wrapText="1"/>
    </xf>
    <xf numFmtId="0" fontId="2" fillId="6" borderId="1" applyAlignment="1" pivotButton="0" quotePrefix="0" xfId="0">
      <alignment vertical="top" wrapText="1"/>
    </xf>
    <xf numFmtId="165" fontId="2" fillId="6" borderId="1" applyAlignment="1" pivotButton="0" quotePrefix="0" xfId="0">
      <alignment horizontal="center" vertical="top" wrapText="1"/>
    </xf>
    <xf numFmtId="0" fontId="0" fillId="6" borderId="0" applyAlignment="1" pivotButton="0" quotePrefix="0" xfId="0">
      <alignment vertical="top" wrapText="1"/>
    </xf>
    <xf numFmtId="165" fontId="0" fillId="8" borderId="1" applyAlignment="1" pivotButton="0" quotePrefix="0" xfId="0">
      <alignment vertical="top" wrapText="1"/>
    </xf>
    <xf numFmtId="165" fontId="2" fillId="4" borderId="1" applyAlignment="1" pivotButton="0" quotePrefix="0" xfId="0">
      <alignment vertical="top" wrapText="1"/>
    </xf>
    <xf numFmtId="165" fontId="0" fillId="0" borderId="2" applyAlignment="1" pivotButton="0" quotePrefix="0" xfId="0">
      <alignment vertical="top" wrapText="1"/>
    </xf>
    <xf numFmtId="172" fontId="0" fillId="0" borderId="0" applyAlignment="1" pivotButton="0" quotePrefix="0" xfId="0">
      <alignment vertical="top" wrapText="1"/>
    </xf>
    <xf numFmtId="172" fontId="4" fillId="2" borderId="0" applyAlignment="1" pivotButton="0" quotePrefix="0" xfId="0">
      <alignment vertical="top" wrapText="1"/>
    </xf>
    <xf numFmtId="0" fontId="4" fillId="61" borderId="1" applyAlignment="1" pivotButton="0" quotePrefix="0" xfId="0">
      <alignment vertical="top" wrapText="1"/>
    </xf>
    <xf numFmtId="164" fontId="4" fillId="61" borderId="2" applyAlignment="1" pivotButton="0" quotePrefix="0" xfId="0">
      <alignment vertical="top" wrapText="1"/>
    </xf>
    <xf numFmtId="0" fontId="4" fillId="61" borderId="0" applyAlignment="1" pivotButton="0" quotePrefix="0" xfId="0">
      <alignment vertical="top" wrapText="1"/>
    </xf>
    <xf numFmtId="0" fontId="4" fillId="61" borderId="1" applyAlignment="1" pivotButton="0" quotePrefix="0" xfId="0">
      <alignment vertical="center" wrapText="1"/>
    </xf>
    <xf numFmtId="164" fontId="4" fillId="61" borderId="2" applyAlignment="1" pivotButton="0" quotePrefix="0" xfId="0">
      <alignment vertical="center" wrapText="1"/>
    </xf>
    <xf numFmtId="0" fontId="4" fillId="61" borderId="0" applyAlignment="1" pivotButton="0" quotePrefix="0" xfId="0">
      <alignment vertical="center" wrapText="1"/>
    </xf>
    <xf numFmtId="0" fontId="4" fillId="61" borderId="1" applyAlignment="1" pivotButton="0" quotePrefix="0" xfId="0">
      <alignment horizontal="left" vertical="center" wrapText="1"/>
    </xf>
    <xf numFmtId="164" fontId="4" fillId="61" borderId="2" applyAlignment="1" pivotButton="0" quotePrefix="0" xfId="0">
      <alignment horizontal="left" vertical="center" wrapText="1"/>
    </xf>
    <xf numFmtId="0" fontId="4" fillId="61" borderId="0" applyAlignment="1" pivotButton="0" quotePrefix="0" xfId="0">
      <alignment horizontal="left" vertical="center" wrapText="1"/>
    </xf>
    <xf numFmtId="172" fontId="4" fillId="61" borderId="0" applyAlignment="1" pivotButton="0" quotePrefix="0" xfId="0">
      <alignment vertical="top" wrapText="1"/>
    </xf>
    <xf numFmtId="0" fontId="4" fillId="2" borderId="1" applyAlignment="1" pivotButton="0" quotePrefix="0" xfId="0">
      <alignment horizontal="left" vertical="center" wrapText="1"/>
    </xf>
    <xf numFmtId="164" fontId="4" fillId="2" borderId="2" applyAlignment="1" pivotButton="0" quotePrefix="0" xfId="0">
      <alignment horizontal="left" vertical="center" wrapText="1"/>
    </xf>
    <xf numFmtId="0" fontId="4" fillId="2" borderId="0" applyAlignment="1" pivotButton="0" quotePrefix="0" xfId="0">
      <alignment horizontal="left" vertical="center" wrapText="1"/>
    </xf>
    <xf numFmtId="0" fontId="20" fillId="2" borderId="1" applyAlignment="1" pivotButton="0" quotePrefix="0" xfId="0">
      <alignment horizontal="left" vertical="center" wrapText="1"/>
    </xf>
    <xf numFmtId="164" fontId="20" fillId="2" borderId="2" applyAlignment="1" pivotButton="0" quotePrefix="0" xfId="0">
      <alignment horizontal="left" vertical="center" wrapText="1"/>
    </xf>
    <xf numFmtId="0" fontId="20" fillId="2" borderId="0" applyAlignment="1" pivotButton="0" quotePrefix="0" xfId="0">
      <alignment horizontal="left" vertical="center" wrapText="1"/>
    </xf>
    <xf numFmtId="0" fontId="20" fillId="62" borderId="1" applyAlignment="1" pivotButton="0" quotePrefix="0" xfId="0">
      <alignment horizontal="left" vertical="center" wrapText="1"/>
    </xf>
    <xf numFmtId="164" fontId="20" fillId="62" borderId="2" applyAlignment="1" pivotButton="0" quotePrefix="0" xfId="0">
      <alignment horizontal="left" vertical="center" wrapText="1"/>
    </xf>
    <xf numFmtId="0" fontId="20" fillId="62" borderId="0" applyAlignment="1" pivotButton="0" quotePrefix="0" xfId="0">
      <alignment horizontal="left" vertical="center" wrapText="1"/>
    </xf>
    <xf numFmtId="0" fontId="20" fillId="63" borderId="1" applyAlignment="1" pivotButton="0" quotePrefix="0" xfId="0">
      <alignment horizontal="left" vertical="center" wrapText="1"/>
    </xf>
    <xf numFmtId="164" fontId="20" fillId="63" borderId="2" applyAlignment="1" pivotButton="0" quotePrefix="0" xfId="0">
      <alignment horizontal="left" vertical="center" wrapText="1"/>
    </xf>
    <xf numFmtId="0" fontId="20" fillId="63" borderId="0" applyAlignment="1" pivotButton="0" quotePrefix="0" xfId="0">
      <alignment horizontal="left" vertical="center" wrapText="1"/>
    </xf>
    <xf numFmtId="0" fontId="0" fillId="64" borderId="0" pivotButton="0" quotePrefix="0" xfId="0"/>
    <xf numFmtId="0" fontId="4" fillId="64" borderId="0" pivotButton="0" quotePrefix="0" xfId="0"/>
    <xf numFmtId="0" fontId="4" fillId="64" borderId="0" applyAlignment="1" pivotButton="0" quotePrefix="0" xfId="0">
      <alignment wrapText="1"/>
    </xf>
    <xf numFmtId="0" fontId="0" fillId="65" borderId="0" pivotButton="0" quotePrefix="0" xfId="0"/>
    <xf numFmtId="0" fontId="4" fillId="65" borderId="0" pivotButton="0" quotePrefix="0" xfId="0"/>
    <xf numFmtId="0" fontId="0" fillId="66" borderId="0" pivotButton="0" quotePrefix="0" xfId="0"/>
    <xf numFmtId="0" fontId="2" fillId="66" borderId="0" pivotButton="0" quotePrefix="0" xfId="0"/>
    <xf numFmtId="0" fontId="4" fillId="65" borderId="0" applyAlignment="1" pivotButton="0" quotePrefix="0" xfId="0">
      <alignment wrapText="1"/>
    </xf>
    <xf numFmtId="0" fontId="0" fillId="67" borderId="0" pivotButton="0" quotePrefix="0" xfId="0"/>
    <xf numFmtId="0" fontId="4" fillId="67" borderId="0" pivotButton="0" quotePrefix="0" xfId="0"/>
    <xf numFmtId="0" fontId="0" fillId="68" borderId="0" pivotButton="0" quotePrefix="0" xfId="0"/>
    <xf numFmtId="0" fontId="2" fillId="68" borderId="0" pivotButton="0" quotePrefix="0" xfId="0"/>
    <xf numFmtId="0" fontId="4" fillId="67" borderId="0" applyAlignment="1" pivotButton="0" quotePrefix="0" xfId="0">
      <alignment wrapText="1"/>
    </xf>
    <xf numFmtId="0" fontId="0" fillId="69" borderId="0" pivotButton="0" quotePrefix="0" xfId="0"/>
    <xf numFmtId="0" fontId="4" fillId="69" borderId="0" pivotButton="0" quotePrefix="0" xfId="0"/>
    <xf numFmtId="0" fontId="4" fillId="69" borderId="0" applyAlignment="1" pivotButton="0" quotePrefix="0" xfId="0">
      <alignment wrapText="1"/>
    </xf>
    <xf numFmtId="4" fontId="0" fillId="7" borderId="1" applyAlignment="1" pivotButton="0" quotePrefix="0" xfId="0">
      <alignment vertical="center" wrapText="1"/>
    </xf>
    <xf numFmtId="171" fontId="0" fillId="6" borderId="1" applyAlignment="1" pivotButton="0" quotePrefix="0" xfId="0">
      <alignment vertical="center" wrapText="1"/>
    </xf>
    <xf numFmtId="0" fontId="13" fillId="14" borderId="1" applyAlignment="1" pivotButton="0" quotePrefix="0" xfId="0">
      <alignment vertical="center" wrapText="1"/>
    </xf>
    <xf numFmtId="0" fontId="13" fillId="13" borderId="1" applyAlignment="1" pivotButton="0" quotePrefix="0" xfId="0">
      <alignment vertical="center" wrapText="1"/>
    </xf>
    <xf numFmtId="0" fontId="0" fillId="70" borderId="0" pivotButton="0" quotePrefix="0" xfId="0"/>
    <xf numFmtId="0" fontId="4" fillId="70" borderId="0" pivotButton="0" quotePrefix="0" xfId="0"/>
    <xf numFmtId="0" fontId="4" fillId="70" borderId="0" applyAlignment="1" pivotButton="0" quotePrefix="0" xfId="0">
      <alignment wrapText="1"/>
    </xf>
    <xf numFmtId="0" fontId="0" fillId="71" borderId="0" pivotButton="0" quotePrefix="0" xfId="0"/>
    <xf numFmtId="0" fontId="4" fillId="71" borderId="0" pivotButton="0" quotePrefix="0" xfId="0"/>
    <xf numFmtId="0" fontId="0" fillId="72" borderId="0" pivotButton="0" quotePrefix="0" xfId="0"/>
    <xf numFmtId="0" fontId="2" fillId="72" borderId="0" pivotButton="0" quotePrefix="0" xfId="0"/>
    <xf numFmtId="0" fontId="4" fillId="71" borderId="0" applyAlignment="1" pivotButton="0" quotePrefix="0" xfId="0">
      <alignment wrapText="1"/>
    </xf>
    <xf numFmtId="0" fontId="4" fillId="2" borderId="0" applyAlignment="1" pivotButton="0" quotePrefix="0" xfId="0">
      <alignment horizontal="left" wrapText="1"/>
    </xf>
    <xf numFmtId="0" fontId="0" fillId="73" borderId="0" pivotButton="0" quotePrefix="0" xfId="0"/>
    <xf numFmtId="0" fontId="4" fillId="73" borderId="0" pivotButton="0" quotePrefix="0" xfId="0"/>
    <xf numFmtId="0" fontId="4" fillId="73" borderId="0" applyAlignment="1" pivotButton="0" quotePrefix="0" xfId="0">
      <alignment wrapText="1"/>
    </xf>
    <xf numFmtId="0" fontId="0" fillId="74" borderId="0" pivotButton="0" quotePrefix="0" xfId="0"/>
    <xf numFmtId="0" fontId="5" fillId="74" borderId="0" pivotButton="0" quotePrefix="0" xfId="0"/>
    <xf numFmtId="0" fontId="0" fillId="75" borderId="0" pivotButton="0" quotePrefix="0" xfId="0"/>
    <xf numFmtId="0" fontId="13" fillId="75" borderId="0" pivotButton="0" quotePrefix="0" xfId="0"/>
    <xf numFmtId="0" fontId="13" fillId="75" borderId="0" applyAlignment="1" pivotButton="0" quotePrefix="0" xfId="0">
      <alignment wrapText="1"/>
    </xf>
    <xf numFmtId="0" fontId="4" fillId="74" borderId="0" pivotButton="0" quotePrefix="0" xfId="0"/>
    <xf numFmtId="0" fontId="2" fillId="75" borderId="0" pivotButton="0" quotePrefix="0" xfId="0"/>
    <xf numFmtId="0" fontId="5" fillId="74" borderId="0" applyAlignment="1" pivotButton="0" quotePrefix="0" xfId="0">
      <alignment wrapText="1"/>
    </xf>
    <xf numFmtId="0" fontId="4" fillId="74" borderId="0" applyAlignment="1" pivotButton="0" quotePrefix="0" xfId="0">
      <alignment wrapText="1"/>
    </xf>
    <xf numFmtId="0" fontId="2" fillId="75" borderId="0" applyAlignment="1" pivotButton="0" quotePrefix="0" xfId="0">
      <alignment wrapText="1"/>
    </xf>
    <xf numFmtId="4" fontId="0" fillId="0" borderId="0" applyAlignment="1" pivotButton="0" quotePrefix="0" xfId="0">
      <alignment wrapText="1"/>
    </xf>
    <xf numFmtId="4" fontId="0" fillId="0" borderId="0" applyAlignment="1" pivotButton="0" quotePrefix="0" xfId="0">
      <alignment horizontal="right" wrapText="1"/>
    </xf>
    <xf numFmtId="4" fontId="2" fillId="0" borderId="0" applyAlignment="1" pivotButton="0" quotePrefix="0" xfId="0">
      <alignment horizontal="right" wrapText="1"/>
    </xf>
    <xf numFmtId="0" fontId="2" fillId="76" borderId="0" applyAlignment="1" pivotButton="0" quotePrefix="0" xfId="0">
      <alignment wrapText="1"/>
    </xf>
    <xf numFmtId="4" fontId="2" fillId="76" borderId="0" applyAlignment="1" pivotButton="0" quotePrefix="0" xfId="0">
      <alignment horizontal="right" wrapText="1"/>
    </xf>
    <xf numFmtId="0" fontId="2" fillId="77" borderId="0" applyAlignment="1" pivotButton="0" quotePrefix="0" xfId="0">
      <alignment wrapText="1"/>
    </xf>
    <xf numFmtId="4" fontId="2" fillId="77" borderId="0" applyAlignment="1" pivotButton="0" quotePrefix="0" xfId="0">
      <alignment horizontal="right" wrapText="1"/>
    </xf>
    <xf numFmtId="0" fontId="2" fillId="78" borderId="0" applyAlignment="1" pivotButton="0" quotePrefix="0" xfId="0">
      <alignment wrapText="1"/>
    </xf>
    <xf numFmtId="4" fontId="2" fillId="0" borderId="0" applyAlignment="1" pivotButton="0" quotePrefix="0" xfId="0">
      <alignment wrapText="1"/>
    </xf>
    <xf numFmtId="4" fontId="2" fillId="76" borderId="0" applyAlignment="1" pivotButton="0" quotePrefix="0" xfId="0">
      <alignment wrapText="1"/>
    </xf>
    <xf numFmtId="4" fontId="2" fillId="77" borderId="0" applyAlignment="1" pivotButton="0" quotePrefix="0" xfId="0">
      <alignment wrapText="1"/>
    </xf>
    <xf numFmtId="0" fontId="0" fillId="78" borderId="0" applyAlignment="1" pivotButton="0" quotePrefix="0" xfId="0">
      <alignment wrapText="1"/>
    </xf>
    <xf numFmtId="4" fontId="2" fillId="6" borderId="0" applyAlignment="1" pivotButton="0" quotePrefix="0" xfId="0">
      <alignment horizontal="right" wrapText="1"/>
    </xf>
    <xf numFmtId="0" fontId="2" fillId="7" borderId="0" applyAlignment="1" pivotButton="0" quotePrefix="0" xfId="0">
      <alignment wrapText="1"/>
    </xf>
    <xf numFmtId="4" fontId="2" fillId="7" borderId="0" applyAlignment="1" pivotButton="0" quotePrefix="0" xfId="0">
      <alignment horizontal="right" wrapText="1"/>
    </xf>
    <xf numFmtId="0" fontId="2" fillId="24" borderId="0" applyAlignment="1" pivotButton="0" quotePrefix="0" xfId="0">
      <alignment wrapText="1"/>
    </xf>
    <xf numFmtId="4" fontId="2" fillId="6" borderId="0" applyAlignment="1" pivotButton="0" quotePrefix="0" xfId="0">
      <alignment wrapText="1"/>
    </xf>
    <xf numFmtId="4" fontId="2" fillId="7" borderId="0" applyAlignment="1" pivotButton="0" quotePrefix="0" xfId="0">
      <alignment wrapText="1"/>
    </xf>
    <xf numFmtId="0" fontId="0" fillId="24" borderId="0" applyAlignment="1" pivotButton="0" quotePrefix="0" xfId="0">
      <alignment wrapText="1"/>
    </xf>
    <xf numFmtId="0" fontId="5" fillId="79" borderId="0" applyAlignment="1" pivotButton="0" quotePrefix="0" xfId="0">
      <alignment wrapText="1"/>
    </xf>
    <xf numFmtId="0" fontId="0" fillId="79" borderId="0" pivotButton="0" quotePrefix="0" xfId="0"/>
    <xf numFmtId="0" fontId="5" fillId="79" borderId="0" pivotButton="0" quotePrefix="0" xfId="0"/>
    <xf numFmtId="0" fontId="13" fillId="80" borderId="0" applyAlignment="1" pivotButton="0" quotePrefix="0" xfId="0">
      <alignment wrapText="1"/>
    </xf>
    <xf numFmtId="0" fontId="0" fillId="80" borderId="0" pivotButton="0" quotePrefix="0" xfId="0"/>
    <xf numFmtId="0" fontId="13" fillId="80" borderId="0" pivotButton="0" quotePrefix="0" xfId="0"/>
    <xf numFmtId="0" fontId="4" fillId="79" borderId="0" applyAlignment="1" pivotButton="0" quotePrefix="0" xfId="0">
      <alignment wrapText="1"/>
    </xf>
    <xf numFmtId="0" fontId="4" fillId="79" borderId="0" pivotButton="0" quotePrefix="0" xfId="0"/>
    <xf numFmtId="0" fontId="2" fillId="79" borderId="0" applyAlignment="1" pivotButton="0" quotePrefix="0" xfId="0">
      <alignment wrapText="1"/>
    </xf>
    <xf numFmtId="0" fontId="0" fillId="80" borderId="0" applyAlignment="1" pivotButton="0" quotePrefix="0" xfId="0">
      <alignment wrapText="1"/>
    </xf>
    <xf numFmtId="0" fontId="2" fillId="80" borderId="0" applyAlignment="1" pivotButton="0" quotePrefix="0" xfId="0">
      <alignment wrapText="1"/>
    </xf>
    <xf numFmtId="0" fontId="2" fillId="80" borderId="0" pivotButton="0" quotePrefix="0" xfId="0"/>
    <xf numFmtId="0" fontId="2" fillId="81" borderId="0" applyAlignment="1" pivotButton="0" quotePrefix="0" xfId="0">
      <alignment wrapText="1"/>
    </xf>
    <xf numFmtId="0" fontId="0" fillId="81" borderId="0" pivotButton="0" quotePrefix="0" xfId="0"/>
    <xf numFmtId="0" fontId="0" fillId="79" borderId="0" applyAlignment="1" pivotButton="0" quotePrefix="0" xfId="0">
      <alignment wrapText="1"/>
    </xf>
    <xf numFmtId="0" fontId="0" fillId="81" borderId="0" applyAlignment="1" pivotButton="0" quotePrefix="0" xfId="0">
      <alignment wrapText="1"/>
    </xf>
    <xf numFmtId="4" fontId="2" fillId="3" borderId="0" applyAlignment="1" pivotButton="0" quotePrefix="0" xfId="0">
      <alignment wrapText="1"/>
    </xf>
    <xf numFmtId="4" fontId="4" fillId="2" borderId="0" applyAlignment="1" pivotButton="0" quotePrefix="0" xfId="0">
      <alignment wrapText="1"/>
    </xf>
    <xf numFmtId="0" fontId="2" fillId="82" borderId="0" applyAlignment="1" pivotButton="0" quotePrefix="0" xfId="0">
      <alignment wrapText="1"/>
    </xf>
    <xf numFmtId="4" fontId="2" fillId="82" borderId="0" applyAlignment="1" pivotButton="0" quotePrefix="0" xfId="0">
      <alignment horizontal="right" wrapText="1"/>
    </xf>
    <xf numFmtId="0" fontId="0" fillId="82" borderId="0" applyAlignment="1" pivotButton="0" quotePrefix="0" xfId="0">
      <alignment wrapText="1"/>
    </xf>
    <xf numFmtId="4" fontId="0" fillId="81" borderId="0" applyAlignment="1" pivotButton="0" quotePrefix="0" xfId="0">
      <alignment horizontal="right" wrapText="1"/>
    </xf>
    <xf numFmtId="0" fontId="2" fillId="83" borderId="0" applyAlignment="1" pivotButton="0" quotePrefix="0" xfId="0">
      <alignment wrapText="1"/>
    </xf>
    <xf numFmtId="4" fontId="2" fillId="83" borderId="0" applyAlignment="1" pivotButton="0" quotePrefix="0" xfId="0">
      <alignment horizontal="right" wrapText="1"/>
    </xf>
    <xf numFmtId="0" fontId="0" fillId="83" borderId="0" applyAlignment="1" pivotButton="0" quotePrefix="0" xfId="0">
      <alignment wrapText="1"/>
    </xf>
    <xf numFmtId="4" fontId="2" fillId="82" borderId="0" applyAlignment="1" pivotButton="0" quotePrefix="0" xfId="0">
      <alignment wrapText="1"/>
    </xf>
    <xf numFmtId="4" fontId="2" fillId="81" borderId="0" applyAlignment="1" pivotButton="0" quotePrefix="0" xfId="0">
      <alignment wrapText="1"/>
    </xf>
    <xf numFmtId="0" fontId="2" fillId="2" borderId="0" applyAlignment="1" pivotButton="0" quotePrefix="0" xfId="0">
      <alignment wrapText="1"/>
    </xf>
    <xf numFmtId="4" fontId="0" fillId="7" borderId="0" applyAlignment="1" pivotButton="0" quotePrefix="0" xfId="0">
      <alignment horizontal="right" wrapText="1"/>
    </xf>
    <xf numFmtId="4" fontId="2" fillId="24" borderId="0" applyAlignment="1" pivotButton="0" quotePrefix="0" xfId="0">
      <alignment horizontal="right" wrapText="1"/>
    </xf>
    <xf numFmtId="0" fontId="0" fillId="84" borderId="0" pivotButton="0" quotePrefix="0" xfId="0"/>
    <xf numFmtId="0" fontId="4" fillId="84" borderId="0" pivotButton="0" quotePrefix="0" xfId="0"/>
    <xf numFmtId="0" fontId="4" fillId="84" borderId="0" applyAlignment="1" pivotButton="0" quotePrefix="0" xfId="0">
      <alignment wrapText="1"/>
    </xf>
    <xf numFmtId="0" fontId="21" fillId="0" borderId="0" applyAlignment="1" pivotButton="0" quotePrefix="0" xfId="0">
      <alignment wrapText="1"/>
    </xf>
    <xf numFmtId="0" fontId="22" fillId="0" borderId="0" applyAlignment="1" pivotButton="0" quotePrefix="0" xfId="0">
      <alignment wrapText="1"/>
    </xf>
    <xf numFmtId="4" fontId="22" fillId="0" borderId="0" applyAlignment="1" pivotButton="0" quotePrefix="0" xfId="0">
      <alignment wrapText="1"/>
    </xf>
    <xf numFmtId="2" fontId="22" fillId="0" borderId="0" applyAlignment="1" pivotButton="0" quotePrefix="0" xfId="0">
      <alignment wrapText="1"/>
    </xf>
    <xf numFmtId="171" fontId="0" fillId="7" borderId="0" applyAlignment="1" pivotButton="0" quotePrefix="0" xfId="0">
      <alignment vertical="center" wrapText="1"/>
    </xf>
    <xf numFmtId="0" fontId="0" fillId="85" borderId="0" pivotButton="0" quotePrefix="0" xfId="0"/>
    <xf numFmtId="0" fontId="2" fillId="85" borderId="0" pivotButton="0" quotePrefix="0" xfId="0"/>
    <xf numFmtId="0" fontId="4" fillId="85" borderId="0" pivotButton="0" quotePrefix="0" xfId="0"/>
    <xf numFmtId="0" fontId="23" fillId="85" borderId="0" pivotButton="0" quotePrefix="0" xfId="0"/>
    <xf numFmtId="0" fontId="0" fillId="86" borderId="0" pivotButton="0" quotePrefix="0" xfId="0"/>
    <xf numFmtId="0" fontId="2" fillId="86" borderId="0" pivotButton="0" quotePrefix="0" xfId="0"/>
    <xf numFmtId="0" fontId="24" fillId="86" borderId="0" pivotButton="0" quotePrefix="0" xfId="0"/>
    <xf numFmtId="0" fontId="0" fillId="87" borderId="0" pivotButton="0" quotePrefix="0" xfId="0"/>
    <xf numFmtId="0" fontId="2" fillId="87" borderId="0" pivotButton="0" quotePrefix="0" xfId="0"/>
    <xf numFmtId="0" fontId="4" fillId="87" borderId="0" pivotButton="0" quotePrefix="0" xfId="0"/>
    <xf numFmtId="0" fontId="25" fillId="86" borderId="0" pivotButton="0" quotePrefix="0" xfId="0"/>
    <xf numFmtId="0" fontId="26" fillId="86" borderId="0" pivotButton="0" quotePrefix="0" xfId="0"/>
    <xf numFmtId="0" fontId="26" fillId="86" borderId="0" applyAlignment="1" pivotButton="0" quotePrefix="0" xfId="0">
      <alignment horizontal="center"/>
    </xf>
    <xf numFmtId="0" fontId="26" fillId="86" borderId="0" applyAlignment="1" pivotButton="0" quotePrefix="0" xfId="0">
      <alignment horizontal="center" vertical="center"/>
    </xf>
    <xf numFmtId="171" fontId="26" fillId="86" borderId="0" applyAlignment="1" pivotButton="0" quotePrefix="0" xfId="0">
      <alignment horizontal="center" vertical="center"/>
    </xf>
    <xf numFmtId="0" fontId="2" fillId="0" borderId="0" applyAlignment="1" pivotButton="0" quotePrefix="0" xfId="0">
      <alignment horizontal="center"/>
    </xf>
    <xf numFmtId="0" fontId="0" fillId="88" borderId="0" pivotButton="0" quotePrefix="0" xfId="0"/>
    <xf numFmtId="171" fontId="0" fillId="88" borderId="0" pivotButton="0" quotePrefix="0" xfId="0"/>
    <xf numFmtId="171" fontId="0" fillId="86" borderId="0" pivotButton="0" quotePrefix="0" xfId="0"/>
    <xf numFmtId="171" fontId="2" fillId="86" borderId="0" pivotButton="0" quotePrefix="0" xfId="0"/>
    <xf numFmtId="176" fontId="0" fillId="0" borderId="0" pivotButton="0" quotePrefix="0" xfId="0"/>
    <xf numFmtId="176" fontId="0" fillId="88" borderId="0" pivotButton="0" quotePrefix="0" xfId="0"/>
    <xf numFmtId="0" fontId="2" fillId="88" borderId="0" pivotButton="0" quotePrefix="0" xfId="0"/>
    <xf numFmtId="0" fontId="27" fillId="88" borderId="0" pivotButton="0" quotePrefix="0" xfId="0"/>
    <xf numFmtId="0" fontId="0" fillId="88" borderId="0" applyAlignment="1" pivotButton="0" quotePrefix="0" xfId="0">
      <alignment wrapText="1"/>
    </xf>
    <xf numFmtId="0" fontId="0" fillId="89" borderId="0" applyAlignment="1" pivotButton="0" quotePrefix="0" xfId="0">
      <alignment wrapText="1"/>
    </xf>
    <xf numFmtId="0" fontId="0" fillId="90" borderId="0" applyAlignment="1" pivotButton="0" quotePrefix="0" xfId="0">
      <alignment wrapText="1"/>
    </xf>
    <xf numFmtId="0" fontId="28" fillId="90" borderId="0" applyAlignment="1" pivotButton="0" quotePrefix="0" xfId="0">
      <alignment wrapText="1"/>
    </xf>
    <xf numFmtId="0" fontId="27" fillId="90" borderId="0" applyAlignment="1" pivotButton="0" quotePrefix="0" xfId="0">
      <alignment wrapText="1"/>
    </xf>
    <xf numFmtId="0" fontId="29" fillId="85" borderId="0" pivotButton="0" quotePrefix="0" xfId="0"/>
    <xf numFmtId="0" fontId="30" fillId="86" borderId="0" pivotButton="0" quotePrefix="0" xfId="0"/>
    <xf numFmtId="0" fontId="31" fillId="86" borderId="0" pivotButton="0" quotePrefix="0" xfId="0"/>
    <xf numFmtId="0" fontId="31" fillId="86" borderId="0" applyAlignment="1" pivotButton="0" quotePrefix="0" xfId="0">
      <alignment horizontal="center"/>
    </xf>
    <xf numFmtId="0" fontId="31" fillId="86" borderId="0" applyAlignment="1" pivotButton="0" quotePrefix="0" xfId="0">
      <alignment horizontal="center" vertical="center"/>
    </xf>
    <xf numFmtId="171" fontId="31" fillId="86" borderId="0" applyAlignment="1" pivotButton="0" quotePrefix="0" xfId="0">
      <alignment horizontal="center" vertical="center"/>
    </xf>
    <xf numFmtId="0" fontId="0" fillId="89" borderId="0" pivotButton="0" quotePrefix="0" xfId="0"/>
    <xf numFmtId="171" fontId="31" fillId="86" borderId="0" pivotButton="0" quotePrefix="0" xfId="0"/>
    <xf numFmtId="171" fontId="2" fillId="24" borderId="0" applyAlignment="1" pivotButton="0" quotePrefix="0" xfId="0">
      <alignment horizontal="right" wrapText="1"/>
    </xf>
    <xf numFmtId="0" fontId="2" fillId="86" borderId="0" applyAlignment="1" pivotButton="0" quotePrefix="0" xfId="0">
      <alignment wrapText="1"/>
    </xf>
    <xf numFmtId="171" fontId="2" fillId="86" borderId="0" applyAlignment="1" pivotButton="0" quotePrefix="0" xfId="0">
      <alignment horizontal="right" wrapText="1"/>
    </xf>
    <xf numFmtId="0" fontId="0" fillId="86" borderId="0" applyAlignment="1" pivotButton="0" quotePrefix="0" xfId="0">
      <alignment wrapText="1"/>
    </xf>
    <xf numFmtId="0" fontId="5" fillId="85" borderId="0" applyAlignment="1" pivotButton="0" quotePrefix="0" xfId="0">
      <alignment vertical="top" wrapText="1"/>
    </xf>
    <xf numFmtId="0" fontId="0" fillId="85" borderId="0" applyAlignment="1" pivotButton="0" quotePrefix="0" xfId="0">
      <alignment vertical="top" wrapText="1"/>
    </xf>
    <xf numFmtId="0" fontId="16" fillId="85" borderId="0" applyAlignment="1" pivotButton="0" quotePrefix="0" xfId="0">
      <alignment vertical="top" wrapText="1"/>
    </xf>
    <xf numFmtId="0" fontId="32" fillId="85" borderId="0" applyAlignment="1" pivotButton="0" quotePrefix="0" xfId="0">
      <alignment vertical="top" wrapText="1"/>
    </xf>
    <xf numFmtId="0" fontId="32" fillId="85" borderId="0" pivotButton="0" quotePrefix="0" xfId="0"/>
    <xf numFmtId="0" fontId="33" fillId="85" borderId="0" applyAlignment="1" pivotButton="0" quotePrefix="0" xfId="0">
      <alignment vertical="top" wrapText="1"/>
    </xf>
    <xf numFmtId="0" fontId="4" fillId="85" borderId="0" applyAlignment="1" pivotButton="0" quotePrefix="0" xfId="0">
      <alignment vertical="top" wrapText="1"/>
    </xf>
    <xf numFmtId="0" fontId="34" fillId="85" borderId="0" applyAlignment="1" pivotButton="0" quotePrefix="0" xfId="0">
      <alignment vertical="top" wrapText="1"/>
    </xf>
    <xf numFmtId="0" fontId="0" fillId="91" borderId="0" pivotButton="0" quotePrefix="0" xfId="0"/>
    <xf numFmtId="0" fontId="2" fillId="91" borderId="0" pivotButton="0" quotePrefix="0" xfId="0"/>
    <xf numFmtId="0" fontId="4" fillId="91" borderId="0" pivotButton="0" quotePrefix="0" xfId="0"/>
    <xf numFmtId="0" fontId="35" fillId="85" borderId="0" pivotButton="0" quotePrefix="0" xfId="0"/>
    <xf numFmtId="0" fontId="36" fillId="86" borderId="0" pivotButton="0" quotePrefix="0" xfId="0"/>
    <xf numFmtId="0" fontId="37" fillId="0" borderId="0" pivotButton="0" quotePrefix="0" xfId="0"/>
    <xf numFmtId="0" fontId="38" fillId="87" borderId="0" pivotButton="0" quotePrefix="0" xfId="0"/>
    <xf numFmtId="0" fontId="38" fillId="85" borderId="0" pivotButton="0" quotePrefix="0" xfId="0"/>
    <xf numFmtId="171" fontId="39" fillId="86" borderId="0" applyAlignment="1" pivotButton="0" quotePrefix="0" xfId="0">
      <alignment horizontal="center" vertical="center"/>
    </xf>
    <xf numFmtId="0" fontId="37" fillId="88" borderId="0" pivotButton="0" quotePrefix="0" xfId="0"/>
    <xf numFmtId="171" fontId="37" fillId="88" borderId="0" pivotButton="0" quotePrefix="0" xfId="0"/>
    <xf numFmtId="0" fontId="40" fillId="0" borderId="0" applyAlignment="1" pivotButton="0" quotePrefix="0" xfId="0">
      <alignment horizontal="center"/>
    </xf>
    <xf numFmtId="0" fontId="40" fillId="86" borderId="0" pivotButton="0" quotePrefix="0" xfId="0"/>
    <xf numFmtId="171" fontId="40" fillId="86" borderId="0" pivotButton="0" quotePrefix="0" xfId="0"/>
    <xf numFmtId="0" fontId="37" fillId="88" borderId="0" applyAlignment="1" pivotButton="0" quotePrefix="0" xfId="0">
      <alignment wrapText="1"/>
    </xf>
    <xf numFmtId="0" fontId="37" fillId="89" borderId="0" applyAlignment="1" pivotButton="0" quotePrefix="0" xfId="0">
      <alignment wrapText="1"/>
    </xf>
    <xf numFmtId="176" fontId="37" fillId="88" borderId="0" pivotButton="0" quotePrefix="0" xfId="0"/>
    <xf numFmtId="0" fontId="41" fillId="88" borderId="0" pivotButton="0" quotePrefix="0" xfId="0"/>
    <xf numFmtId="0" fontId="40" fillId="0" borderId="0" applyAlignment="1" pivotButton="0" quotePrefix="0" xfId="0">
      <alignment wrapText="1"/>
    </xf>
    <xf numFmtId="0" fontId="37" fillId="0" borderId="0" applyAlignment="1" pivotButton="0" quotePrefix="0" xfId="0">
      <alignment wrapText="1"/>
    </xf>
    <xf numFmtId="0" fontId="41" fillId="90" borderId="0" applyAlignment="1" pivotButton="0" quotePrefix="0" xfId="0">
      <alignment wrapText="1"/>
    </xf>
    <xf numFmtId="0" fontId="42" fillId="3" borderId="0" applyAlignment="1" pivotButton="0" quotePrefix="0" xfId="0">
      <alignment vertical="center" wrapText="1"/>
    </xf>
    <xf numFmtId="0" fontId="37" fillId="0" borderId="0" applyAlignment="1" pivotButton="0" quotePrefix="0" xfId="0">
      <alignment vertical="center" wrapText="1"/>
    </xf>
    <xf numFmtId="0" fontId="40" fillId="3" borderId="0" applyAlignment="1" pivotButton="0" quotePrefix="0" xfId="0">
      <alignment vertical="center" wrapText="1"/>
    </xf>
    <xf numFmtId="0" fontId="37" fillId="0" borderId="0" applyAlignment="1" pivotButton="0" quotePrefix="0" xfId="0">
      <alignment vertical="center"/>
    </xf>
    <xf numFmtId="0" fontId="40" fillId="0" borderId="0" applyAlignment="1" pivotButton="0" quotePrefix="0" xfId="0">
      <alignment vertical="center" wrapText="1"/>
    </xf>
    <xf numFmtId="0" fontId="37" fillId="5" borderId="0" applyAlignment="1" pivotButton="0" quotePrefix="0" xfId="0">
      <alignment vertical="center" wrapText="1"/>
    </xf>
    <xf numFmtId="0" fontId="38" fillId="2" borderId="0" applyAlignment="1" pivotButton="0" quotePrefix="0" xfId="0">
      <alignment vertical="center"/>
    </xf>
    <xf numFmtId="0" fontId="40" fillId="3" borderId="0" applyAlignment="1" pivotButton="0" quotePrefix="0" xfId="0">
      <alignment horizontal="center" vertical="center"/>
    </xf>
    <xf numFmtId="0" fontId="37" fillId="7" borderId="0" applyAlignment="1" pivotButton="0" quotePrefix="0" xfId="0">
      <alignment vertical="center" wrapText="1"/>
    </xf>
    <xf numFmtId="0" fontId="43" fillId="2" borderId="0" applyAlignment="1" pivotButton="0" quotePrefix="0" xfId="0">
      <alignment vertical="center"/>
    </xf>
    <xf numFmtId="0" fontId="37" fillId="5" borderId="0" applyAlignment="1" pivotButton="0" quotePrefix="0" xfId="0">
      <alignment wrapText="1"/>
    </xf>
    <xf numFmtId="0" fontId="38" fillId="2" borderId="0" applyAlignment="1" pivotButton="0" quotePrefix="0" xfId="0">
      <alignment wrapText="1"/>
    </xf>
    <xf numFmtId="0" fontId="44" fillId="85" borderId="0" pivotButton="0" quotePrefix="0" xfId="0"/>
    <xf numFmtId="0" fontId="45" fillId="86" borderId="0" pivotButton="0" quotePrefix="0" xfId="0"/>
    <xf numFmtId="0" fontId="46" fillId="0" borderId="0" pivotButton="0" quotePrefix="0" xfId="0"/>
    <xf numFmtId="0" fontId="44" fillId="87" borderId="0" pivotButton="0" quotePrefix="0" xfId="0"/>
    <xf numFmtId="171" fontId="45" fillId="86" borderId="0" applyAlignment="1" pivotButton="0" quotePrefix="0" xfId="0">
      <alignment horizontal="center" vertical="center"/>
    </xf>
    <xf numFmtId="0" fontId="46" fillId="88" borderId="0" pivotButton="0" quotePrefix="0" xfId="0"/>
    <xf numFmtId="171" fontId="46" fillId="88" borderId="0" pivotButton="0" quotePrefix="0" xfId="0"/>
    <xf numFmtId="0" fontId="47" fillId="0" borderId="0" applyAlignment="1" pivotButton="0" quotePrefix="0" xfId="0">
      <alignment horizontal="center"/>
    </xf>
    <xf numFmtId="0" fontId="47" fillId="86" borderId="0" pivotButton="0" quotePrefix="0" xfId="0"/>
    <xf numFmtId="171" fontId="47" fillId="86" borderId="0" pivotButton="0" quotePrefix="0" xfId="0"/>
    <xf numFmtId="0" fontId="46" fillId="88" borderId="0" applyAlignment="1" pivotButton="0" quotePrefix="0" xfId="0">
      <alignment wrapText="1"/>
    </xf>
    <xf numFmtId="0" fontId="46" fillId="89" borderId="0" applyAlignment="1" pivotButton="0" quotePrefix="0" xfId="0">
      <alignment wrapText="1"/>
    </xf>
    <xf numFmtId="176" fontId="46" fillId="88" borderId="0" pivotButton="0" quotePrefix="0" xfId="0"/>
    <xf numFmtId="0" fontId="48" fillId="88" borderId="0" pivotButton="0" quotePrefix="0" xfId="0"/>
    <xf numFmtId="0" fontId="47" fillId="0" borderId="0" applyAlignment="1" pivotButton="0" quotePrefix="0" xfId="0">
      <alignment wrapText="1"/>
    </xf>
    <xf numFmtId="0" fontId="46" fillId="0" borderId="0" applyAlignment="1" pivotButton="0" quotePrefix="0" xfId="0">
      <alignment wrapText="1"/>
    </xf>
    <xf numFmtId="0" fontId="48" fillId="90" borderId="0" applyAlignment="1" pivotButton="0" quotePrefix="0" xfId="0">
      <alignment wrapText="1"/>
    </xf>
    <xf numFmtId="0" fontId="49" fillId="3" borderId="0" applyAlignment="1" pivotButton="0" quotePrefix="0" xfId="0">
      <alignment vertical="center" wrapText="1"/>
    </xf>
    <xf numFmtId="0" fontId="46" fillId="0" borderId="0" applyAlignment="1" pivotButton="0" quotePrefix="0" xfId="0">
      <alignment vertical="center" wrapText="1"/>
    </xf>
    <xf numFmtId="0" fontId="47" fillId="3" borderId="0" applyAlignment="1" pivotButton="0" quotePrefix="0" xfId="0">
      <alignment vertical="center" wrapText="1"/>
    </xf>
    <xf numFmtId="0" fontId="46" fillId="0" borderId="0" applyAlignment="1" pivotButton="0" quotePrefix="0" xfId="0">
      <alignment vertical="center"/>
    </xf>
    <xf numFmtId="0" fontId="47" fillId="0" borderId="0" applyAlignment="1" pivotButton="0" quotePrefix="0" xfId="0">
      <alignment vertical="center" wrapText="1"/>
    </xf>
    <xf numFmtId="0" fontId="46" fillId="5" borderId="0" applyAlignment="1" pivotButton="0" quotePrefix="0" xfId="0">
      <alignment vertical="center" wrapText="1"/>
    </xf>
    <xf numFmtId="0" fontId="44" fillId="2" borderId="0" applyAlignment="1" pivotButton="0" quotePrefix="0" xfId="0">
      <alignment vertical="center"/>
    </xf>
    <xf numFmtId="0" fontId="47" fillId="3" borderId="0" applyAlignment="1" pivotButton="0" quotePrefix="0" xfId="0">
      <alignment horizontal="center" vertical="center"/>
    </xf>
    <xf numFmtId="0" fontId="46" fillId="7" borderId="0" applyAlignment="1" pivotButton="0" quotePrefix="0" xfId="0">
      <alignment vertical="center" wrapText="1"/>
    </xf>
    <xf numFmtId="0" fontId="46" fillId="5" borderId="0" applyAlignment="1" pivotButton="0" quotePrefix="0" xfId="0">
      <alignment wrapText="1"/>
    </xf>
    <xf numFmtId="0" fontId="44" fillId="2" borderId="0" applyAlignment="1" pivotButton="0" quotePrefix="0" xfId="0">
      <alignment wrapText="1"/>
    </xf>
    <xf numFmtId="0" fontId="44" fillId="85" borderId="0" applyAlignment="1" pivotButton="0" quotePrefix="0" xfId="0">
      <alignment vertical="top"/>
    </xf>
    <xf numFmtId="0" fontId="45" fillId="86" borderId="0" applyAlignment="1" pivotButton="0" quotePrefix="0" xfId="0">
      <alignment vertical="top"/>
    </xf>
    <xf numFmtId="0" fontId="46" fillId="0" borderId="0" applyAlignment="1" pivotButton="0" quotePrefix="0" xfId="0">
      <alignment vertical="top"/>
    </xf>
    <xf numFmtId="0" fontId="44" fillId="87" borderId="0" applyAlignment="1" pivotButton="0" quotePrefix="0" xfId="0">
      <alignment vertical="top"/>
    </xf>
    <xf numFmtId="171" fontId="45" fillId="86" borderId="0" applyAlignment="1" pivotButton="0" quotePrefix="0" xfId="0">
      <alignment horizontal="center" vertical="top"/>
    </xf>
    <xf numFmtId="0" fontId="46" fillId="88" borderId="0" applyAlignment="1" pivotButton="0" quotePrefix="0" xfId="0">
      <alignment vertical="top"/>
    </xf>
    <xf numFmtId="171" fontId="46" fillId="88" borderId="0" applyAlignment="1" pivotButton="0" quotePrefix="0" xfId="0">
      <alignment vertical="top"/>
    </xf>
    <xf numFmtId="0" fontId="47" fillId="0" borderId="0" applyAlignment="1" pivotButton="0" quotePrefix="0" xfId="0">
      <alignment horizontal="center" vertical="top"/>
    </xf>
    <xf numFmtId="0" fontId="47" fillId="86" borderId="0" applyAlignment="1" pivotButton="0" quotePrefix="0" xfId="0">
      <alignment vertical="top"/>
    </xf>
    <xf numFmtId="171" fontId="47" fillId="86" borderId="0" applyAlignment="1" pivotButton="0" quotePrefix="0" xfId="0">
      <alignment vertical="top"/>
    </xf>
    <xf numFmtId="0" fontId="46" fillId="88" borderId="0" applyAlignment="1" pivotButton="0" quotePrefix="0" xfId="0">
      <alignment vertical="top" wrapText="1"/>
    </xf>
    <xf numFmtId="0" fontId="46" fillId="89" borderId="0" applyAlignment="1" pivotButton="0" quotePrefix="0" xfId="0">
      <alignment vertical="top" wrapText="1"/>
    </xf>
    <xf numFmtId="176" fontId="46" fillId="88" borderId="0" applyAlignment="1" pivotButton="0" quotePrefix="0" xfId="0">
      <alignment vertical="top"/>
    </xf>
    <xf numFmtId="0" fontId="48" fillId="88" borderId="0" applyAlignment="1" pivotButton="0" quotePrefix="0" xfId="0">
      <alignment vertical="top"/>
    </xf>
    <xf numFmtId="0" fontId="47" fillId="0" borderId="0" applyAlignment="1" pivotButton="0" quotePrefix="0" xfId="0">
      <alignment vertical="top" wrapText="1"/>
    </xf>
    <xf numFmtId="0" fontId="46" fillId="0" borderId="0" applyAlignment="1" pivotButton="0" quotePrefix="0" xfId="0">
      <alignment vertical="top" wrapText="1"/>
    </xf>
    <xf numFmtId="0" fontId="48" fillId="90" borderId="0" applyAlignment="1" pivotButton="0" quotePrefix="0" xfId="0">
      <alignment vertical="top" wrapText="1"/>
    </xf>
    <xf numFmtId="0" fontId="49" fillId="3" borderId="0" applyAlignment="1" pivotButton="0" quotePrefix="0" xfId="0">
      <alignment vertical="top" wrapText="1"/>
    </xf>
    <xf numFmtId="0" fontId="47" fillId="3" borderId="0" applyAlignment="1" pivotButton="0" quotePrefix="0" xfId="0">
      <alignment vertical="top" wrapText="1"/>
    </xf>
    <xf numFmtId="0" fontId="46" fillId="5" borderId="0" applyAlignment="1" pivotButton="0" quotePrefix="0" xfId="0">
      <alignment vertical="top" wrapText="1"/>
    </xf>
    <xf numFmtId="0" fontId="44" fillId="2" borderId="0" applyAlignment="1" pivotButton="0" quotePrefix="0" xfId="0">
      <alignment vertical="top"/>
    </xf>
    <xf numFmtId="0" fontId="47" fillId="3" borderId="0" applyAlignment="1" pivotButton="0" quotePrefix="0" xfId="0">
      <alignment horizontal="center" vertical="top"/>
    </xf>
    <xf numFmtId="0" fontId="46" fillId="7" borderId="0" applyAlignment="1" pivotButton="0" quotePrefix="0" xfId="0">
      <alignment vertical="top" wrapText="1"/>
    </xf>
    <xf numFmtId="0" fontId="44" fillId="2" borderId="0" applyAlignment="1" pivotButton="0" quotePrefix="0" xfId="0">
      <alignment vertical="top" wrapText="1"/>
    </xf>
    <xf numFmtId="0" fontId="50" fillId="85" borderId="0" pivotButton="0" quotePrefix="0" xfId="0"/>
    <xf numFmtId="171" fontId="51" fillId="86" borderId="0" applyAlignment="1" pivotButton="0" quotePrefix="0" xfId="0">
      <alignment horizontal="center" vertical="center"/>
    </xf>
    <xf numFmtId="0" fontId="40" fillId="0" borderId="1" applyAlignment="1" pivotButton="0" quotePrefix="0" xfId="0">
      <alignment vertical="center" wrapText="1"/>
    </xf>
    <xf numFmtId="0" fontId="37" fillId="0" borderId="0" applyAlignment="1" pivotButton="0" quotePrefix="0" xfId="0">
      <alignment vertical="top" wrapText="1"/>
    </xf>
    <xf numFmtId="0" fontId="40" fillId="3" borderId="1" applyAlignment="1" pivotButton="0" quotePrefix="0" xfId="0">
      <alignment vertical="center" wrapText="1"/>
    </xf>
    <xf numFmtId="0" fontId="37" fillId="0" borderId="1" applyAlignment="1" pivotButton="0" quotePrefix="0" xfId="0">
      <alignment vertical="center" wrapText="1"/>
    </xf>
    <xf numFmtId="4" fontId="37" fillId="0" borderId="1" applyAlignment="1" pivotButton="0" quotePrefix="0" xfId="0">
      <alignment vertical="center" wrapText="1"/>
    </xf>
    <xf numFmtId="174" fontId="37" fillId="0" borderId="1" applyAlignment="1" pivotButton="0" quotePrefix="0" xfId="0">
      <alignment vertical="center" wrapText="1"/>
    </xf>
    <xf numFmtId="174" fontId="37" fillId="0" borderId="0" applyAlignment="1" pivotButton="0" quotePrefix="0" xfId="0">
      <alignment vertical="center" wrapText="1"/>
    </xf>
    <xf numFmtId="174" fontId="40" fillId="3" borderId="1" applyAlignment="1" pivotButton="0" quotePrefix="0" xfId="0">
      <alignment vertical="center" wrapText="1"/>
    </xf>
    <xf numFmtId="174" fontId="37" fillId="8" borderId="1" applyAlignment="1" pivotButton="0" quotePrefix="0" xfId="0">
      <alignment vertical="center" wrapText="1"/>
    </xf>
    <xf numFmtId="0" fontId="37" fillId="0" borderId="1" applyAlignment="1" pivotButton="0" quotePrefix="0" xfId="0">
      <alignment vertical="top" wrapText="1"/>
    </xf>
    <xf numFmtId="165" fontId="37" fillId="8" borderId="1" applyAlignment="1" pivotButton="0" quotePrefix="0" xfId="0">
      <alignment vertical="top" wrapText="1"/>
    </xf>
    <xf numFmtId="0" fontId="40" fillId="4" borderId="1" applyAlignment="1" pivotButton="0" quotePrefix="0" xfId="0">
      <alignment vertical="top" wrapText="1"/>
    </xf>
    <xf numFmtId="165" fontId="40" fillId="4" borderId="1" applyAlignment="1" pivotButton="0" quotePrefix="0" xfId="0">
      <alignment vertical="top" wrapText="1"/>
    </xf>
    <xf numFmtId="0" fontId="40" fillId="4" borderId="0" applyAlignment="1" pivotButton="0" quotePrefix="0" xfId="0">
      <alignment vertical="top" wrapText="1"/>
    </xf>
    <xf numFmtId="165" fontId="37" fillId="0" borderId="2" applyAlignment="1" pivotButton="0" quotePrefix="0" xfId="0">
      <alignment vertical="top" wrapText="1"/>
    </xf>
    <xf numFmtId="165" fontId="37" fillId="0" borderId="2" applyAlignment="1" pivotButton="0" quotePrefix="0" xfId="0">
      <alignment vertical="center" wrapText="1"/>
    </xf>
    <xf numFmtId="174" fontId="37" fillId="0" borderId="2" applyAlignment="1" pivotButton="0" quotePrefix="0" xfId="0">
      <alignment vertical="center" wrapText="1"/>
    </xf>
    <xf numFmtId="0" fontId="40" fillId="4" borderId="1" applyAlignment="1" pivotButton="0" quotePrefix="0" xfId="0">
      <alignment vertical="center" wrapText="1"/>
    </xf>
    <xf numFmtId="165" fontId="40" fillId="4" borderId="1" applyAlignment="1" pivotButton="0" quotePrefix="0" xfId="0">
      <alignment vertical="center" wrapText="1"/>
    </xf>
    <xf numFmtId="0" fontId="40" fillId="4" borderId="0" applyAlignment="1" pivotButton="0" quotePrefix="0" xfId="0">
      <alignment vertical="center" wrapText="1"/>
    </xf>
    <xf numFmtId="165" fontId="37" fillId="8" borderId="1" applyAlignment="1" pivotButton="0" quotePrefix="0" xfId="0">
      <alignment vertical="center" wrapText="1"/>
    </xf>
    <xf numFmtId="0" fontId="38" fillId="2" borderId="1" applyAlignment="1" pivotButton="0" quotePrefix="0" xfId="0">
      <alignment vertical="center" wrapText="1"/>
    </xf>
    <xf numFmtId="165" fontId="38" fillId="2" borderId="1" applyAlignment="1" pivotButton="0" quotePrefix="0" xfId="0">
      <alignment vertical="center" wrapText="1"/>
    </xf>
    <xf numFmtId="0" fontId="38" fillId="2" borderId="0" applyAlignment="1" pivotButton="0" quotePrefix="0" xfId="0">
      <alignment vertical="center" wrapText="1"/>
    </xf>
    <xf numFmtId="165" fontId="37" fillId="0" borderId="0" applyAlignment="1" pivotButton="0" quotePrefix="0" xfId="0">
      <alignment vertical="center" wrapText="1"/>
    </xf>
    <xf numFmtId="171" fontId="37" fillId="0" borderId="0" applyAlignment="1" pivotButton="0" quotePrefix="0" xfId="0">
      <alignment wrapText="1"/>
    </xf>
    <xf numFmtId="0" fontId="38" fillId="2" borderId="0" pivotButton="0" quotePrefix="0" xfId="0"/>
    <xf numFmtId="0" fontId="40" fillId="3" borderId="0" pivotButton="0" quotePrefix="0" xfId="0"/>
    <xf numFmtId="0" fontId="37" fillId="6" borderId="0" pivotButton="0" quotePrefix="0" xfId="0"/>
    <xf numFmtId="0" fontId="37" fillId="7" borderId="0" pivotButton="0" quotePrefix="0" xfId="0"/>
    <xf numFmtId="0" fontId="37" fillId="24" borderId="0" pivotButton="0" quotePrefix="0" xfId="0"/>
    <xf numFmtId="0" fontId="40" fillId="5" borderId="0" applyAlignment="1" pivotButton="0" quotePrefix="0" xfId="0">
      <alignment wrapText="1"/>
    </xf>
    <xf numFmtId="0" fontId="40" fillId="5" borderId="0" pivotButton="0" quotePrefix="0" xfId="0"/>
    <xf numFmtId="171" fontId="42" fillId="3" borderId="0" applyAlignment="1" pivotButton="0" quotePrefix="0" xfId="0">
      <alignment vertical="center" wrapText="1"/>
    </xf>
    <xf numFmtId="0" fontId="40" fillId="3" borderId="0" applyAlignment="1" pivotButton="0" quotePrefix="0" xfId="0">
      <alignment wrapText="1"/>
    </xf>
    <xf numFmtId="0" fontId="37" fillId="3" borderId="0" applyAlignment="1" pivotButton="0" quotePrefix="0" xfId="0">
      <alignment wrapText="1"/>
    </xf>
    <xf numFmtId="0" fontId="40" fillId="6" borderId="0" applyAlignment="1" pivotButton="0" quotePrefix="0" xfId="0">
      <alignment wrapText="1"/>
    </xf>
    <xf numFmtId="0" fontId="37" fillId="6" borderId="0" applyAlignment="1" pivotButton="0" quotePrefix="0" xfId="0">
      <alignment wrapText="1"/>
    </xf>
    <xf numFmtId="4" fontId="37" fillId="0" borderId="0" applyAlignment="1" pivotButton="0" quotePrefix="0" xfId="0">
      <alignment wrapText="1"/>
    </xf>
    <xf numFmtId="4" fontId="40" fillId="6" borderId="0" applyAlignment="1" pivotButton="0" quotePrefix="0" xfId="0">
      <alignment wrapText="1"/>
    </xf>
    <xf numFmtId="0" fontId="40" fillId="7" borderId="0" applyAlignment="1" pivotButton="0" quotePrefix="0" xfId="0">
      <alignment wrapText="1"/>
    </xf>
    <xf numFmtId="4" fontId="40" fillId="7" borderId="0" applyAlignment="1" pivotButton="0" quotePrefix="0" xfId="0">
      <alignment wrapText="1"/>
    </xf>
    <xf numFmtId="4" fontId="40" fillId="0" borderId="0" applyAlignment="1" pivotButton="0" quotePrefix="0" xfId="0">
      <alignment wrapText="1"/>
    </xf>
    <xf numFmtId="0" fontId="37" fillId="24" borderId="0" applyAlignment="1" pivotButton="0" quotePrefix="0" xfId="0">
      <alignment wrapText="1"/>
    </xf>
    <xf numFmtId="0" fontId="47" fillId="0" borderId="1" applyAlignment="1" pivotButton="0" quotePrefix="0" xfId="0">
      <alignment vertical="center" wrapText="1"/>
    </xf>
    <xf numFmtId="0" fontId="47" fillId="3" borderId="1" applyAlignment="1" pivotButton="0" quotePrefix="0" xfId="0">
      <alignment vertical="center" wrapText="1"/>
    </xf>
    <xf numFmtId="0" fontId="46" fillId="0" borderId="1" applyAlignment="1" pivotButton="0" quotePrefix="0" xfId="0">
      <alignment vertical="center" wrapText="1"/>
    </xf>
    <xf numFmtId="4" fontId="46" fillId="0" borderId="1" applyAlignment="1" pivotButton="0" quotePrefix="0" xfId="0">
      <alignment vertical="center" wrapText="1"/>
    </xf>
    <xf numFmtId="174" fontId="46" fillId="0" borderId="1" applyAlignment="1" pivotButton="0" quotePrefix="0" xfId="0">
      <alignment vertical="center" wrapText="1"/>
    </xf>
    <xf numFmtId="174" fontId="46" fillId="0" borderId="0" applyAlignment="1" pivotButton="0" quotePrefix="0" xfId="0">
      <alignment vertical="center" wrapText="1"/>
    </xf>
    <xf numFmtId="174" fontId="47" fillId="3" borderId="1" applyAlignment="1" pivotButton="0" quotePrefix="0" xfId="0">
      <alignment vertical="center" wrapText="1"/>
    </xf>
    <xf numFmtId="174" fontId="46" fillId="8" borderId="1" applyAlignment="1" pivotButton="0" quotePrefix="0" xfId="0">
      <alignment vertical="center" wrapText="1"/>
    </xf>
    <xf numFmtId="0" fontId="46" fillId="0" borderId="1" applyAlignment="1" pivotButton="0" quotePrefix="0" xfId="0">
      <alignment vertical="top" wrapText="1"/>
    </xf>
    <xf numFmtId="165" fontId="46" fillId="8" borderId="1" applyAlignment="1" pivotButton="0" quotePrefix="0" xfId="0">
      <alignment vertical="top" wrapText="1"/>
    </xf>
    <xf numFmtId="0" fontId="47" fillId="4" borderId="1" applyAlignment="1" pivotButton="0" quotePrefix="0" xfId="0">
      <alignment vertical="top" wrapText="1"/>
    </xf>
    <xf numFmtId="165" fontId="47" fillId="4" borderId="1" applyAlignment="1" pivotButton="0" quotePrefix="0" xfId="0">
      <alignment vertical="top" wrapText="1"/>
    </xf>
    <xf numFmtId="0" fontId="47" fillId="4" borderId="0" applyAlignment="1" pivotButton="0" quotePrefix="0" xfId="0">
      <alignment vertical="top" wrapText="1"/>
    </xf>
    <xf numFmtId="165" fontId="46" fillId="0" borderId="2" applyAlignment="1" pivotButton="0" quotePrefix="0" xfId="0">
      <alignment vertical="top" wrapText="1"/>
    </xf>
    <xf numFmtId="165" fontId="46" fillId="0" borderId="2" applyAlignment="1" pivotButton="0" quotePrefix="0" xfId="0">
      <alignment vertical="center" wrapText="1"/>
    </xf>
    <xf numFmtId="174" fontId="46" fillId="0" borderId="2" applyAlignment="1" pivotButton="0" quotePrefix="0" xfId="0">
      <alignment vertical="center" wrapText="1"/>
    </xf>
    <xf numFmtId="0" fontId="47" fillId="4" borderId="1" applyAlignment="1" pivotButton="0" quotePrefix="0" xfId="0">
      <alignment vertical="center" wrapText="1"/>
    </xf>
    <xf numFmtId="165" fontId="47" fillId="4" borderId="1" applyAlignment="1" pivotButton="0" quotePrefix="0" xfId="0">
      <alignment vertical="center" wrapText="1"/>
    </xf>
    <xf numFmtId="0" fontId="47" fillId="4" borderId="0" applyAlignment="1" pivotButton="0" quotePrefix="0" xfId="0">
      <alignment vertical="center" wrapText="1"/>
    </xf>
    <xf numFmtId="165" fontId="46" fillId="8" borderId="1" applyAlignment="1" pivotButton="0" quotePrefix="0" xfId="0">
      <alignment vertical="center" wrapText="1"/>
    </xf>
    <xf numFmtId="0" fontId="44" fillId="2" borderId="1" applyAlignment="1" pivotButton="0" quotePrefix="0" xfId="0">
      <alignment vertical="center" wrapText="1"/>
    </xf>
    <xf numFmtId="165" fontId="44" fillId="2" borderId="1" applyAlignment="1" pivotButton="0" quotePrefix="0" xfId="0">
      <alignment vertical="center" wrapText="1"/>
    </xf>
    <xf numFmtId="0" fontId="44" fillId="2" borderId="0" applyAlignment="1" pivotButton="0" quotePrefix="0" xfId="0">
      <alignment vertical="center" wrapText="1"/>
    </xf>
    <xf numFmtId="165" fontId="46" fillId="0" borderId="0" applyAlignment="1" pivotButton="0" quotePrefix="0" xfId="0">
      <alignment vertical="center" wrapText="1"/>
    </xf>
    <xf numFmtId="171" fontId="46" fillId="0" borderId="0" applyAlignment="1" pivotButton="0" quotePrefix="0" xfId="0">
      <alignment wrapText="1"/>
    </xf>
    <xf numFmtId="0" fontId="44" fillId="2" borderId="0" pivotButton="0" quotePrefix="0" xfId="0"/>
    <xf numFmtId="0" fontId="47" fillId="3" borderId="0" pivotButton="0" quotePrefix="0" xfId="0"/>
    <xf numFmtId="0" fontId="46" fillId="6" borderId="0" pivotButton="0" quotePrefix="0" xfId="0"/>
    <xf numFmtId="0" fontId="46" fillId="7" borderId="0" pivotButton="0" quotePrefix="0" xfId="0"/>
    <xf numFmtId="0" fontId="46" fillId="24" borderId="0" pivotButton="0" quotePrefix="0" xfId="0"/>
    <xf numFmtId="0" fontId="47" fillId="5" borderId="0" applyAlignment="1" pivotButton="0" quotePrefix="0" xfId="0">
      <alignment wrapText="1"/>
    </xf>
    <xf numFmtId="0" fontId="47" fillId="5" borderId="0" pivotButton="0" quotePrefix="0" xfId="0"/>
    <xf numFmtId="171" fontId="49" fillId="3" borderId="0" applyAlignment="1" pivotButton="0" quotePrefix="0" xfId="0">
      <alignment vertical="center" wrapText="1"/>
    </xf>
    <xf numFmtId="0" fontId="47" fillId="3" borderId="0" applyAlignment="1" pivotButton="0" quotePrefix="0" xfId="0">
      <alignment wrapText="1"/>
    </xf>
    <xf numFmtId="0" fontId="46" fillId="3" borderId="0" applyAlignment="1" pivotButton="0" quotePrefix="0" xfId="0">
      <alignment wrapText="1"/>
    </xf>
    <xf numFmtId="0" fontId="47" fillId="6" borderId="0" applyAlignment="1" pivotButton="0" quotePrefix="0" xfId="0">
      <alignment wrapText="1"/>
    </xf>
    <xf numFmtId="0" fontId="46" fillId="6" borderId="0" applyAlignment="1" pivotButton="0" quotePrefix="0" xfId="0">
      <alignment wrapText="1"/>
    </xf>
    <xf numFmtId="4" fontId="46" fillId="0" borderId="0" applyAlignment="1" pivotButton="0" quotePrefix="0" xfId="0">
      <alignment wrapText="1"/>
    </xf>
    <xf numFmtId="4" fontId="47" fillId="6" borderId="0" applyAlignment="1" pivotButton="0" quotePrefix="0" xfId="0">
      <alignment wrapText="1"/>
    </xf>
    <xf numFmtId="0" fontId="47" fillId="7" borderId="0" applyAlignment="1" pivotButton="0" quotePrefix="0" xfId="0">
      <alignment wrapText="1"/>
    </xf>
    <xf numFmtId="4" fontId="47" fillId="7" borderId="0" applyAlignment="1" pivotButton="0" quotePrefix="0" xfId="0">
      <alignment wrapText="1"/>
    </xf>
    <xf numFmtId="4" fontId="47" fillId="0" borderId="0" applyAlignment="1" pivotButton="0" quotePrefix="0" xfId="0">
      <alignment wrapText="1"/>
    </xf>
    <xf numFmtId="0" fontId="46" fillId="24" borderId="0" applyAlignment="1" pivotButton="0" quotePrefix="0" xfId="0">
      <alignment wrapText="1"/>
    </xf>
    <xf numFmtId="0" fontId="47" fillId="0" borderId="1" applyAlignment="1" pivotButton="0" quotePrefix="0" xfId="0">
      <alignment vertical="top" wrapText="1"/>
    </xf>
    <xf numFmtId="0" fontId="47" fillId="3" borderId="1" applyAlignment="1" pivotButton="0" quotePrefix="0" xfId="0">
      <alignment vertical="top" wrapText="1"/>
    </xf>
    <xf numFmtId="4" fontId="46" fillId="0" borderId="1" applyAlignment="1" pivotButton="0" quotePrefix="0" xfId="0">
      <alignment vertical="top" wrapText="1"/>
    </xf>
    <xf numFmtId="174" fontId="46" fillId="0" borderId="1" applyAlignment="1" pivotButton="0" quotePrefix="0" xfId="0">
      <alignment vertical="top" wrapText="1"/>
    </xf>
    <xf numFmtId="174" fontId="46" fillId="0" borderId="0" applyAlignment="1" pivotButton="0" quotePrefix="0" xfId="0">
      <alignment vertical="top" wrapText="1"/>
    </xf>
    <xf numFmtId="174" fontId="47" fillId="3" borderId="1" applyAlignment="1" pivotButton="0" quotePrefix="0" xfId="0">
      <alignment vertical="top" wrapText="1"/>
    </xf>
    <xf numFmtId="174" fontId="46" fillId="8" borderId="1" applyAlignment="1" pivotButton="0" quotePrefix="0" xfId="0">
      <alignment vertical="top" wrapText="1"/>
    </xf>
    <xf numFmtId="174" fontId="46" fillId="0" borderId="2" applyAlignment="1" pivotButton="0" quotePrefix="0" xfId="0">
      <alignment vertical="top" wrapText="1"/>
    </xf>
    <xf numFmtId="0" fontId="44" fillId="2" borderId="1" applyAlignment="1" pivotButton="0" quotePrefix="0" xfId="0">
      <alignment vertical="top" wrapText="1"/>
    </xf>
    <xf numFmtId="165" fontId="44" fillId="2" borderId="1" applyAlignment="1" pivotButton="0" quotePrefix="0" xfId="0">
      <alignment vertical="top" wrapText="1"/>
    </xf>
    <xf numFmtId="165" fontId="46" fillId="0" borderId="0" applyAlignment="1" pivotButton="0" quotePrefix="0" xfId="0">
      <alignment vertical="top" wrapText="1"/>
    </xf>
    <xf numFmtId="171" fontId="46" fillId="0" borderId="0" applyAlignment="1" pivotButton="0" quotePrefix="0" xfId="0">
      <alignment vertical="top" wrapText="1"/>
    </xf>
    <xf numFmtId="0" fontId="47" fillId="3" borderId="0" applyAlignment="1" pivotButton="0" quotePrefix="0" xfId="0">
      <alignment vertical="top"/>
    </xf>
    <xf numFmtId="0" fontId="46" fillId="6" borderId="0" applyAlignment="1" pivotButton="0" quotePrefix="0" xfId="0">
      <alignment vertical="top"/>
    </xf>
    <xf numFmtId="0" fontId="46" fillId="7" borderId="0" applyAlignment="1" pivotButton="0" quotePrefix="0" xfId="0">
      <alignment vertical="top"/>
    </xf>
    <xf numFmtId="0" fontId="46" fillId="24" borderId="0" applyAlignment="1" pivotButton="0" quotePrefix="0" xfId="0">
      <alignment vertical="top"/>
    </xf>
    <xf numFmtId="0" fontId="47" fillId="5" borderId="0" applyAlignment="1" pivotButton="0" quotePrefix="0" xfId="0">
      <alignment vertical="top" wrapText="1"/>
    </xf>
    <xf numFmtId="0" fontId="47" fillId="5" borderId="0" applyAlignment="1" pivotButton="0" quotePrefix="0" xfId="0">
      <alignment vertical="top"/>
    </xf>
    <xf numFmtId="171" fontId="49" fillId="3" borderId="0" applyAlignment="1" pivotButton="0" quotePrefix="0" xfId="0">
      <alignment vertical="top" wrapText="1"/>
    </xf>
    <xf numFmtId="0" fontId="46" fillId="3" borderId="0" applyAlignment="1" pivotButton="0" quotePrefix="0" xfId="0">
      <alignment vertical="top" wrapText="1"/>
    </xf>
    <xf numFmtId="0" fontId="47" fillId="6" borderId="0" applyAlignment="1" pivotButton="0" quotePrefix="0" xfId="0">
      <alignment vertical="top" wrapText="1"/>
    </xf>
    <xf numFmtId="0" fontId="46" fillId="6" borderId="0" applyAlignment="1" pivotButton="0" quotePrefix="0" xfId="0">
      <alignment vertical="top" wrapText="1"/>
    </xf>
    <xf numFmtId="4" fontId="46" fillId="0" borderId="0" applyAlignment="1" pivotButton="0" quotePrefix="0" xfId="0">
      <alignment vertical="top" wrapText="1"/>
    </xf>
    <xf numFmtId="4" fontId="47" fillId="6" borderId="0" applyAlignment="1" pivotButton="0" quotePrefix="0" xfId="0">
      <alignment vertical="top" wrapText="1"/>
    </xf>
    <xf numFmtId="0" fontId="47" fillId="7" borderId="0" applyAlignment="1" pivotButton="0" quotePrefix="0" xfId="0">
      <alignment vertical="top" wrapText="1"/>
    </xf>
    <xf numFmtId="4" fontId="47" fillId="7" borderId="0" applyAlignment="1" pivotButton="0" quotePrefix="0" xfId="0">
      <alignment vertical="top" wrapText="1"/>
    </xf>
    <xf numFmtId="4" fontId="47" fillId="0" borderId="0" applyAlignment="1" pivotButton="0" quotePrefix="0" xfId="0">
      <alignment vertical="top" wrapText="1"/>
    </xf>
    <xf numFmtId="0" fontId="46" fillId="24" borderId="0" applyAlignment="1" pivotButton="0" quotePrefix="0" xfId="0">
      <alignment vertical="top" wrapText="1"/>
    </xf>
    <xf numFmtId="171" fontId="51" fillId="86" borderId="0" pivotButton="0" quotePrefix="0" xfId="0"/>
    <xf numFmtId="4" fontId="37" fillId="0" borderId="0" applyAlignment="1" pivotButton="0" quotePrefix="0" xfId="0">
      <alignment horizontal="right" wrapText="1"/>
    </xf>
    <xf numFmtId="4" fontId="40" fillId="6" borderId="0" applyAlignment="1" pivotButton="0" quotePrefix="0" xfId="0">
      <alignment horizontal="right" wrapText="1"/>
    </xf>
    <xf numFmtId="0" fontId="37" fillId="7" borderId="0" applyAlignment="1" pivotButton="0" quotePrefix="0" xfId="0">
      <alignment wrapText="1"/>
    </xf>
    <xf numFmtId="4" fontId="37" fillId="7" borderId="0" applyAlignment="1" pivotButton="0" quotePrefix="0" xfId="0">
      <alignment horizontal="right" wrapText="1"/>
    </xf>
    <xf numFmtId="4" fontId="40" fillId="0" borderId="0" applyAlignment="1" pivotButton="0" quotePrefix="0" xfId="0">
      <alignment horizontal="right" wrapText="1"/>
    </xf>
    <xf numFmtId="0" fontId="40" fillId="86" borderId="0" applyAlignment="1" pivotButton="0" quotePrefix="0" xfId="0">
      <alignment wrapText="1"/>
    </xf>
    <xf numFmtId="171" fontId="40" fillId="86" borderId="0" applyAlignment="1" pivotButton="0" quotePrefix="0" xfId="0">
      <alignment horizontal="right" wrapText="1"/>
    </xf>
    <xf numFmtId="4" fontId="40" fillId="3" borderId="0" applyAlignment="1" pivotButton="0" quotePrefix="0" xfId="0">
      <alignment wrapText="1"/>
    </xf>
    <xf numFmtId="4" fontId="38" fillId="2" borderId="0" applyAlignment="1" pivotButton="0" quotePrefix="0" xfId="0">
      <alignment wrapText="1"/>
    </xf>
    <xf numFmtId="171" fontId="45" fillId="86" borderId="0" pivotButton="0" quotePrefix="0" xfId="0"/>
    <xf numFmtId="4" fontId="46" fillId="0" borderId="0" applyAlignment="1" pivotButton="0" quotePrefix="0" xfId="0">
      <alignment horizontal="right" wrapText="1"/>
    </xf>
    <xf numFmtId="4" fontId="47" fillId="6" borderId="0" applyAlignment="1" pivotButton="0" quotePrefix="0" xfId="0">
      <alignment horizontal="right" wrapText="1"/>
    </xf>
    <xf numFmtId="0" fontId="46" fillId="7" borderId="0" applyAlignment="1" pivotButton="0" quotePrefix="0" xfId="0">
      <alignment wrapText="1"/>
    </xf>
    <xf numFmtId="4" fontId="46" fillId="7" borderId="0" applyAlignment="1" pivotButton="0" quotePrefix="0" xfId="0">
      <alignment horizontal="right" wrapText="1"/>
    </xf>
    <xf numFmtId="4" fontId="47" fillId="0" borderId="0" applyAlignment="1" pivotButton="0" quotePrefix="0" xfId="0">
      <alignment horizontal="right" wrapText="1"/>
    </xf>
    <xf numFmtId="0" fontId="47" fillId="86" borderId="0" applyAlignment="1" pivotButton="0" quotePrefix="0" xfId="0">
      <alignment wrapText="1"/>
    </xf>
    <xf numFmtId="171" fontId="47" fillId="86" borderId="0" applyAlignment="1" pivotButton="0" quotePrefix="0" xfId="0">
      <alignment horizontal="right" wrapText="1"/>
    </xf>
    <xf numFmtId="4" fontId="47" fillId="3" borderId="0" applyAlignment="1" pivotButton="0" quotePrefix="0" xfId="0">
      <alignment wrapText="1"/>
    </xf>
    <xf numFmtId="4" fontId="44" fillId="2" borderId="0" applyAlignment="1" pivotButton="0" quotePrefix="0" xfId="0">
      <alignment wrapText="1"/>
    </xf>
    <xf numFmtId="171" fontId="45" fillId="86" borderId="0" applyAlignment="1" pivotButton="0" quotePrefix="0" xfId="0">
      <alignment vertical="top"/>
    </xf>
    <xf numFmtId="4" fontId="46" fillId="0" borderId="0" applyAlignment="1" pivotButton="0" quotePrefix="0" xfId="0">
      <alignment horizontal="right" vertical="top" wrapText="1"/>
    </xf>
    <xf numFmtId="4" fontId="47" fillId="6" borderId="0" applyAlignment="1" pivotButton="0" quotePrefix="0" xfId="0">
      <alignment horizontal="right" vertical="top" wrapText="1"/>
    </xf>
    <xf numFmtId="4" fontId="46" fillId="7" borderId="0" applyAlignment="1" pivotButton="0" quotePrefix="0" xfId="0">
      <alignment horizontal="right" vertical="top" wrapText="1"/>
    </xf>
    <xf numFmtId="4" fontId="47" fillId="0" borderId="0" applyAlignment="1" pivotButton="0" quotePrefix="0" xfId="0">
      <alignment horizontal="right" vertical="top" wrapText="1"/>
    </xf>
    <xf numFmtId="0" fontId="47" fillId="86" borderId="0" applyAlignment="1" pivotButton="0" quotePrefix="0" xfId="0">
      <alignment vertical="top" wrapText="1"/>
    </xf>
    <xf numFmtId="171" fontId="47" fillId="86" borderId="0" applyAlignment="1" pivotButton="0" quotePrefix="0" xfId="0">
      <alignment horizontal="right" vertical="top" wrapText="1"/>
    </xf>
    <xf numFmtId="4" fontId="47" fillId="3" borderId="0" applyAlignment="1" pivotButton="0" quotePrefix="0" xfId="0">
      <alignment vertical="top" wrapText="1"/>
    </xf>
    <xf numFmtId="4" fontId="44" fillId="2" borderId="0" applyAlignment="1" pivotButton="0" quotePrefix="0" xfId="0">
      <alignment vertical="top" wrapText="1"/>
    </xf>
    <xf numFmtId="0" fontId="43" fillId="85" borderId="0" applyAlignment="1" pivotButton="0" quotePrefix="0" xfId="0">
      <alignment vertical="top" wrapText="1"/>
    </xf>
    <xf numFmtId="0" fontId="38" fillId="85" borderId="0" applyAlignment="1" pivotButton="0" quotePrefix="0" xfId="0">
      <alignment vertical="top" wrapText="1"/>
    </xf>
    <xf numFmtId="0" fontId="52" fillId="85" borderId="0" applyAlignment="1" pivotButton="0" quotePrefix="0" xfId="0">
      <alignment vertical="top" wrapText="1"/>
    </xf>
    <xf numFmtId="0" fontId="38" fillId="12" borderId="0" applyAlignment="1" pivotButton="0" quotePrefix="0" xfId="0">
      <alignment vertical="top" wrapText="1"/>
    </xf>
    <xf numFmtId="4" fontId="37" fillId="0" borderId="0" applyAlignment="1" pivotButton="0" quotePrefix="0" xfId="0">
      <alignment vertical="top" wrapText="1"/>
    </xf>
    <xf numFmtId="4" fontId="37" fillId="7" borderId="0" applyAlignment="1" pivotButton="0" quotePrefix="0" xfId="0">
      <alignment vertical="top" wrapText="1"/>
    </xf>
    <xf numFmtId="170" fontId="37" fillId="7" borderId="0" applyAlignment="1" pivotButton="0" quotePrefix="0" xfId="0">
      <alignment vertical="top" wrapText="1"/>
    </xf>
    <xf numFmtId="1" fontId="37" fillId="0" borderId="0" applyAlignment="1" pivotButton="0" quotePrefix="0" xfId="0">
      <alignment vertical="top" wrapText="1"/>
    </xf>
    <xf numFmtId="1" fontId="37" fillId="7" borderId="0" applyAlignment="1" pivotButton="0" quotePrefix="0" xfId="0">
      <alignment vertical="top" wrapText="1"/>
    </xf>
    <xf numFmtId="170" fontId="37" fillId="0" borderId="0" applyAlignment="1" pivotButton="0" quotePrefix="0" xfId="0">
      <alignment vertical="top" wrapText="1"/>
    </xf>
    <xf numFmtId="171" fontId="37" fillId="0" borderId="0" applyAlignment="1" pivotButton="0" quotePrefix="0" xfId="0">
      <alignment vertical="top" wrapText="1"/>
    </xf>
    <xf numFmtId="0" fontId="37" fillId="29" borderId="0" applyAlignment="1" pivotButton="0" quotePrefix="0" xfId="0">
      <alignment vertical="top" wrapText="1"/>
    </xf>
    <xf numFmtId="171" fontId="37" fillId="7" borderId="0" applyAlignment="1" pivotButton="0" quotePrefix="0" xfId="0">
      <alignment vertical="top" wrapText="1"/>
    </xf>
    <xf numFmtId="0" fontId="37" fillId="7" borderId="0" applyAlignment="1" pivotButton="0" quotePrefix="0" xfId="0">
      <alignment vertical="top" wrapText="1"/>
    </xf>
    <xf numFmtId="10" fontId="37" fillId="0" borderId="0" applyAlignment="1" pivotButton="0" quotePrefix="0" xfId="0">
      <alignment vertical="top" wrapText="1"/>
    </xf>
    <xf numFmtId="2" fontId="37" fillId="7" borderId="0" applyAlignment="1" pivotButton="0" quotePrefix="0" xfId="0">
      <alignment vertical="top" wrapText="1"/>
    </xf>
    <xf numFmtId="0" fontId="40" fillId="6" borderId="0" applyAlignment="1" pivotButton="0" quotePrefix="0" xfId="0">
      <alignment vertical="top" wrapText="1"/>
    </xf>
    <xf numFmtId="171" fontId="40" fillId="6" borderId="0" applyAlignment="1" pivotButton="0" quotePrefix="0" xfId="0">
      <alignment vertical="top" wrapText="1"/>
    </xf>
    <xf numFmtId="0" fontId="40" fillId="3" borderId="0" applyAlignment="1" pivotButton="0" quotePrefix="0" xfId="0">
      <alignment vertical="top" wrapText="1"/>
    </xf>
    <xf numFmtId="175" fontId="37" fillId="0" borderId="0" applyAlignment="1" pivotButton="0" quotePrefix="0" xfId="0">
      <alignment vertical="top" wrapText="1"/>
    </xf>
    <xf numFmtId="2" fontId="37" fillId="0" borderId="0" applyAlignment="1" pivotButton="0" quotePrefix="0" xfId="0">
      <alignment wrapText="1"/>
    </xf>
    <xf numFmtId="171" fontId="40" fillId="3" borderId="0" applyAlignment="1" pivotButton="0" quotePrefix="0" xfId="0">
      <alignment vertical="top" wrapText="1"/>
    </xf>
    <xf numFmtId="171" fontId="40" fillId="3" borderId="0" applyAlignment="1" pivotButton="0" quotePrefix="0" xfId="0">
      <alignment wrapText="1"/>
    </xf>
    <xf numFmtId="2" fontId="40" fillId="3" borderId="0" applyAlignment="1" pivotButton="0" quotePrefix="0" xfId="0">
      <alignment wrapText="1"/>
    </xf>
    <xf numFmtId="2" fontId="37" fillId="0" borderId="0" applyAlignment="1" pivotButton="0" quotePrefix="0" xfId="0">
      <alignment vertical="top" wrapText="1"/>
    </xf>
    <xf numFmtId="171" fontId="37" fillId="0" borderId="0" pivotButton="0" quotePrefix="0" xfId="0"/>
    <xf numFmtId="0" fontId="44" fillId="85" borderId="0" applyAlignment="1" pivotButton="0" quotePrefix="0" xfId="0">
      <alignment vertical="top" wrapText="1"/>
    </xf>
    <xf numFmtId="0" fontId="53" fillId="85" borderId="0" applyAlignment="1" pivotButton="0" quotePrefix="0" xfId="0">
      <alignment vertical="top" wrapText="1"/>
    </xf>
    <xf numFmtId="0" fontId="44" fillId="12" borderId="0" applyAlignment="1" pivotButton="0" quotePrefix="0" xfId="0">
      <alignment vertical="top" wrapText="1"/>
    </xf>
    <xf numFmtId="4" fontId="46" fillId="7" borderId="0" applyAlignment="1" pivotButton="0" quotePrefix="0" xfId="0">
      <alignment vertical="top" wrapText="1"/>
    </xf>
    <xf numFmtId="170" fontId="46" fillId="7" borderId="0" applyAlignment="1" pivotButton="0" quotePrefix="0" xfId="0">
      <alignment vertical="top" wrapText="1"/>
    </xf>
    <xf numFmtId="1" fontId="46" fillId="0" borderId="0" applyAlignment="1" pivotButton="0" quotePrefix="0" xfId="0">
      <alignment vertical="top" wrapText="1"/>
    </xf>
    <xf numFmtId="1" fontId="46" fillId="7" borderId="0" applyAlignment="1" pivotButton="0" quotePrefix="0" xfId="0">
      <alignment vertical="top" wrapText="1"/>
    </xf>
    <xf numFmtId="170" fontId="46" fillId="0" borderId="0" applyAlignment="1" pivotButton="0" quotePrefix="0" xfId="0">
      <alignment vertical="top" wrapText="1"/>
    </xf>
    <xf numFmtId="0" fontId="46" fillId="29" borderId="0" applyAlignment="1" pivotButton="0" quotePrefix="0" xfId="0">
      <alignment vertical="top" wrapText="1"/>
    </xf>
    <xf numFmtId="171" fontId="46" fillId="7" borderId="0" applyAlignment="1" pivotButton="0" quotePrefix="0" xfId="0">
      <alignment vertical="top" wrapText="1"/>
    </xf>
    <xf numFmtId="10" fontId="46" fillId="0" borderId="0" applyAlignment="1" pivotButton="0" quotePrefix="0" xfId="0">
      <alignment vertical="top" wrapText="1"/>
    </xf>
    <xf numFmtId="2" fontId="46" fillId="7" borderId="0" applyAlignment="1" pivotButton="0" quotePrefix="0" xfId="0">
      <alignment vertical="top" wrapText="1"/>
    </xf>
    <xf numFmtId="171" fontId="47" fillId="6" borderId="0" applyAlignment="1" pivotButton="0" quotePrefix="0" xfId="0">
      <alignment vertical="top" wrapText="1"/>
    </xf>
    <xf numFmtId="175" fontId="46" fillId="0" borderId="0" applyAlignment="1" pivotButton="0" quotePrefix="0" xfId="0">
      <alignment vertical="top" wrapText="1"/>
    </xf>
    <xf numFmtId="2" fontId="46" fillId="0" borderId="0" applyAlignment="1" pivotButton="0" quotePrefix="0" xfId="0">
      <alignment wrapText="1"/>
    </xf>
    <xf numFmtId="171" fontId="47" fillId="3" borderId="0" applyAlignment="1" pivotButton="0" quotePrefix="0" xfId="0">
      <alignment vertical="top" wrapText="1"/>
    </xf>
    <xf numFmtId="171" fontId="47" fillId="3" borderId="0" applyAlignment="1" pivotButton="0" quotePrefix="0" xfId="0">
      <alignment wrapText="1"/>
    </xf>
    <xf numFmtId="2" fontId="47" fillId="3" borderId="0" applyAlignment="1" pivotButton="0" quotePrefix="0" xfId="0">
      <alignment wrapText="1"/>
    </xf>
    <xf numFmtId="2" fontId="46" fillId="0" borderId="0" applyAlignment="1" pivotButton="0" quotePrefix="0" xfId="0">
      <alignment vertical="top" wrapText="1"/>
    </xf>
    <xf numFmtId="171" fontId="46" fillId="0" borderId="0" pivotButton="0" quotePrefix="0" xfId="0"/>
    <xf numFmtId="2" fontId="47" fillId="3" borderId="0" applyAlignment="1" pivotButton="0" quotePrefix="0" xfId="0">
      <alignment vertical="top" wrapText="1"/>
    </xf>
    <xf numFmtId="171" fontId="46" fillId="0" borderId="0" applyAlignment="1" pivotButton="0" quotePrefix="0" xfId="0">
      <alignment vertical="top"/>
    </xf>
    <xf numFmtId="0" fontId="45" fillId="86" borderId="0" applyAlignment="1" pivotButton="0" quotePrefix="0" xfId="0">
      <alignment vertical="top" wrapText="1"/>
    </xf>
    <xf numFmtId="172" fontId="0" fillId="92" borderId="0" applyAlignment="1" pivotButton="0" quotePrefix="0" xfId="0">
      <alignment wrapText="1"/>
    </xf>
    <xf numFmtId="172" fontId="54" fillId="92" borderId="0" applyAlignment="1" pivotButton="0" quotePrefix="0" xfId="0">
      <alignment wrapText="1"/>
    </xf>
    <xf numFmtId="172" fontId="0" fillId="13" borderId="0" applyAlignment="1" pivotButton="0" quotePrefix="0" xfId="0">
      <alignment wrapText="1"/>
    </xf>
    <xf numFmtId="172" fontId="54" fillId="13" borderId="0" applyAlignment="1" pivotButton="0" quotePrefix="0" xfId="0">
      <alignment wrapText="1"/>
    </xf>
    <xf numFmtId="10" fontId="46" fillId="0" borderId="0" applyAlignment="1" pivotButton="0" quotePrefix="0" xfId="0">
      <alignment vertical="top"/>
    </xf>
    <xf numFmtId="0" fontId="48" fillId="88" borderId="0" applyAlignment="1" pivotButton="0" quotePrefix="0" xfId="0">
      <alignment vertical="top" wrapText="1"/>
    </xf>
    <xf numFmtId="0" fontId="56" fillId="0" borderId="0" pivotButton="0" quotePrefix="0" xfId="0"/>
    <xf numFmtId="0" fontId="55" fillId="0" borderId="0" pivotButton="0" quotePrefix="0" xfId="0"/>
    <xf numFmtId="0" fontId="44" fillId="85" borderId="15" applyAlignment="1" pivotButton="0" quotePrefix="0" xfId="0">
      <alignment vertical="top"/>
    </xf>
    <xf numFmtId="0" fontId="45" fillId="86" borderId="15" applyAlignment="1" pivotButton="0" quotePrefix="0" xfId="0">
      <alignment vertical="top" wrapText="1"/>
    </xf>
    <xf numFmtId="0" fontId="44" fillId="87" borderId="15" applyAlignment="1" pivotButton="0" quotePrefix="0" xfId="0">
      <alignment vertical="top"/>
    </xf>
    <xf numFmtId="171" fontId="45" fillId="86" borderId="15" applyAlignment="1" pivotButton="0" quotePrefix="0" xfId="0">
      <alignment horizontal="center" vertical="top"/>
    </xf>
    <xf numFmtId="171" fontId="46" fillId="88" borderId="0" applyAlignment="1" pivotButton="0" quotePrefix="0" xfId="0">
      <alignment vertical="top"/>
    </xf>
    <xf numFmtId="0" fontId="47" fillId="0" borderId="15" applyAlignment="1" pivotButton="0" quotePrefix="0" xfId="0">
      <alignment horizontal="center" vertical="top"/>
    </xf>
    <xf numFmtId="0" fontId="46" fillId="88" borderId="15" applyAlignment="1" pivotButton="0" quotePrefix="0" xfId="0">
      <alignment vertical="top" wrapText="1"/>
    </xf>
    <xf numFmtId="10" fontId="46" fillId="0" borderId="0" applyAlignment="1" pivotButton="0" quotePrefix="0" xfId="0">
      <alignment vertical="top"/>
    </xf>
    <xf numFmtId="0" fontId="46" fillId="89" borderId="15" applyAlignment="1" pivotButton="0" quotePrefix="0" xfId="0">
      <alignment vertical="top" wrapText="1"/>
    </xf>
    <xf numFmtId="0" fontId="46" fillId="0" borderId="15" applyAlignment="1" pivotButton="0" quotePrefix="0" xfId="0">
      <alignment vertical="top" wrapText="1"/>
    </xf>
    <xf numFmtId="0" fontId="48" fillId="90" borderId="15" applyAlignment="1" pivotButton="0" quotePrefix="0" xfId="0">
      <alignment vertical="top" wrapText="1"/>
    </xf>
    <xf numFmtId="0" fontId="47" fillId="3" borderId="15" applyAlignment="1" pivotButton="0" quotePrefix="0" xfId="0">
      <alignment vertical="top" wrapText="1"/>
    </xf>
    <xf numFmtId="0" fontId="44" fillId="2" borderId="15" applyAlignment="1" pivotButton="0" quotePrefix="0" xfId="0">
      <alignment vertical="top"/>
    </xf>
    <xf numFmtId="0" fontId="4" fillId="84" borderId="15" applyAlignment="1" pivotButton="0" quotePrefix="0" xfId="0">
      <alignment vertical="center" wrapText="1"/>
    </xf>
    <xf numFmtId="174" fontId="46" fillId="0" borderId="1" applyAlignment="1" pivotButton="0" quotePrefix="0" xfId="0">
      <alignment vertical="top" wrapText="1"/>
    </xf>
    <xf numFmtId="174" fontId="46" fillId="0" borderId="0" applyAlignment="1" pivotButton="0" quotePrefix="0" xfId="0">
      <alignment vertical="top" wrapText="1"/>
    </xf>
    <xf numFmtId="174" fontId="47" fillId="3" borderId="1" applyAlignment="1" pivotButton="0" quotePrefix="0" xfId="0">
      <alignment vertical="top" wrapText="1"/>
    </xf>
    <xf numFmtId="174" fontId="46" fillId="8" borderId="1" applyAlignment="1" pivotButton="0" quotePrefix="0" xfId="0">
      <alignment vertical="top" wrapText="1"/>
    </xf>
    <xf numFmtId="165" fontId="46" fillId="8" borderId="16" applyAlignment="1" pivotButton="0" quotePrefix="0" xfId="0">
      <alignment vertical="top" wrapText="1"/>
    </xf>
    <xf numFmtId="0" fontId="0" fillId="0" borderId="29" pivotButton="0" quotePrefix="0" xfId="0"/>
    <xf numFmtId="0" fontId="0" fillId="0" borderId="30" pivotButton="0" quotePrefix="0" xfId="0"/>
    <xf numFmtId="165" fontId="47" fillId="4" borderId="16" applyAlignment="1" pivotButton="0" quotePrefix="0" xfId="0">
      <alignment vertical="top" wrapText="1"/>
    </xf>
    <xf numFmtId="165" fontId="46" fillId="0" borderId="19" applyAlignment="1" pivotButton="0" quotePrefix="0" xfId="0">
      <alignment vertical="top" wrapText="1"/>
    </xf>
    <xf numFmtId="174" fontId="46" fillId="0" borderId="2" applyAlignment="1" pivotButton="0" quotePrefix="0" xfId="0">
      <alignment vertical="top" wrapText="1"/>
    </xf>
    <xf numFmtId="165" fontId="47" fillId="4" borderId="1" applyAlignment="1" pivotButton="0" quotePrefix="0" xfId="0">
      <alignment vertical="top" wrapText="1"/>
    </xf>
    <xf numFmtId="165" fontId="46" fillId="8" borderId="1" applyAlignment="1" pivotButton="0" quotePrefix="0" xfId="0">
      <alignment vertical="top" wrapText="1"/>
    </xf>
    <xf numFmtId="0" fontId="47" fillId="0" borderId="16" applyAlignment="1" pivotButton="0" quotePrefix="0" xfId="0">
      <alignment vertical="top" wrapText="1"/>
    </xf>
    <xf numFmtId="165" fontId="44" fillId="2" borderId="1" applyAlignment="1" pivotButton="0" quotePrefix="0" xfId="0">
      <alignment vertical="top" wrapText="1"/>
    </xf>
    <xf numFmtId="165" fontId="46" fillId="0" borderId="0" applyAlignment="1" pivotButton="0" quotePrefix="0" xfId="0">
      <alignment vertical="top" wrapText="1"/>
    </xf>
    <xf numFmtId="171" fontId="46" fillId="0" borderId="0" applyAlignment="1" pivotButton="0" quotePrefix="0" xfId="0">
      <alignment vertical="top" wrapText="1"/>
    </xf>
    <xf numFmtId="171" fontId="49" fillId="3" borderId="0" applyAlignment="1" pivotButton="0" quotePrefix="0" xfId="0">
      <alignment vertical="top" wrapText="1"/>
    </xf>
    <xf numFmtId="0" fontId="46" fillId="3" borderId="15" applyAlignment="1" pivotButton="0" quotePrefix="0" xfId="0">
      <alignment vertical="top" wrapText="1"/>
    </xf>
    <xf numFmtId="0" fontId="46" fillId="6" borderId="15" applyAlignment="1" pivotButton="0" quotePrefix="0" xfId="0">
      <alignment vertical="top" wrapText="1"/>
    </xf>
    <xf numFmtId="0" fontId="46" fillId="5" borderId="15" applyAlignment="1" pivotButton="0" quotePrefix="0" xfId="0">
      <alignment vertical="top" wrapText="1"/>
    </xf>
    <xf numFmtId="0" fontId="44" fillId="2" borderId="15" applyAlignment="1" pivotButton="0" quotePrefix="0" xfId="0">
      <alignment vertical="top" wrapText="1"/>
    </xf>
    <xf numFmtId="4" fontId="46" fillId="0" borderId="0" applyAlignment="1" pivotButton="0" quotePrefix="0" xfId="0">
      <alignment vertical="top" wrapText="1"/>
    </xf>
    <xf numFmtId="4" fontId="47" fillId="6" borderId="0" applyAlignment="1" pivotButton="0" quotePrefix="0" xfId="0">
      <alignment vertical="top" wrapText="1"/>
    </xf>
    <xf numFmtId="168" fontId="47" fillId="6" borderId="0" applyAlignment="1" pivotButton="0" quotePrefix="0" xfId="0">
      <alignment vertical="top" wrapText="1"/>
    </xf>
    <xf numFmtId="168" fontId="47" fillId="7" borderId="0" applyAlignment="1" pivotButton="0" quotePrefix="0" xfId="0">
      <alignment vertical="top" wrapText="1"/>
    </xf>
    <xf numFmtId="4" fontId="47" fillId="7" borderId="0" applyAlignment="1" pivotButton="0" quotePrefix="0" xfId="0">
      <alignment vertical="top" wrapText="1"/>
    </xf>
    <xf numFmtId="4" fontId="47" fillId="0" borderId="0" applyAlignment="1" pivotButton="0" quotePrefix="0" xfId="0">
      <alignment vertical="top" wrapText="1"/>
    </xf>
    <xf numFmtId="4" fontId="46" fillId="0" borderId="0" applyAlignment="1" pivotButton="0" quotePrefix="0" xfId="0">
      <alignment horizontal="right" vertical="top" wrapText="1"/>
    </xf>
    <xf numFmtId="4" fontId="47" fillId="0" borderId="0" applyAlignment="1" pivotButton="0" quotePrefix="0" xfId="0">
      <alignment horizontal="right" vertical="top" wrapText="1"/>
    </xf>
    <xf numFmtId="0" fontId="47" fillId="7" borderId="15" applyAlignment="1" pivotButton="0" quotePrefix="0" xfId="0">
      <alignment vertical="top" wrapText="1"/>
    </xf>
    <xf numFmtId="0" fontId="47" fillId="0" borderId="15" applyAlignment="1" pivotButton="0" quotePrefix="0" xfId="0">
      <alignment vertical="top" wrapText="1"/>
    </xf>
    <xf numFmtId="164" fontId="0" fillId="0" borderId="0" pivotButton="0" quotePrefix="0" xfId="1"/>
    <xf numFmtId="164" fontId="0" fillId="0" borderId="0" applyAlignment="1" pivotButton="0" quotePrefix="0" xfId="0">
      <alignment vertical="top" wrapText="1"/>
    </xf>
    <xf numFmtId="164" fontId="0" fillId="0" borderId="19" applyAlignment="1" pivotButton="0" quotePrefix="0" xfId="0">
      <alignment vertical="center"/>
    </xf>
    <xf numFmtId="164" fontId="0" fillId="0" borderId="19" applyAlignment="1" pivotButton="0" quotePrefix="0" xfId="0">
      <alignment vertical="top"/>
    </xf>
    <xf numFmtId="164" fontId="2" fillId="3" borderId="1" applyAlignment="1" pivotButton="0" quotePrefix="0" xfId="0">
      <alignment vertical="center" wrapText="1"/>
    </xf>
    <xf numFmtId="174" fontId="0" fillId="8" borderId="1" applyAlignment="1" pivotButton="0" quotePrefix="0" xfId="0">
      <alignment vertical="center" wrapText="1"/>
    </xf>
    <xf numFmtId="174" fontId="2" fillId="4" borderId="1" applyAlignment="1" pivotButton="0" quotePrefix="0" xfId="0">
      <alignment vertical="center" wrapText="1"/>
    </xf>
    <xf numFmtId="174" fontId="0" fillId="8" borderId="0" applyAlignment="1" pivotButton="0" quotePrefix="0" xfId="0">
      <alignment vertical="center" wrapText="1"/>
    </xf>
    <xf numFmtId="0" fontId="6" fillId="0" borderId="15" applyAlignment="1" pivotButton="0" quotePrefix="0" xfId="0">
      <alignment vertical="center" wrapText="1"/>
    </xf>
    <xf numFmtId="174" fontId="6" fillId="8" borderId="15" applyAlignment="1" pivotButton="0" quotePrefix="0" xfId="0">
      <alignment vertical="center" wrapText="1"/>
    </xf>
    <xf numFmtId="174" fontId="2" fillId="8" borderId="1" applyAlignment="1" pivotButton="0" quotePrefix="0" xfId="0">
      <alignment vertical="center" wrapText="1"/>
    </xf>
    <xf numFmtId="174" fontId="0" fillId="8" borderId="0" applyAlignment="1" pivotButton="0" quotePrefix="0" xfId="0">
      <alignment vertical="top" wrapText="1"/>
    </xf>
    <xf numFmtId="174" fontId="0" fillId="8" borderId="1" applyAlignment="1" pivotButton="0" quotePrefix="0" xfId="0">
      <alignment vertical="top" wrapText="1"/>
    </xf>
    <xf numFmtId="174" fontId="2" fillId="4" borderId="1" applyAlignment="1" pivotButton="0" quotePrefix="0" xfId="0">
      <alignment vertical="top" wrapText="1"/>
    </xf>
    <xf numFmtId="174" fontId="2" fillId="8" borderId="0" applyAlignment="1" pivotButton="0" quotePrefix="0" xfId="0">
      <alignment vertical="top" wrapText="1"/>
    </xf>
    <xf numFmtId="174" fontId="2" fillId="8" borderId="1" applyAlignment="1" pivotButton="0" quotePrefix="0" xfId="0">
      <alignment vertical="top" wrapText="1"/>
    </xf>
    <xf numFmtId="174" fontId="4" fillId="2" borderId="0" applyAlignment="1" pivotButton="0" quotePrefix="0" xfId="0">
      <alignment vertical="top" wrapText="1"/>
    </xf>
    <xf numFmtId="174" fontId="0" fillId="0" borderId="0" applyAlignment="1" pivotButton="0" quotePrefix="0" xfId="0">
      <alignment vertical="top" wrapText="1"/>
    </xf>
    <xf numFmtId="164" fontId="0" fillId="0" borderId="19" applyAlignment="1" pivotButton="0" quotePrefix="0" xfId="0">
      <alignment vertical="top" wrapText="1"/>
    </xf>
    <xf numFmtId="164" fontId="2" fillId="3" borderId="19" applyAlignment="1" pivotButton="0" quotePrefix="0" xfId="0">
      <alignment vertical="top" wrapText="1"/>
    </xf>
    <xf numFmtId="0" fontId="4" fillId="2" borderId="16" applyAlignment="1" pivotButton="0" quotePrefix="0" xfId="0">
      <alignment vertical="top" wrapText="1"/>
    </xf>
    <xf numFmtId="164" fontId="20" fillId="63" borderId="19" applyAlignment="1" pivotButton="0" quotePrefix="0" xfId="0">
      <alignment horizontal="left" vertical="center" wrapText="1"/>
    </xf>
    <xf numFmtId="172" fontId="0" fillId="0" borderId="0" applyAlignment="1" pivotButton="0" quotePrefix="0" xfId="0">
      <alignment vertical="top" wrapText="1"/>
    </xf>
    <xf numFmtId="0" fontId="4" fillId="61" borderId="15" applyAlignment="1" pivotButton="0" quotePrefix="0" xfId="0">
      <alignment vertical="top" wrapText="1"/>
    </xf>
    <xf numFmtId="172" fontId="54" fillId="92" borderId="0" applyAlignment="1" pivotButton="0" quotePrefix="0" xfId="0">
      <alignment wrapText="1"/>
    </xf>
    <xf numFmtId="0" fontId="4" fillId="79" borderId="15" applyAlignment="1" pivotButton="0" quotePrefix="0" xfId="0">
      <alignment wrapText="1"/>
    </xf>
    <xf numFmtId="4" fontId="0" fillId="0" borderId="0" applyAlignment="1" pivotButton="0" quotePrefix="0" xfId="0">
      <alignment wrapText="1"/>
    </xf>
    <xf numFmtId="0" fontId="0" fillId="0" borderId="22" pivotButton="0" quotePrefix="0" xfId="0"/>
    <xf numFmtId="165" fontId="0" fillId="37" borderId="0" applyAlignment="1" pivotButton="0" quotePrefix="0" xfId="0">
      <alignment vertical="center" wrapText="1"/>
    </xf>
    <xf numFmtId="172" fontId="0" fillId="48" borderId="0" applyAlignment="1" pivotButton="0" quotePrefix="0" xfId="0">
      <alignment wrapText="1"/>
    </xf>
    <xf numFmtId="165" fontId="0" fillId="7" borderId="0" applyAlignment="1" pivotButton="0" quotePrefix="0" xfId="0">
      <alignment vertical="center" wrapText="1"/>
    </xf>
    <xf numFmtId="171" fontId="2" fillId="31" borderId="0" applyAlignment="1" pivotButton="0" quotePrefix="0" xfId="0">
      <alignment vertical="center" wrapText="1"/>
    </xf>
    <xf numFmtId="168" fontId="0" fillId="7" borderId="0" applyAlignment="1" pivotButton="0" quotePrefix="0" xfId="0">
      <alignment vertical="center" wrapText="1"/>
    </xf>
    <xf numFmtId="171" fontId="0" fillId="7" borderId="0" applyAlignment="1" pivotButton="0" quotePrefix="0" xfId="0">
      <alignment vertical="center" wrapText="1"/>
    </xf>
    <xf numFmtId="171" fontId="0" fillId="0" borderId="0" applyAlignment="1" pivotButton="0" quotePrefix="0" xfId="0">
      <alignment wrapText="1"/>
    </xf>
    <xf numFmtId="168" fontId="0" fillId="0" borderId="0" applyAlignment="1" pivotButton="0" quotePrefix="0" xfId="0">
      <alignment wrapText="1"/>
    </xf>
    <xf numFmtId="165" fontId="5" fillId="12" borderId="0" applyAlignment="1" pivotButton="0" quotePrefix="0" xfId="0">
      <alignment vertical="center" wrapText="1"/>
    </xf>
    <xf numFmtId="165" fontId="4" fillId="2" borderId="1" applyAlignment="1" pivotButton="0" quotePrefix="0" xfId="0">
      <alignment vertical="center" wrapText="1"/>
    </xf>
    <xf numFmtId="173" fontId="2" fillId="6" borderId="0" applyAlignment="1" pivotButton="0" quotePrefix="0" xfId="0">
      <alignment vertical="center" wrapText="1"/>
    </xf>
    <xf numFmtId="171" fontId="0" fillId="6" borderId="1" applyAlignment="1" pivotButton="0" quotePrefix="0" xfId="0">
      <alignment vertical="center" wrapText="1"/>
    </xf>
    <xf numFmtId="173" fontId="0" fillId="6" borderId="1" applyAlignment="1" pivotButton="0" quotePrefix="0" xfId="0">
      <alignment vertical="center" wrapText="1"/>
    </xf>
    <xf numFmtId="173" fontId="2" fillId="6" borderId="1" applyAlignment="1" pivotButton="0" quotePrefix="0" xfId="0">
      <alignment vertical="center" wrapText="1"/>
    </xf>
    <xf numFmtId="173" fontId="0" fillId="6" borderId="0" applyAlignment="1" pivotButton="0" quotePrefix="0" xfId="0">
      <alignment vertical="center" wrapText="1"/>
    </xf>
    <xf numFmtId="0" fontId="6" fillId="14" borderId="16" applyAlignment="1" pivotButton="0" quotePrefix="0" xfId="0">
      <alignment vertical="center" wrapText="1"/>
    </xf>
    <xf numFmtId="4" fontId="6" fillId="81" borderId="16" applyAlignment="1" pivotButton="0" quotePrefix="0" xfId="0">
      <alignment vertical="center" wrapText="1"/>
    </xf>
    <xf numFmtId="173" fontId="6" fillId="82" borderId="16" applyAlignment="1" pivotButton="0" quotePrefix="0" xfId="0">
      <alignment vertical="center" wrapText="1"/>
    </xf>
    <xf numFmtId="0" fontId="6" fillId="82" borderId="16" applyAlignment="1" pivotButton="0" quotePrefix="0" xfId="0">
      <alignment vertical="center" wrapText="1"/>
    </xf>
    <xf numFmtId="0" fontId="6" fillId="82" borderId="15" applyAlignment="1" pivotButton="0" quotePrefix="0" xfId="0">
      <alignment vertical="center" wrapText="1"/>
    </xf>
    <xf numFmtId="0" fontId="6" fillId="81" borderId="15" applyAlignment="1" pivotButton="0" quotePrefix="0" xfId="0">
      <alignment vertical="center" wrapText="1"/>
    </xf>
    <xf numFmtId="0" fontId="4" fillId="84" borderId="16" applyAlignment="1" pivotButton="0" quotePrefix="0" xfId="0">
      <alignment vertical="center" wrapText="1"/>
    </xf>
    <xf numFmtId="4" fontId="4" fillId="84" borderId="16" applyAlignment="1" pivotButton="0" quotePrefix="0" xfId="0">
      <alignment vertical="center" wrapText="1"/>
    </xf>
    <xf numFmtId="165" fontId="4" fillId="84" borderId="16" applyAlignment="1" pivotButton="0" quotePrefix="0" xfId="0">
      <alignment vertical="center" wrapText="1"/>
    </xf>
    <xf numFmtId="168" fontId="0" fillId="7" borderId="0" applyAlignment="1" pivotButton="0" quotePrefix="0" xfId="0">
      <alignment wrapText="1"/>
    </xf>
    <xf numFmtId="165" fontId="0" fillId="6" borderId="0" applyAlignment="1" pivotButton="0" quotePrefix="0" xfId="0">
      <alignment wrapText="1"/>
    </xf>
    <xf numFmtId="165" fontId="0" fillId="7" borderId="0" applyAlignment="1" pivotButton="0" quotePrefix="0" xfId="0">
      <alignment wrapText="1"/>
    </xf>
    <xf numFmtId="171" fontId="0" fillId="31" borderId="0" pivotButton="0" quotePrefix="0" xfId="0"/>
    <xf numFmtId="165" fontId="11" fillId="17" borderId="0" applyAlignment="1" pivotButton="0" quotePrefix="0" xfId="0">
      <alignment wrapText="1"/>
    </xf>
    <xf numFmtId="165" fontId="0" fillId="18" borderId="0" applyAlignment="1" pivotButton="0" quotePrefix="0" xfId="0">
      <alignment wrapText="1"/>
    </xf>
    <xf numFmtId="168" fontId="0" fillId="7" borderId="6" applyAlignment="1" pivotButton="0" quotePrefix="0" xfId="0">
      <alignment wrapText="1"/>
    </xf>
    <xf numFmtId="165" fontId="0" fillId="6" borderId="6" applyAlignment="1" pivotButton="0" quotePrefix="0" xfId="0">
      <alignment wrapText="1"/>
    </xf>
    <xf numFmtId="165" fontId="0" fillId="7" borderId="6" applyAlignment="1" pivotButton="0" quotePrefix="0" xfId="0">
      <alignment wrapText="1"/>
    </xf>
    <xf numFmtId="165" fontId="0" fillId="7" borderId="8" applyAlignment="1" pivotButton="0" quotePrefix="0" xfId="0">
      <alignment wrapText="1"/>
    </xf>
    <xf numFmtId="165" fontId="10" fillId="7" borderId="0" applyAlignment="1" pivotButton="0" quotePrefix="0" xfId="0">
      <alignment wrapText="1"/>
    </xf>
    <xf numFmtId="165" fontId="10" fillId="81" borderId="15" applyAlignment="1" pivotButton="0" quotePrefix="0" xfId="0">
      <alignment wrapText="1"/>
    </xf>
    <xf numFmtId="0" fontId="10" fillId="81" borderId="15" applyAlignment="1" pivotButton="0" quotePrefix="0" xfId="0">
      <alignment wrapText="1"/>
    </xf>
    <xf numFmtId="49" fontId="10" fillId="81" borderId="15" applyAlignment="1" pivotButton="0" quotePrefix="0" xfId="0">
      <alignment wrapText="1"/>
    </xf>
    <xf numFmtId="0" fontId="10" fillId="81" borderId="21" applyAlignment="1" pivotButton="0" quotePrefix="0" xfId="0">
      <alignment wrapText="1"/>
    </xf>
    <xf numFmtId="0" fontId="5" fillId="19" borderId="15" applyAlignment="1" pivotButton="0" quotePrefix="0" xfId="0">
      <alignment vertical="center"/>
    </xf>
    <xf numFmtId="0" fontId="12" fillId="20" borderId="15" applyAlignment="1" pivotButton="0" quotePrefix="0" xfId="0">
      <alignment vertical="center" wrapText="1"/>
    </xf>
    <xf numFmtId="165" fontId="0" fillId="22" borderId="0" applyAlignment="1" pivotButton="0" quotePrefix="0" xfId="0">
      <alignment vertical="center"/>
    </xf>
    <xf numFmtId="165" fontId="0" fillId="24" borderId="0" applyAlignment="1" pivotButton="0" quotePrefix="0" xfId="0">
      <alignment vertical="center"/>
    </xf>
    <xf numFmtId="165" fontId="0" fillId="23" borderId="0" applyAlignment="1" pivotButton="0" quotePrefix="0" xfId="0">
      <alignment vertical="center"/>
    </xf>
    <xf numFmtId="165" fontId="0" fillId="0" borderId="0" applyAlignment="1" pivotButton="0" quotePrefix="0" xfId="0">
      <alignment vertical="top" wrapText="1"/>
    </xf>
    <xf numFmtId="0" fontId="6" fillId="0" borderId="15" applyAlignment="1" pivotButton="0" quotePrefix="0" xfId="0">
      <alignment vertical="top"/>
    </xf>
    <xf numFmtId="0" fontId="6" fillId="0" borderId="15" applyAlignment="1" pivotButton="0" quotePrefix="0" xfId="0">
      <alignment vertical="top" wrapText="1"/>
    </xf>
    <xf numFmtId="165" fontId="6" fillId="0" borderId="15" applyAlignment="1" pivotButton="0" quotePrefix="0" xfId="0">
      <alignment vertical="top" wrapText="1"/>
    </xf>
    <xf numFmtId="0" fontId="2" fillId="81" borderId="15" applyAlignment="1" pivotButton="0" quotePrefix="0" xfId="0">
      <alignment vertical="top" wrapText="1"/>
    </xf>
    <xf numFmtId="0" fontId="2" fillId="20" borderId="15" applyAlignment="1" pivotButton="0" quotePrefix="0" xfId="0">
      <alignment vertical="center" wrapText="1"/>
    </xf>
    <xf numFmtId="0" fontId="0" fillId="21" borderId="15" applyAlignment="1" pivotButton="0" quotePrefix="0" xfId="0">
      <alignment vertical="center" wrapText="1"/>
    </xf>
    <xf numFmtId="0" fontId="13" fillId="22" borderId="15" applyAlignment="1" pivotButton="0" quotePrefix="0" xfId="0">
      <alignment vertical="center"/>
    </xf>
    <xf numFmtId="0" fontId="15" fillId="27" borderId="15" applyAlignment="1" pivotButton="0" quotePrefix="0" xfId="0">
      <alignment vertical="center" wrapText="1"/>
    </xf>
    <xf numFmtId="0" fontId="4" fillId="52" borderId="15" applyAlignment="1" pivotButton="0" quotePrefix="0" xfId="0">
      <alignment vertical="center" wrapText="1"/>
    </xf>
    <xf numFmtId="0" fontId="6" fillId="0" borderId="15" applyAlignment="1" pivotButton="0" quotePrefix="0" xfId="0">
      <alignment vertical="center"/>
    </xf>
    <xf numFmtId="165" fontId="6" fillId="82" borderId="15" applyAlignment="1" pivotButton="0" quotePrefix="0" xfId="0">
      <alignment vertical="center" wrapText="1"/>
    </xf>
    <xf numFmtId="169" fontId="6" fillId="82" borderId="15" applyAlignment="1" pivotButton="0" quotePrefix="0" xfId="0">
      <alignment vertical="center" wrapText="1"/>
    </xf>
    <xf numFmtId="169" fontId="11" fillId="81" borderId="15" applyAlignment="1" pivotButton="0" quotePrefix="0" xfId="0">
      <alignment vertical="center" wrapText="1"/>
    </xf>
    <xf numFmtId="0" fontId="2" fillId="81" borderId="15" applyAlignment="1" pivotButton="0" quotePrefix="0" xfId="0">
      <alignment vertical="center" wrapText="1"/>
    </xf>
    <xf numFmtId="165" fontId="6" fillId="0" borderId="15" applyAlignment="1" pivotButton="0" quotePrefix="0" xfId="0">
      <alignment vertical="center" wrapText="1"/>
    </xf>
    <xf numFmtId="0" fontId="2" fillId="0" borderId="15" applyAlignment="1" pivotButton="0" quotePrefix="0" xfId="0">
      <alignment wrapText="1"/>
    </xf>
    <xf numFmtId="0" fontId="44" fillId="85" borderId="15" applyAlignment="1" pivotButton="0" quotePrefix="0" xfId="0">
      <alignment vertical="top" wrapText="1"/>
    </xf>
    <xf numFmtId="0" fontId="53" fillId="85" borderId="15" applyAlignment="1" pivotButton="0" quotePrefix="0" xfId="0">
      <alignment vertical="top" wrapText="1"/>
    </xf>
    <xf numFmtId="0" fontId="44" fillId="12" borderId="15" applyAlignment="1" pivotButton="0" quotePrefix="0" xfId="0">
      <alignment vertical="top" wrapText="1"/>
    </xf>
    <xf numFmtId="4" fontId="46" fillId="7" borderId="0" applyAlignment="1" pivotButton="0" quotePrefix="0" xfId="0">
      <alignment vertical="top" wrapText="1"/>
    </xf>
    <xf numFmtId="170" fontId="46" fillId="7" borderId="0" applyAlignment="1" pivotButton="0" quotePrefix="0" xfId="0">
      <alignment vertical="top" wrapText="1"/>
    </xf>
    <xf numFmtId="1" fontId="46" fillId="0" borderId="0" applyAlignment="1" pivotButton="0" quotePrefix="0" xfId="0">
      <alignment vertical="top" wrapText="1"/>
    </xf>
    <xf numFmtId="1" fontId="46" fillId="7" borderId="0" applyAlignment="1" pivotButton="0" quotePrefix="0" xfId="0">
      <alignment vertical="top" wrapText="1"/>
    </xf>
    <xf numFmtId="170" fontId="46" fillId="0" borderId="0" applyAlignment="1" pivotButton="0" quotePrefix="0" xfId="0">
      <alignment vertical="top" wrapText="1"/>
    </xf>
    <xf numFmtId="0" fontId="46" fillId="29" borderId="15" applyAlignment="1" pivotButton="0" quotePrefix="0" xfId="0">
      <alignment vertical="top" wrapText="1"/>
    </xf>
    <xf numFmtId="171" fontId="46" fillId="7" borderId="0" applyAlignment="1" pivotButton="0" quotePrefix="0" xfId="0">
      <alignment vertical="top" wrapText="1"/>
    </xf>
    <xf numFmtId="10" fontId="46" fillId="0" borderId="0" applyAlignment="1" pivotButton="0" quotePrefix="0" xfId="0">
      <alignment vertical="top" wrapText="1"/>
    </xf>
    <xf numFmtId="2" fontId="46" fillId="7" borderId="0" applyAlignment="1" pivotButton="0" quotePrefix="0" xfId="0">
      <alignment vertical="top" wrapText="1"/>
    </xf>
    <xf numFmtId="171" fontId="47" fillId="6" borderId="0" applyAlignment="1" pivotButton="0" quotePrefix="0" xfId="0">
      <alignment vertical="top" wrapText="1"/>
    </xf>
    <xf numFmtId="175" fontId="46" fillId="0" borderId="0" applyAlignment="1" pivotButton="0" quotePrefix="0" xfId="0">
      <alignment vertical="top" wrapText="1"/>
    </xf>
    <xf numFmtId="2" fontId="46" fillId="0" borderId="0" applyAlignment="1" pivotButton="0" quotePrefix="0" xfId="0">
      <alignment vertical="top" wrapText="1"/>
    </xf>
    <xf numFmtId="171" fontId="47" fillId="3" borderId="0" applyAlignment="1" pivotButton="0" quotePrefix="0" xfId="0">
      <alignment vertical="top" wrapText="1"/>
    </xf>
    <xf numFmtId="2" fontId="47" fillId="3" borderId="0" applyAlignment="1" pivotButton="0" quotePrefix="0" xfId="0">
      <alignment vertical="top" wrapText="1"/>
    </xf>
    <xf numFmtId="171" fontId="46" fillId="0" borderId="0" applyAlignment="1" pivotButton="0" quotePrefix="0" xfId="0">
      <alignment vertical="top"/>
    </xf>
    <xf numFmtId="0" fontId="5" fillId="33" borderId="15" applyAlignment="1" pivotButton="0" quotePrefix="0" xfId="0">
      <alignment vertical="center"/>
    </xf>
    <xf numFmtId="0" fontId="2" fillId="34" borderId="15" applyAlignment="1" pivotButton="0" quotePrefix="0" xfId="0">
      <alignment wrapText="1"/>
    </xf>
    <xf numFmtId="0" fontId="4" fillId="35" borderId="15" applyAlignment="1" pivotButton="0" quotePrefix="0" xfId="0">
      <alignment vertical="center" wrapText="1"/>
    </xf>
    <xf numFmtId="171" fontId="0" fillId="0" borderId="0" pivotButton="0" quotePrefix="0" xfId="0"/>
    <xf numFmtId="171" fontId="0" fillId="37" borderId="0" applyAlignment="1" pivotButton="0" quotePrefix="0" xfId="0">
      <alignment wrapText="1"/>
    </xf>
    <xf numFmtId="168" fontId="0" fillId="39" borderId="0" applyAlignment="1" pivotButton="0" quotePrefix="0" xfId="0">
      <alignment wrapText="1"/>
    </xf>
    <xf numFmtId="171" fontId="0" fillId="39" borderId="0" applyAlignment="1" pivotButton="0" quotePrefix="0" xfId="0">
      <alignment wrapText="1"/>
    </xf>
    <xf numFmtId="171" fontId="0" fillId="6" borderId="0" applyAlignment="1" pivotButton="0" quotePrefix="0" xfId="0">
      <alignment wrapText="1"/>
    </xf>
    <xf numFmtId="171" fontId="0" fillId="7" borderId="0" applyAlignment="1" pivotButton="0" quotePrefix="0" xfId="0">
      <alignment wrapText="1"/>
    </xf>
    <xf numFmtId="0" fontId="1" fillId="43" borderId="15" applyAlignment="1" pivotButton="0" quotePrefix="0" xfId="0">
      <alignment vertical="center"/>
    </xf>
    <xf numFmtId="0" fontId="4" fillId="49" borderId="15" applyAlignment="1" pivotButton="0" quotePrefix="0" xfId="0">
      <alignment vertical="top" wrapText="1"/>
    </xf>
    <xf numFmtId="0" fontId="2" fillId="50" borderId="15" applyAlignment="1" pivotButton="0" quotePrefix="0" xfId="0">
      <alignment vertical="top" wrapText="1"/>
    </xf>
    <xf numFmtId="0" fontId="13" fillId="51" borderId="15" applyAlignment="1" pivotButton="0" quotePrefix="0" xfId="0">
      <alignment vertical="top" wrapText="1"/>
    </xf>
    <xf numFmtId="4" fontId="0" fillId="0" borderId="0" applyAlignment="1" pivotButton="0" quotePrefix="0" xfId="0">
      <alignment vertical="top" wrapText="1"/>
    </xf>
    <xf numFmtId="171" fontId="0" fillId="0" borderId="0" applyAlignment="1" pivotButton="0" quotePrefix="0" xfId="0">
      <alignment vertical="top" wrapText="1"/>
    </xf>
    <xf numFmtId="168" fontId="0" fillId="0" borderId="0" applyAlignment="1" pivotButton="0" quotePrefix="0" xfId="0">
      <alignment vertical="top" wrapText="1"/>
    </xf>
    <xf numFmtId="164" fontId="0" fillId="6" borderId="0" applyAlignment="1" pivotButton="0" quotePrefix="0" xfId="0">
      <alignment vertical="center" wrapText="1"/>
    </xf>
    <xf numFmtId="166" fontId="0" fillId="0" borderId="0" applyAlignment="1" pivotButton="0" quotePrefix="0" xfId="0">
      <alignment vertical="center" wrapText="1"/>
    </xf>
    <xf numFmtId="10" fontId="0" fillId="0" borderId="0" applyAlignment="1" pivotButton="0" quotePrefix="0" xfId="0">
      <alignment vertical="center" wrapText="1"/>
    </xf>
    <xf numFmtId="171" fontId="0" fillId="6" borderId="0" applyAlignment="1" pivotButton="0" quotePrefix="0" xfId="0">
      <alignment vertical="center" wrapText="1"/>
    </xf>
    <xf numFmtId="168" fontId="0" fillId="6" borderId="0" applyAlignment="1" pivotButton="0" quotePrefix="0" xfId="0">
      <alignment vertical="center" wrapText="1"/>
    </xf>
    <xf numFmtId="164" fontId="0" fillId="0" borderId="0" applyAlignment="1" pivotButton="0" quotePrefix="0" xfId="0">
      <alignment wrapText="1"/>
    </xf>
    <xf numFmtId="168" fontId="4" fillId="2" borderId="0" applyAlignment="1" pivotButton="0" quotePrefix="0" xfId="0">
      <alignment vertical="center" wrapText="1"/>
    </xf>
    <xf numFmtId="164" fontId="4" fillId="2" borderId="0" applyAlignment="1" pivotButton="0" quotePrefix="0" xfId="0">
      <alignment vertical="center" wrapText="1"/>
    </xf>
    <xf numFmtId="164" fontId="4" fillId="2" borderId="15" applyAlignment="1" pivotButton="0" quotePrefix="0" xfId="0">
      <alignment vertical="center" wrapText="1"/>
    </xf>
    <xf numFmtId="168" fontId="0" fillId="0" borderId="0" applyAlignment="1" pivotButton="0" quotePrefix="0" xfId="0">
      <alignment vertical="center" wrapText="1"/>
    </xf>
    <xf numFmtId="164" fontId="0" fillId="0" borderId="0" applyAlignment="1" pivotButton="0" quotePrefix="0" xfId="0">
      <alignment vertical="center" wrapText="1"/>
    </xf>
    <xf numFmtId="0" fontId="13" fillId="3" borderId="15" applyAlignment="1" pivotButton="0" quotePrefix="0" xfId="0">
      <alignment wrapText="1"/>
    </xf>
    <xf numFmtId="0" fontId="6" fillId="0" borderId="15" applyAlignment="1" pivotButton="0" quotePrefix="0" xfId="0">
      <alignment wrapText="1"/>
    </xf>
    <xf numFmtId="0" fontId="5" fillId="56" borderId="15" applyAlignment="1" pivotButton="0" quotePrefix="0" xfId="0">
      <alignment horizontal="left" vertical="center" wrapText="1"/>
    </xf>
    <xf numFmtId="0" fontId="19" fillId="57" borderId="15" applyAlignment="1" pivotButton="0" quotePrefix="0" xfId="0">
      <alignment wrapText="1"/>
    </xf>
    <xf numFmtId="2" fontId="0" fillId="0" borderId="0" applyAlignment="1" pivotButton="0" quotePrefix="0" xfId="0">
      <alignment wrapText="1"/>
    </xf>
    <xf numFmtId="0" fontId="21" fillId="0" borderId="15" applyAlignment="1" pivotButton="0" quotePrefix="0" xfId="0">
      <alignment wrapText="1"/>
    </xf>
    <xf numFmtId="2" fontId="22" fillId="0" borderId="0" applyAlignment="1" pivotButton="0" quotePrefix="0" xfId="0">
      <alignment wrapText="1"/>
    </xf>
    <xf numFmtId="4" fontId="22" fillId="0" borderId="0" applyAlignment="1" pivotButton="0" quotePrefix="0" xfId="0">
      <alignment wrapText="1"/>
    </xf>
    <xf numFmtId="0" fontId="4" fillId="2" borderId="15" applyAlignment="1" pivotButton="0" quotePrefix="0" xfId="0">
      <alignment horizontal="left" vertical="center" wrapText="1"/>
    </xf>
  </cellXfs>
  <cellStyles count="2">
    <cellStyle name="Normal" xfId="0"/>
    <cellStyle name="Currency" xfId="1"/>
  </cellStyles>
  <dxfs count="41">
    <dxf>
      <font>
        <b val="1"/>
      </font>
      <fill>
        <patternFill>
          <bgColor rgb="FFF4CCCC"/>
        </patternFill>
      </fill>
    </dxf>
    <dxf>
      <fill>
        <patternFill>
          <bgColor rgb="FFFFF2CC"/>
        </patternFill>
      </fill>
    </dxf>
    <dxf>
      <fill>
        <patternFill>
          <bgColor rgb="FFE2F0D9"/>
        </patternFill>
      </fill>
    </dxf>
    <dxf>
      <fill>
        <patternFill>
          <bgColor rgb="FFE2F0D9"/>
        </patternFill>
      </fill>
    </dxf>
    <dxf>
      <fill>
        <patternFill>
          <bgColor rgb="FFFFF2CC"/>
        </patternFill>
      </fill>
    </dxf>
    <dxf>
      <font>
        <b val="1"/>
        <color rgb="FF9C0006"/>
      </font>
      <fill>
        <patternFill>
          <bgColor rgb="FFF4CCCC"/>
        </patternFill>
      </fill>
    </dxf>
    <dxf>
      <font>
        <b val="1"/>
        <color rgb="FF9C0006"/>
      </font>
      <fill>
        <patternFill>
          <bgColor rgb="FFF4CCCC"/>
        </patternFill>
      </fill>
    </dxf>
    <dxf>
      <font>
        <b val="1"/>
      </font>
      <fill>
        <patternFill>
          <bgColor rgb="FFF4CCCC"/>
        </patternFill>
      </fill>
    </dxf>
    <dxf>
      <font>
        <b val="1"/>
      </font>
      <fill>
        <patternFill>
          <bgColor rgb="FFFCE4D6"/>
        </patternFill>
      </fill>
    </dxf>
    <dxf>
      <font>
        <b val="1"/>
      </font>
      <fill>
        <patternFill>
          <bgColor rgb="FFE2F0D9"/>
        </patternFill>
      </fill>
    </dxf>
    <dxf>
      <font>
        <b val="1"/>
      </font>
      <fill>
        <patternFill>
          <bgColor rgb="FFF4CCCC"/>
        </patternFill>
      </fill>
    </dxf>
    <dxf>
      <font>
        <b val="1"/>
      </font>
      <fill>
        <patternFill>
          <bgColor rgb="FFFCE4D6"/>
        </patternFill>
      </fill>
    </dxf>
    <dxf>
      <font>
        <b val="1"/>
      </font>
      <fill>
        <patternFill>
          <bgColor rgb="FFE2F0D9"/>
        </patternFill>
      </fill>
    </dxf>
    <dxf>
      <font>
        <b val="1"/>
      </font>
      <fill>
        <patternFill>
          <bgColor rgb="FFF4CCCC"/>
        </patternFill>
      </fill>
    </dxf>
    <dxf>
      <font>
        <b val="1"/>
      </font>
      <fill>
        <patternFill>
          <bgColor rgb="FFFCE4D6"/>
        </patternFill>
      </fill>
    </dxf>
    <dxf>
      <font>
        <b val="1"/>
      </font>
      <fill>
        <patternFill>
          <bgColor rgb="FFE2F0D9"/>
        </patternFill>
      </fill>
    </dxf>
    <dxf>
      <font>
        <b val="1"/>
      </font>
      <fill>
        <patternFill>
          <bgColor rgb="FFE2F0D9"/>
        </patternFill>
      </fill>
    </dxf>
    <dxf>
      <font>
        <b val="1"/>
      </font>
      <fill>
        <patternFill>
          <bgColor rgb="FFF4CCCC"/>
        </patternFill>
      </fill>
    </dxf>
    <dxf>
      <fill>
        <patternFill>
          <bgColor rgb="FFE2F0D9"/>
        </patternFill>
      </fill>
    </dxf>
    <dxf>
      <fill>
        <patternFill>
          <bgColor rgb="FFF4CCCC"/>
        </patternFill>
      </fill>
    </dxf>
    <dxf>
      <fill>
        <patternFill>
          <bgColor rgb="FFFCE4D6"/>
        </patternFill>
      </fill>
    </dxf>
    <dxf>
      <fill>
        <patternFill>
          <bgColor rgb="FFE2F0D9"/>
        </patternFill>
      </fill>
    </dxf>
    <dxf>
      <fill>
        <patternFill>
          <bgColor rgb="FFF4CCCC"/>
        </patternFill>
      </fill>
    </dxf>
    <dxf>
      <fill>
        <patternFill>
          <bgColor rgb="FFD9EAF7"/>
        </patternFill>
      </fill>
    </dxf>
    <dxf>
      <fill>
        <patternFill>
          <bgColor rgb="FFFCE4D6"/>
        </patternFill>
      </fill>
    </dxf>
    <dxf>
      <fill>
        <patternFill>
          <bgColor rgb="FFE2F0D9"/>
        </patternFill>
      </fill>
    </dxf>
    <dxf>
      <fill>
        <patternFill>
          <bgColor rgb="FFF4CCCC"/>
        </patternFill>
      </fill>
    </dxf>
    <dxf>
      <fill>
        <patternFill>
          <bgColor rgb="FFE2F0D9"/>
        </patternFill>
      </fill>
    </dxf>
    <dxf>
      <fill>
        <patternFill>
          <bgColor rgb="FFFCE4D6"/>
        </patternFill>
      </fill>
    </dxf>
    <dxf>
      <fill>
        <patternFill>
          <bgColor rgb="FFF4CCCC"/>
        </patternFill>
      </fill>
    </dxf>
    <dxf>
      <fill>
        <patternFill>
          <bgColor rgb="FFFFF2CC"/>
        </patternFill>
      </fill>
    </dxf>
    <dxf>
      <fill>
        <patternFill>
          <bgColor rgb="FFE2F0D9"/>
        </patternFill>
      </fill>
    </dxf>
    <dxf>
      <fill>
        <patternFill>
          <bgColor rgb="FFF4CCCC"/>
        </patternFill>
      </fill>
    </dxf>
    <dxf>
      <fill>
        <patternFill>
          <bgColor rgb="FFE2F0D9"/>
        </patternFill>
      </fill>
    </dxf>
    <dxf>
      <fill>
        <patternFill>
          <bgColor rgb="FFFFF2CC"/>
        </patternFill>
      </fill>
    </dxf>
    <dxf>
      <fill>
        <patternFill>
          <bgColor rgb="FFF4CCCC"/>
        </patternFill>
      </fill>
    </dxf>
    <dxf>
      <fill>
        <patternFill>
          <bgColor rgb="FFE2F0D9"/>
        </patternFill>
      </fill>
    </dxf>
    <dxf>
      <fill>
        <patternFill>
          <bgColor rgb="FFF4CCCC"/>
        </patternFill>
      </fill>
    </dxf>
    <dxf>
      <fill>
        <patternFill>
          <bgColor rgb="FFFCE4D6"/>
        </patternFill>
      </fill>
    </dxf>
    <dxf>
      <font>
        <b val="1"/>
        <color rgb="FF991B1B"/>
      </font>
      <fill>
        <patternFill>
          <bgColor rgb="FFFECACA"/>
        </patternFill>
      </fill>
    </dxf>
    <dxf>
      <font>
        <b val="1"/>
        <color rgb="FF166534"/>
      </font>
      <fill>
        <patternFill>
          <bgColor rgb="FFDCFCE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style="491" min="1" max="1"/>
    <col width="120" customWidth="1" style="491" min="2" max="2"/>
  </cols>
  <sheetData>
    <row r="1">
      <c r="A1" s="1342" t="inlineStr">
        <is>
          <t>MASTER ESTIMATE WORKBOOK - TEMPLATE</t>
        </is>
      </c>
      <c r="B1" s="26" t="inlineStr">
        <is>
          <t>Blackline QSi Pro  |  template Rev1 (14 Oct 2026)</t>
        </is>
      </c>
    </row>
    <row r="2">
      <c r="A2" s="1343" t="inlineStr">
        <is>
          <t>Purpose</t>
        </is>
      </c>
      <c r="B2" s="26" t="inlineStr">
        <is>
          <t>Clean master for one job. An external AI (or the estimator) fills it from the tender documents; the Blackline QSi Pro app imports it and recalculates every figure itself.</t>
        </is>
      </c>
    </row>
    <row r="3">
      <c r="A3" s="1343" t="inlineStr">
        <is>
          <t>Instructions</t>
        </is>
      </c>
      <c r="B3" s="26" t="inlineStr">
        <is>
          <t>Read instructions/Workbook_Builder_Instructions.md before filling anything. The sheet names, header rows and column positions below are a contract with the app.</t>
        </is>
      </c>
    </row>
    <row r="4">
      <c r="A4" s="1343" t="inlineStr"/>
      <c r="B4" s="26" t="inlineStr"/>
    </row>
    <row r="5">
      <c r="A5" s="1343" t="inlineStr">
        <is>
          <t>CAPACITY</t>
        </is>
      </c>
      <c r="B5" s="26" t="inlineStr"/>
    </row>
    <row r="6">
      <c r="A6" s="1343" t="inlineStr">
        <is>
          <t>QS Takeoff</t>
        </is>
      </c>
      <c r="B6" s="26" t="inlineStr">
        <is>
          <t>Rows 3-202 (one item per row; total on row 203). Formula columns F, G, L-O, R are pre-filled.</t>
        </is>
      </c>
    </row>
    <row r="7">
      <c r="A7" s="1343" t="inlineStr">
        <is>
          <t>Resource Build-Up</t>
        </is>
      </c>
      <c r="B7" s="26" t="inlineStr">
        <is>
          <t>Rows 7-306. All formula columns are pre-filled; type only the input columns (see instructions section 5.2).</t>
        </is>
      </c>
    </row>
    <row r="8">
      <c r="A8" s="1343" t="inlineStr">
        <is>
          <t>Resource Rate Library</t>
        </is>
      </c>
      <c r="B8" s="26" t="inlineStr">
        <is>
          <t>Rows 5-200. The existing company rates are kept; add rates only with source, date and verification status.</t>
        </is>
      </c>
    </row>
    <row r="9">
      <c r="A9" s="1343" t="inlineStr">
        <is>
          <t>Programme Export</t>
        </is>
      </c>
      <c r="B9" s="26" t="inlineStr">
        <is>
          <t>Rows 7-206 follow QS rows 3-202; rows 207-226 are for control tasks (cure, holds) that are not QS items.</t>
        </is>
      </c>
    </row>
    <row r="10">
      <c r="A10" s="1343" t="inlineStr">
        <is>
          <t>Rate Verification</t>
        </is>
      </c>
      <c r="B10" s="26" t="inlineStr">
        <is>
          <t>One row per Build-Up row (rows 8-307); fill the evidence columns K-P, T, U.</t>
        </is>
      </c>
    </row>
    <row r="11">
      <c r="A11" s="1343" t="inlineStr">
        <is>
          <t>Tender Build-Up</t>
        </is>
      </c>
      <c r="B11" s="26" t="inlineStr">
        <is>
          <t>Type the QS section names in A10:A19 (exactly as written on QS Takeoff). Row 21 must read OK.</t>
        </is>
      </c>
    </row>
    <row r="12">
      <c r="A12" s="1343" t="inlineStr">
        <is>
          <t>Cover &amp; Instructions</t>
        </is>
      </c>
      <c r="B12" s="26" t="inlineStr">
        <is>
          <t>Assumptions A1-A15, exclusions EX-01 to EX-08, RFIs RFI-01 to RFI-30, 9 document categories. Copy a row inside a block to add more.</t>
        </is>
      </c>
    </row>
    <row r="13">
      <c r="A13" s="1343" t="inlineStr">
        <is>
          <t>Consolidated Package</t>
        </is>
      </c>
      <c r="B13" s="26" t="inlineStr">
        <is>
          <t>Rows 6-11 are subcontract package slots. Row 13 holds a confirmed overlap.</t>
        </is>
      </c>
    </row>
    <row r="14">
      <c r="A14" s="1343" t="inlineStr">
        <is>
          <t>Weather Risk</t>
        </is>
      </c>
      <c r="B14" s="26" t="inlineStr">
        <is>
          <t>B13 and B14 are set to =0 in the template. Point them at the Build-Up rows that carry daily time-related preliminaries and weekly hire, e.g. B13 ='Resource Build-Up'!Y22*8 and B14 ='Resource Build-Up'!Y48+'Resource Build-Up'!Y60.</t>
        </is>
      </c>
    </row>
    <row r="15">
      <c r="A15" s="1343" t="inlineStr"/>
      <c r="B15" s="26" t="inlineStr"/>
    </row>
    <row r="16">
      <c r="A16" s="1343" t="inlineStr">
        <is>
          <t>COMPANY DEFAULTS KEPT</t>
        </is>
      </c>
      <c r="B16" s="26" t="inlineStr">
        <is>
          <t>Overhead 10% (markup) and profit 15% (true margin) on Commercial Inputs CA17/CA18 are the company's current settings; confirm per job. All other allowances are OFF and zero.</t>
        </is>
      </c>
    </row>
    <row r="17">
      <c r="A17" s="1343" t="inlineStr">
        <is>
          <t>FULL MASTER</t>
        </is>
      </c>
      <c r="B17" s="26" t="inlineStr">
        <is>
          <t>All the supporting sheets are present (Summary, Stage Cashflow, Estimate Review Board, ERB Adjudication, Programme Adjudication, Programme Notes, Materials &amp; Component Takeoff, MS Project Import). The app reads what it needs and ignores the rest; they stay for the old workflow and future import.</t>
        </is>
      </c>
    </row>
    <row r="18">
      <c r="A18" s="1343" t="inlineStr">
        <is>
          <t>MS Project Import</t>
        </is>
      </c>
      <c r="B18" s="26" t="inlineStr">
        <is>
          <t>Generated from Programme Export: compact rows, predecessors as task IDs (column F), predecessor codes (R) and a helper column (S). Save as CSV (or copy the filled rows) to load into MS Project; the platform reads the same table and builds its programme from it.</t>
        </is>
      </c>
    </row>
    <row r="19">
      <c r="A19" s="1343" t="inlineStr">
        <is>
          <t>Estimate Review Board</t>
        </is>
      </c>
      <c r="B19" s="26" t="inlineStr">
        <is>
          <t>Coverage rows follow QS Takeoff rows 3-72; findings register ERF-001 to ERF-100.</t>
        </is>
      </c>
    </row>
    <row r="20">
      <c r="A20" s="1343" t="inlineStr">
        <is>
          <t>WEATHER TOOL</t>
        </is>
      </c>
      <c r="B20" s="26" t="inlineStr">
        <is>
          <t>NZ_Weather_Risk_Estimating_Tool_Rev2.xlsx (kept beside this template) is the approved weather tool: run it, then record its outputs in Weather Risk B19:B31 and link B13/B14.</t>
        </is>
      </c>
    </row>
    <row r="21">
      <c r="A21" s="1343" t="inlineStr">
        <is>
          <t>Scope Coverage</t>
        </is>
      </c>
      <c r="B21" s="26" t="inlineStr">
        <is>
          <t>One row per requirement of the job (rows 2-301, IDs SC-001...). Group / Owner / Treatment are drop-down lists. The app reads this sheet and checks that every treatment is backed up (QS code carries a cost, exclusion or RFI recorded, quote linked). Fill it before pricing.</t>
        </is>
      </c>
    </row>
    <row r="22">
      <c r="A22" s="1343" t="inlineStr">
        <is>
          <t>LOGS</t>
        </is>
      </c>
      <c r="B22" s="26" t="inlineStr">
        <is>
          <t>Email Log, RFI Log, Quote Log, Document Register, Decision Log, Contacts, Change Log: headers are fixed (instructions section 8).</t>
        </is>
      </c>
    </row>
    <row r="23">
      <c r="A23" s="1343" t="inlineStr">
        <is>
          <t>RECALCULATE</t>
        </is>
      </c>
      <c r="B23" s="26" t="inlineStr">
        <is>
          <t>After editing, recalculate and save so formulas hold values (LibreOffice: soffice --headless --convert-to xlsx --outdir out file.xlsx).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3.80000019073486"/>
  <cols>
    <col width="8" customWidth="1" style="217" min="1" max="1"/>
    <col width="26" customWidth="1" style="217" min="2" max="2"/>
    <col width="28" customWidth="1" style="217" min="3" max="3"/>
    <col width="5" customWidth="1" style="217" min="4" max="4"/>
    <col width="36" customWidth="1" style="217" min="5" max="5"/>
    <col width="22" customWidth="1" style="217" min="6" max="6"/>
    <col width="12" customWidth="1" style="491" min="7" max="7"/>
    <col width="12" customWidth="1" style="491" min="8" max="8"/>
    <col width="8.796875" customWidth="1" style="217" min="9" max="16384"/>
  </cols>
  <sheetData>
    <row r="1" ht="30" customHeight="1" s="491">
      <c r="A1" s="1344" t="inlineStr">
        <is>
          <t>TENDER SNAPSHOT / START HERE</t>
        </is>
      </c>
      <c r="B1" s="242" t="n"/>
      <c r="C1" s="242" t="n"/>
      <c r="D1" s="242" t="n"/>
      <c r="E1" s="242" t="n"/>
      <c r="F1" s="242" t="n"/>
      <c r="G1" s="242" t="n"/>
      <c r="H1" s="242" t="n"/>
    </row>
    <row r="2" ht="32" customHeight="1" s="491">
      <c r="A2" s="1345">
        <f>"Working all-in tender excl. GST: "&amp;TEXT('Consolidated Package'!F56,"$#,##0.00")&amp;" | overhead "&amp;TEXT('Commercial Inputs'!D21,"0.0%")&amp;" + profit "&amp;TEXT('Commercial Inputs'!D22,"0.0%")</f>
        <v/>
      </c>
      <c r="B2" s="242" t="n"/>
      <c r="C2" s="242" t="n"/>
      <c r="D2" s="242" t="n"/>
      <c r="E2" s="242" t="n"/>
      <c r="F2" s="242" t="n"/>
      <c r="G2" s="242" t="n"/>
      <c r="H2" s="242" t="n"/>
    </row>
    <row r="3" ht="26.85000038146973" customHeight="1" s="491">
      <c r="A3" s="1119" t="n"/>
      <c r="B3" s="1119" t="n"/>
      <c r="C3" s="1119" t="n"/>
      <c r="D3" s="1119" t="n"/>
      <c r="E3" s="1119" t="n"/>
      <c r="F3" s="1119" t="n"/>
      <c r="G3" s="1119" t="n"/>
      <c r="H3" s="1119" t="n"/>
    </row>
    <row r="4" ht="46" customHeight="1" s="491">
      <c r="A4" s="1346" t="inlineStr">
        <is>
          <t>THE FIRST QUESTION: WHAT WILL THIS COST?</t>
        </is>
      </c>
      <c r="B4" s="242" t="n"/>
      <c r="C4" s="242" t="n"/>
      <c r="D4" s="1119" t="n"/>
      <c r="E4" s="1344" t="inlineStr">
        <is>
          <t>CURRENT COMMERCIAL BUILD-UP</t>
        </is>
      </c>
      <c r="F4" s="242" t="n"/>
      <c r="G4" s="242" t="n"/>
      <c r="H4" s="242" t="n"/>
    </row>
    <row r="5" ht="58" customHeight="1" s="491">
      <c r="A5" s="1347">
        <f>'Consolidated Package'!F56</f>
        <v/>
      </c>
      <c r="B5" s="242" t="n"/>
      <c r="C5" s="242" t="n"/>
      <c r="D5" s="1119" t="n"/>
      <c r="E5" s="1122" t="inlineStr">
        <is>
          <t>Own works pre-commercial</t>
        </is>
      </c>
      <c r="F5" s="1348">
        <f>'Consolidated Package'!B5</f>
        <v/>
      </c>
      <c r="G5" s="1119" t="n"/>
      <c r="H5" s="1119" t="n"/>
    </row>
    <row r="6" ht="60" customHeight="1" s="491">
      <c r="A6" s="242" t="n"/>
      <c r="C6" s="242" t="n"/>
      <c r="D6" s="1119" t="n"/>
      <c r="E6" s="1122" t="inlineStr">
        <is>
          <t>Subcontract packages (known)</t>
        </is>
      </c>
      <c r="F6" s="1348">
        <f>SUM('Consolidated Package'!B6:B11)</f>
        <v/>
      </c>
      <c r="G6" s="1119" t="n"/>
      <c r="H6" s="1119" t="n"/>
    </row>
    <row r="7" ht="38" customHeight="1" s="491">
      <c r="A7" s="242" t="n"/>
      <c r="C7" s="242" t="n"/>
      <c r="D7" s="1119" t="n"/>
      <c r="E7" s="1122" t="inlineStr">
        <is>
          <t>Current known cost before OH/profit</t>
        </is>
      </c>
      <c r="F7" s="1348">
        <f>'Consolidated Package'!B56</f>
        <v/>
      </c>
      <c r="G7" s="1119" t="n"/>
      <c r="H7" s="1119" t="n"/>
    </row>
    <row r="8" ht="26.85000038146973" customHeight="1" s="491">
      <c r="A8" s="242" t="n"/>
      <c r="B8" s="242" t="n"/>
      <c r="C8" s="242" t="n"/>
      <c r="D8" s="1119" t="n"/>
      <c r="E8" s="1122" t="inlineStr">
        <is>
          <t>Company overhead</t>
        </is>
      </c>
      <c r="F8" s="1348">
        <f>'Consolidated Package'!C56</f>
        <v/>
      </c>
      <c r="G8" s="1119" t="n"/>
      <c r="H8" s="1119" t="n"/>
    </row>
    <row r="9" ht="26.85000038146973" customHeight="1" s="491">
      <c r="A9" s="1349" t="inlineStr">
        <is>
          <t>WORKING ALL-IN TENDER, EXCL. GST</t>
        </is>
      </c>
      <c r="B9" s="242" t="n"/>
      <c r="C9" s="242" t="n"/>
      <c r="D9" s="1119" t="n"/>
      <c r="E9" s="1122" t="inlineStr">
        <is>
          <t>Profit</t>
        </is>
      </c>
      <c r="F9" s="1348">
        <f>'Consolidated Package'!E56</f>
        <v/>
      </c>
      <c r="G9" s="1119" t="n"/>
      <c r="H9" s="1119" t="n"/>
    </row>
    <row r="10" ht="21.14999961853027" customHeight="1" s="491">
      <c r="A10" s="1119" t="n"/>
      <c r="B10" s="1119" t="n"/>
      <c r="C10" s="1119" t="n"/>
      <c r="D10" s="1119" t="n"/>
      <c r="E10" s="1122" t="inlineStr">
        <is>
          <t>WORKING ALL-IN TENDER</t>
        </is>
      </c>
      <c r="F10" s="1348">
        <f>'Consolidated Package'!F56</f>
        <v/>
      </c>
      <c r="G10" s="1119" t="n"/>
      <c r="H10" s="1119" t="n"/>
    </row>
    <row r="11" ht="21.14999961853027" customHeight="1" s="491">
      <c r="A11" s="1119" t="n"/>
      <c r="B11" s="1119" t="n"/>
      <c r="C11" s="1119" t="n"/>
      <c r="D11" s="1119" t="n"/>
      <c r="E11" s="1122" t="inlineStr">
        <is>
          <t>Gross margin on sell</t>
        </is>
      </c>
      <c r="F11" s="1348">
        <f>IFERROR(('Consolidated Package'!F56-'Consolidated Package'!B56)/'Consolidated Package'!F56,0)</f>
        <v/>
      </c>
      <c r="G11" s="1119" t="n"/>
      <c r="H11" s="1119" t="n"/>
    </row>
    <row r="12" ht="21.14999961853027" customHeight="1" s="491">
      <c r="A12" s="1350" t="n"/>
      <c r="D12" s="1119" t="n"/>
      <c r="E12" s="1119" t="n"/>
      <c r="F12" s="1351" t="n"/>
      <c r="G12" s="1119" t="n"/>
      <c r="H12" s="1119" t="n"/>
    </row>
    <row r="13" ht="21.14999961853027" customHeight="1" s="491">
      <c r="D13" s="1119" t="n"/>
      <c r="E13" s="1344" t="inlineStr">
        <is>
          <t>KEY CONTROLS</t>
        </is>
      </c>
      <c r="F13" s="242" t="n"/>
      <c r="G13" s="242" t="n"/>
      <c r="H13" s="242" t="n"/>
    </row>
    <row r="14" ht="21.14999961853027" customHeight="1" s="491">
      <c r="D14" s="1119" t="n"/>
      <c r="E14" s="1122" t="inlineStr">
        <is>
          <t>Own works standalone tender</t>
        </is>
      </c>
      <c r="F14" s="1348">
        <f>'Tender Build-Up'!B47</f>
        <v/>
      </c>
      <c r="G14" s="1119" t="n"/>
      <c r="H14" s="1119" t="n"/>
    </row>
    <row r="15" ht="21.14999961853027" customHeight="1" s="491">
      <c r="D15" s="1119" t="n"/>
      <c r="E15" s="1122" t="inlineStr">
        <is>
          <t>Management Reserve, pre-margin</t>
        </is>
      </c>
      <c r="F15" s="1348">
        <f>'Commercial Inputs'!E20</f>
        <v/>
      </c>
      <c r="G15" s="1119" t="n"/>
      <c r="H15" s="1119" t="n"/>
    </row>
    <row r="16" ht="21.14999961853027" customHeight="1" s="491">
      <c r="A16" s="1119" t="n"/>
      <c r="B16" s="1119" t="n"/>
      <c r="C16" s="1119" t="n"/>
      <c r="D16" s="1119" t="n"/>
      <c r="E16" s="1122" t="inlineStr">
        <is>
          <t>Weather allowance</t>
        </is>
      </c>
      <c r="F16" s="1348">
        <f>'Weather Risk'!B38</f>
        <v/>
      </c>
      <c r="G16" s="1119" t="n"/>
      <c r="H16" s="1119" t="n"/>
    </row>
    <row r="17" ht="26.85000038146973" customHeight="1" s="491">
      <c r="A17" s="1352" t="n"/>
      <c r="D17" s="1119" t="n"/>
      <c r="E17" s="1122" t="inlineStr">
        <is>
          <t>Dry programme (working days)</t>
        </is>
      </c>
      <c r="F17" s="1348">
        <f>'Weather Risk'!B8</f>
        <v/>
      </c>
      <c r="G17" s="1119" t="n"/>
      <c r="H17" s="1119" t="n"/>
    </row>
    <row r="18" ht="26.85000038146973" customHeight="1" s="491">
      <c r="D18" s="1119" t="n"/>
      <c r="E18" s="1122" t="inlineStr">
        <is>
          <t>Weather-adjusted planning (days)</t>
        </is>
      </c>
      <c r="F18" s="1348">
        <f>'Weather Risk'!B8+'Weather Risk'!B26</f>
        <v/>
      </c>
      <c r="G18" s="1119" t="n"/>
      <c r="H18" s="1119" t="n"/>
    </row>
    <row r="19" ht="22.5" customHeight="1" s="491">
      <c r="D19" s="1119" t="n"/>
      <c r="E19" s="1122" t="inlineStr">
        <is>
          <t>Risk Truth release gate</t>
        </is>
      </c>
      <c r="F19" s="1348">
        <f>'Risk Truth'!B15</f>
        <v/>
      </c>
      <c r="G19" s="1119" t="n"/>
      <c r="H19" s="1119" t="n"/>
    </row>
    <row r="20" ht="22.5" customHeight="1" s="491">
      <c r="A20" s="1119" t="n"/>
      <c r="B20" s="1119" t="n"/>
      <c r="C20" s="1119" t="n"/>
      <c r="D20" s="1119" t="n"/>
      <c r="E20" s="1119" t="n"/>
      <c r="F20" s="1119" t="n"/>
      <c r="G20" s="1119" t="n"/>
      <c r="H20" s="1119" t="n"/>
    </row>
    <row r="21" ht="22.5" customHeight="1" s="491">
      <c r="A21" s="1344" t="inlineStr">
        <is>
          <t>HOW TO READ THIS WORKBOOK - SIMPLE WORKFLOW</t>
        </is>
      </c>
      <c r="B21" s="242" t="n"/>
      <c r="C21" s="242" t="n"/>
      <c r="D21" s="242" t="n"/>
      <c r="E21" s="242" t="n"/>
      <c r="F21" s="242" t="n"/>
      <c r="G21" s="242" t="n"/>
      <c r="H21" s="242" t="n"/>
    </row>
    <row r="22" ht="22.5" customHeight="1" s="491">
      <c r="A22" s="1131" t="n">
        <v>1</v>
      </c>
      <c r="B22" s="1131" t="inlineStr">
        <is>
          <t>Cover &amp; Instructions</t>
        </is>
      </c>
      <c r="C22" s="1353" t="inlineStr">
        <is>
          <t>Job details, document register, assumptions, exclusions, RFIs, release QA</t>
        </is>
      </c>
      <c r="D22" s="242" t="n"/>
      <c r="E22" s="242" t="n"/>
      <c r="F22" s="242" t="n"/>
      <c r="G22" s="242" t="n"/>
      <c r="H22" s="242" t="n"/>
    </row>
    <row r="23" ht="22.5" customHeight="1" s="491">
      <c r="A23" s="1131" t="n">
        <v>2</v>
      </c>
      <c r="B23" s="1131" t="inlineStr">
        <is>
          <t>Consolidated Package</t>
        </is>
      </c>
      <c r="C23" s="1353" t="inlineStr">
        <is>
          <t>Own works + subcontract packages + overhead + profit = all-in tender</t>
        </is>
      </c>
      <c r="D23" s="242" t="n"/>
      <c r="E23" s="242" t="n"/>
      <c r="F23" s="242" t="n"/>
      <c r="G23" s="242" t="n"/>
      <c r="H23" s="242" t="n"/>
    </row>
    <row r="24" ht="22.5" customHeight="1" s="491">
      <c r="A24" s="1131" t="n">
        <v>3</v>
      </c>
      <c r="B24" s="1131" t="inlineStr">
        <is>
          <t>QS Takeoff</t>
        </is>
      </c>
      <c r="C24" s="1353" t="inlineStr">
        <is>
          <t>One row per priced item with quantity, source, status</t>
        </is>
      </c>
      <c r="D24" s="242" t="n"/>
      <c r="E24" s="242" t="n"/>
      <c r="F24" s="242" t="n"/>
      <c r="G24" s="242" t="n"/>
      <c r="H24" s="242" t="n"/>
    </row>
    <row r="25" ht="22.5" customHeight="1" s="491">
      <c r="A25" s="1131" t="n">
        <v>4</v>
      </c>
      <c r="B25" s="1131" t="inlineStr">
        <is>
          <t>Resource Build-Up</t>
        </is>
      </c>
      <c r="C25" s="1353" t="inlineStr">
        <is>
          <t>How each QS item is built: labour, plant, materials, subcontract, preliminaries</t>
        </is>
      </c>
      <c r="D25" s="242" t="n"/>
      <c r="E25" s="242" t="n"/>
      <c r="F25" s="242" t="n"/>
      <c r="G25" s="242" t="n"/>
      <c r="H25" s="242" t="n"/>
    </row>
    <row r="26" ht="34.20000076293945" customHeight="1" s="491">
      <c r="A26" s="1131" t="n">
        <v>5</v>
      </c>
      <c r="B26" s="1131" t="inlineStr">
        <is>
          <t>Commercial Inputs</t>
        </is>
      </c>
      <c r="C26" s="1353" t="inlineStr">
        <is>
          <t>Allowances, management reserve, overhead, profit, GST</t>
        </is>
      </c>
      <c r="D26" s="242" t="n"/>
      <c r="E26" s="242" t="n"/>
      <c r="F26" s="242" t="n"/>
      <c r="G26" s="242" t="n"/>
      <c r="H26" s="242" t="n"/>
    </row>
    <row r="27">
      <c r="A27" s="1131" t="n">
        <v>6</v>
      </c>
      <c r="B27" s="1131" t="inlineStr">
        <is>
          <t>Tender Build-Up</t>
        </is>
      </c>
      <c r="C27" s="1353" t="inlineStr">
        <is>
          <t>The commercial stack, calculated</t>
        </is>
      </c>
      <c r="D27" s="242" t="n"/>
      <c r="E27" s="242" t="n"/>
      <c r="F27" s="242" t="n"/>
      <c r="G27" s="242" t="n"/>
      <c r="H27" s="242" t="n"/>
    </row>
    <row r="28" ht="28.79999923706055" customHeight="1" s="491">
      <c r="A28" s="1131" t="n">
        <v>7</v>
      </c>
      <c r="B28" s="1131" t="inlineStr">
        <is>
          <t>Risk Truth</t>
        </is>
      </c>
      <c r="C28" s="1353" t="inlineStr">
        <is>
          <t>Risk register, exposures, duplication controls, release gate</t>
        </is>
      </c>
      <c r="D28" s="242" t="n"/>
      <c r="E28" s="242" t="n"/>
      <c r="F28" s="242" t="n"/>
      <c r="G28" s="242" t="n"/>
      <c r="H28" s="242" t="n"/>
    </row>
    <row r="29" ht="19.64999961853027" customHeight="1" s="491">
      <c r="A29" s="1131" t="n">
        <v>8</v>
      </c>
      <c r="B29" s="1131" t="inlineStr">
        <is>
          <t>Weather Risk / Programme Export</t>
        </is>
      </c>
      <c r="C29" s="1353" t="inlineStr">
        <is>
          <t>Project weather inputs and task durations / logic</t>
        </is>
      </c>
      <c r="D29" s="242" t="n"/>
      <c r="E29" s="242" t="n"/>
      <c r="F29" s="242" t="n"/>
      <c r="G29" s="242" t="n"/>
      <c r="H29" s="242" t="n"/>
    </row>
    <row r="30" ht="19.64999961853027" customHeight="1" s="491">
      <c r="A30" s="1131" t="n">
        <v>9</v>
      </c>
      <c r="B30" s="1131" t="inlineStr">
        <is>
          <t>Supplier Quote Register + logs</t>
        </is>
      </c>
      <c r="C30" s="1353" t="inlineStr">
        <is>
          <t>Quotes, emails, RFIs, documents, decisions, changes</t>
        </is>
      </c>
      <c r="D30" s="242" t="n"/>
      <c r="E30" s="242" t="n"/>
      <c r="F30" s="242" t="n"/>
      <c r="G30" s="242" t="n"/>
      <c r="H30" s="242" t="n"/>
    </row>
    <row r="31" ht="19.64999961853027" customHeight="1" s="491">
      <c r="A31" s="1131" t="n"/>
      <c r="B31" s="1131" t="n"/>
      <c r="C31" s="1132" t="n"/>
      <c r="D31" s="1132" t="str"/>
      <c r="E31" s="1132" t="str"/>
      <c r="F31" s="1132" t="str"/>
      <c r="G31" s="1132" t="str"/>
      <c r="H31" s="1132" t="str"/>
    </row>
    <row r="32" ht="19.64999961853027" customHeight="1" s="491">
      <c r="A32" s="1119" t="n"/>
      <c r="B32" s="1119" t="n"/>
      <c r="C32" s="1119" t="n"/>
      <c r="D32" s="1119" t="n"/>
      <c r="E32" s="1119" t="n"/>
      <c r="F32" s="1119" t="n"/>
      <c r="G32" s="1119" t="n"/>
      <c r="H32" s="1119" t="n"/>
    </row>
    <row r="33" ht="19.64999961853027" customHeight="1" s="491">
      <c r="A33" s="1344" t="inlineStr">
        <is>
          <t>CURRENT RELEASE POSITION</t>
        </is>
      </c>
      <c r="B33" s="242" t="n"/>
      <c r="C33" s="242" t="n"/>
      <c r="D33" s="242" t="n"/>
      <c r="E33" s="242" t="n"/>
      <c r="F33" s="242" t="n"/>
      <c r="G33" s="242" t="n"/>
      <c r="H33" s="242" t="n"/>
    </row>
    <row r="34">
      <c r="A34" s="1354" t="inlineStr">
        <is>
          <t>(Write where the estimate stands and what blocks release. List every RED item.)</t>
        </is>
      </c>
      <c r="B34" s="242" t="n"/>
      <c r="C34" s="242" t="n"/>
      <c r="D34" s="242" t="n"/>
      <c r="E34" s="242" t="n"/>
      <c r="F34" s="242" t="n"/>
      <c r="G34" s="242" t="n"/>
      <c r="H34" s="242" t="n"/>
    </row>
    <row r="35" ht="23.54999923706055" customHeight="1" s="491">
      <c r="A35" s="242" t="n"/>
      <c r="H35" s="242" t="n"/>
    </row>
    <row r="36">
      <c r="A36" s="242" t="n"/>
      <c r="B36" s="242" t="n"/>
      <c r="C36" s="242" t="n"/>
      <c r="D36" s="242" t="n"/>
      <c r="E36" s="242" t="n"/>
      <c r="F36" s="242" t="n"/>
      <c r="G36" s="242" t="n"/>
      <c r="H36" s="242" t="n"/>
    </row>
    <row r="37" ht="19.64999961853027" customHeight="1" s="491">
      <c r="A37" s="1119" t="n"/>
      <c r="B37" s="1119" t="n"/>
      <c r="C37" s="1119" t="n"/>
      <c r="D37" s="1119" t="n"/>
      <c r="E37" s="1119" t="n"/>
      <c r="F37" s="1119" t="n"/>
      <c r="G37" s="1119" t="n"/>
      <c r="H37" s="1119" t="n"/>
    </row>
    <row r="38" ht="19.64999961853027" customHeight="1" s="491">
      <c r="A38" s="1132" t="inlineStr">
        <is>
          <t>Project</t>
        </is>
      </c>
      <c r="B38" s="1132" t="inlineStr">
        <is>
          <t>NOT PROVIDED</t>
        </is>
      </c>
      <c r="C38" s="1132" t="str"/>
      <c r="D38" s="1132" t="inlineStr">
        <is>
          <t>Location</t>
        </is>
      </c>
      <c r="E38" s="1132" t="inlineStr">
        <is>
          <t>NOT PROVIDED</t>
        </is>
      </c>
      <c r="F38" s="1132" t="str"/>
      <c r="G38" s="1132" t="str"/>
      <c r="H38" s="1132" t="str"/>
    </row>
    <row r="39" ht="19.64999961853027" customHeight="1" s="491">
      <c r="A39" s="1132" t="inlineStr">
        <is>
          <t>Current drawings</t>
        </is>
      </c>
      <c r="B39" s="1132" t="inlineStr">
        <is>
          <t>NOT PROVIDED</t>
        </is>
      </c>
      <c r="C39" s="1132" t="str"/>
      <c r="D39" s="1132" t="inlineStr">
        <is>
          <t>Issue date</t>
        </is>
      </c>
      <c r="E39" s="1132" t="inlineStr">
        <is>
          <t>NOT PROVIDED</t>
        </is>
      </c>
      <c r="F39" s="1132" t="str"/>
      <c r="G39" s="1132" t="str"/>
      <c r="H39" s="1132" t="str"/>
    </row>
    <row r="40" ht="19.64999961853027" customHeight="1" s="491">
      <c r="A40" s="1132" t="inlineStr">
        <is>
          <t>Scope</t>
        </is>
      </c>
      <c r="B40" s="1132" t="inlineStr">
        <is>
          <t>NOT PROVIDED</t>
        </is>
      </c>
      <c r="C40" s="1132" t="str"/>
      <c r="D40" s="1132" t="inlineStr">
        <is>
          <t>GST</t>
        </is>
      </c>
      <c r="E40" s="1132" t="inlineStr">
        <is>
          <t>All values shown exclude GST</t>
        </is>
      </c>
      <c r="F40" s="1132" t="str"/>
      <c r="G40" s="1132" t="str"/>
      <c r="H40" s="1132" t="str"/>
    </row>
    <row r="41" ht="19.64999961853027" customHeight="1" s="491">
      <c r="A41" s="1132" t="inlineStr">
        <is>
          <t>Programme</t>
        </is>
      </c>
      <c r="B41" s="1132" t="inlineStr">
        <is>
          <t>NOT PROVIDED</t>
        </is>
      </c>
      <c r="C41" s="1132" t="str"/>
      <c r="D41" s="1132" t="inlineStr">
        <is>
          <t>Weather</t>
        </is>
      </c>
      <c r="E41" s="1132" t="inlineStr">
        <is>
          <t>NOT PROVIDED</t>
        </is>
      </c>
      <c r="F41" s="1132" t="str"/>
      <c r="G41" s="1132" t="str"/>
      <c r="H41" s="1132" t="str"/>
    </row>
    <row r="42" ht="19.64999961853027" customHeight="1" s="491">
      <c r="A42" s="1132" t="inlineStr">
        <is>
          <t>Price status</t>
        </is>
      </c>
      <c r="B42" s="1132" t="inlineStr">
        <is>
          <t>NOT PROVIDED</t>
        </is>
      </c>
      <c r="C42" s="1132" t="str"/>
      <c r="D42" s="1132" t="inlineStr">
        <is>
          <t>Commercial</t>
        </is>
      </c>
      <c r="E42" s="1132" t="inlineStr">
        <is>
          <t>NOT PROVIDED</t>
        </is>
      </c>
      <c r="F42" s="1132" t="str"/>
      <c r="G42" s="1132" t="str"/>
      <c r="H42" s="1132" t="str"/>
    </row>
    <row r="43" ht="19.64999961853027" customHeight="1" s="491">
      <c r="A43" s="1119" t="n"/>
      <c r="B43" s="1119" t="n"/>
      <c r="C43" s="1119" t="n"/>
      <c r="D43" s="1119" t="n"/>
      <c r="E43" s="1119" t="n"/>
      <c r="F43" s="1119" t="n"/>
      <c r="G43" s="1119" t="n"/>
      <c r="H43" s="1119" t="n"/>
    </row>
    <row r="44" ht="16.79999923706055" customHeight="1" s="491">
      <c r="A44" s="1132" t="inlineStr">
        <is>
          <t>Risk Truth</t>
        </is>
      </c>
      <c r="B44" s="1132" t="inlineStr">
        <is>
          <t>Risk-control and reconciliation module. Tracks baseline vs residual exposure, provision routing, duplication and release gate.</t>
        </is>
      </c>
      <c r="C44" s="1132" t="n"/>
      <c r="D44" s="1132" t="n"/>
      <c r="E44" s="1132" t="n"/>
      <c r="F44" s="1132" t="n"/>
      <c r="G44" s="1132" t="n"/>
      <c r="H44" s="1132" t="n"/>
    </row>
    <row r="45">
      <c r="A45" s="1132" t="n"/>
      <c r="B45" s="1132" t="n"/>
      <c r="C45" s="1132" t="n"/>
      <c r="D45" s="1132" t="n"/>
      <c r="E45" s="1132" t="n"/>
      <c r="F45" s="1132" t="n"/>
      <c r="G45" s="1132" t="n"/>
      <c r="H45" s="1132" t="n"/>
    </row>
    <row r="46" ht="17.25" customHeight="1" s="491">
      <c r="A46" s="1355" t="inlineStr">
        <is>
          <t>DRAWING / DOCUMENT REGISTER</t>
        </is>
      </c>
      <c r="B46" s="242" t="n"/>
      <c r="C46" s="242" t="n"/>
      <c r="D46" s="242" t="n"/>
      <c r="E46" s="242" t="n"/>
      <c r="F46" s="242" t="n"/>
      <c r="G46" s="242" t="n"/>
      <c r="H46" s="242" t="n"/>
    </row>
    <row r="47" ht="17.25" customHeight="1" s="491">
      <c r="A47" s="1132" t="inlineStr">
        <is>
          <t>Document / Drawing</t>
        </is>
      </c>
      <c r="B47" s="1132" t="inlineStr">
        <is>
          <t>Reference</t>
        </is>
      </c>
      <c r="C47" s="1132" t="inlineStr">
        <is>
          <t>Estimate use</t>
        </is>
      </c>
      <c r="D47" s="1132" t="n"/>
      <c r="E47" s="1132" t="n"/>
      <c r="F47" s="1132" t="n"/>
      <c r="G47" s="1132" t="n"/>
      <c r="H47" s="1132" t="n"/>
    </row>
    <row r="48" ht="33.75" customHeight="1" s="491">
      <c r="A48" s="1132" t="inlineStr">
        <is>
          <t>Plans / drawings</t>
        </is>
      </c>
      <c r="B48" s="1132" t="n"/>
      <c r="C48" s="1119" t="n"/>
      <c r="D48" s="1132" t="n"/>
      <c r="E48" s="1132" t="n"/>
      <c r="F48" s="1132" t="n"/>
      <c r="G48" s="1132" t="n"/>
      <c r="H48" s="1132" t="n"/>
    </row>
    <row r="49" ht="25.35000038146973" customHeight="1" s="491">
      <c r="A49" s="1132" t="inlineStr">
        <is>
          <t>Specifications</t>
        </is>
      </c>
      <c r="B49" s="1132" t="n"/>
      <c r="C49" s="1119" t="n"/>
      <c r="D49" s="1132" t="n"/>
      <c r="E49" s="1132" t="n"/>
      <c r="F49" s="1132" t="n"/>
      <c r="G49" s="1132" t="n"/>
      <c r="H49" s="1132" t="n"/>
    </row>
    <row r="50" ht="33.75" customHeight="1" s="491">
      <c r="A50" s="1132" t="inlineStr">
        <is>
          <t>Geotechnical / ground information</t>
        </is>
      </c>
      <c r="B50" s="1132" t="n"/>
      <c r="C50" s="1119" t="n"/>
      <c r="D50" s="1132" t="n"/>
      <c r="E50" s="1132" t="n"/>
      <c r="F50" s="1132" t="n"/>
      <c r="G50" s="1132" t="n"/>
      <c r="H50" s="1132" t="n"/>
    </row>
    <row r="51" ht="25.35000038146973" customHeight="1" s="491">
      <c r="A51" s="1132" t="inlineStr">
        <is>
          <t>Survey / CAD / models</t>
        </is>
      </c>
      <c r="B51" s="1132" t="n"/>
      <c r="C51" s="1119" t="n"/>
      <c r="D51" s="1132" t="n"/>
      <c r="E51" s="1132" t="n"/>
      <c r="F51" s="1132" t="n"/>
      <c r="G51" s="1132" t="n"/>
      <c r="H51" s="1132" t="n"/>
    </row>
    <row r="52" ht="33.75" customHeight="1" s="491">
      <c r="A52" s="1132" t="inlineStr">
        <is>
          <t>Tender / contract / scope documents</t>
        </is>
      </c>
      <c r="B52" s="1132" t="n"/>
      <c r="C52" s="1119" t="n"/>
      <c r="D52" s="1132" t="n"/>
      <c r="E52" s="1132" t="n"/>
      <c r="F52" s="1132" t="n"/>
      <c r="G52" s="1132" t="n"/>
      <c r="H52" s="1132" t="n"/>
    </row>
    <row r="53" ht="16.95000076293945" customHeight="1" s="491">
      <c r="A53" s="1132" t="inlineStr">
        <is>
          <t>Supplier / subcontract quotations</t>
        </is>
      </c>
      <c r="B53" s="1132" t="n"/>
      <c r="C53" s="1119" t="n"/>
      <c r="D53" s="1132" t="n"/>
      <c r="E53" s="1132" t="n"/>
      <c r="F53" s="1132" t="n"/>
      <c r="G53" s="1132" t="n"/>
      <c r="H53" s="1132" t="n"/>
    </row>
    <row r="54" ht="25.35000038146973" customHeight="1" s="491">
      <c r="A54" s="1132" t="inlineStr">
        <is>
          <t>Other consultants / approvals</t>
        </is>
      </c>
      <c r="B54" s="1132" t="n"/>
      <c r="C54" s="1119" t="n"/>
      <c r="D54" s="1132" t="n"/>
      <c r="E54" s="1132" t="n"/>
      <c r="F54" s="1132" t="n"/>
      <c r="G54" s="1132" t="n"/>
      <c r="H54" s="1132" t="n"/>
    </row>
    <row r="55" ht="8.850000381469727" customHeight="1" s="491">
      <c r="A55" s="1132" t="inlineStr">
        <is>
          <t>Correspondence / addenda / clarifications</t>
        </is>
      </c>
      <c r="B55" s="1132" t="n"/>
      <c r="C55" s="1119" t="n"/>
      <c r="D55" s="1132" t="n"/>
      <c r="E55" s="1132" t="n"/>
      <c r="F55" s="1132" t="n"/>
      <c r="G55" s="1132" t="n"/>
      <c r="H55" s="1132" t="n"/>
    </row>
    <row r="56" ht="8.850000381469727" customHeight="1" s="491">
      <c r="A56" s="1132" t="inlineStr">
        <is>
          <t>Backend construction intelligence</t>
        </is>
      </c>
      <c r="B56" s="1132" t="n"/>
      <c r="C56" s="1119" t="n"/>
      <c r="D56" s="1132" t="n"/>
      <c r="E56" s="1132" t="n"/>
      <c r="F56" s="1132" t="n"/>
      <c r="G56" s="1132" t="n"/>
      <c r="H56" s="1132" t="n"/>
    </row>
    <row r="57" ht="27.29999923706055" customHeight="1" s="491">
      <c r="A57" s="1355" t="inlineStr">
        <is>
          <t>ASSUMPTIONS / QUALIFICATIONS / RFIs</t>
        </is>
      </c>
      <c r="B57" s="242" t="n"/>
      <c r="C57" s="242" t="n"/>
      <c r="D57" s="242" t="n"/>
      <c r="E57" s="242" t="n"/>
      <c r="F57" s="242" t="n"/>
      <c r="G57" s="242" t="n"/>
      <c r="H57" s="242" t="n"/>
    </row>
    <row r="58" ht="27.75" customHeight="1" s="491">
      <c r="A58" s="1132" t="inlineStr">
        <is>
          <t>A1</t>
        </is>
      </c>
      <c r="B58" s="1132" t="n"/>
      <c r="C58" s="1132" t="n"/>
      <c r="D58" s="1132" t="n"/>
      <c r="E58" s="1132" t="n"/>
      <c r="F58" s="1132" t="n"/>
      <c r="G58" s="1132" t="n"/>
      <c r="H58" s="1132" t="n"/>
    </row>
    <row r="59" ht="27.75" customHeight="1" s="491">
      <c r="A59" s="1132" t="inlineStr">
        <is>
          <t>A2</t>
        </is>
      </c>
      <c r="B59" s="1132" t="n"/>
      <c r="C59" s="1132" t="n"/>
      <c r="D59" s="1132" t="n"/>
      <c r="E59" s="1132" t="n"/>
      <c r="F59" s="1132" t="n"/>
      <c r="G59" s="1132" t="n"/>
      <c r="H59" s="1132" t="n"/>
    </row>
    <row r="60" ht="27.75" customHeight="1" s="491">
      <c r="A60" s="1132" t="inlineStr">
        <is>
          <t>A3</t>
        </is>
      </c>
      <c r="B60" s="1132" t="n"/>
      <c r="C60" s="1132" t="n"/>
      <c r="D60" s="1132" t="n"/>
      <c r="E60" s="1132" t="n"/>
      <c r="F60" s="1132" t="n"/>
      <c r="G60" s="1132" t="n"/>
      <c r="H60" s="1132" t="n"/>
    </row>
    <row r="61" ht="27.75" customHeight="1" s="491">
      <c r="A61" s="1132" t="inlineStr">
        <is>
          <t>A4</t>
        </is>
      </c>
      <c r="B61" s="1132" t="n"/>
      <c r="C61" s="1132" t="n"/>
      <c r="D61" s="1132" t="n"/>
      <c r="E61" s="1132" t="n"/>
      <c r="F61" s="1132" t="n"/>
      <c r="G61" s="1132" t="n"/>
      <c r="H61" s="1132" t="n"/>
    </row>
    <row r="62" ht="27.75" customHeight="1" s="491">
      <c r="A62" s="1132" t="inlineStr">
        <is>
          <t>A5</t>
        </is>
      </c>
      <c r="B62" s="1132" t="n"/>
      <c r="C62" s="1132" t="n"/>
      <c r="D62" s="1132" t="n"/>
      <c r="E62" s="1132" t="n"/>
      <c r="F62" s="1132" t="n"/>
      <c r="G62" s="1132" t="n"/>
      <c r="H62" s="1132" t="n"/>
    </row>
    <row r="63" ht="27.75" customHeight="1" s="491">
      <c r="A63" s="1132" t="inlineStr">
        <is>
          <t>A6</t>
        </is>
      </c>
      <c r="B63" s="1132" t="n"/>
      <c r="C63" s="1132" t="n"/>
      <c r="D63" s="1132" t="n"/>
      <c r="E63" s="1132" t="n"/>
      <c r="F63" s="1132" t="n"/>
      <c r="G63" s="1132" t="n"/>
      <c r="H63" s="1132" t="n"/>
    </row>
    <row r="64" ht="27.75" customHeight="1" s="491">
      <c r="A64" s="1132" t="inlineStr">
        <is>
          <t>A7</t>
        </is>
      </c>
      <c r="B64" s="1132" t="n"/>
      <c r="C64" s="1132" t="n"/>
      <c r="D64" s="1132" t="n"/>
      <c r="E64" s="1132" t="n"/>
      <c r="F64" s="1132" t="n"/>
      <c r="G64" s="1132" t="n"/>
      <c r="H64" s="1132" t="n"/>
    </row>
    <row r="65" ht="27.75" customHeight="1" s="491">
      <c r="A65" s="1132" t="inlineStr">
        <is>
          <t>A8</t>
        </is>
      </c>
      <c r="B65" s="1132" t="n"/>
      <c r="C65" s="1132" t="n"/>
      <c r="D65" s="1132" t="n"/>
      <c r="E65" s="1132" t="n"/>
      <c r="F65" s="1132" t="n"/>
      <c r="G65" s="1132" t="n"/>
      <c r="H65" s="1132" t="n"/>
    </row>
    <row r="66" ht="27.75" customHeight="1" s="491">
      <c r="A66" s="1132" t="inlineStr">
        <is>
          <t>A9</t>
        </is>
      </c>
      <c r="B66" s="1132" t="n"/>
      <c r="C66" s="1132" t="n"/>
      <c r="D66" s="1132" t="n"/>
      <c r="E66" s="1132" t="n"/>
      <c r="F66" s="1132" t="n"/>
      <c r="G66" s="1132" t="n"/>
      <c r="H66" s="1132" t="n"/>
    </row>
    <row r="67" ht="34.5" customHeight="1" s="491">
      <c r="A67" s="1132" t="inlineStr">
        <is>
          <t>A10</t>
        </is>
      </c>
      <c r="B67" s="1132" t="n"/>
      <c r="C67" s="1132" t="n"/>
      <c r="D67" s="1132" t="n"/>
      <c r="E67" s="1132" t="n"/>
      <c r="F67" s="1132" t="n"/>
      <c r="G67" s="1132" t="n"/>
      <c r="H67" s="1132" t="n"/>
    </row>
    <row r="68" ht="27.75" customHeight="1" s="491">
      <c r="A68" s="1132" t="inlineStr">
        <is>
          <t>A11</t>
        </is>
      </c>
      <c r="B68" s="1132" t="n"/>
      <c r="C68" s="1132" t="n"/>
      <c r="D68" s="1132" t="n"/>
      <c r="E68" s="1132" t="n"/>
      <c r="F68" s="1132" t="n"/>
      <c r="G68" s="1132" t="n"/>
      <c r="H68" s="1132" t="n"/>
    </row>
    <row r="69" ht="27.75" customHeight="1" s="491">
      <c r="A69" s="1132" t="inlineStr">
        <is>
          <t>A12</t>
        </is>
      </c>
      <c r="B69" s="1132" t="n"/>
      <c r="C69" s="1132" t="n"/>
      <c r="D69" s="1132" t="n"/>
      <c r="E69" s="1132" t="n"/>
      <c r="F69" s="1132" t="n"/>
      <c r="G69" s="1132" t="n"/>
      <c r="H69" s="1132" t="n"/>
    </row>
    <row r="70" ht="27.75" customHeight="1" s="491">
      <c r="A70" s="1132" t="inlineStr">
        <is>
          <t>A13</t>
        </is>
      </c>
      <c r="B70" s="1132" t="n"/>
      <c r="C70" s="1132" t="n"/>
      <c r="D70" s="1132" t="n"/>
      <c r="E70" s="1132" t="n"/>
      <c r="F70" s="1132" t="n"/>
      <c r="G70" s="1132" t="n"/>
      <c r="H70" s="1132" t="n"/>
    </row>
    <row r="71" ht="27.75" customHeight="1" s="491">
      <c r="A71" s="1132" t="inlineStr">
        <is>
          <t>A14</t>
        </is>
      </c>
      <c r="B71" s="1132" t="n"/>
      <c r="C71" s="1132" t="n"/>
      <c r="D71" s="1132" t="n"/>
      <c r="E71" s="1132" t="n"/>
      <c r="F71" s="1132" t="n"/>
      <c r="G71" s="1132" t="n"/>
      <c r="H71" s="1132" t="n"/>
    </row>
    <row r="72" ht="27.75" customFormat="1" customHeight="1" s="611">
      <c r="A72" s="1132" t="inlineStr">
        <is>
          <t>A15</t>
        </is>
      </c>
      <c r="B72" s="1132" t="n"/>
      <c r="C72" s="1131" t="n"/>
      <c r="D72" s="1131" t="n"/>
      <c r="E72" s="1131" t="n"/>
      <c r="F72" s="1131" t="n"/>
      <c r="G72" s="1131" t="n"/>
      <c r="H72" s="1131" t="n"/>
    </row>
    <row r="73" ht="27.75" customHeight="1" s="491">
      <c r="A73" s="1132" t="inlineStr">
        <is>
          <t>EX-01</t>
        </is>
      </c>
      <c r="B73" s="1132" t="n"/>
      <c r="C73" s="1132" t="n"/>
      <c r="D73" s="1132" t="n"/>
      <c r="E73" s="1132" t="n"/>
      <c r="F73" s="1132" t="n"/>
      <c r="G73" s="1132" t="n"/>
      <c r="H73" s="1132" t="n"/>
    </row>
    <row r="74" ht="27.75" customHeight="1" s="491">
      <c r="A74" s="1132" t="inlineStr">
        <is>
          <t>EX-02</t>
        </is>
      </c>
      <c r="B74" s="1132" t="n"/>
      <c r="C74" s="1132" t="n"/>
      <c r="D74" s="1132" t="n"/>
      <c r="E74" s="1132" t="n"/>
      <c r="F74" s="1132" t="n"/>
      <c r="G74" s="1132" t="n"/>
      <c r="H74" s="1132" t="n"/>
    </row>
    <row r="75" ht="27.75" customHeight="1" s="491">
      <c r="A75" s="1132" t="inlineStr">
        <is>
          <t>EX-03</t>
        </is>
      </c>
      <c r="B75" s="1132" t="n"/>
      <c r="C75" s="1132" t="n"/>
      <c r="D75" s="1132" t="n"/>
      <c r="E75" s="1132" t="n"/>
      <c r="F75" s="1132" t="n"/>
      <c r="G75" s="1132" t="n"/>
      <c r="H75" s="1132" t="n"/>
    </row>
    <row r="76" ht="27.75" customHeight="1" s="491">
      <c r="A76" s="1132" t="inlineStr">
        <is>
          <t>EX-04</t>
        </is>
      </c>
      <c r="B76" s="1132" t="n"/>
      <c r="C76" s="1132" t="n"/>
      <c r="D76" s="1132" t="n"/>
      <c r="E76" s="1132" t="n"/>
      <c r="F76" s="1132" t="n"/>
      <c r="G76" s="1132" t="n"/>
      <c r="H76" s="1132" t="n"/>
    </row>
    <row r="77" ht="27.75" customHeight="1" s="491">
      <c r="A77" s="1132" t="inlineStr">
        <is>
          <t>EX-05</t>
        </is>
      </c>
      <c r="B77" s="1132" t="n"/>
      <c r="C77" s="1132" t="n"/>
      <c r="D77" s="1132" t="n"/>
      <c r="E77" s="1132" t="n"/>
      <c r="F77" s="1132" t="n"/>
      <c r="G77" s="1132" t="n"/>
      <c r="H77" s="1132" t="n"/>
    </row>
    <row r="78" ht="27.75" customHeight="1" s="491">
      <c r="A78" s="1132" t="inlineStr">
        <is>
          <t>EX-06</t>
        </is>
      </c>
      <c r="B78" s="1132" t="n"/>
      <c r="C78" s="1132" t="n"/>
      <c r="D78" s="1132" t="n"/>
      <c r="E78" s="1132" t="n"/>
      <c r="F78" s="1132" t="n"/>
      <c r="G78" s="1132" t="n"/>
      <c r="H78" s="1132" t="n"/>
    </row>
    <row r="79" ht="27.75" customHeight="1" s="491">
      <c r="A79" s="1132" t="inlineStr">
        <is>
          <t>EX-07</t>
        </is>
      </c>
      <c r="B79" s="1132" t="n"/>
      <c r="C79" s="1132" t="n"/>
      <c r="D79" s="1132" t="n"/>
      <c r="E79" s="1132" t="n"/>
      <c r="F79" s="1132" t="n"/>
      <c r="G79" s="1132" t="n"/>
      <c r="H79" s="1132" t="n"/>
    </row>
    <row r="80" ht="27.75" customHeight="1" s="491">
      <c r="A80" s="1132" t="inlineStr">
        <is>
          <t>EX-08</t>
        </is>
      </c>
      <c r="B80" s="1132" t="n"/>
      <c r="C80" s="1132" t="n"/>
      <c r="D80" s="1132" t="n"/>
      <c r="E80" s="1132" t="n"/>
      <c r="F80" s="1132" t="n"/>
      <c r="G80" s="1132" t="n"/>
      <c r="H80" s="1132" t="n"/>
    </row>
    <row r="81" ht="27.75" customHeight="1" s="491">
      <c r="A81" s="1353" t="inlineStr">
        <is>
          <t>PRICING QUALIFICATIONS / RFIs</t>
        </is>
      </c>
      <c r="B81" s="242" t="n"/>
      <c r="C81" s="242" t="n"/>
      <c r="D81" s="242" t="n"/>
      <c r="E81" s="242" t="n"/>
      <c r="F81" s="242" t="n"/>
      <c r="G81" s="242" t="n"/>
      <c r="H81" s="242" t="n"/>
    </row>
    <row r="82" ht="27.75" customHeight="1" s="491">
      <c r="A82" s="1132" t="inlineStr">
        <is>
          <t>RFI-01</t>
        </is>
      </c>
      <c r="B82" s="1132" t="n"/>
      <c r="C82" s="1132" t="n"/>
      <c r="D82" s="1132" t="n"/>
      <c r="E82" s="1132" t="n"/>
      <c r="F82" s="1132" t="n"/>
      <c r="G82" s="1132" t="n"/>
      <c r="H82" s="1132" t="n"/>
    </row>
    <row r="83" ht="27.75" customHeight="1" s="491">
      <c r="A83" s="1132" t="inlineStr">
        <is>
          <t>RFI-02</t>
        </is>
      </c>
      <c r="B83" s="1132" t="n"/>
      <c r="C83" s="1132" t="n"/>
      <c r="D83" s="1132" t="n"/>
      <c r="E83" s="1132" t="n"/>
      <c r="F83" s="1132" t="n"/>
      <c r="G83" s="1132" t="n"/>
      <c r="H83" s="1132" t="n"/>
    </row>
    <row r="84" ht="27.75" customHeight="1" s="491">
      <c r="A84" s="1132" t="inlineStr">
        <is>
          <t>RFI-03</t>
        </is>
      </c>
      <c r="B84" s="1132" t="n"/>
      <c r="C84" s="1132" t="n"/>
      <c r="D84" s="1132" t="n"/>
      <c r="E84" s="1132" t="n"/>
      <c r="F84" s="1132" t="n"/>
      <c r="G84" s="1132" t="n"/>
      <c r="H84" s="1132" t="n"/>
    </row>
    <row r="85" ht="50.84999847412109" customHeight="1" s="491">
      <c r="A85" s="1132" t="inlineStr">
        <is>
          <t>RFI-04</t>
        </is>
      </c>
      <c r="B85" s="1132" t="n"/>
      <c r="C85" s="1132" t="n"/>
      <c r="D85" s="1132" t="n"/>
      <c r="E85" s="1132" t="n"/>
      <c r="F85" s="1132" t="n"/>
      <c r="G85" s="1132" t="n"/>
      <c r="H85" s="1132" t="n"/>
    </row>
    <row r="86" ht="8.850000381469727" customHeight="1" s="491">
      <c r="A86" s="1132" t="inlineStr">
        <is>
          <t>RFI-05</t>
        </is>
      </c>
      <c r="B86" s="1132" t="n"/>
      <c r="C86" s="1132" t="n"/>
      <c r="D86" s="1132" t="n"/>
      <c r="E86" s="1132" t="n"/>
      <c r="F86" s="1132" t="n"/>
      <c r="G86" s="1132" t="n"/>
      <c r="H86" s="1132" t="n"/>
    </row>
    <row r="87" ht="25.35000038146973" customHeight="1" s="491">
      <c r="A87" s="1132" t="inlineStr">
        <is>
          <t>RFI-06</t>
        </is>
      </c>
      <c r="B87" s="1132" t="n"/>
    </row>
    <row r="88" ht="16.79999923706055" customHeight="1" s="491">
      <c r="A88" s="1132" t="inlineStr">
        <is>
          <t>RFI-07</t>
        </is>
      </c>
      <c r="B88" s="1132" t="n"/>
      <c r="C88" s="1132" t="n"/>
      <c r="D88" s="1132" t="n"/>
      <c r="E88" s="1132" t="n"/>
      <c r="F88" s="1132" t="n"/>
      <c r="G88" s="1132" t="n"/>
      <c r="H88" s="1132" t="n"/>
    </row>
    <row r="89" ht="25.35000038146973" customHeight="1" s="491">
      <c r="A89" s="1132" t="inlineStr">
        <is>
          <t>RFI-08</t>
        </is>
      </c>
      <c r="B89" s="1132" t="n"/>
      <c r="C89" s="1132" t="n"/>
      <c r="D89" s="1132" t="n"/>
      <c r="E89" s="1132" t="n"/>
      <c r="F89" s="1132" t="n"/>
      <c r="G89" s="1132" t="n"/>
      <c r="H89" s="1132" t="n"/>
    </row>
    <row r="90" ht="25.35000038146973" customHeight="1" s="491">
      <c r="A90" s="1132" t="inlineStr">
        <is>
          <t>RFI-09</t>
        </is>
      </c>
      <c r="B90" s="1132" t="n"/>
      <c r="C90" s="1132" t="n"/>
      <c r="D90" s="1132" t="n"/>
      <c r="E90" s="1132" t="n"/>
      <c r="F90" s="1132" t="n"/>
      <c r="G90" s="1132" t="n"/>
      <c r="H90" s="1132" t="n"/>
    </row>
    <row r="91" ht="25.35000038146973" customHeight="1" s="491">
      <c r="A91" s="1132" t="inlineStr">
        <is>
          <t>RFI-10</t>
        </is>
      </c>
      <c r="B91" s="1132" t="n"/>
      <c r="C91" s="1132" t="n"/>
      <c r="D91" s="1132" t="n"/>
      <c r="E91" s="1132" t="n"/>
      <c r="F91" s="1132" t="n"/>
      <c r="G91" s="1132" t="n"/>
      <c r="H91" s="1132" t="n"/>
    </row>
    <row r="92" ht="25.35000038146973" customHeight="1" s="491">
      <c r="A92" s="1132" t="inlineStr">
        <is>
          <t>RFI-11</t>
        </is>
      </c>
      <c r="B92" s="1132" t="n"/>
      <c r="C92" s="1132" t="n"/>
      <c r="D92" s="1132" t="n"/>
      <c r="E92" s="1132" t="n"/>
      <c r="F92" s="1132" t="n"/>
      <c r="G92" s="1132" t="n"/>
      <c r="H92" s="1132" t="n"/>
    </row>
    <row r="93" ht="16.95000076293945" customHeight="1" s="491">
      <c r="A93" s="1132" t="inlineStr">
        <is>
          <t>RFI-12</t>
        </is>
      </c>
      <c r="B93" s="1132" t="n"/>
      <c r="C93" s="1132" t="n"/>
      <c r="D93" s="1132" t="n"/>
      <c r="E93" s="1132" t="n"/>
      <c r="F93" s="1132" t="n"/>
      <c r="G93" s="1132" t="n"/>
      <c r="H93" s="1132" t="n"/>
    </row>
    <row r="94" ht="33.75" customHeight="1" s="491">
      <c r="A94" s="1132" t="inlineStr">
        <is>
          <t>RFI-13</t>
        </is>
      </c>
      <c r="B94" s="1132" t="n"/>
      <c r="C94" s="1132" t="n"/>
      <c r="D94" s="1132" t="n"/>
      <c r="E94" s="1132" t="n"/>
      <c r="F94" s="1132" t="n"/>
      <c r="G94" s="1132" t="n"/>
      <c r="H94" s="1132" t="n"/>
    </row>
    <row r="95" ht="33.75" customHeight="1" s="491">
      <c r="A95" s="1132" t="inlineStr">
        <is>
          <t>RFI-14</t>
        </is>
      </c>
      <c r="B95" s="1132" t="n"/>
      <c r="C95" s="1132" t="n"/>
      <c r="D95" s="1132" t="n"/>
      <c r="E95" s="1132" t="n"/>
      <c r="F95" s="1132" t="n"/>
      <c r="G95" s="1132" t="n"/>
      <c r="H95" s="1132" t="n"/>
    </row>
    <row r="96" ht="25.35000038146973" customHeight="1" s="491">
      <c r="A96" s="1132" t="inlineStr">
        <is>
          <t>RFI-15</t>
        </is>
      </c>
      <c r="B96" s="1132" t="n"/>
      <c r="C96" s="1132" t="n"/>
      <c r="D96" s="1132" t="n"/>
      <c r="E96" s="1132" t="n"/>
      <c r="F96" s="1132" t="n"/>
      <c r="G96" s="1132" t="n"/>
      <c r="H96" s="1132" t="n"/>
    </row>
    <row r="97" ht="25.35000038146973" customHeight="1" s="491">
      <c r="A97" s="1132" t="inlineStr">
        <is>
          <t>RFI-16</t>
        </is>
      </c>
      <c r="B97" s="1132" t="n"/>
      <c r="C97" s="1132" t="n"/>
      <c r="D97" s="1132" t="n"/>
      <c r="E97" s="1132" t="n"/>
      <c r="F97" s="1132" t="n"/>
      <c r="G97" s="1132" t="n"/>
      <c r="H97" s="1132" t="n"/>
    </row>
    <row r="98" ht="25.35000038146973" customHeight="1" s="491">
      <c r="A98" s="1132" t="inlineStr">
        <is>
          <t>RFI-17</t>
        </is>
      </c>
      <c r="B98" s="1132" t="n"/>
      <c r="C98" s="1132" t="n"/>
      <c r="D98" s="1132" t="n"/>
      <c r="E98" s="1132" t="n"/>
      <c r="F98" s="1132" t="n"/>
      <c r="G98" s="1132" t="n"/>
      <c r="H98" s="1132" t="n"/>
    </row>
    <row r="99" ht="8.850000381469727" customHeight="1" s="491">
      <c r="A99" s="1132" t="inlineStr">
        <is>
          <t>RFI-18</t>
        </is>
      </c>
      <c r="B99" s="1132" t="n"/>
      <c r="C99" s="1132" t="n"/>
      <c r="D99" s="1132" t="n"/>
      <c r="E99" s="1132" t="n"/>
      <c r="F99" s="1132" t="n"/>
      <c r="G99" s="1132" t="n"/>
      <c r="H99" s="1132" t="n"/>
    </row>
    <row r="100" ht="18.14999961853027" customHeight="1" s="491">
      <c r="A100" s="1132" t="inlineStr">
        <is>
          <t>RFI-19</t>
        </is>
      </c>
      <c r="B100" s="1132" t="n"/>
    </row>
    <row r="101" ht="22.95000076293945" customFormat="1" customHeight="1" s="611">
      <c r="A101" s="1132" t="inlineStr">
        <is>
          <t>RFI-20</t>
        </is>
      </c>
      <c r="B101" s="1132" t="n"/>
      <c r="C101" s="1131" t="n"/>
      <c r="D101" s="1131" t="n"/>
      <c r="E101" s="1131" t="n"/>
      <c r="F101" s="1131" t="n"/>
      <c r="G101" s="1131" t="n"/>
      <c r="H101" s="1131" t="n"/>
    </row>
    <row r="102" ht="19.64999961853027" customHeight="1" s="491">
      <c r="A102" s="1132" t="inlineStr">
        <is>
          <t>RFI-21</t>
        </is>
      </c>
      <c r="B102" s="1132" t="n"/>
      <c r="C102" s="1132" t="n"/>
      <c r="D102" s="1132" t="n"/>
      <c r="E102" s="1132" t="n"/>
      <c r="F102" s="1132" t="n"/>
      <c r="G102" s="1119" t="str"/>
      <c r="H102" s="1132" t="n"/>
    </row>
    <row r="103" ht="19.64999961853027" customHeight="1" s="491">
      <c r="A103" s="1132" t="inlineStr">
        <is>
          <t>RFI-22</t>
        </is>
      </c>
      <c r="B103" s="1132" t="n"/>
      <c r="C103" s="1132" t="n"/>
      <c r="D103" s="1132" t="n"/>
      <c r="E103" s="1132" t="n"/>
      <c r="F103" s="1132" t="n"/>
      <c r="G103" s="1119" t="str"/>
      <c r="H103" s="1132" t="n"/>
    </row>
    <row r="104" ht="19.64999961853027" customHeight="1" s="491">
      <c r="A104" s="1132" t="inlineStr">
        <is>
          <t>RFI-23</t>
        </is>
      </c>
      <c r="B104" s="1132" t="n"/>
      <c r="C104" s="1132" t="n"/>
      <c r="D104" s="1132" t="n"/>
      <c r="E104" s="1132" t="n"/>
      <c r="F104" s="1132" t="n"/>
      <c r="G104" s="1119" t="str"/>
      <c r="H104" s="1132" t="n"/>
    </row>
    <row r="105" ht="19.64999961853027" customHeight="1" s="491">
      <c r="A105" s="1132" t="inlineStr">
        <is>
          <t>RFI-24</t>
        </is>
      </c>
      <c r="B105" s="1132" t="n"/>
      <c r="C105" s="1132" t="n"/>
      <c r="D105" s="1132" t="n"/>
      <c r="E105" s="1132" t="n"/>
      <c r="F105" s="1132" t="n"/>
      <c r="G105" s="1119" t="str"/>
      <c r="H105" s="1132" t="n"/>
    </row>
    <row r="106" ht="19.64999961853027" customHeight="1" s="491">
      <c r="A106" s="1132" t="inlineStr">
        <is>
          <t>RFI-25</t>
        </is>
      </c>
      <c r="B106" s="1132" t="n"/>
      <c r="C106" s="1132" t="n"/>
      <c r="D106" s="1132" t="n"/>
      <c r="E106" s="1132" t="n"/>
      <c r="F106" s="1132" t="n"/>
      <c r="G106" s="1119" t="str"/>
      <c r="H106" s="1132" t="n"/>
    </row>
    <row r="107" ht="19.64999961853027" customHeight="1" s="491">
      <c r="A107" s="1132" t="inlineStr">
        <is>
          <t>RFI-26</t>
        </is>
      </c>
      <c r="B107" s="1132" t="n"/>
      <c r="C107" s="1132" t="n"/>
      <c r="D107" s="1132" t="n"/>
      <c r="E107" s="1132" t="n"/>
      <c r="F107" s="1132" t="n"/>
      <c r="G107" s="1119" t="str"/>
      <c r="H107" s="1132" t="n"/>
    </row>
    <row r="108" ht="19.64999961853027" customHeight="1" s="491">
      <c r="A108" s="1132" t="inlineStr">
        <is>
          <t>RFI-27</t>
        </is>
      </c>
      <c r="B108" s="1132" t="n"/>
      <c r="C108" s="1132" t="n"/>
      <c r="D108" s="1132" t="n"/>
      <c r="E108" s="1132" t="n"/>
      <c r="F108" s="1132" t="n"/>
      <c r="G108" s="1119" t="str"/>
      <c r="H108" s="1132" t="n"/>
    </row>
    <row r="109" ht="19.64999961853027" customHeight="1" s="491">
      <c r="A109" s="1132" t="inlineStr">
        <is>
          <t>RFI-28</t>
        </is>
      </c>
      <c r="B109" s="1132" t="n"/>
      <c r="C109" s="1132" t="n"/>
      <c r="D109" s="1132" t="n"/>
      <c r="E109" s="1132" t="n"/>
      <c r="F109" s="1132" t="n"/>
      <c r="G109" s="1119" t="str"/>
      <c r="H109" s="1132" t="n"/>
    </row>
    <row r="110" ht="19.64999961853027" customHeight="1" s="491">
      <c r="A110" s="1132" t="inlineStr">
        <is>
          <t>RFI-29</t>
        </is>
      </c>
      <c r="B110" s="1132" t="n"/>
      <c r="C110" s="1132" t="n"/>
      <c r="D110" s="1132" t="n"/>
      <c r="E110" s="1132" t="n"/>
      <c r="F110" s="1132" t="n"/>
      <c r="G110" s="1119" t="str"/>
      <c r="H110" s="1132" t="n"/>
    </row>
    <row r="111" ht="19.64999961853027" customHeight="1" s="491">
      <c r="A111" s="1132" t="inlineStr">
        <is>
          <t>RFI-30</t>
        </is>
      </c>
      <c r="B111" s="1132" t="n"/>
      <c r="C111" s="1132" t="n"/>
      <c r="D111" s="1132" t="n"/>
      <c r="E111" s="1132" t="n"/>
      <c r="F111" s="1132" t="n"/>
      <c r="G111" s="1119" t="str"/>
      <c r="H111" s="1132" t="n"/>
    </row>
    <row r="112" ht="19.64999961853027" customHeight="1" s="491">
      <c r="A112" s="1355" t="inlineStr">
        <is>
          <t>KEY RISKS / WATCHOUTS</t>
        </is>
      </c>
      <c r="B112" s="242" t="n"/>
      <c r="C112" s="242" t="n"/>
      <c r="D112" s="242" t="n"/>
      <c r="E112" s="242" t="n"/>
      <c r="F112" s="242" t="n"/>
      <c r="G112" s="242" t="n"/>
      <c r="H112" s="242" t="n"/>
    </row>
    <row r="113" ht="19.64999961853027" customHeight="1" s="491">
      <c r="A113" s="1131" t="inlineStr">
        <is>
          <t>Risk ID</t>
        </is>
      </c>
      <c r="B113" s="1131" t="inlineStr">
        <is>
          <t>Risk</t>
        </is>
      </c>
      <c r="C113" s="1131" t="inlineStr">
        <is>
          <t>Likelihood</t>
        </is>
      </c>
      <c r="D113" s="1131" t="inlineStr">
        <is>
          <t>Impact</t>
        </is>
      </c>
      <c r="E113" s="1132" t="n"/>
      <c r="F113" s="1132" t="n"/>
      <c r="G113" s="1119" t="str"/>
      <c r="H113" s="1132" t="n"/>
    </row>
    <row r="114" ht="19.64999961853027" customHeight="1" s="491">
      <c r="A114" s="1132">
        <f>IF('Risk Truth'!A25="","",'Risk Truth'!A25)</f>
        <v/>
      </c>
      <c r="B114" s="1132">
        <f>IF('Risk Truth'!B25="","",'Risk Truth'!B25)</f>
        <v/>
      </c>
      <c r="C114" s="1132">
        <f>IF('Risk Truth'!D25="","",'Risk Truth'!D25)</f>
        <v/>
      </c>
      <c r="D114" s="1132">
        <f>IF('Risk Truth'!E25="","",'Risk Truth'!E25)</f>
        <v/>
      </c>
      <c r="E114" s="1132" t="n"/>
      <c r="F114" s="1132" t="n"/>
      <c r="G114" s="1119" t="str"/>
      <c r="H114" s="1132" t="n"/>
    </row>
    <row r="115" ht="19.64999961853027" customHeight="1" s="491">
      <c r="A115" s="1132">
        <f>IF('Risk Truth'!A26="","",'Risk Truth'!A26)</f>
        <v/>
      </c>
      <c r="B115" s="1132">
        <f>IF('Risk Truth'!B26="","",'Risk Truth'!B26)</f>
        <v/>
      </c>
      <c r="C115" s="1132">
        <f>IF('Risk Truth'!D26="","",'Risk Truth'!D26)</f>
        <v/>
      </c>
      <c r="D115" s="1132">
        <f>IF('Risk Truth'!E26="","",'Risk Truth'!E26)</f>
        <v/>
      </c>
      <c r="E115" s="1132" t="n"/>
      <c r="F115" s="1132" t="n"/>
      <c r="G115" s="1119" t="str"/>
      <c r="H115" s="1132" t="n"/>
    </row>
    <row r="116" ht="19.64999961853027" customHeight="1" s="491">
      <c r="A116" s="1132">
        <f>IF('Risk Truth'!A27="","",'Risk Truth'!A27)</f>
        <v/>
      </c>
      <c r="B116" s="1132">
        <f>IF('Risk Truth'!B27="","",'Risk Truth'!B27)</f>
        <v/>
      </c>
      <c r="C116" s="1132">
        <f>IF('Risk Truth'!D27="","",'Risk Truth'!D27)</f>
        <v/>
      </c>
      <c r="D116" s="1132">
        <f>IF('Risk Truth'!E27="","",'Risk Truth'!E27)</f>
        <v/>
      </c>
      <c r="E116" s="1132" t="n"/>
      <c r="F116" s="1132" t="n"/>
      <c r="G116" s="1119" t="str"/>
      <c r="H116" s="1132" t="n"/>
    </row>
    <row r="117" ht="19.64999961853027" customHeight="1" s="491">
      <c r="A117" s="1132">
        <f>IF('Risk Truth'!A28="","",'Risk Truth'!A28)</f>
        <v/>
      </c>
      <c r="B117" s="1132">
        <f>IF('Risk Truth'!B28="","",'Risk Truth'!B28)</f>
        <v/>
      </c>
      <c r="C117" s="1132">
        <f>IF('Risk Truth'!D28="","",'Risk Truth'!D28)</f>
        <v/>
      </c>
      <c r="D117" s="1132">
        <f>IF('Risk Truth'!E28="","",'Risk Truth'!E28)</f>
        <v/>
      </c>
      <c r="E117" s="1132" t="n"/>
      <c r="F117" s="1132" t="n"/>
      <c r="G117" s="1119" t="str"/>
      <c r="H117" s="1132" t="n"/>
    </row>
    <row r="118" ht="19.64999961853027" customHeight="1" s="491">
      <c r="A118" s="1132">
        <f>IF('Risk Truth'!A29="","",'Risk Truth'!A29)</f>
        <v/>
      </c>
      <c r="B118" s="1132">
        <f>IF('Risk Truth'!B29="","",'Risk Truth'!B29)</f>
        <v/>
      </c>
      <c r="C118" s="1132">
        <f>IF('Risk Truth'!D29="","",'Risk Truth'!D29)</f>
        <v/>
      </c>
      <c r="D118" s="1132">
        <f>IF('Risk Truth'!E29="","",'Risk Truth'!E29)</f>
        <v/>
      </c>
      <c r="E118" s="1132" t="n"/>
      <c r="F118" s="1132" t="n"/>
      <c r="G118" s="1119" t="str"/>
      <c r="H118" s="1132" t="n"/>
    </row>
    <row r="119" ht="19.64999961853027" customHeight="1" s="491">
      <c r="A119" s="1132">
        <f>IF('Risk Truth'!A30="","",'Risk Truth'!A30)</f>
        <v/>
      </c>
      <c r="B119" s="1132">
        <f>IF('Risk Truth'!B30="","",'Risk Truth'!B30)</f>
        <v/>
      </c>
      <c r="C119" s="1132">
        <f>IF('Risk Truth'!D30="","",'Risk Truth'!D30)</f>
        <v/>
      </c>
      <c r="D119" s="1132">
        <f>IF('Risk Truth'!E30="","",'Risk Truth'!E30)</f>
        <v/>
      </c>
      <c r="E119" s="1132" t="n"/>
      <c r="F119" s="1132" t="n"/>
      <c r="G119" s="1119" t="str"/>
      <c r="H119" s="1132" t="n"/>
    </row>
    <row r="120" ht="19.64999961853027" customHeight="1" s="491">
      <c r="A120" s="1132">
        <f>IF('Risk Truth'!A31="","",'Risk Truth'!A31)</f>
        <v/>
      </c>
      <c r="B120" s="1132">
        <f>IF('Risk Truth'!B31="","",'Risk Truth'!B31)</f>
        <v/>
      </c>
      <c r="C120" s="1132">
        <f>IF('Risk Truth'!D31="","",'Risk Truth'!D31)</f>
        <v/>
      </c>
      <c r="D120" s="1132">
        <f>IF('Risk Truth'!E31="","",'Risk Truth'!E31)</f>
        <v/>
      </c>
      <c r="E120" s="1132" t="n"/>
      <c r="F120" s="1132" t="n"/>
      <c r="G120" s="1119" t="str"/>
      <c r="H120" s="1132" t="n"/>
    </row>
    <row r="121" ht="19.64999961853027" customHeight="1" s="491">
      <c r="A121" s="1132">
        <f>IF('Risk Truth'!A32="","",'Risk Truth'!A32)</f>
        <v/>
      </c>
      <c r="B121" s="1132">
        <f>IF('Risk Truth'!B32="","",'Risk Truth'!B32)</f>
        <v/>
      </c>
      <c r="C121" s="1132">
        <f>IF('Risk Truth'!D32="","",'Risk Truth'!D32)</f>
        <v/>
      </c>
      <c r="D121" s="1132">
        <f>IF('Risk Truth'!E32="","",'Risk Truth'!E32)</f>
        <v/>
      </c>
      <c r="E121" s="1132" t="n"/>
      <c r="F121" s="1132" t="n"/>
      <c r="G121" s="1119" t="str"/>
      <c r="H121" s="1132" t="n"/>
    </row>
    <row r="122" ht="19.64999961853027" customHeight="1" s="491">
      <c r="A122" s="1132">
        <f>IF('Risk Truth'!A33="","",'Risk Truth'!A33)</f>
        <v/>
      </c>
      <c r="B122" s="1132">
        <f>IF('Risk Truth'!B33="","",'Risk Truth'!B33)</f>
        <v/>
      </c>
      <c r="C122" s="1132">
        <f>IF('Risk Truth'!D33="","",'Risk Truth'!D33)</f>
        <v/>
      </c>
      <c r="D122" s="1132">
        <f>IF('Risk Truth'!E33="","",'Risk Truth'!E33)</f>
        <v/>
      </c>
      <c r="E122" s="1132" t="n"/>
      <c r="F122" s="1132" t="n"/>
      <c r="G122" s="1119" t="str"/>
      <c r="H122" s="1132" t="n"/>
    </row>
    <row r="123" ht="19.64999961853027" customHeight="1" s="491">
      <c r="A123" s="1132">
        <f>IF('Risk Truth'!A34="","",'Risk Truth'!A34)</f>
        <v/>
      </c>
      <c r="B123" s="1132">
        <f>IF('Risk Truth'!B34="","",'Risk Truth'!B34)</f>
        <v/>
      </c>
      <c r="C123" s="1132">
        <f>IF('Risk Truth'!D34="","",'Risk Truth'!D34)</f>
        <v/>
      </c>
      <c r="D123" s="1132">
        <f>IF('Risk Truth'!E34="","",'Risk Truth'!E34)</f>
        <v/>
      </c>
      <c r="E123" s="1132" t="n"/>
      <c r="F123" s="1132" t="n"/>
      <c r="G123" s="1119" t="str"/>
      <c r="H123" s="1132" t="n"/>
    </row>
    <row r="124" ht="19.64999961853027" customHeight="1" s="491">
      <c r="A124" s="1132">
        <f>IF('Risk Truth'!A35="","",'Risk Truth'!A35)</f>
        <v/>
      </c>
      <c r="B124" s="1132">
        <f>IF('Risk Truth'!B35="","",'Risk Truth'!B35)</f>
        <v/>
      </c>
      <c r="C124" s="1132">
        <f>IF('Risk Truth'!D35="","",'Risk Truth'!D35)</f>
        <v/>
      </c>
      <c r="D124" s="1132">
        <f>IF('Risk Truth'!E35="","",'Risk Truth'!E35)</f>
        <v/>
      </c>
      <c r="E124" s="1132" t="n"/>
      <c r="F124" s="1132" t="n"/>
      <c r="G124" s="1119" t="str"/>
      <c r="H124" s="1132" t="n"/>
    </row>
    <row r="125" ht="19.64999961853027" customHeight="1" s="491">
      <c r="A125" s="1132">
        <f>IF('Risk Truth'!A36="","",'Risk Truth'!A36)</f>
        <v/>
      </c>
      <c r="B125" s="1132">
        <f>IF('Risk Truth'!B36="","",'Risk Truth'!B36)</f>
        <v/>
      </c>
      <c r="C125" s="1132">
        <f>IF('Risk Truth'!D36="","",'Risk Truth'!D36)</f>
        <v/>
      </c>
      <c r="D125" s="1132">
        <f>IF('Risk Truth'!E36="","",'Risk Truth'!E36)</f>
        <v/>
      </c>
      <c r="E125" s="1136" t="n"/>
      <c r="F125" s="1136" t="n"/>
      <c r="G125" s="1132" t="str"/>
      <c r="H125" s="1132" t="n"/>
    </row>
    <row r="126" ht="15.30000019073486" customHeight="1" s="491">
      <c r="A126" s="1132">
        <f>IF('Risk Truth'!A37="","",'Risk Truth'!A37)</f>
        <v/>
      </c>
      <c r="B126" s="1132">
        <f>IF('Risk Truth'!B37="","",'Risk Truth'!B37)</f>
        <v/>
      </c>
      <c r="C126" s="1132">
        <f>IF('Risk Truth'!D37="","",'Risk Truth'!D37)</f>
        <v/>
      </c>
      <c r="D126" s="1132">
        <f>IF('Risk Truth'!E37="","",'Risk Truth'!E37)</f>
        <v/>
      </c>
    </row>
    <row r="127" ht="15.30000019073486" customHeight="1" s="491">
      <c r="A127" s="1132">
        <f>IF('Risk Truth'!A38="","",'Risk Truth'!A38)</f>
        <v/>
      </c>
      <c r="B127" s="1132">
        <f>IF('Risk Truth'!B38="","",'Risk Truth'!B38)</f>
        <v/>
      </c>
      <c r="C127" s="1132">
        <f>IF('Risk Truth'!D38="","",'Risk Truth'!D38)</f>
        <v/>
      </c>
      <c r="D127" s="1132">
        <f>IF('Risk Truth'!E38="","",'Risk Truth'!E38)</f>
        <v/>
      </c>
      <c r="E127" s="1132" t="n"/>
      <c r="F127" s="1132" t="n"/>
      <c r="G127" s="1132" t="n"/>
      <c r="H127" s="1132" t="n"/>
    </row>
    <row r="128" ht="94.05000305175781" customHeight="1" s="491">
      <c r="A128" s="1132">
        <f>IF('Risk Truth'!A39="","",'Risk Truth'!A39)</f>
        <v/>
      </c>
      <c r="B128" s="1132">
        <f>IF('Risk Truth'!B39="","",'Risk Truth'!B39)</f>
        <v/>
      </c>
      <c r="C128" s="1132">
        <f>IF('Risk Truth'!D39="","",'Risk Truth'!D39)</f>
        <v/>
      </c>
      <c r="D128" s="1132">
        <f>IF('Risk Truth'!E39="","",'Risk Truth'!E39)</f>
        <v/>
      </c>
      <c r="E128" s="1132" t="n"/>
      <c r="F128" s="1132" t="n"/>
      <c r="G128" s="1132" t="n"/>
      <c r="H128" s="1132" t="n"/>
    </row>
    <row r="129">
      <c r="A129" s="1132" t="n"/>
      <c r="B129" s="1132" t="n"/>
      <c r="C129" s="1132" t="n"/>
      <c r="D129" s="1132" t="n"/>
      <c r="E129" s="1132" t="n"/>
      <c r="F129" s="1119" t="n"/>
      <c r="G129" s="1119" t="n"/>
      <c r="H129" s="1119" t="n"/>
    </row>
    <row r="130" ht="27.29999923706055" customHeight="1" s="491">
      <c r="A130" s="1355" t="inlineStr">
        <is>
          <t>TENDER RELEASE QA</t>
        </is>
      </c>
      <c r="B130" s="242" t="n"/>
      <c r="C130" s="242" t="n"/>
      <c r="D130" s="242" t="n"/>
      <c r="E130" s="242" t="n"/>
      <c r="F130" s="242" t="n"/>
      <c r="G130" s="242" t="n"/>
      <c r="H130" s="242" t="n"/>
    </row>
    <row r="131" ht="22.95000076293945" customHeight="1" s="491">
      <c r="A131" s="1131" t="inlineStr">
        <is>
          <t>Section</t>
        </is>
      </c>
      <c r="B131" s="1131" t="inlineStr">
        <is>
          <t>Requirement</t>
        </is>
      </c>
      <c r="C131" s="1131" t="inlineStr">
        <is>
          <t>Status (colour + reason)</t>
        </is>
      </c>
      <c r="D131" s="1131" t="inlineStr">
        <is>
          <t>Owner</t>
        </is>
      </c>
      <c r="E131" s="1131" t="inlineStr">
        <is>
          <t>Required Before Tender?</t>
        </is>
      </c>
      <c r="F131" s="1119" t="n"/>
      <c r="G131" s="1119" t="n"/>
      <c r="H131" s="1119" t="n"/>
    </row>
    <row r="132" ht="22.95000076293945" customHeight="1" s="491">
      <c r="A132" s="1132" t="inlineStr">
        <is>
          <t>References</t>
        </is>
      </c>
      <c r="B132" s="1132" t="inlineStr">
        <is>
          <t>Current Intake, Master Prompt, Triple Verification and applicable standards recorded</t>
        </is>
      </c>
      <c r="C132" s="1132" t="n"/>
      <c r="D132" s="1119" t="n"/>
      <c r="E132" s="1119" t="n"/>
      <c r="F132" s="1119" t="n"/>
      <c r="G132" s="1119" t="n"/>
      <c r="H132" s="1119" t="n"/>
    </row>
    <row r="133" ht="22.95000076293945" customHeight="1" s="491">
      <c r="A133" s="1132" t="inlineStr">
        <is>
          <t>Documents</t>
        </is>
      </c>
      <c r="B133" s="1132" t="inlineStr">
        <is>
          <t>Current drawing/specification/tender register complete</t>
        </is>
      </c>
      <c r="C133" s="1132" t="n"/>
      <c r="D133" s="1119" t="n"/>
      <c r="E133" s="1119" t="n"/>
      <c r="F133" s="1119" t="n"/>
      <c r="G133" s="1119" t="n"/>
      <c r="H133" s="1119" t="n"/>
    </row>
    <row r="134" ht="22.95000076293945" customHeight="1" s="491">
      <c r="A134" s="1132" t="inlineStr">
        <is>
          <t>Scope</t>
        </is>
      </c>
      <c r="B134" s="1132" t="inlineStr">
        <is>
          <t>Work-package inclusions, exclusions and interfaces defined</t>
        </is>
      </c>
      <c r="C134" s="1132" t="n"/>
      <c r="D134" s="1119" t="n"/>
      <c r="E134" s="1119" t="n"/>
      <c r="F134" s="1119" t="n"/>
      <c r="G134" s="1119" t="n"/>
      <c r="H134" s="1119" t="n"/>
    </row>
    <row r="135" ht="22.95000076293945" customHeight="1" s="491">
      <c r="A135" s="1132" t="inlineStr">
        <is>
          <t>Takeoff</t>
        </is>
      </c>
      <c r="B135" s="1132" t="inlineStr">
        <is>
          <t>Major quantities measured/provided/calculated and referenced to current documents</t>
        </is>
      </c>
      <c r="C135" s="1132" t="n"/>
      <c r="D135" s="1119" t="n"/>
      <c r="E135" s="1119" t="n"/>
      <c r="F135" s="1119" t="n"/>
      <c r="G135" s="1119" t="n"/>
      <c r="H135" s="1119" t="n"/>
    </row>
    <row r="136">
      <c r="A136" s="1132" t="inlineStr">
        <is>
          <t>Resource build-up</t>
        </is>
      </c>
      <c r="B136" s="1132" t="inlineStr">
        <is>
          <t>Every active QS code has linked labour/plant/material/subcontract rows or an explicit PC</t>
        </is>
      </c>
      <c r="C136" s="1132" t="n"/>
      <c r="D136" s="1119" t="n"/>
      <c r="E136" s="1119" t="n"/>
      <c r="F136" s="1119" t="n"/>
      <c r="G136" s="1119" t="n"/>
      <c r="H136" s="1119" t="n"/>
    </row>
    <row r="137">
      <c r="A137" s="1132" t="inlineStr">
        <is>
          <t>Rate verification</t>
        </is>
      </c>
      <c r="B137" s="1132" t="inlineStr">
        <is>
          <t>Important rates classified and three-way verified or flagged</t>
        </is>
      </c>
      <c r="C137" s="1132" t="n"/>
      <c r="F137" s="1119" t="n"/>
      <c r="G137" s="1119" t="n"/>
      <c r="H137" s="1119" t="n"/>
    </row>
    <row r="138">
      <c r="A138" s="1132" t="inlineStr">
        <is>
          <t>Quotes / PCs</t>
        </is>
      </c>
      <c r="B138" s="1132" t="inlineStr">
        <is>
          <t>PC sums and quote-required packages reconciled to the Quote Log</t>
        </is>
      </c>
      <c r="C138" s="1132" t="n"/>
      <c r="D138" s="1136" t="n"/>
      <c r="E138" s="1136" t="n"/>
      <c r="F138" s="1119" t="n"/>
      <c r="G138" s="1119" t="n"/>
      <c r="H138" s="1119" t="n"/>
    </row>
    <row r="139">
      <c r="A139" s="1132" t="inlineStr">
        <is>
          <t>Assumptions</t>
        </is>
      </c>
      <c r="B139" s="1132" t="inlineStr">
        <is>
          <t>Assumptions and exclusions are explicit, current and defensible</t>
        </is>
      </c>
      <c r="C139" s="1132" t="n"/>
      <c r="D139" s="1132" t="n"/>
      <c r="E139" s="1132" t="n"/>
      <c r="F139" s="1119" t="n"/>
      <c r="G139" s="1119" t="n"/>
      <c r="H139" s="1119" t="n"/>
    </row>
    <row r="140" ht="56" customHeight="1" s="491">
      <c r="A140" s="1132" t="inlineStr">
        <is>
          <t>Interfaces</t>
        </is>
      </c>
      <c r="B140" s="1132" t="inlineStr">
        <is>
          <t>By-others / client / authority / consultant responsibilities identified</t>
        </is>
      </c>
      <c r="C140" s="1132" t="n"/>
      <c r="D140" s="1132" t="n"/>
      <c r="E140" s="1132" t="n"/>
      <c r="F140" s="1119" t="n"/>
      <c r="G140" s="1119" t="n"/>
      <c r="H140" s="1119" t="n"/>
    </row>
    <row r="141">
      <c r="A141" s="1132" t="inlineStr">
        <is>
          <t>Risk Truth</t>
        </is>
      </c>
      <c r="B141" s="1132" t="inlineStr">
        <is>
          <t>All material risks have baseline, residual exposure and cost treatment</t>
        </is>
      </c>
      <c r="C141" s="1132" t="n"/>
      <c r="D141" s="1119" t="n"/>
      <c r="E141" s="1119" t="n"/>
      <c r="F141" s="1119" t="n"/>
      <c r="G141" s="1119" t="n"/>
      <c r="H141" s="1119" t="n"/>
    </row>
    <row r="142" ht="64" customHeight="1" s="491">
      <c r="A142" s="1132" t="inlineStr">
        <is>
          <t>Risk duplication</t>
        </is>
      </c>
      <c r="B142" s="1132" t="inlineStr">
        <is>
          <t>No residual risk is costed twice; overlap groups and cost-treatment owners checked</t>
        </is>
      </c>
      <c r="C142" s="1132" t="n"/>
      <c r="D142" s="1119" t="n"/>
      <c r="E142" s="1119" t="n"/>
      <c r="F142" s="1119" t="n"/>
      <c r="G142" s="1119" t="n"/>
      <c r="H142" s="1119" t="n"/>
    </row>
    <row r="143" ht="64" customHeight="1" s="491">
      <c r="A143" s="1132" t="inlineStr">
        <is>
          <t>Weather</t>
        </is>
      </c>
      <c r="B143" s="1132" t="inlineStr">
        <is>
          <t>Weather Risk reviewed; approved tool run current or documented</t>
        </is>
      </c>
      <c r="C143" s="1132" t="n"/>
      <c r="D143" s="1119" t="n"/>
      <c r="E143" s="1119" t="n"/>
      <c r="F143" s="1119" t="n"/>
      <c r="G143" s="1119" t="n"/>
      <c r="H143" s="1119" t="n"/>
    </row>
    <row r="144" ht="24" customHeight="1" s="491">
      <c r="A144" s="1132" t="inlineStr">
        <is>
          <t>Ground / geotech</t>
        </is>
      </c>
      <c r="B144" s="1132" t="inlineStr">
        <is>
          <t>Ground and groundwater risks aligned to current geotechnical information</t>
        </is>
      </c>
      <c r="C144" s="1132" t="n"/>
      <c r="F144" s="1119" t="n"/>
      <c r="G144" s="1119" t="n"/>
      <c r="H144" s="1119" t="n"/>
    </row>
    <row r="145">
      <c r="A145" s="1132" t="inlineStr">
        <is>
          <t>Earthworks / haulage</t>
        </is>
      </c>
      <c r="B145" s="1132" t="inlineStr">
        <is>
          <t>Balance, bulking, haul, disposal and import assumptions defined</t>
        </is>
      </c>
      <c r="C145" s="1132" t="n"/>
      <c r="D145" s="1132" t="n"/>
      <c r="E145" s="1131" t="n"/>
      <c r="F145" s="1119" t="n"/>
      <c r="G145" s="1119" t="n"/>
      <c r="H145" s="1119" t="n"/>
    </row>
    <row r="146">
      <c r="A146" s="1132" t="inlineStr">
        <is>
          <t>Temporary works</t>
        </is>
      </c>
      <c r="B146" s="1132" t="inlineStr">
        <is>
          <t>Temporary works requirements and responsibility identified</t>
        </is>
      </c>
      <c r="C146" s="1132" t="n"/>
      <c r="D146" s="1132" t="n"/>
      <c r="E146" s="1131" t="n"/>
      <c r="F146" s="1119" t="n"/>
      <c r="G146" s="1119" t="n"/>
      <c r="H146" s="1119" t="n"/>
    </row>
    <row r="147">
      <c r="A147" s="1132" t="inlineStr">
        <is>
          <t>Programme</t>
        </is>
      </c>
      <c r="B147" s="1132" t="inlineStr">
        <is>
          <t>Working days, productive crew days and elapsed duration reconciled</t>
        </is>
      </c>
      <c r="C147" s="1132" t="n"/>
      <c r="D147" s="1119" t="n"/>
      <c r="E147" s="1119" t="n"/>
      <c r="F147" s="1119" t="n"/>
      <c r="G147" s="1119" t="n"/>
      <c r="H147" s="1119" t="n"/>
    </row>
    <row r="148">
      <c r="A148" s="1132" t="inlineStr">
        <is>
          <t>Programme cost check</t>
        </is>
      </c>
      <c r="B148" s="1132" t="inlineStr">
        <is>
          <t>Programme Export resource/QS cost checks all read OK</t>
        </is>
      </c>
      <c r="C148" s="1132" t="n"/>
      <c r="D148" s="1119" t="n"/>
      <c r="E148" s="1119" t="n"/>
      <c r="F148" s="1119" t="n"/>
      <c r="G148" s="1119" t="n"/>
      <c r="H148" s="1119" t="n"/>
    </row>
    <row r="149">
      <c r="A149" s="1132" t="inlineStr">
        <is>
          <t>Commercial</t>
        </is>
      </c>
      <c r="B149" s="1132" t="inlineStr">
        <is>
          <t>Overhead, profit, escalation, securities and commercial inputs confirmed</t>
        </is>
      </c>
      <c r="C149" s="1132" t="n"/>
      <c r="D149" s="1119" t="n"/>
      <c r="E149" s="1119" t="n"/>
      <c r="F149" s="1119" t="n"/>
      <c r="G149" s="1119" t="n"/>
      <c r="H149" s="1119" t="n"/>
    </row>
    <row r="150">
      <c r="A150" s="1132" t="inlineStr">
        <is>
          <t>Pricing schedule</t>
        </is>
      </c>
      <c r="B150" s="1132" t="inlineStr">
        <is>
          <t>Client pricing schedule mapped without double counting</t>
        </is>
      </c>
      <c r="C150" s="1132" t="n"/>
      <c r="D150" s="1119" t="n"/>
      <c r="E150" s="1119" t="n"/>
      <c r="F150" s="1119" t="n"/>
      <c r="G150" s="1119" t="n"/>
      <c r="H150" s="1119" t="n"/>
    </row>
    <row r="151">
      <c r="A151" s="1132" t="inlineStr">
        <is>
          <t>Independent review</t>
        </is>
      </c>
      <c r="B151" s="1132" t="inlineStr">
        <is>
          <t>Review completed or consciously waived by the estimator</t>
        </is>
      </c>
      <c r="C151" s="1132" t="n"/>
      <c r="D151" s="1119" t="n"/>
      <c r="E151" s="1119" t="n"/>
      <c r="F151" s="1119" t="n"/>
      <c r="G151" s="1119" t="n"/>
      <c r="H151" s="1119" t="n"/>
    </row>
    <row r="152">
      <c r="A152" s="1132" t="inlineStr">
        <is>
          <t>Release</t>
        </is>
      </c>
      <c r="B152" s="1132" t="inlineStr">
        <is>
          <t>Risk Truth, Weather and commercial gates reviewed</t>
        </is>
      </c>
      <c r="C152" s="1132" t="n"/>
      <c r="D152" s="1119" t="n"/>
      <c r="E152" s="1119" t="n"/>
      <c r="F152" s="1119" t="n"/>
      <c r="G152" s="1119" t="n"/>
      <c r="H152" s="1119" t="n"/>
    </row>
    <row r="153">
      <c r="A153" s="1132" t="inlineStr">
        <is>
          <t>Approval</t>
        </is>
      </c>
      <c r="B153" s="1132" t="inlineStr">
        <is>
          <t>Final tender/estimate approved by the authorised reviewer</t>
        </is>
      </c>
      <c r="C153" s="1132" t="n"/>
      <c r="D153" s="1119" t="n"/>
      <c r="E153" s="1119" t="n"/>
      <c r="F153" s="1119" t="n"/>
      <c r="G153" s="1119" t="n"/>
      <c r="H153" s="1119" t="n"/>
    </row>
    <row r="154">
      <c r="A154" s="1119" t="n"/>
      <c r="B154" s="1119" t="n"/>
      <c r="C154" s="1119" t="n"/>
      <c r="D154" s="1119" t="n"/>
      <c r="E154" s="1119" t="n"/>
      <c r="F154" s="1119" t="n"/>
      <c r="G154" s="1119" t="n"/>
      <c r="H154" s="1119" t="n"/>
    </row>
    <row r="155">
      <c r="A155" s="1356" t="inlineStr">
        <is>
          <t>TRIPLE VERIFICATION &amp; RISK TRUTH - MANDATORY</t>
        </is>
      </c>
      <c r="B155" s="242" t="n"/>
      <c r="C155" s="242" t="n"/>
      <c r="D155" s="242" t="n"/>
      <c r="E155" s="242" t="n"/>
      <c r="F155" s="242" t="n"/>
      <c r="G155" s="242" t="n"/>
      <c r="H155" s="242" t="n"/>
    </row>
    <row r="156">
      <c r="A156" s="1138" t="n">
        <v>1</v>
      </c>
      <c r="B156" s="1139" t="inlineStr">
        <is>
          <t>No rate, quantity, productivity, duration, allowance or risk treatment is GREEN without current primary evidence, an independent check and a first-principles check.</t>
        </is>
      </c>
      <c r="C156" s="1119" t="n"/>
      <c r="D156" s="1119" t="n"/>
      <c r="E156" s="1119" t="n"/>
      <c r="F156" s="1119" t="n"/>
      <c r="G156" s="1119" t="n"/>
      <c r="H156" s="1119" t="n"/>
    </row>
    <row r="157">
      <c r="A157" s="1138" t="n">
        <v>2</v>
      </c>
      <c r="B157" s="1139" t="inlineStr">
        <is>
          <t>Quantifiable physical risk consequences return to Resource Build-Up / QS; only distinct residual uncertainty goes to Risk Truth.</t>
        </is>
      </c>
      <c r="C157" s="1119" t="n"/>
      <c r="D157" s="1119" t="n"/>
      <c r="E157" s="1119" t="n"/>
      <c r="F157" s="1119" t="n"/>
      <c r="G157" s="1119" t="n"/>
      <c r="H157" s="1119" t="n"/>
    </row>
    <row r="158">
      <c r="A158" s="1138" t="n">
        <v>3</v>
      </c>
      <c r="B158" s="1139" t="inlineStr">
        <is>
          <t>CA01 and CA02 default to Risk Truth residual feeds; manual percentages are not used unless documented.</t>
        </is>
      </c>
      <c r="C158" s="1119" t="n"/>
      <c r="D158" s="1119" t="n"/>
      <c r="E158" s="1119" t="n"/>
      <c r="F158" s="1119" t="n"/>
      <c r="G158" s="1119" t="n"/>
      <c r="H158" s="1119" t="n"/>
    </row>
    <row r="159">
      <c r="A159" s="1138" t="n">
        <v>4</v>
      </c>
      <c r="B159" s="1139" t="inlineStr">
        <is>
          <t>Weather remains in the Weather Risk specialist path and is never also added inside rates.</t>
        </is>
      </c>
      <c r="C159" s="1119" t="n"/>
      <c r="D159" s="1119" t="n"/>
      <c r="E159" s="1119" t="n"/>
      <c r="F159" s="1119" t="n"/>
      <c r="G159" s="1119" t="n"/>
      <c r="H159" s="1119" t="n"/>
    </row>
    <row r="160">
      <c r="A160" s="1138" t="n">
        <v>5</v>
      </c>
      <c r="B160" s="1139" t="inlineStr">
        <is>
          <t>Any RED duplication, programme reconciliation or unresolved material RED exposure blocks final release.</t>
        </is>
      </c>
      <c r="C160" s="1119" t="n"/>
      <c r="D160" s="1119" t="n"/>
      <c r="E160" s="1119" t="n"/>
      <c r="F160" s="1119" t="n"/>
      <c r="G160" s="1119" t="n"/>
      <c r="H160" s="1119" t="n"/>
    </row>
    <row r="161">
      <c r="A161" s="1119" t="n"/>
      <c r="B161" s="1119" t="n"/>
      <c r="C161" s="1119" t="n"/>
      <c r="D161" s="1119" t="n"/>
      <c r="E161" s="1119" t="n"/>
      <c r="F161" s="1119" t="n"/>
      <c r="G161" s="1119" t="n"/>
      <c r="H161" s="1119" t="n"/>
    </row>
    <row r="162">
      <c r="A162" s="1356" t="inlineStr">
        <is>
          <t>REVISION RECORD (full history on the Change Log sheet)</t>
        </is>
      </c>
      <c r="B162" s="242" t="n"/>
      <c r="C162" s="242" t="n"/>
      <c r="D162" s="242" t="n"/>
      <c r="E162" s="242" t="n"/>
      <c r="F162" s="242" t="n"/>
      <c r="G162" s="242" t="n"/>
      <c r="H162" s="242" t="n"/>
    </row>
    <row r="163">
      <c r="A163" s="1131" t="inlineStr">
        <is>
          <t>Revision</t>
        </is>
      </c>
      <c r="B163" s="1131" t="inlineStr">
        <is>
          <t>Date</t>
        </is>
      </c>
      <c r="C163" s="1131" t="inlineStr">
        <is>
          <t>Description</t>
        </is>
      </c>
      <c r="D163" s="1119" t="n"/>
      <c r="E163" s="1119" t="n"/>
      <c r="F163" s="1119" t="n"/>
      <c r="G163" s="1119" t="n"/>
      <c r="H163" s="1119" t="n"/>
    </row>
    <row r="164">
      <c r="A164" s="1132" t="n"/>
      <c r="B164" s="1132" t="n"/>
      <c r="C164" s="1132" t="n"/>
      <c r="D164" s="1119" t="n"/>
      <c r="E164" s="1119" t="n"/>
      <c r="F164" s="1119" t="n"/>
      <c r="G164" s="1119" t="n"/>
      <c r="H164" s="1119" t="n"/>
    </row>
    <row r="165" ht="33" customHeight="1" s="491">
      <c r="A165" s="1132" t="n"/>
      <c r="B165" s="1132" t="n"/>
      <c r="C165" s="1132" t="n"/>
      <c r="D165" s="1119" t="n"/>
      <c r="E165" s="1119" t="n"/>
      <c r="F165" s="1119" t="n"/>
      <c r="G165" s="1119" t="n"/>
      <c r="H165" s="1119" t="n"/>
    </row>
    <row r="166" ht="33" customHeight="1" s="491">
      <c r="A166" s="1132" t="n"/>
      <c r="B166" s="1132" t="n"/>
      <c r="C166" s="1132" t="n"/>
      <c r="D166" s="1119" t="n"/>
      <c r="E166" s="1119" t="n"/>
      <c r="F166" s="1119" t="n"/>
      <c r="G166" s="1119" t="n"/>
      <c r="H166" s="1119" t="n"/>
    </row>
    <row r="167" ht="33" customHeight="1" s="491">
      <c r="A167" s="1132" t="n"/>
      <c r="B167" s="1132" t="n"/>
      <c r="C167" s="1119" t="n"/>
      <c r="D167" s="1119" t="n"/>
      <c r="E167" s="1119" t="n"/>
      <c r="F167" s="1119" t="n"/>
      <c r="G167" s="1119" t="n"/>
      <c r="H167" s="1119" t="n"/>
    </row>
    <row r="168" ht="33" customHeight="1" s="491">
      <c r="A168" s="1132" t="n"/>
      <c r="B168" s="1132" t="n"/>
      <c r="C168" s="1119" t="n"/>
      <c r="D168" s="1119" t="n"/>
      <c r="E168" s="1119" t="n"/>
      <c r="F168" s="1119" t="n"/>
      <c r="G168" s="1119" t="n"/>
      <c r="H168" s="1119" t="n"/>
    </row>
    <row r="169" ht="33" customHeight="1" s="491">
      <c r="A169" s="1132" t="n"/>
      <c r="B169" s="1132" t="n"/>
      <c r="C169" s="1119" t="n"/>
      <c r="D169" s="1119" t="n"/>
      <c r="E169" s="1119" t="n"/>
      <c r="F169" s="1119" t="n"/>
      <c r="G169" s="1119" t="n"/>
      <c r="H169" s="1119" t="n"/>
    </row>
    <row r="170">
      <c r="A170" s="1119" t="n"/>
      <c r="B170" s="1119" t="n"/>
      <c r="C170" s="1119" t="n"/>
      <c r="D170" s="1119" t="n"/>
      <c r="E170" s="1119" t="n"/>
      <c r="F170" s="1119" t="n"/>
      <c r="G170" s="1119" t="n"/>
      <c r="H170" s="1119" t="n"/>
    </row>
    <row r="171">
      <c r="A171" s="1119" t="n"/>
      <c r="B171" s="1119" t="n"/>
      <c r="C171" s="1119" t="n"/>
      <c r="D171" s="1119" t="n"/>
      <c r="E171" s="1119" t="n"/>
      <c r="F171" s="1119" t="n"/>
      <c r="G171" s="1119" t="n"/>
      <c r="H171" s="1119" t="n"/>
    </row>
    <row r="172">
      <c r="A172" s="1119" t="n"/>
      <c r="B172" s="1119" t="n"/>
      <c r="C172" s="1119" t="n"/>
      <c r="D172" s="1119" t="n"/>
      <c r="E172" s="1119" t="n"/>
      <c r="F172" s="1119" t="n"/>
      <c r="G172" s="1119" t="n"/>
      <c r="H172" s="1119" t="n"/>
    </row>
    <row r="173">
      <c r="A173" s="1119" t="n"/>
      <c r="B173" s="1119" t="n"/>
      <c r="C173" s="1119" t="n"/>
      <c r="D173" s="1119" t="n"/>
      <c r="E173" s="1119" t="n"/>
      <c r="F173" s="1119" t="n"/>
      <c r="G173" s="1119" t="n"/>
      <c r="H173" s="1119" t="n"/>
    </row>
    <row r="174">
      <c r="A174" s="1119" t="n"/>
      <c r="B174" s="1119" t="n"/>
      <c r="C174" s="1119" t="n"/>
      <c r="D174" s="1119" t="n"/>
      <c r="E174" s="1119" t="n"/>
      <c r="F174" s="1119" t="n"/>
      <c r="G174" s="1119" t="n"/>
      <c r="H174" s="1119" t="n"/>
    </row>
    <row r="175">
      <c r="A175" s="1119" t="n"/>
      <c r="B175" s="1119" t="n"/>
      <c r="C175" s="1119" t="n"/>
      <c r="D175" s="1119" t="n"/>
      <c r="E175" s="1119" t="n"/>
      <c r="F175" s="1119" t="n"/>
      <c r="G175" s="1119" t="n"/>
      <c r="H175" s="1119" t="n"/>
    </row>
    <row r="176"/>
    <row r="177" ht="72" customHeight="1" s="491">
      <c r="A177" s="211" t="n"/>
      <c r="B177" s="211" t="n"/>
      <c r="C177" s="211" t="n"/>
      <c r="D177" s="211" t="n"/>
      <c r="E177" s="211" t="n"/>
      <c r="F177" s="211" t="n"/>
      <c r="G177" s="211" t="n"/>
      <c r="H177" s="211" t="n"/>
    </row>
    <row r="178"/>
    <row r="179"/>
    <row r="180"/>
    <row r="181"/>
    <row r="182"/>
    <row r="183"/>
    <row r="184"/>
    <row r="185"/>
    <row r="186"/>
    <row r="187"/>
    <row r="188"/>
    <row r="189"/>
    <row r="190"/>
    <row r="191"/>
    <row r="192"/>
    <row r="193"/>
    <row r="194"/>
    <row r="195"/>
    <row r="196"/>
    <row r="197"/>
    <row r="198"/>
    <row r="199"/>
    <row r="200"/>
  </sheetData>
  <mergeCells count="26">
    <mergeCell ref="C25:H25"/>
    <mergeCell ref="A130:H130"/>
    <mergeCell ref="A5:C8"/>
    <mergeCell ref="A34:H36"/>
    <mergeCell ref="A155:H155"/>
    <mergeCell ref="C22:H22"/>
    <mergeCell ref="A1:H1"/>
    <mergeCell ref="A162:H162"/>
    <mergeCell ref="C27:H27"/>
    <mergeCell ref="C23:H23"/>
    <mergeCell ref="A46:H46"/>
    <mergeCell ref="A4:C4"/>
    <mergeCell ref="A21:H21"/>
    <mergeCell ref="C28:H28"/>
    <mergeCell ref="A57:H57"/>
    <mergeCell ref="A2:H2"/>
    <mergeCell ref="E4:H4"/>
    <mergeCell ref="A9:C9"/>
    <mergeCell ref="A33:H33"/>
    <mergeCell ref="C30:H30"/>
    <mergeCell ref="E13:H13"/>
    <mergeCell ref="C24:H24"/>
    <mergeCell ref="A81:H81"/>
    <mergeCell ref="A112:H112"/>
    <mergeCell ref="C26:H26"/>
    <mergeCell ref="C29:H29"/>
  </mergeCells>
  <dataValidations count="1">
    <dataValidation sqref="E5" showDropDown="0" showInputMessage="0" showErrorMessage="1" allowBlank="1" errorTitle="Linked formula cell" error="This value is linked. Change the upstream input/source instead of overwriting this cell." type="custom">
      <formula1>FALSE</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style="491" min="1" max="1"/>
    <col width="26" customWidth="1" style="491" min="2" max="2"/>
    <col width="44" customWidth="1" style="491" min="3" max="3"/>
    <col width="44" customWidth="1" style="491" min="4" max="4"/>
    <col width="34" customWidth="1" style="491" min="5" max="5"/>
    <col width="16" customWidth="1" style="491" min="6" max="6"/>
    <col width="16" customWidth="1" style="491" min="7" max="7"/>
    <col width="24" customWidth="1" style="491" min="8" max="8"/>
    <col width="26" customWidth="1" style="491" min="9" max="9"/>
    <col width="14" customWidth="1" style="491" min="10" max="10"/>
    <col width="44" customWidth="1" style="491" min="11" max="11"/>
    <col width="30" customWidth="1" style="491" min="12" max="12"/>
  </cols>
  <sheetData>
    <row r="1" ht="45" customHeight="1" s="491">
      <c r="A1" s="1357" t="inlineStr">
        <is>
          <t>Scope ID</t>
        </is>
      </c>
      <c r="B1" s="1357" t="inlineStr">
        <is>
          <t>Group</t>
        </is>
      </c>
      <c r="C1" s="1357" t="inlineStr">
        <is>
          <t>Requirement</t>
        </is>
      </c>
      <c r="D1" s="1357" t="inlineStr">
        <is>
          <t>Detail</t>
        </is>
      </c>
      <c r="E1" s="1357" t="inlineStr">
        <is>
          <t>Source (document / sheet / page)</t>
        </is>
      </c>
      <c r="F1" s="1357" t="inlineStr">
        <is>
          <t>Owner</t>
        </is>
      </c>
      <c r="G1" s="1357" t="inlineStr">
        <is>
          <t>Treatment</t>
        </is>
      </c>
      <c r="H1" s="1357" t="inlineStr">
        <is>
          <t>Cost refs (QS codes / CA lines)</t>
        </is>
      </c>
      <c r="I1" s="1357" t="inlineStr">
        <is>
          <t>Register refs (A#, EX-#, RFI-#)</t>
        </is>
      </c>
      <c r="J1" s="1357" t="inlineStr">
        <is>
          <t>Quote refs</t>
        </is>
      </c>
      <c r="K1" s="1357" t="inlineStr">
        <is>
          <t>Basis (what was priced and why)</t>
        </is>
      </c>
      <c r="L1" s="1357" t="inlineStr">
        <is>
          <t>Action</t>
        </is>
      </c>
    </row>
    <row r="2">
      <c r="A2" t="inlineStr">
        <is>
          <t>SC-001</t>
        </is>
      </c>
    </row>
    <row r="3">
      <c r="A3" t="inlineStr">
        <is>
          <t>SC-002</t>
        </is>
      </c>
    </row>
    <row r="4">
      <c r="A4" t="inlineStr">
        <is>
          <t>SC-003</t>
        </is>
      </c>
    </row>
    <row r="5">
      <c r="A5" t="inlineStr">
        <is>
          <t>SC-004</t>
        </is>
      </c>
    </row>
    <row r="6">
      <c r="A6" t="inlineStr">
        <is>
          <t>SC-005</t>
        </is>
      </c>
    </row>
    <row r="7">
      <c r="A7" t="inlineStr">
        <is>
          <t>SC-006</t>
        </is>
      </c>
    </row>
    <row r="8">
      <c r="A8" t="inlineStr">
        <is>
          <t>SC-007</t>
        </is>
      </c>
    </row>
    <row r="9">
      <c r="A9" t="inlineStr">
        <is>
          <t>SC-008</t>
        </is>
      </c>
    </row>
    <row r="10">
      <c r="A10" t="inlineStr">
        <is>
          <t>SC-009</t>
        </is>
      </c>
    </row>
    <row r="11">
      <c r="A11" t="inlineStr">
        <is>
          <t>SC-010</t>
        </is>
      </c>
    </row>
    <row r="12">
      <c r="A12" t="inlineStr">
        <is>
          <t>SC-011</t>
        </is>
      </c>
    </row>
    <row r="13">
      <c r="A13" t="inlineStr">
        <is>
          <t>SC-012</t>
        </is>
      </c>
    </row>
    <row r="14">
      <c r="A14" t="inlineStr">
        <is>
          <t>SC-013</t>
        </is>
      </c>
    </row>
    <row r="15">
      <c r="A15" t="inlineStr">
        <is>
          <t>SC-014</t>
        </is>
      </c>
    </row>
    <row r="16">
      <c r="A16" t="inlineStr">
        <is>
          <t>SC-015</t>
        </is>
      </c>
    </row>
    <row r="17">
      <c r="A17" t="inlineStr">
        <is>
          <t>SC-016</t>
        </is>
      </c>
    </row>
    <row r="18">
      <c r="A18" t="inlineStr">
        <is>
          <t>SC-017</t>
        </is>
      </c>
    </row>
    <row r="19">
      <c r="A19" t="inlineStr">
        <is>
          <t>SC-018</t>
        </is>
      </c>
    </row>
    <row r="20">
      <c r="A20" t="inlineStr">
        <is>
          <t>SC-019</t>
        </is>
      </c>
    </row>
    <row r="21">
      <c r="A21" t="inlineStr">
        <is>
          <t>SC-020</t>
        </is>
      </c>
    </row>
    <row r="22">
      <c r="A22" t="inlineStr">
        <is>
          <t>SC-021</t>
        </is>
      </c>
    </row>
    <row r="23">
      <c r="A23" t="inlineStr">
        <is>
          <t>SC-022</t>
        </is>
      </c>
    </row>
    <row r="24">
      <c r="A24" t="inlineStr">
        <is>
          <t>SC-023</t>
        </is>
      </c>
    </row>
    <row r="25">
      <c r="A25" t="inlineStr">
        <is>
          <t>SC-024</t>
        </is>
      </c>
    </row>
    <row r="26">
      <c r="A26" t="inlineStr">
        <is>
          <t>SC-025</t>
        </is>
      </c>
    </row>
    <row r="27">
      <c r="A27" t="inlineStr">
        <is>
          <t>SC-026</t>
        </is>
      </c>
    </row>
    <row r="28">
      <c r="A28" t="inlineStr">
        <is>
          <t>SC-027</t>
        </is>
      </c>
    </row>
    <row r="29">
      <c r="A29" t="inlineStr">
        <is>
          <t>SC-028</t>
        </is>
      </c>
    </row>
    <row r="30">
      <c r="A30" t="inlineStr">
        <is>
          <t>SC-029</t>
        </is>
      </c>
    </row>
    <row r="31">
      <c r="A31" t="inlineStr">
        <is>
          <t>SC-030</t>
        </is>
      </c>
    </row>
    <row r="32">
      <c r="A32" t="inlineStr">
        <is>
          <t>SC-031</t>
        </is>
      </c>
    </row>
    <row r="33">
      <c r="A33" t="inlineStr">
        <is>
          <t>SC-032</t>
        </is>
      </c>
    </row>
    <row r="34">
      <c r="A34" t="inlineStr">
        <is>
          <t>SC-033</t>
        </is>
      </c>
    </row>
    <row r="35">
      <c r="A35" t="inlineStr">
        <is>
          <t>SC-034</t>
        </is>
      </c>
    </row>
    <row r="36">
      <c r="A36" t="inlineStr">
        <is>
          <t>SC-035</t>
        </is>
      </c>
    </row>
    <row r="37">
      <c r="A37" t="inlineStr">
        <is>
          <t>SC-036</t>
        </is>
      </c>
    </row>
    <row r="38">
      <c r="A38" t="inlineStr">
        <is>
          <t>SC-037</t>
        </is>
      </c>
    </row>
    <row r="39">
      <c r="A39" t="inlineStr">
        <is>
          <t>SC-038</t>
        </is>
      </c>
    </row>
    <row r="40">
      <c r="A40" t="inlineStr">
        <is>
          <t>SC-039</t>
        </is>
      </c>
    </row>
    <row r="41">
      <c r="A41" t="inlineStr">
        <is>
          <t>SC-040</t>
        </is>
      </c>
    </row>
    <row r="42">
      <c r="A42" t="inlineStr">
        <is>
          <t>SC-041</t>
        </is>
      </c>
    </row>
    <row r="43">
      <c r="A43" t="inlineStr">
        <is>
          <t>SC-042</t>
        </is>
      </c>
    </row>
    <row r="44">
      <c r="A44" t="inlineStr">
        <is>
          <t>SC-043</t>
        </is>
      </c>
    </row>
    <row r="45">
      <c r="A45" t="inlineStr">
        <is>
          <t>SC-044</t>
        </is>
      </c>
    </row>
    <row r="46">
      <c r="A46" t="inlineStr">
        <is>
          <t>SC-045</t>
        </is>
      </c>
    </row>
    <row r="47">
      <c r="A47" t="inlineStr">
        <is>
          <t>SC-046</t>
        </is>
      </c>
    </row>
    <row r="48">
      <c r="A48" t="inlineStr">
        <is>
          <t>SC-047</t>
        </is>
      </c>
    </row>
    <row r="49">
      <c r="A49" t="inlineStr">
        <is>
          <t>SC-048</t>
        </is>
      </c>
    </row>
    <row r="50">
      <c r="A50" t="inlineStr">
        <is>
          <t>SC-049</t>
        </is>
      </c>
    </row>
    <row r="51">
      <c r="A51" t="inlineStr">
        <is>
          <t>SC-050</t>
        </is>
      </c>
    </row>
    <row r="52">
      <c r="A52" t="inlineStr">
        <is>
          <t>SC-051</t>
        </is>
      </c>
    </row>
    <row r="53">
      <c r="A53" t="inlineStr">
        <is>
          <t>SC-052</t>
        </is>
      </c>
    </row>
    <row r="54">
      <c r="A54" t="inlineStr">
        <is>
          <t>SC-053</t>
        </is>
      </c>
    </row>
    <row r="55">
      <c r="A55" t="inlineStr">
        <is>
          <t>SC-054</t>
        </is>
      </c>
    </row>
    <row r="56">
      <c r="A56" t="inlineStr">
        <is>
          <t>SC-055</t>
        </is>
      </c>
    </row>
    <row r="57">
      <c r="A57" t="inlineStr">
        <is>
          <t>SC-056</t>
        </is>
      </c>
    </row>
    <row r="58">
      <c r="A58" t="inlineStr">
        <is>
          <t>SC-057</t>
        </is>
      </c>
    </row>
    <row r="59">
      <c r="A59" t="inlineStr">
        <is>
          <t>SC-058</t>
        </is>
      </c>
    </row>
    <row r="60">
      <c r="A60" t="inlineStr">
        <is>
          <t>SC-059</t>
        </is>
      </c>
    </row>
    <row r="61">
      <c r="A61" t="inlineStr">
        <is>
          <t>SC-060</t>
        </is>
      </c>
    </row>
    <row r="62">
      <c r="A62" t="inlineStr">
        <is>
          <t>SC-061</t>
        </is>
      </c>
    </row>
    <row r="63">
      <c r="A63" t="inlineStr">
        <is>
          <t>SC-062</t>
        </is>
      </c>
    </row>
    <row r="64">
      <c r="A64" t="inlineStr">
        <is>
          <t>SC-063</t>
        </is>
      </c>
    </row>
    <row r="65">
      <c r="A65" t="inlineStr">
        <is>
          <t>SC-064</t>
        </is>
      </c>
    </row>
    <row r="66">
      <c r="A66" t="inlineStr">
        <is>
          <t>SC-065</t>
        </is>
      </c>
    </row>
    <row r="67">
      <c r="A67" t="inlineStr">
        <is>
          <t>SC-066</t>
        </is>
      </c>
    </row>
    <row r="68">
      <c r="A68" t="inlineStr">
        <is>
          <t>SC-067</t>
        </is>
      </c>
    </row>
    <row r="69">
      <c r="A69" t="inlineStr">
        <is>
          <t>SC-068</t>
        </is>
      </c>
    </row>
    <row r="70">
      <c r="A70" t="inlineStr">
        <is>
          <t>SC-069</t>
        </is>
      </c>
    </row>
    <row r="71">
      <c r="A71" t="inlineStr">
        <is>
          <t>SC-070</t>
        </is>
      </c>
    </row>
    <row r="72">
      <c r="A72" t="inlineStr">
        <is>
          <t>SC-071</t>
        </is>
      </c>
    </row>
    <row r="73">
      <c r="A73" t="inlineStr">
        <is>
          <t>SC-072</t>
        </is>
      </c>
    </row>
    <row r="74">
      <c r="A74" t="inlineStr">
        <is>
          <t>SC-073</t>
        </is>
      </c>
    </row>
    <row r="75">
      <c r="A75" t="inlineStr">
        <is>
          <t>SC-074</t>
        </is>
      </c>
    </row>
    <row r="76">
      <c r="A76" t="inlineStr">
        <is>
          <t>SC-075</t>
        </is>
      </c>
    </row>
    <row r="77">
      <c r="A77" t="inlineStr">
        <is>
          <t>SC-076</t>
        </is>
      </c>
    </row>
    <row r="78">
      <c r="A78" t="inlineStr">
        <is>
          <t>SC-077</t>
        </is>
      </c>
    </row>
    <row r="79">
      <c r="A79" t="inlineStr">
        <is>
          <t>SC-078</t>
        </is>
      </c>
    </row>
    <row r="80">
      <c r="A80" t="inlineStr">
        <is>
          <t>SC-079</t>
        </is>
      </c>
    </row>
    <row r="81">
      <c r="A81" t="inlineStr">
        <is>
          <t>SC-080</t>
        </is>
      </c>
    </row>
    <row r="82">
      <c r="A82" t="inlineStr">
        <is>
          <t>SC-081</t>
        </is>
      </c>
    </row>
    <row r="83">
      <c r="A83" t="inlineStr">
        <is>
          <t>SC-082</t>
        </is>
      </c>
    </row>
    <row r="84">
      <c r="A84" t="inlineStr">
        <is>
          <t>SC-083</t>
        </is>
      </c>
    </row>
    <row r="85">
      <c r="A85" t="inlineStr">
        <is>
          <t>SC-084</t>
        </is>
      </c>
    </row>
    <row r="86">
      <c r="A86" t="inlineStr">
        <is>
          <t>SC-085</t>
        </is>
      </c>
    </row>
    <row r="87">
      <c r="A87" t="inlineStr">
        <is>
          <t>SC-086</t>
        </is>
      </c>
    </row>
    <row r="88">
      <c r="A88" t="inlineStr">
        <is>
          <t>SC-087</t>
        </is>
      </c>
    </row>
    <row r="89">
      <c r="A89" t="inlineStr">
        <is>
          <t>SC-088</t>
        </is>
      </c>
    </row>
    <row r="90">
      <c r="A90" t="inlineStr">
        <is>
          <t>SC-089</t>
        </is>
      </c>
    </row>
    <row r="91">
      <c r="A91" t="inlineStr">
        <is>
          <t>SC-090</t>
        </is>
      </c>
    </row>
    <row r="92">
      <c r="A92" t="inlineStr">
        <is>
          <t>SC-091</t>
        </is>
      </c>
    </row>
    <row r="93">
      <c r="A93" t="inlineStr">
        <is>
          <t>SC-092</t>
        </is>
      </c>
    </row>
    <row r="94">
      <c r="A94" t="inlineStr">
        <is>
          <t>SC-093</t>
        </is>
      </c>
    </row>
    <row r="95">
      <c r="A95" t="inlineStr">
        <is>
          <t>SC-094</t>
        </is>
      </c>
    </row>
    <row r="96">
      <c r="A96" t="inlineStr">
        <is>
          <t>SC-095</t>
        </is>
      </c>
    </row>
    <row r="97">
      <c r="A97" t="inlineStr">
        <is>
          <t>SC-096</t>
        </is>
      </c>
    </row>
    <row r="98">
      <c r="A98" t="inlineStr">
        <is>
          <t>SC-097</t>
        </is>
      </c>
    </row>
    <row r="99">
      <c r="A99" t="inlineStr">
        <is>
          <t>SC-098</t>
        </is>
      </c>
    </row>
    <row r="100">
      <c r="A100" t="inlineStr">
        <is>
          <t>SC-099</t>
        </is>
      </c>
    </row>
    <row r="101">
      <c r="A101" t="inlineStr">
        <is>
          <t>SC-100</t>
        </is>
      </c>
    </row>
    <row r="102">
      <c r="A102" t="inlineStr">
        <is>
          <t>SC-101</t>
        </is>
      </c>
    </row>
    <row r="103">
      <c r="A103" t="inlineStr">
        <is>
          <t>SC-102</t>
        </is>
      </c>
    </row>
    <row r="104">
      <c r="A104" t="inlineStr">
        <is>
          <t>SC-103</t>
        </is>
      </c>
    </row>
    <row r="105">
      <c r="A105" t="inlineStr">
        <is>
          <t>SC-104</t>
        </is>
      </c>
    </row>
    <row r="106">
      <c r="A106" t="inlineStr">
        <is>
          <t>SC-105</t>
        </is>
      </c>
    </row>
    <row r="107">
      <c r="A107" t="inlineStr">
        <is>
          <t>SC-106</t>
        </is>
      </c>
    </row>
    <row r="108">
      <c r="A108" t="inlineStr">
        <is>
          <t>SC-107</t>
        </is>
      </c>
    </row>
    <row r="109">
      <c r="A109" t="inlineStr">
        <is>
          <t>SC-108</t>
        </is>
      </c>
    </row>
    <row r="110">
      <c r="A110" t="inlineStr">
        <is>
          <t>SC-109</t>
        </is>
      </c>
    </row>
    <row r="111">
      <c r="A111" t="inlineStr">
        <is>
          <t>SC-110</t>
        </is>
      </c>
    </row>
    <row r="112">
      <c r="A112" t="inlineStr">
        <is>
          <t>SC-111</t>
        </is>
      </c>
    </row>
    <row r="113">
      <c r="A113" t="inlineStr">
        <is>
          <t>SC-112</t>
        </is>
      </c>
    </row>
    <row r="114">
      <c r="A114" t="inlineStr">
        <is>
          <t>SC-113</t>
        </is>
      </c>
    </row>
    <row r="115">
      <c r="A115" t="inlineStr">
        <is>
          <t>SC-114</t>
        </is>
      </c>
    </row>
    <row r="116">
      <c r="A116" t="inlineStr">
        <is>
          <t>SC-115</t>
        </is>
      </c>
    </row>
    <row r="117">
      <c r="A117" t="inlineStr">
        <is>
          <t>SC-116</t>
        </is>
      </c>
    </row>
    <row r="118">
      <c r="A118" t="inlineStr">
        <is>
          <t>SC-117</t>
        </is>
      </c>
    </row>
    <row r="119">
      <c r="A119" t="inlineStr">
        <is>
          <t>SC-118</t>
        </is>
      </c>
    </row>
    <row r="120">
      <c r="A120" t="inlineStr">
        <is>
          <t>SC-119</t>
        </is>
      </c>
    </row>
    <row r="121">
      <c r="A121" t="inlineStr">
        <is>
          <t>SC-120</t>
        </is>
      </c>
    </row>
    <row r="122">
      <c r="A122" t="inlineStr">
        <is>
          <t>SC-121</t>
        </is>
      </c>
    </row>
    <row r="123">
      <c r="A123" t="inlineStr">
        <is>
          <t>SC-122</t>
        </is>
      </c>
    </row>
    <row r="124">
      <c r="A124" t="inlineStr">
        <is>
          <t>SC-123</t>
        </is>
      </c>
    </row>
    <row r="125">
      <c r="A125" t="inlineStr">
        <is>
          <t>SC-124</t>
        </is>
      </c>
    </row>
    <row r="126">
      <c r="A126" t="inlineStr">
        <is>
          <t>SC-125</t>
        </is>
      </c>
    </row>
    <row r="127">
      <c r="A127" t="inlineStr">
        <is>
          <t>SC-126</t>
        </is>
      </c>
    </row>
    <row r="128">
      <c r="A128" t="inlineStr">
        <is>
          <t>SC-127</t>
        </is>
      </c>
    </row>
    <row r="129">
      <c r="A129" t="inlineStr">
        <is>
          <t>SC-128</t>
        </is>
      </c>
    </row>
    <row r="130">
      <c r="A130" t="inlineStr">
        <is>
          <t>SC-129</t>
        </is>
      </c>
    </row>
    <row r="131">
      <c r="A131" t="inlineStr">
        <is>
          <t>SC-130</t>
        </is>
      </c>
    </row>
    <row r="132">
      <c r="A132" t="inlineStr">
        <is>
          <t>SC-131</t>
        </is>
      </c>
    </row>
    <row r="133">
      <c r="A133" t="inlineStr">
        <is>
          <t>SC-132</t>
        </is>
      </c>
    </row>
    <row r="134">
      <c r="A134" t="inlineStr">
        <is>
          <t>SC-133</t>
        </is>
      </c>
    </row>
    <row r="135">
      <c r="A135" t="inlineStr">
        <is>
          <t>SC-134</t>
        </is>
      </c>
    </row>
    <row r="136">
      <c r="A136" t="inlineStr">
        <is>
          <t>SC-135</t>
        </is>
      </c>
    </row>
    <row r="137">
      <c r="A137" t="inlineStr">
        <is>
          <t>SC-136</t>
        </is>
      </c>
    </row>
    <row r="138">
      <c r="A138" t="inlineStr">
        <is>
          <t>SC-137</t>
        </is>
      </c>
    </row>
    <row r="139">
      <c r="A139" t="inlineStr">
        <is>
          <t>SC-138</t>
        </is>
      </c>
    </row>
    <row r="140">
      <c r="A140" t="inlineStr">
        <is>
          <t>SC-139</t>
        </is>
      </c>
    </row>
    <row r="141">
      <c r="A141" t="inlineStr">
        <is>
          <t>SC-140</t>
        </is>
      </c>
    </row>
    <row r="142">
      <c r="A142" t="inlineStr">
        <is>
          <t>SC-141</t>
        </is>
      </c>
    </row>
    <row r="143">
      <c r="A143" t="inlineStr">
        <is>
          <t>SC-142</t>
        </is>
      </c>
    </row>
    <row r="144">
      <c r="A144" t="inlineStr">
        <is>
          <t>SC-143</t>
        </is>
      </c>
    </row>
    <row r="145">
      <c r="A145" t="inlineStr">
        <is>
          <t>SC-144</t>
        </is>
      </c>
    </row>
    <row r="146">
      <c r="A146" t="inlineStr">
        <is>
          <t>SC-145</t>
        </is>
      </c>
    </row>
    <row r="147">
      <c r="A147" t="inlineStr">
        <is>
          <t>SC-146</t>
        </is>
      </c>
    </row>
    <row r="148">
      <c r="A148" t="inlineStr">
        <is>
          <t>SC-147</t>
        </is>
      </c>
    </row>
    <row r="149">
      <c r="A149" t="inlineStr">
        <is>
          <t>SC-148</t>
        </is>
      </c>
    </row>
    <row r="150">
      <c r="A150" t="inlineStr">
        <is>
          <t>SC-149</t>
        </is>
      </c>
    </row>
    <row r="151">
      <c r="A151" t="inlineStr">
        <is>
          <t>SC-150</t>
        </is>
      </c>
    </row>
    <row r="152">
      <c r="A152" t="inlineStr">
        <is>
          <t>SC-151</t>
        </is>
      </c>
    </row>
    <row r="153">
      <c r="A153" t="inlineStr">
        <is>
          <t>SC-152</t>
        </is>
      </c>
    </row>
    <row r="154">
      <c r="A154" t="inlineStr">
        <is>
          <t>SC-153</t>
        </is>
      </c>
    </row>
    <row r="155">
      <c r="A155" t="inlineStr">
        <is>
          <t>SC-154</t>
        </is>
      </c>
    </row>
    <row r="156">
      <c r="A156" t="inlineStr">
        <is>
          <t>SC-155</t>
        </is>
      </c>
    </row>
    <row r="157">
      <c r="A157" t="inlineStr">
        <is>
          <t>SC-156</t>
        </is>
      </c>
    </row>
    <row r="158">
      <c r="A158" t="inlineStr">
        <is>
          <t>SC-157</t>
        </is>
      </c>
    </row>
    <row r="159">
      <c r="A159" t="inlineStr">
        <is>
          <t>SC-158</t>
        </is>
      </c>
    </row>
    <row r="160">
      <c r="A160" t="inlineStr">
        <is>
          <t>SC-159</t>
        </is>
      </c>
    </row>
    <row r="161">
      <c r="A161" t="inlineStr">
        <is>
          <t>SC-160</t>
        </is>
      </c>
    </row>
    <row r="162">
      <c r="A162" t="inlineStr">
        <is>
          <t>SC-161</t>
        </is>
      </c>
    </row>
    <row r="163">
      <c r="A163" t="inlineStr">
        <is>
          <t>SC-162</t>
        </is>
      </c>
    </row>
    <row r="164">
      <c r="A164" t="inlineStr">
        <is>
          <t>SC-163</t>
        </is>
      </c>
    </row>
    <row r="165">
      <c r="A165" t="inlineStr">
        <is>
          <t>SC-164</t>
        </is>
      </c>
    </row>
    <row r="166">
      <c r="A166" t="inlineStr">
        <is>
          <t>SC-165</t>
        </is>
      </c>
    </row>
    <row r="167">
      <c r="A167" t="inlineStr">
        <is>
          <t>SC-166</t>
        </is>
      </c>
    </row>
    <row r="168">
      <c r="A168" t="inlineStr">
        <is>
          <t>SC-167</t>
        </is>
      </c>
    </row>
    <row r="169">
      <c r="A169" t="inlineStr">
        <is>
          <t>SC-168</t>
        </is>
      </c>
    </row>
    <row r="170">
      <c r="A170" t="inlineStr">
        <is>
          <t>SC-169</t>
        </is>
      </c>
    </row>
    <row r="171">
      <c r="A171" t="inlineStr">
        <is>
          <t>SC-170</t>
        </is>
      </c>
    </row>
    <row r="172">
      <c r="A172" t="inlineStr">
        <is>
          <t>SC-171</t>
        </is>
      </c>
    </row>
    <row r="173">
      <c r="A173" t="inlineStr">
        <is>
          <t>SC-172</t>
        </is>
      </c>
    </row>
    <row r="174">
      <c r="A174" t="inlineStr">
        <is>
          <t>SC-173</t>
        </is>
      </c>
    </row>
    <row r="175">
      <c r="A175" t="inlineStr">
        <is>
          <t>SC-174</t>
        </is>
      </c>
    </row>
    <row r="176">
      <c r="A176" t="inlineStr">
        <is>
          <t>SC-175</t>
        </is>
      </c>
    </row>
    <row r="177">
      <c r="A177" t="inlineStr">
        <is>
          <t>SC-176</t>
        </is>
      </c>
    </row>
    <row r="178">
      <c r="A178" t="inlineStr">
        <is>
          <t>SC-177</t>
        </is>
      </c>
    </row>
    <row r="179">
      <c r="A179" t="inlineStr">
        <is>
          <t>SC-178</t>
        </is>
      </c>
    </row>
    <row r="180">
      <c r="A180" t="inlineStr">
        <is>
          <t>SC-179</t>
        </is>
      </c>
    </row>
    <row r="181">
      <c r="A181" t="inlineStr">
        <is>
          <t>SC-180</t>
        </is>
      </c>
    </row>
    <row r="182">
      <c r="A182" t="inlineStr">
        <is>
          <t>SC-181</t>
        </is>
      </c>
    </row>
    <row r="183">
      <c r="A183" t="inlineStr">
        <is>
          <t>SC-182</t>
        </is>
      </c>
    </row>
    <row r="184">
      <c r="A184" t="inlineStr">
        <is>
          <t>SC-183</t>
        </is>
      </c>
    </row>
    <row r="185">
      <c r="A185" t="inlineStr">
        <is>
          <t>SC-184</t>
        </is>
      </c>
    </row>
    <row r="186">
      <c r="A186" t="inlineStr">
        <is>
          <t>SC-185</t>
        </is>
      </c>
    </row>
    <row r="187">
      <c r="A187" t="inlineStr">
        <is>
          <t>SC-186</t>
        </is>
      </c>
    </row>
    <row r="188">
      <c r="A188" t="inlineStr">
        <is>
          <t>SC-187</t>
        </is>
      </c>
    </row>
    <row r="189">
      <c r="A189" t="inlineStr">
        <is>
          <t>SC-188</t>
        </is>
      </c>
    </row>
    <row r="190">
      <c r="A190" t="inlineStr">
        <is>
          <t>SC-189</t>
        </is>
      </c>
    </row>
    <row r="191">
      <c r="A191" t="inlineStr">
        <is>
          <t>SC-190</t>
        </is>
      </c>
    </row>
    <row r="192">
      <c r="A192" t="inlineStr">
        <is>
          <t>SC-191</t>
        </is>
      </c>
    </row>
    <row r="193">
      <c r="A193" t="inlineStr">
        <is>
          <t>SC-192</t>
        </is>
      </c>
    </row>
    <row r="194">
      <c r="A194" t="inlineStr">
        <is>
          <t>SC-193</t>
        </is>
      </c>
    </row>
    <row r="195">
      <c r="A195" t="inlineStr">
        <is>
          <t>SC-194</t>
        </is>
      </c>
    </row>
    <row r="196">
      <c r="A196" t="inlineStr">
        <is>
          <t>SC-195</t>
        </is>
      </c>
    </row>
    <row r="197">
      <c r="A197" t="inlineStr">
        <is>
          <t>SC-196</t>
        </is>
      </c>
    </row>
    <row r="198">
      <c r="A198" t="inlineStr">
        <is>
          <t>SC-197</t>
        </is>
      </c>
    </row>
    <row r="199">
      <c r="A199" t="inlineStr">
        <is>
          <t>SC-198</t>
        </is>
      </c>
    </row>
    <row r="200">
      <c r="A200" t="inlineStr">
        <is>
          <t>SC-199</t>
        </is>
      </c>
    </row>
    <row r="201">
      <c r="A201" t="inlineStr">
        <is>
          <t>SC-200</t>
        </is>
      </c>
    </row>
    <row r="202">
      <c r="A202" t="inlineStr">
        <is>
          <t>SC-201</t>
        </is>
      </c>
    </row>
    <row r="203">
      <c r="A203" t="inlineStr">
        <is>
          <t>SC-202</t>
        </is>
      </c>
    </row>
    <row r="204">
      <c r="A204" t="inlineStr">
        <is>
          <t>SC-203</t>
        </is>
      </c>
    </row>
    <row r="205">
      <c r="A205" t="inlineStr">
        <is>
          <t>SC-204</t>
        </is>
      </c>
    </row>
    <row r="206">
      <c r="A206" t="inlineStr">
        <is>
          <t>SC-205</t>
        </is>
      </c>
    </row>
    <row r="207">
      <c r="A207" t="inlineStr">
        <is>
          <t>SC-206</t>
        </is>
      </c>
    </row>
    <row r="208">
      <c r="A208" t="inlineStr">
        <is>
          <t>SC-207</t>
        </is>
      </c>
    </row>
    <row r="209">
      <c r="A209" t="inlineStr">
        <is>
          <t>SC-208</t>
        </is>
      </c>
    </row>
    <row r="210">
      <c r="A210" t="inlineStr">
        <is>
          <t>SC-209</t>
        </is>
      </c>
    </row>
    <row r="211">
      <c r="A211" t="inlineStr">
        <is>
          <t>SC-210</t>
        </is>
      </c>
    </row>
    <row r="212">
      <c r="A212" t="inlineStr">
        <is>
          <t>SC-211</t>
        </is>
      </c>
    </row>
    <row r="213">
      <c r="A213" t="inlineStr">
        <is>
          <t>SC-212</t>
        </is>
      </c>
    </row>
    <row r="214">
      <c r="A214" t="inlineStr">
        <is>
          <t>SC-213</t>
        </is>
      </c>
    </row>
    <row r="215">
      <c r="A215" t="inlineStr">
        <is>
          <t>SC-214</t>
        </is>
      </c>
    </row>
    <row r="216">
      <c r="A216" t="inlineStr">
        <is>
          <t>SC-215</t>
        </is>
      </c>
    </row>
    <row r="217">
      <c r="A217" t="inlineStr">
        <is>
          <t>SC-216</t>
        </is>
      </c>
    </row>
    <row r="218">
      <c r="A218" t="inlineStr">
        <is>
          <t>SC-217</t>
        </is>
      </c>
    </row>
    <row r="219">
      <c r="A219" t="inlineStr">
        <is>
          <t>SC-218</t>
        </is>
      </c>
    </row>
    <row r="220">
      <c r="A220" t="inlineStr">
        <is>
          <t>SC-219</t>
        </is>
      </c>
    </row>
    <row r="221">
      <c r="A221" t="inlineStr">
        <is>
          <t>SC-220</t>
        </is>
      </c>
    </row>
    <row r="222">
      <c r="A222" t="inlineStr">
        <is>
          <t>SC-221</t>
        </is>
      </c>
    </row>
    <row r="223">
      <c r="A223" t="inlineStr">
        <is>
          <t>SC-222</t>
        </is>
      </c>
    </row>
    <row r="224">
      <c r="A224" t="inlineStr">
        <is>
          <t>SC-223</t>
        </is>
      </c>
    </row>
    <row r="225">
      <c r="A225" t="inlineStr">
        <is>
          <t>SC-224</t>
        </is>
      </c>
    </row>
    <row r="226">
      <c r="A226" t="inlineStr">
        <is>
          <t>SC-225</t>
        </is>
      </c>
    </row>
    <row r="227">
      <c r="A227" t="inlineStr">
        <is>
          <t>SC-226</t>
        </is>
      </c>
    </row>
    <row r="228">
      <c r="A228" t="inlineStr">
        <is>
          <t>SC-227</t>
        </is>
      </c>
    </row>
    <row r="229">
      <c r="A229" t="inlineStr">
        <is>
          <t>SC-228</t>
        </is>
      </c>
    </row>
    <row r="230">
      <c r="A230" t="inlineStr">
        <is>
          <t>SC-229</t>
        </is>
      </c>
    </row>
    <row r="231">
      <c r="A231" t="inlineStr">
        <is>
          <t>SC-230</t>
        </is>
      </c>
    </row>
    <row r="232">
      <c r="A232" t="inlineStr">
        <is>
          <t>SC-231</t>
        </is>
      </c>
    </row>
    <row r="233">
      <c r="A233" t="inlineStr">
        <is>
          <t>SC-232</t>
        </is>
      </c>
    </row>
    <row r="234">
      <c r="A234" t="inlineStr">
        <is>
          <t>SC-233</t>
        </is>
      </c>
    </row>
    <row r="235">
      <c r="A235" t="inlineStr">
        <is>
          <t>SC-234</t>
        </is>
      </c>
    </row>
    <row r="236">
      <c r="A236" t="inlineStr">
        <is>
          <t>SC-235</t>
        </is>
      </c>
    </row>
    <row r="237">
      <c r="A237" t="inlineStr">
        <is>
          <t>SC-236</t>
        </is>
      </c>
    </row>
    <row r="238">
      <c r="A238" t="inlineStr">
        <is>
          <t>SC-237</t>
        </is>
      </c>
    </row>
    <row r="239">
      <c r="A239" t="inlineStr">
        <is>
          <t>SC-238</t>
        </is>
      </c>
    </row>
    <row r="240">
      <c r="A240" t="inlineStr">
        <is>
          <t>SC-239</t>
        </is>
      </c>
    </row>
    <row r="241">
      <c r="A241" t="inlineStr">
        <is>
          <t>SC-240</t>
        </is>
      </c>
    </row>
    <row r="242">
      <c r="A242" t="inlineStr">
        <is>
          <t>SC-241</t>
        </is>
      </c>
    </row>
    <row r="243">
      <c r="A243" t="inlineStr">
        <is>
          <t>SC-242</t>
        </is>
      </c>
    </row>
    <row r="244">
      <c r="A244" t="inlineStr">
        <is>
          <t>SC-243</t>
        </is>
      </c>
    </row>
    <row r="245">
      <c r="A245" t="inlineStr">
        <is>
          <t>SC-244</t>
        </is>
      </c>
    </row>
    <row r="246">
      <c r="A246" t="inlineStr">
        <is>
          <t>SC-245</t>
        </is>
      </c>
    </row>
    <row r="247">
      <c r="A247" t="inlineStr">
        <is>
          <t>SC-246</t>
        </is>
      </c>
    </row>
    <row r="248">
      <c r="A248" t="inlineStr">
        <is>
          <t>SC-247</t>
        </is>
      </c>
    </row>
    <row r="249">
      <c r="A249" t="inlineStr">
        <is>
          <t>SC-248</t>
        </is>
      </c>
    </row>
    <row r="250">
      <c r="A250" t="inlineStr">
        <is>
          <t>SC-249</t>
        </is>
      </c>
    </row>
    <row r="251">
      <c r="A251" t="inlineStr">
        <is>
          <t>SC-250</t>
        </is>
      </c>
    </row>
    <row r="252">
      <c r="A252" t="inlineStr">
        <is>
          <t>SC-251</t>
        </is>
      </c>
    </row>
    <row r="253">
      <c r="A253" t="inlineStr">
        <is>
          <t>SC-252</t>
        </is>
      </c>
    </row>
    <row r="254">
      <c r="A254" t="inlineStr">
        <is>
          <t>SC-253</t>
        </is>
      </c>
    </row>
    <row r="255">
      <c r="A255" t="inlineStr">
        <is>
          <t>SC-254</t>
        </is>
      </c>
    </row>
    <row r="256">
      <c r="A256" t="inlineStr">
        <is>
          <t>SC-255</t>
        </is>
      </c>
    </row>
    <row r="257">
      <c r="A257" t="inlineStr">
        <is>
          <t>SC-256</t>
        </is>
      </c>
    </row>
    <row r="258">
      <c r="A258" t="inlineStr">
        <is>
          <t>SC-257</t>
        </is>
      </c>
    </row>
    <row r="259">
      <c r="A259" t="inlineStr">
        <is>
          <t>SC-258</t>
        </is>
      </c>
    </row>
    <row r="260">
      <c r="A260" t="inlineStr">
        <is>
          <t>SC-259</t>
        </is>
      </c>
    </row>
    <row r="261">
      <c r="A261" t="inlineStr">
        <is>
          <t>SC-260</t>
        </is>
      </c>
    </row>
    <row r="262">
      <c r="A262" t="inlineStr">
        <is>
          <t>SC-261</t>
        </is>
      </c>
    </row>
    <row r="263">
      <c r="A263" t="inlineStr">
        <is>
          <t>SC-262</t>
        </is>
      </c>
    </row>
    <row r="264">
      <c r="A264" t="inlineStr">
        <is>
          <t>SC-263</t>
        </is>
      </c>
    </row>
    <row r="265">
      <c r="A265" t="inlineStr">
        <is>
          <t>SC-264</t>
        </is>
      </c>
    </row>
    <row r="266">
      <c r="A266" t="inlineStr">
        <is>
          <t>SC-265</t>
        </is>
      </c>
    </row>
    <row r="267">
      <c r="A267" t="inlineStr">
        <is>
          <t>SC-266</t>
        </is>
      </c>
    </row>
    <row r="268">
      <c r="A268" t="inlineStr">
        <is>
          <t>SC-267</t>
        </is>
      </c>
    </row>
    <row r="269">
      <c r="A269" t="inlineStr">
        <is>
          <t>SC-268</t>
        </is>
      </c>
    </row>
    <row r="270">
      <c r="A270" t="inlineStr">
        <is>
          <t>SC-269</t>
        </is>
      </c>
    </row>
    <row r="271">
      <c r="A271" t="inlineStr">
        <is>
          <t>SC-270</t>
        </is>
      </c>
    </row>
    <row r="272">
      <c r="A272" t="inlineStr">
        <is>
          <t>SC-271</t>
        </is>
      </c>
    </row>
    <row r="273">
      <c r="A273" t="inlineStr">
        <is>
          <t>SC-272</t>
        </is>
      </c>
    </row>
    <row r="274">
      <c r="A274" t="inlineStr">
        <is>
          <t>SC-273</t>
        </is>
      </c>
    </row>
    <row r="275">
      <c r="A275" t="inlineStr">
        <is>
          <t>SC-274</t>
        </is>
      </c>
    </row>
    <row r="276">
      <c r="A276" t="inlineStr">
        <is>
          <t>SC-275</t>
        </is>
      </c>
    </row>
    <row r="277">
      <c r="A277" t="inlineStr">
        <is>
          <t>SC-276</t>
        </is>
      </c>
    </row>
    <row r="278">
      <c r="A278" t="inlineStr">
        <is>
          <t>SC-277</t>
        </is>
      </c>
    </row>
    <row r="279">
      <c r="A279" t="inlineStr">
        <is>
          <t>SC-278</t>
        </is>
      </c>
    </row>
    <row r="280">
      <c r="A280" t="inlineStr">
        <is>
          <t>SC-279</t>
        </is>
      </c>
    </row>
    <row r="281">
      <c r="A281" t="inlineStr">
        <is>
          <t>SC-280</t>
        </is>
      </c>
    </row>
    <row r="282">
      <c r="A282" t="inlineStr">
        <is>
          <t>SC-281</t>
        </is>
      </c>
    </row>
    <row r="283">
      <c r="A283" t="inlineStr">
        <is>
          <t>SC-282</t>
        </is>
      </c>
    </row>
    <row r="284">
      <c r="A284" t="inlineStr">
        <is>
          <t>SC-283</t>
        </is>
      </c>
    </row>
    <row r="285">
      <c r="A285" t="inlineStr">
        <is>
          <t>SC-284</t>
        </is>
      </c>
    </row>
    <row r="286">
      <c r="A286" t="inlineStr">
        <is>
          <t>SC-285</t>
        </is>
      </c>
    </row>
    <row r="287">
      <c r="A287" t="inlineStr">
        <is>
          <t>SC-286</t>
        </is>
      </c>
    </row>
    <row r="288">
      <c r="A288" t="inlineStr">
        <is>
          <t>SC-287</t>
        </is>
      </c>
    </row>
    <row r="289">
      <c r="A289" t="inlineStr">
        <is>
          <t>SC-288</t>
        </is>
      </c>
    </row>
    <row r="290">
      <c r="A290" t="inlineStr">
        <is>
          <t>SC-289</t>
        </is>
      </c>
    </row>
    <row r="291">
      <c r="A291" t="inlineStr">
        <is>
          <t>SC-290</t>
        </is>
      </c>
    </row>
    <row r="292">
      <c r="A292" t="inlineStr">
        <is>
          <t>SC-291</t>
        </is>
      </c>
    </row>
    <row r="293">
      <c r="A293" t="inlineStr">
        <is>
          <t>SC-292</t>
        </is>
      </c>
    </row>
    <row r="294">
      <c r="A294" t="inlineStr">
        <is>
          <t>SC-293</t>
        </is>
      </c>
    </row>
    <row r="295">
      <c r="A295" t="inlineStr">
        <is>
          <t>SC-294</t>
        </is>
      </c>
    </row>
    <row r="296">
      <c r="A296" t="inlineStr">
        <is>
          <t>SC-295</t>
        </is>
      </c>
    </row>
    <row r="297">
      <c r="A297" t="inlineStr">
        <is>
          <t>SC-296</t>
        </is>
      </c>
    </row>
    <row r="298">
      <c r="A298" t="inlineStr">
        <is>
          <t>SC-297</t>
        </is>
      </c>
    </row>
    <row r="299">
      <c r="A299" t="inlineStr">
        <is>
          <t>SC-298</t>
        </is>
      </c>
    </row>
    <row r="300">
      <c r="A300" t="inlineStr">
        <is>
          <t>SC-299</t>
        </is>
      </c>
    </row>
    <row r="301">
      <c r="A301" t="inlineStr">
        <is>
          <t>SC-300</t>
        </is>
      </c>
    </row>
  </sheetData>
  <dataValidations count="3">
    <dataValidation sqref="B2:B301" showDropDown="0" showInputMessage="0" showErrorMessage="1" allowBlank="1" type="list">
      <formula1>"Permanent works,Enabling works,Access and site establishment,Temporary works,Testing and inspection,Reinstatement and handover,Preliminaries and management,Interface with others,Other"</formula1>
    </dataValidation>
    <dataValidation sqref="F2:F301" showDropDown="0" showInputMessage="0" showErrorMessage="1" allowBlank="1" type="list">
      <formula1>"OWN WORKS,SUBCONTRACT,CLIENT,OTHERS,SHARED,TBC"</formula1>
    </dataValidation>
    <dataValidation sqref="G2:G301" showDropDown="0" showInputMessage="0" showErrorMessage="1" allowBlank="1" type="list">
      <formula1>"PRICED,ALLOWANCE,PC SUM,EXCLUDED,BY OTHERS,UNRESOLVED"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3.80000019073486"/>
  <cols>
    <col width="28" customWidth="1" style="491" min="1" max="1"/>
    <col width="24" customWidth="1" style="491" min="2" max="2"/>
    <col width="8" customWidth="1" style="491" min="3" max="3"/>
    <col width="24" customWidth="1" style="491" min="4" max="4"/>
    <col width="40" customWidth="1" style="491" min="5" max="5"/>
  </cols>
  <sheetData>
    <row r="1" ht="22.95000076293945" customFormat="1" customHeight="1" s="598">
      <c r="A1" s="1344" t="inlineStr">
        <is>
          <t>ESTIMATE SUMMARY - MASTER ESTIMATE WORKBOOK</t>
        </is>
      </c>
      <c r="B1" s="242" t="n"/>
      <c r="C1" s="242" t="n"/>
      <c r="D1" s="242" t="n"/>
      <c r="E1" s="242" t="n"/>
    </row>
    <row r="2" ht="22.95000076293945" customFormat="1" customHeight="1" s="217">
      <c r="A2" s="1119" t="inlineStr">
        <is>
          <t>WORKING ALL-IN TENDER</t>
        </is>
      </c>
      <c r="B2" s="1347">
        <f>'Consolidated Package'!F56</f>
        <v/>
      </c>
      <c r="C2" s="242" t="n"/>
      <c r="D2" s="242" t="n"/>
      <c r="E2" s="242" t="n"/>
    </row>
    <row r="3" ht="16.79999923706055" customFormat="1" customHeight="1" s="217">
      <c r="A3" s="1119" t="n"/>
      <c r="B3" s="242" t="n"/>
      <c r="C3" s="242" t="n"/>
      <c r="D3" s="242" t="n"/>
      <c r="E3" s="242" t="n"/>
    </row>
    <row r="4" ht="16.79999923706055" customFormat="1" customHeight="1" s="217">
      <c r="A4" s="1122" t="inlineStr">
        <is>
          <t>Current known cost before OH/profit</t>
        </is>
      </c>
      <c r="B4" s="1348">
        <f>'Consolidated Package'!B56</f>
        <v/>
      </c>
      <c r="C4" s="1119" t="n"/>
      <c r="D4" s="1122" t="inlineStr">
        <is>
          <t>Project</t>
        </is>
      </c>
      <c r="E4" s="1122">
        <f>'Cover &amp; Instructions'!B38</f>
        <v/>
      </c>
    </row>
    <row r="5" ht="16.79999923706055" customFormat="1" customHeight="1" s="217">
      <c r="A5" s="1122">
        <f>"Company OH, "&amp;TEXT('Commercial Inputs'!D21,"0.0%")</f>
        <v/>
      </c>
      <c r="B5" s="1348">
        <f>'Consolidated Package'!C56</f>
        <v/>
      </c>
      <c r="C5" s="1119" t="n"/>
      <c r="D5" s="1122" t="inlineStr">
        <is>
          <t>Issue</t>
        </is>
      </c>
      <c r="E5" s="1122">
        <f>'Cover &amp; Instructions'!E39</f>
        <v/>
      </c>
    </row>
    <row r="6" ht="79.19999694824219" customFormat="1" customHeight="1" s="217">
      <c r="A6" s="1122">
        <f>"Profit, "&amp;TEXT('Commercial Inputs'!D22,"0.0%")&amp;" true margin"</f>
        <v/>
      </c>
      <c r="B6" s="1348">
        <f>'Consolidated Package'!E56</f>
        <v/>
      </c>
      <c r="C6" s="1119" t="n"/>
      <c r="D6" s="1122" t="inlineStr">
        <is>
          <t>Programme</t>
        </is>
      </c>
      <c r="E6" s="1122">
        <f>'Cover &amp; Instructions'!B41</f>
        <v/>
      </c>
    </row>
    <row r="7" ht="13.80000019073486" customFormat="1" customHeight="1" s="217">
      <c r="A7" s="1122" t="inlineStr">
        <is>
          <t>Siteworks standalone tender</t>
        </is>
      </c>
      <c r="B7" s="1348">
        <f>'Tender Build-Up'!B47</f>
        <v/>
      </c>
      <c r="C7" s="1119" t="n"/>
      <c r="D7" s="1122" t="inlineStr">
        <is>
          <t>Weather allowance</t>
        </is>
      </c>
      <c r="E7" s="1348">
        <f>'Weather Risk'!B38</f>
        <v/>
      </c>
    </row>
    <row r="8" ht="26.39999961853027" customFormat="1" customHeight="1" s="217">
      <c r="A8" s="1122" t="inlineStr">
        <is>
          <t>Subcontract packages (known)</t>
        </is>
      </c>
      <c r="B8" s="1348">
        <f>SUM('Consolidated Package'!B6:B11)</f>
        <v/>
      </c>
      <c r="C8" s="1119" t="n"/>
      <c r="D8" s="1122" t="inlineStr">
        <is>
          <t>Management Reserve</t>
        </is>
      </c>
      <c r="E8" s="1348">
        <f>'Commercial Inputs'!E20</f>
        <v/>
      </c>
    </row>
    <row r="9" ht="118.8000030517578" customFormat="1" customHeight="1" s="217">
      <c r="A9" s="1122" t="n"/>
      <c r="B9" s="1348" t="n"/>
      <c r="C9" s="1119" t="n"/>
      <c r="D9" s="1122" t="inlineStr">
        <is>
          <t>GST</t>
        </is>
      </c>
      <c r="E9" s="1122">
        <f>'Cover &amp; Instructions'!E40</f>
        <v/>
      </c>
    </row>
    <row r="10" ht="105.5999984741211" customFormat="1" customHeight="1" s="217">
      <c r="A10" s="1122" t="inlineStr">
        <is>
          <t>Release status</t>
        </is>
      </c>
      <c r="B10" s="1341">
        <f>'Risk Truth'!B15</f>
        <v/>
      </c>
      <c r="C10" s="1119" t="n"/>
      <c r="D10" s="1122" t="inlineStr">
        <is>
          <t>Ground basis</t>
        </is>
      </c>
      <c r="E10" s="1127" t="n"/>
    </row>
    <row r="11" ht="66" customFormat="1" customHeight="1" s="217">
      <c r="A11" s="1352" t="inlineStr">
        <is>
          <t>Supplier/material costs within the own-works estimate are already included in the Resource Build-Up; subcontract packages are added once in the Consolidated Package.</t>
        </is>
      </c>
      <c r="B11" s="242" t="n"/>
      <c r="C11" s="242" t="n"/>
      <c r="D11" s="242" t="n"/>
      <c r="E11" s="242" t="n"/>
    </row>
    <row r="12" ht="22.5" customHeight="1" s="491">
      <c r="A12" s="1230" t="inlineStr">
        <is>
          <t>Key Quantities</t>
        </is>
      </c>
      <c r="B12" s="1132" t="n"/>
      <c r="C12" s="1132" t="n"/>
      <c r="D12" s="1132" t="n"/>
      <c r="E12" s="1132" t="n"/>
    </row>
    <row r="13" ht="14.39999961853027" customFormat="1" customHeight="1" s="217">
      <c r="A13" s="1231" t="n"/>
      <c r="B13" s="1231" t="n"/>
      <c r="C13" s="1231" t="n"/>
      <c r="D13" s="1231" t="n"/>
      <c r="E13" s="1231" t="n"/>
    </row>
    <row r="14" ht="14.39999961853027" customFormat="1" customHeight="1" s="217">
      <c r="A14" s="1195" t="n"/>
      <c r="B14" s="1195" t="n"/>
      <c r="C14" s="1232" t="n"/>
      <c r="D14" s="1195" t="n"/>
      <c r="E14" s="1195" t="n"/>
    </row>
    <row r="15" ht="14.39999961853027" customFormat="1" customHeight="1" s="217">
      <c r="A15" s="1195" t="n"/>
      <c r="B15" s="1195" t="n"/>
      <c r="C15" s="1232" t="n"/>
      <c r="D15" s="1195" t="n"/>
      <c r="E15" s="1195" t="n"/>
    </row>
    <row r="16" ht="14.39999961853027" customFormat="1" customHeight="1" s="217">
      <c r="A16" s="1195" t="n"/>
      <c r="B16" s="1195" t="n"/>
      <c r="C16" s="1232" t="n"/>
      <c r="D16" s="1195" t="n"/>
      <c r="E16" s="1195" t="n"/>
    </row>
    <row r="17" ht="14.39999961853027" customFormat="1" customHeight="1" s="217">
      <c r="A17" s="1195" t="n"/>
      <c r="B17" s="1195" t="n"/>
      <c r="C17" s="1232" t="n"/>
      <c r="D17" s="1195" t="n"/>
      <c r="E17" s="1195" t="n"/>
    </row>
    <row r="18" ht="14.39999961853027" customFormat="1" customHeight="1" s="217">
      <c r="A18" s="1195" t="n"/>
      <c r="B18" s="1195" t="n"/>
      <c r="C18" s="1232" t="n"/>
      <c r="D18" s="1195" t="n"/>
      <c r="E18" s="1195" t="n"/>
    </row>
    <row r="19" ht="14.39999961853027" customFormat="1" customHeight="1" s="217">
      <c r="A19" s="1195" t="n"/>
      <c r="B19" s="1195" t="n"/>
      <c r="C19" s="1232" t="n"/>
      <c r="D19" s="1195" t="n"/>
      <c r="E19" s="1195" t="n"/>
    </row>
    <row r="20" ht="14.39999961853027" customFormat="1" customHeight="1" s="217">
      <c r="A20" s="1195" t="n"/>
      <c r="B20" s="1195" t="n"/>
      <c r="C20" s="1232" t="n"/>
      <c r="D20" s="1195" t="n"/>
      <c r="E20" s="1195" t="n"/>
    </row>
    <row r="21" ht="14.39999961853027" customFormat="1" customHeight="1" s="217">
      <c r="A21" s="1195" t="inlineStr">
        <is>
          <t>Pricing Summary (direct-cost estimate)</t>
        </is>
      </c>
      <c r="B21" s="1195" t="n"/>
      <c r="C21" s="1232" t="n"/>
      <c r="D21" s="1195" t="n"/>
      <c r="E21" s="1195" t="n"/>
    </row>
    <row r="22" ht="14.39999961853027" customFormat="1" customHeight="1" s="217">
      <c r="A22" s="1195" t="inlineStr">
        <is>
          <t>Section</t>
        </is>
      </c>
      <c r="B22" s="1195" t="inlineStr">
        <is>
          <t>Amount</t>
        </is>
      </c>
      <c r="C22" s="1232" t="n"/>
      <c r="D22" s="1195" t="n"/>
      <c r="E22" s="1195" t="n"/>
    </row>
    <row r="23" ht="14.39999961853027" customFormat="1" customHeight="1" s="217">
      <c r="A23" s="1195">
        <f>IF('Tender Build-Up'!A10="","",1&amp;" "&amp;'Tender Build-Up'!A10)</f>
        <v/>
      </c>
      <c r="B23" s="1358">
        <f>'Tender Build-Up'!B10</f>
        <v/>
      </c>
      <c r="C23" s="1232" t="n"/>
      <c r="D23" s="1195" t="n"/>
      <c r="E23" s="1195" t="n"/>
    </row>
    <row r="24" ht="14.39999961853027" customFormat="1" customHeight="1" s="217">
      <c r="A24" s="1195">
        <f>IF('Tender Build-Up'!A11="","",2&amp;" "&amp;'Tender Build-Up'!A11)</f>
        <v/>
      </c>
      <c r="B24" s="1358">
        <f>'Tender Build-Up'!B11</f>
        <v/>
      </c>
      <c r="C24" s="1232" t="n"/>
      <c r="D24" s="1195" t="n"/>
      <c r="E24" s="1195" t="n"/>
    </row>
    <row r="25" ht="14.39999961853027" customFormat="1" customHeight="1" s="217">
      <c r="A25" s="1132">
        <f>IF('Tender Build-Up'!A12="","",3&amp;" "&amp;'Tender Build-Up'!A12)</f>
        <v/>
      </c>
      <c r="B25" s="1359">
        <f>'Tender Build-Up'!B12</f>
        <v/>
      </c>
      <c r="C25" s="1132" t="n"/>
      <c r="D25" s="1132" t="n"/>
      <c r="E25" s="1132" t="n"/>
    </row>
    <row r="26" ht="14.39999961853027" customFormat="1" customHeight="1" s="217">
      <c r="A26" s="1195">
        <f>IF('Tender Build-Up'!A13="","",4&amp;" "&amp;'Tender Build-Up'!A13)</f>
        <v/>
      </c>
      <c r="B26" s="1359">
        <f>'Tender Build-Up'!B13</f>
        <v/>
      </c>
      <c r="C26" s="1132" t="n"/>
      <c r="D26" s="1132" t="n"/>
      <c r="E26" s="1132" t="n"/>
    </row>
    <row r="27" ht="14.39999961853027" customFormat="1" customHeight="1" s="217">
      <c r="A27" s="1231">
        <f>IF('Tender Build-Up'!A14="","",5&amp;" "&amp;'Tender Build-Up'!A14)</f>
        <v/>
      </c>
      <c r="B27" s="1360">
        <f>'Tender Build-Up'!B14</f>
        <v/>
      </c>
      <c r="C27" s="1135" t="n"/>
      <c r="D27" s="1135" t="n"/>
      <c r="E27" s="1135" t="n"/>
    </row>
    <row r="28" ht="14.39999961853027" customFormat="1" customHeight="1" s="217">
      <c r="A28" s="1195">
        <f>IF('Tender Build-Up'!A15="","",6&amp;" "&amp;'Tender Build-Up'!A15)</f>
        <v/>
      </c>
      <c r="B28" s="1361">
        <f>'Tender Build-Up'!B15</f>
        <v/>
      </c>
      <c r="C28" s="1132" t="n"/>
      <c r="D28" s="1132" t="n"/>
      <c r="E28" s="1132" t="n"/>
    </row>
    <row r="29" ht="14.39999961853027" customFormat="1" customHeight="1" s="217">
      <c r="A29" s="1195">
        <f>IF('Tender Build-Up'!A16="","",7&amp;" "&amp;'Tender Build-Up'!A16)</f>
        <v/>
      </c>
      <c r="B29" s="1361">
        <f>'Tender Build-Up'!B16</f>
        <v/>
      </c>
      <c r="C29" s="1132" t="n"/>
      <c r="D29" s="1132" t="n"/>
      <c r="E29" s="1132" t="n"/>
    </row>
    <row r="30" ht="14.39999961853027" customFormat="1" customHeight="1" s="217">
      <c r="A30" s="1195">
        <f>IF('Tender Build-Up'!A17="","",8&amp;" "&amp;'Tender Build-Up'!A17)</f>
        <v/>
      </c>
      <c r="B30" s="1361">
        <f>'Tender Build-Up'!B17</f>
        <v/>
      </c>
      <c r="C30" s="1132" t="n"/>
      <c r="D30" s="1132" t="n"/>
      <c r="E30" s="1132" t="n"/>
    </row>
    <row r="31" ht="14.39999961853027" customFormat="1" customHeight="1" s="217">
      <c r="A31" s="1195">
        <f>IF('Tender Build-Up'!A18="","",9&amp;" "&amp;'Tender Build-Up'!A18)</f>
        <v/>
      </c>
      <c r="B31" s="1361">
        <f>'Tender Build-Up'!B18</f>
        <v/>
      </c>
      <c r="C31" s="1132" t="n"/>
      <c r="D31" s="1132" t="n"/>
      <c r="E31" s="1132" t="n"/>
    </row>
    <row r="32" ht="14.39999961853027" customFormat="1" customHeight="1" s="217">
      <c r="A32" s="1195">
        <f>IF('Tender Build-Up'!A19="","",10&amp;" "&amp;'Tender Build-Up'!A19)</f>
        <v/>
      </c>
      <c r="B32" s="1361">
        <f>'Tender Build-Up'!B19</f>
        <v/>
      </c>
      <c r="C32" s="1132" t="n"/>
      <c r="D32" s="1132" t="n"/>
      <c r="E32" s="1132" t="n"/>
    </row>
    <row r="33" ht="14.39999961853027" customFormat="1" customHeight="1" s="217">
      <c r="A33" s="1195" t="inlineStr">
        <is>
          <t>Total priced amount excl. GST</t>
        </is>
      </c>
      <c r="B33" s="1361">
        <f>'Tender Build-Up'!B20</f>
        <v/>
      </c>
      <c r="C33" s="1132" t="n"/>
      <c r="D33" s="1132" t="n"/>
      <c r="E33" s="1132" t="n"/>
    </row>
    <row r="34" ht="39.59999847412109" customFormat="1" customHeight="1" s="217">
      <c r="A34" s="1195" t="inlineStr">
        <is>
          <t>Pricing basis</t>
        </is>
      </c>
      <c r="B34" s="1362" t="n"/>
      <c r="C34" s="1363" t="n"/>
      <c r="D34" s="1363" t="n"/>
      <c r="E34" s="1364" t="n"/>
    </row>
    <row r="35" ht="26.39999961853027" customFormat="1" customHeight="1" s="217">
      <c r="A35" s="1195" t="inlineStr">
        <is>
          <t>GST</t>
        </is>
      </c>
      <c r="B35" s="1362" t="n"/>
      <c r="C35" s="1363" t="n"/>
      <c r="D35" s="1363" t="n"/>
      <c r="E35" s="1364" t="n"/>
    </row>
    <row r="36" ht="13.80000019073486" customFormat="1" customHeight="1" s="217">
      <c r="A36" s="1195" t="inlineStr">
        <is>
          <t>Scope</t>
        </is>
      </c>
      <c r="B36" s="1362" t="n"/>
      <c r="C36" s="1363" t="n"/>
      <c r="D36" s="1363" t="n"/>
      <c r="E36" s="1364" t="n"/>
    </row>
    <row r="37" ht="13.80000019073486" customFormat="1" customHeight="1" s="217">
      <c r="A37" s="1197" t="inlineStr">
        <is>
          <t>Accuracy</t>
        </is>
      </c>
      <c r="B37" s="1365" t="n"/>
      <c r="C37" s="1363" t="n"/>
      <c r="D37" s="1363" t="n"/>
      <c r="E37" s="1364" t="n"/>
    </row>
    <row r="38" ht="39.59999847412109" customFormat="1" customHeight="1" s="217">
      <c r="A38" s="1132" t="inlineStr">
        <is>
          <t>Programme basis</t>
        </is>
      </c>
      <c r="B38" s="1366" t="n"/>
      <c r="C38" s="242" t="n"/>
      <c r="D38" s="242" t="n"/>
      <c r="E38" s="242" t="n"/>
    </row>
    <row r="39" ht="14.39999961853027" customFormat="1" customHeight="1" s="217">
      <c r="A39" s="1195" t="inlineStr">
        <is>
          <t>Tender Completion Build-Up (client-adjustable commercial provisions)</t>
        </is>
      </c>
      <c r="B39" s="1366" t="n"/>
      <c r="C39" s="242" t="n"/>
      <c r="D39" s="242" t="n"/>
      <c r="E39" s="242" t="n"/>
    </row>
    <row r="40" ht="14.39999961853027" customFormat="1" customHeight="1" s="217">
      <c r="A40" s="1195" t="inlineStr">
        <is>
          <t>Purpose</t>
        </is>
      </c>
      <c r="B40" s="1366" t="inlineStr">
        <is>
          <t>This block reflects Tender Build-Up and current Commercial Inputs selections.</t>
        </is>
      </c>
      <c r="C40" s="242" t="n"/>
      <c r="D40" s="242" t="n"/>
      <c r="E40" s="242" t="n"/>
    </row>
    <row r="41" ht="14.39999961853027" customFormat="1" customHeight="1" s="217">
      <c r="A41" s="1195" t="inlineStr">
        <is>
          <t>Input sheet</t>
        </is>
      </c>
      <c r="B41" s="1366" t="inlineStr">
        <is>
          <t>Use Commercial Inputs to adjust allowances, overhead and profit method, bonds, retention finance and GST.</t>
        </is>
      </c>
      <c r="C41" s="242" t="n"/>
      <c r="D41" s="242" t="n"/>
      <c r="E41" s="242" t="n"/>
    </row>
    <row r="42" ht="14.39999961853027" customFormat="1" customHeight="1" s="217">
      <c r="A42" s="1195" t="n"/>
      <c r="B42" s="1366" t="n"/>
      <c r="C42" s="242" t="n"/>
      <c r="D42" s="242" t="n"/>
      <c r="E42" s="242" t="n"/>
    </row>
    <row r="43" ht="14.39999961853027" customFormat="1" customHeight="1" s="217">
      <c r="A43" s="1195" t="inlineStr">
        <is>
          <t>Line</t>
        </is>
      </c>
      <c r="B43" s="1366" t="n"/>
      <c r="C43" s="242" t="n"/>
      <c r="D43" s="242" t="n"/>
      <c r="E43" s="242" t="n"/>
    </row>
    <row r="44" ht="14.39999961853027" customFormat="1" customHeight="1" s="217">
      <c r="A44" s="1132" t="inlineStr">
        <is>
          <t>Base direct estimate excl. GST</t>
        </is>
      </c>
      <c r="B44" s="1359">
        <f>'Tender Build-Up'!B20</f>
        <v/>
      </c>
      <c r="C44" s="1132" t="n"/>
      <c r="D44" s="1132" t="n"/>
      <c r="E44" s="1132" t="inlineStr">
        <is>
          <t>QS direct-cost estimate</t>
        </is>
      </c>
    </row>
    <row r="45" ht="14.39999961853027" customFormat="1" customHeight="1" s="217">
      <c r="A45" s="1195" t="inlineStr">
        <is>
          <t>Pre-margin additions</t>
        </is>
      </c>
      <c r="B45" s="1359">
        <f>'Tender Build-Up'!B39</f>
        <v/>
      </c>
      <c r="C45" s="1132" t="n"/>
      <c r="D45" s="1132" t="n"/>
      <c r="E45" s="1132" t="inlineStr">
        <is>
          <t>Commercial Inputs CA01-CA16 incl. CA16 Management Reserve</t>
        </is>
      </c>
    </row>
    <row r="46" ht="14.39999961853027" customFormat="1" customHeight="1" s="217">
      <c r="A46" s="1195" t="inlineStr">
        <is>
          <t>Commercial adjustments</t>
        </is>
      </c>
      <c r="B46" s="1367">
        <f>'Tender Build-Up'!B46</f>
        <v/>
      </c>
      <c r="C46" s="1132" t="n"/>
      <c r="D46" s="1132" t="n"/>
      <c r="E46" s="1132" t="inlineStr">
        <is>
          <t>Commercial Inputs CA17-CA20 commercial adjustments</t>
        </is>
      </c>
    </row>
    <row r="47" ht="14.39999961853027" customFormat="1" customHeight="1" s="217">
      <c r="A47" s="1195" t="inlineStr">
        <is>
          <t>Tender total excl. GST</t>
        </is>
      </c>
      <c r="B47" s="1367">
        <f>'Tender Build-Up'!B47</f>
        <v/>
      </c>
      <c r="C47" s="1132" t="n"/>
      <c r="D47" s="1132" t="n"/>
      <c r="E47" s="1132" t="inlineStr">
        <is>
          <t>Working tender incl. Management Reserve; excl GST</t>
        </is>
      </c>
    </row>
    <row r="48" ht="14.39999961853027" customFormat="1" customHeight="1" s="217">
      <c r="A48" s="1132" t="inlineStr">
        <is>
          <t>GST if selected</t>
        </is>
      </c>
      <c r="B48" s="1359">
        <f>'Tender Build-Up'!B48</f>
        <v/>
      </c>
      <c r="C48" s="1132" t="n"/>
      <c r="D48" s="1132" t="n"/>
      <c r="E48" s="1132" t="inlineStr">
        <is>
          <t>Optional display</t>
        </is>
      </c>
    </row>
    <row r="49" ht="14.39999961853027" customFormat="1" customHeight="1" s="217">
      <c r="A49" s="1231" t="inlineStr">
        <is>
          <t>Tender total incl. GST if selected</t>
        </is>
      </c>
      <c r="B49" s="1360">
        <f>'Tender Build-Up'!B49</f>
        <v/>
      </c>
      <c r="C49" s="1135" t="n"/>
      <c r="D49" s="1135" t="n"/>
      <c r="E49" s="1231" t="inlineStr">
        <is>
          <t>Optional tax-inclusive check</t>
        </is>
      </c>
    </row>
    <row r="50" ht="14.39999961853027" customFormat="1" customHeight="1" s="217">
      <c r="A50" s="1195" t="inlineStr">
        <is>
          <t>Net pre-GST payment after retention</t>
        </is>
      </c>
      <c r="B50" s="1361">
        <f>'Tender Build-Up'!B53</f>
        <v/>
      </c>
      <c r="C50" s="1132" t="n"/>
      <c r="D50" s="1132" t="n"/>
      <c r="E50" s="1195" t="inlineStr">
        <is>
          <t>Tender total less retention withholding after CA25 deposit treatment.</t>
        </is>
      </c>
    </row>
    <row r="51" ht="14.39999961853027" customFormat="1" customHeight="1" s="217">
      <c r="A51" s="1195" t="inlineStr">
        <is>
          <t>Retention release after holding period</t>
        </is>
      </c>
      <c r="B51" s="1361">
        <f>'Tender Build-Up'!B55</f>
        <v/>
      </c>
      <c r="C51" s="1132" t="n"/>
      <c r="D51" s="1132" t="n"/>
      <c r="E51" s="1195" t="inlineStr">
        <is>
          <t>Released after CA23 retention period; amount follows CA25 deposit retention treatment.</t>
        </is>
      </c>
    </row>
    <row r="52" ht="14.39999961853027" customFormat="1" customHeight="1" s="217">
      <c r="A52" s="1195" t="inlineStr">
        <is>
          <t>Deposit / advance payment</t>
        </is>
      </c>
      <c r="B52" s="1361">
        <f>IF('Commercial Inputs'!F28="Yes",'Tender Build-Up'!B47*'Commercial Inputs'!D28,0)</f>
        <v/>
      </c>
      <c r="C52" s="1132" t="n"/>
      <c r="D52" s="1132" t="n"/>
      <c r="E52" s="1195" t="inlineStr">
        <is>
          <t>Part of tender total; controlled by CA24</t>
        </is>
      </c>
    </row>
    <row r="53" ht="14.39999961853027" customFormat="1" customHeight="1" s="217">
      <c r="A53" s="1197" t="inlineStr">
        <is>
          <t>Stage cashflow tab</t>
        </is>
      </c>
      <c r="B53" s="1368" t="n"/>
      <c r="C53" s="1199" t="n"/>
      <c r="D53" s="1199" t="n"/>
      <c r="E53" s="1197" t="inlineStr">
        <is>
          <t>Editable stage profile and cumulative cashflow</t>
        </is>
      </c>
    </row>
    <row r="54" ht="14.39999961853027" customFormat="1" customHeight="1" s="217">
      <c r="A54" s="1195" t="n"/>
      <c r="B54" s="1369" t="n"/>
      <c r="C54" s="1132" t="n"/>
      <c r="D54" s="1132" t="n"/>
      <c r="E54" s="1195" t="n"/>
    </row>
    <row r="55" ht="38" customFormat="1" customHeight="1" s="217">
      <c r="A55" s="1370" t="n"/>
      <c r="B55" s="1363" t="n"/>
      <c r="C55" s="1363" t="n"/>
      <c r="D55" s="1363" t="n"/>
      <c r="E55" s="1364" t="n"/>
    </row>
    <row r="56" ht="22.5" customFormat="1" customHeight="1" s="217">
      <c r="A56" s="1238" t="inlineStr">
        <is>
          <t>COST CHAIN INTEGRITY</t>
        </is>
      </c>
      <c r="B56" s="1371" t="n"/>
      <c r="C56" s="1140" t="n"/>
      <c r="D56" s="1140" t="n"/>
      <c r="E56" s="1238" t="n"/>
    </row>
    <row r="57" ht="18.75" customFormat="1" customHeight="1" s="217">
      <c r="A57" s="1135" t="inlineStr">
        <is>
          <t>Check</t>
        </is>
      </c>
      <c r="B57" s="1135" t="inlineStr">
        <is>
          <t>Upstream</t>
        </is>
      </c>
      <c r="C57" s="1135" t="inlineStr">
        <is>
          <t>Downstream</t>
        </is>
      </c>
      <c r="D57" s="1135" t="inlineStr">
        <is>
          <t>Difference</t>
        </is>
      </c>
      <c r="E57" s="1135" t="inlineStr">
        <is>
          <t>Status</t>
        </is>
      </c>
    </row>
    <row r="58" ht="15.30000019073486" customFormat="1" customHeight="1" s="217">
      <c r="A58" s="1132" t="inlineStr">
        <is>
          <t>Resource Build-Up -&gt; QS</t>
        </is>
      </c>
      <c r="B58" s="1372">
        <f>SUM('Resource Build-Up'!$Z$7:$Z$306)</f>
        <v/>
      </c>
      <c r="C58" s="1372">
        <f>'QS Takeoff'!$G$203</f>
        <v/>
      </c>
      <c r="D58" s="1372">
        <f>C58-B58</f>
        <v/>
      </c>
      <c r="E58" s="1132">
        <f>IF(ABS(D58)&lt;0.01,"OK","CHECK")</f>
        <v/>
      </c>
    </row>
    <row r="59" ht="15.30000019073486" customFormat="1" customHeight="1" s="217">
      <c r="A59" s="1132" t="inlineStr">
        <is>
          <t>QS -&gt; Tender Build-Up</t>
        </is>
      </c>
      <c r="B59" s="1372">
        <f>'QS Takeoff'!$G$203</f>
        <v/>
      </c>
      <c r="C59" s="1372">
        <f>'Tender Build-Up'!$B$20</f>
        <v/>
      </c>
      <c r="D59" s="1372">
        <f>C59-B59</f>
        <v/>
      </c>
      <c r="E59" s="1132">
        <f>IF(ABS(D59)&lt;0.01,"OK","CHECK")</f>
        <v/>
      </c>
    </row>
    <row r="60" ht="15.30000019073486" customFormat="1" customHeight="1" s="217">
      <c r="A60" s="1132" t="inlineStr">
        <is>
          <t>Tender Build-Up -&gt; Summary</t>
        </is>
      </c>
      <c r="B60" s="1372">
        <f>'Tender Build-Up'!$B$20</f>
        <v/>
      </c>
      <c r="C60" s="1372">
        <f>$B$33</f>
        <v/>
      </c>
      <c r="D60" s="1372">
        <f>C60-B60</f>
        <v/>
      </c>
      <c r="E60" s="1132">
        <f>IF(ABS(D60)&lt;0.01,"OK","CHECK")</f>
        <v/>
      </c>
    </row>
    <row r="61" ht="15.30000019073486" customFormat="1" customHeight="1" s="217">
      <c r="A61" s="1132" t="inlineStr">
        <is>
          <t>Commercial Inputs -&gt; Tender Build-Up</t>
        </is>
      </c>
      <c r="B61" s="1372">
        <f>SUM('Tender Build-Up'!$B$23:$B$38)+SUM('Tender Build-Up'!$B$42:$B$45)</f>
        <v/>
      </c>
      <c r="C61" s="1372">
        <f>$B$45+$B$46</f>
        <v/>
      </c>
      <c r="D61" s="1372">
        <f>C61-B61</f>
        <v/>
      </c>
      <c r="E61" s="1132">
        <f>IF(ABS(D61)&lt;0.01,"OK","CHECK")</f>
        <v/>
      </c>
    </row>
    <row r="62" ht="15.30000019073486" customFormat="1" customHeight="1" s="217">
      <c r="A62" s="1132" t="inlineStr">
        <is>
          <t>Formula control</t>
        </is>
      </c>
      <c r="B62" s="1119" t="inlineStr">
        <is>
          <t>Formula/output cells are edit-blocked with Stop validation; yellow cells are intended inputs.</t>
        </is>
      </c>
      <c r="C62" s="1132" t="n"/>
      <c r="D62" s="1132" t="n"/>
      <c r="E62" s="1132" t="n"/>
    </row>
    <row r="63" ht="15.30000019073486" customFormat="1" customHeight="1" s="217">
      <c r="A63" s="1132" t="inlineStr">
        <is>
          <t>Release rule</t>
        </is>
      </c>
      <c r="B63" s="1119" t="inlineStr">
        <is>
          <t>All chain checks must read OK before issue.</t>
        </is>
      </c>
      <c r="C63" s="1132" t="n"/>
      <c r="D63" s="1132" t="n"/>
      <c r="E63" s="1132" t="n"/>
    </row>
    <row r="64" ht="15.30000019073486" customFormat="1" customHeight="1" s="217">
      <c r="A64" s="1132" t="inlineStr">
        <is>
          <t>Weather Engine output -&gt; Commercial Inputs CA10 Engine Amount (audit only)</t>
        </is>
      </c>
      <c r="B64" s="1373">
        <f>'Weather Risk'!$B$40</f>
        <v/>
      </c>
      <c r="C64" s="1373">
        <f>'Commercial Inputs'!$L$14</f>
        <v/>
      </c>
      <c r="D64" s="1373">
        <f>C64-B64</f>
        <v/>
      </c>
      <c r="E64" s="1132">
        <f>IF(ABS(D64)&lt;0.01,"OK","CHECK")</f>
        <v/>
      </c>
    </row>
    <row r="65" ht="15.30000019073486" customHeight="1" s="491">
      <c r="A65" s="1356" t="inlineStr">
        <is>
          <t>RATE &amp; PROGRAMME QA RELEASE GATE</t>
        </is>
      </c>
      <c r="B65" s="242" t="n"/>
      <c r="C65" s="242" t="n"/>
      <c r="D65" s="242" t="n"/>
      <c r="E65" s="242" t="n"/>
    </row>
    <row r="66" ht="15.30000019073486" customHeight="1" s="491">
      <c r="A66" s="1242" t="inlineStr">
        <is>
          <t>Check</t>
        </is>
      </c>
      <c r="B66" s="1242" t="inlineStr">
        <is>
          <t>Count / Amount</t>
        </is>
      </c>
      <c r="C66" s="1242" t="inlineStr">
        <is>
          <t>Status</t>
        </is>
      </c>
      <c r="D66" s="1242" t="inlineStr">
        <is>
          <t>Action</t>
        </is>
      </c>
      <c r="E66" s="1242" t="n"/>
    </row>
    <row r="67" ht="15.30000019073486" customHeight="1" s="491">
      <c r="A67" s="1243" t="inlineStr">
        <is>
          <t>GREEN active resource rows</t>
        </is>
      </c>
      <c r="B67" s="1243">
        <f>'Rate Verification'!B4</f>
        <v/>
      </c>
      <c r="C67" s="1243">
        <f>IF(B67&gt;0,"GREEN","NONE")</f>
        <v/>
      </c>
      <c r="D67" s="1243" t="inlineStr">
        <is>
          <t>Three checks present</t>
        </is>
      </c>
      <c r="E67" s="1243" t="n"/>
    </row>
    <row r="68" ht="15.30000019073486" customHeight="1" s="491">
      <c r="A68" s="1244" t="inlineStr">
        <is>
          <t>AMBER active resource rows</t>
        </is>
      </c>
      <c r="B68" s="1244">
        <f>'Rate Verification'!B5</f>
        <v/>
      </c>
      <c r="C68" s="1244">
        <f>IF(B68&gt;0,"AMBER","NONE")</f>
        <v/>
      </c>
      <c r="D68" s="1244" t="inlineStr">
        <is>
          <t>Disclose allowance and firm before award</t>
        </is>
      </c>
      <c r="E68" s="1244" t="n"/>
    </row>
    <row r="69" ht="15.30000019073486" customHeight="1" s="491">
      <c r="A69" s="1245" t="inlineStr">
        <is>
          <t>RED active resource rows</t>
        </is>
      </c>
      <c r="B69" s="1245">
        <f>'Rate Verification'!F4</f>
        <v/>
      </c>
      <c r="C69" s="1245">
        <f>IF(B69&gt;0,"RED","NONE")</f>
        <v/>
      </c>
      <c r="D69" s="1245" t="inlineStr">
        <is>
          <t>Quote/design evidence required</t>
        </is>
      </c>
      <c r="E69" s="1245" t="n"/>
    </row>
    <row r="70" ht="15.30000019073486" customHeight="1" s="491">
      <c r="A70" s="1119" t="inlineStr">
        <is>
          <t>Active QS items mapped to programme</t>
        </is>
      </c>
      <c r="B70" s="1119">
        <f>'Estimate Review Board'!$B$16</f>
        <v/>
      </c>
      <c r="C70" s="1119" t="n"/>
      <c r="D70" s="1119" t="inlineStr">
        <is>
          <t>Checked against populated Programme Export QS codes</t>
        </is>
      </c>
      <c r="E70" s="1119" t="n"/>
    </row>
    <row r="71" ht="44" customHeight="1" s="491">
      <c r="A71" s="1246" t="inlineStr">
        <is>
          <t>Overall release</t>
        </is>
      </c>
      <c r="B71" s="1246">
        <f>IF(OR(C69="RED",LEFT(B74,4)&lt;&gt;"PASS"),"RED - release blocked","AMBER - review before release")</f>
        <v/>
      </c>
      <c r="C71" s="1246">
        <f>IF(LEFT(B71,3)="RED","RED","AMBER")</f>
        <v/>
      </c>
      <c r="D71" s="1246" t="n"/>
      <c r="E71" s="1247" t="n"/>
    </row>
    <row r="72">
      <c r="A72" s="1132" t="inlineStr">
        <is>
          <t>Weather model / task factors</t>
        </is>
      </c>
      <c r="B72" s="1132" t="n"/>
      <c r="C72" s="1132" t="n"/>
      <c r="D72" s="1132" t="n"/>
      <c r="E72" s="1119" t="n"/>
    </row>
    <row r="73">
      <c r="A73" s="1132" t="inlineStr">
        <is>
          <t>Weather integration rerun gate</t>
        </is>
      </c>
      <c r="B73" s="1132" t="n"/>
      <c r="C73" s="1132" t="n"/>
      <c r="D73" s="1132" t="n"/>
      <c r="E73" s="1119" t="n"/>
    </row>
    <row r="74">
      <c r="A74" s="1136" t="inlineStr">
        <is>
          <t>Risk Truth release gate</t>
        </is>
      </c>
      <c r="B74" s="1136">
        <f>'Risk Truth'!$B$15</f>
        <v/>
      </c>
      <c r="C74" s="1136">
        <f>IF(LEFT(B74,4)="PASS","GREEN","RED")</f>
        <v/>
      </c>
      <c r="D74" s="1136" t="inlineStr">
        <is>
          <t>PASS required for final release</t>
        </is>
      </c>
      <c r="E74" s="1119" t="n"/>
    </row>
    <row r="75">
      <c r="A75" s="1134" t="inlineStr">
        <is>
          <t>Risk Truth recalculated tender total</t>
        </is>
      </c>
      <c r="B75" s="1374">
        <f>'Risk Truth'!$B$11</f>
        <v/>
      </c>
      <c r="C75" s="1134" t="inlineStr">
        <is>
          <t>INFO</t>
        </is>
      </c>
      <c r="D75" s="1134" t="inlineStr">
        <is>
          <t>Should equal the live tender total when Risk Truth feeds and commercial logic reconcile.</t>
        </is>
      </c>
      <c r="E75" s="1119" t="n"/>
    </row>
    <row r="76">
      <c r="A76" s="1356" t="inlineStr">
        <is>
          <t>INDEPENDENT ESTIMATE REVIEW BOARD RELEASE GATE</t>
        </is>
      </c>
      <c r="B76" s="242" t="n"/>
      <c r="C76" s="242" t="n"/>
      <c r="D76" s="242" t="n"/>
      <c r="E76" s="242" t="n"/>
    </row>
    <row r="77" ht="34" customHeight="1" s="491">
      <c r="A77" s="1135" t="inlineStr">
        <is>
          <t>Review Board gate</t>
        </is>
      </c>
      <c r="B77" s="1249">
        <f>'Estimate Review Board'!$B$19</f>
        <v/>
      </c>
      <c r="C77" s="1249">
        <f>IF(LEFT(B77,4)="PASS",IF(ISNUMBER(SEARCH("AMBER",B77)),"AMBER","GREEN"),"RED")</f>
        <v/>
      </c>
      <c r="D77" s="1375" t="inlineStr">
        <is>
          <t>PASS or PASS WITH AMBER required for release</t>
        </is>
      </c>
      <c r="E77" s="242" t="n"/>
    </row>
    <row r="78" ht="34" customHeight="1" s="491">
      <c r="A78" s="1250" t="inlineStr">
        <is>
          <t>Active QS items fully reviewed</t>
        </is>
      </c>
      <c r="B78" s="1251">
        <f>'Estimate Review Board'!$B$17&amp;" / "&amp;'Estimate Review Board'!$B$16</f>
        <v/>
      </c>
      <c r="C78" s="1251">
        <f>IF('Estimate Review Board'!$B$17&lt;'Estimate Review Board'!$B$16,"RED","GREEN")</f>
        <v/>
      </c>
      <c r="D78" s="1376" t="inlineStr">
        <is>
          <t>Every active QS item must pass all mandatory review columns</t>
        </is>
      </c>
      <c r="E78" s="242" t="n"/>
    </row>
    <row r="79" ht="38" customHeight="1" s="491">
      <c r="A79" s="1246" t="inlineStr">
        <is>
          <t>Unresolved material findings</t>
        </is>
      </c>
      <c r="B79" s="1136">
        <f>'Estimate Review Board'!$B$12&amp;" RED / "&amp;'Estimate Review Board'!$B$13&amp;" AMBER"</f>
        <v/>
      </c>
      <c r="C79" s="1136">
        <f>IF('Estimate Review Board'!$B$12&gt;0,"RED",IF('Estimate Review Board'!$B$13&gt;0,"AMBER","GREEN"))</f>
        <v/>
      </c>
      <c r="D79" s="1377" t="inlineStr">
        <is>
          <t>RED blocks release; AMBER must be disclosed and actioned</t>
        </is>
      </c>
      <c r="E79" s="242" t="n"/>
    </row>
    <row r="80" ht="42" customHeight="1" s="491">
      <c r="A80" s="1135" t="inlineStr">
        <is>
          <t>Reviewer independence / commitment</t>
        </is>
      </c>
      <c r="B80" s="1249">
        <f>'Estimate Review Board'!$B$11&amp;" independence failures"</f>
        <v/>
      </c>
      <c r="C80" s="1249">
        <f>IF('Estimate Review Board'!$B$11&gt;0,"RED",IF(OR('Estimate Review Board'!$B$9&lt;'Estimate Review Board'!$B$7,'Estimate Review Board'!$B$10&lt;'Estimate Review Board'!$B$8,'Estimate Review Board'!$B$18&lt;&gt;"COMPLETE"),"AMBER","GREEN"))</f>
        <v/>
      </c>
      <c r="D80" s="1375" t="inlineStr">
        <is>
          <t>Required reviewers must be blind, independent and committed before comparison</t>
        </is>
      </c>
      <c r="E80" s="242" t="n"/>
    </row>
    <row r="81">
      <c r="A81" s="1132" t="inlineStr">
        <is>
          <t>PROGRAMME RECONCILIATION</t>
        </is>
      </c>
      <c r="B81" s="1132" t="n"/>
      <c r="C81" s="1132" t="n"/>
      <c r="D81" s="1119" t="n"/>
      <c r="E81" s="1119" t="n"/>
    </row>
    <row r="82">
      <c r="A82" s="1132" t="inlineStr">
        <is>
          <t>Calculated controlling path working days</t>
        </is>
      </c>
      <c r="B82" s="1132" t="n"/>
      <c r="C82" s="1132" t="n"/>
      <c r="D82" s="1119" t="n"/>
      <c r="E82" s="1119" t="n"/>
    </row>
    <row r="83">
      <c r="A83" s="1132" t="inlineStr">
        <is>
          <t>Tender baseline working days</t>
        </is>
      </c>
      <c r="B83" s="1132">
        <f>'Weather Risk'!B8</f>
        <v/>
      </c>
      <c r="C83" s="1132" t="n"/>
      <c r="D83" s="1119" t="n"/>
      <c r="E83" s="1119" t="n"/>
    </row>
    <row r="84">
      <c r="A84" s="1132" t="inlineStr">
        <is>
          <t>Coordination float / buffer working days</t>
        </is>
      </c>
      <c r="B84" s="1132" t="n">
        <v>0</v>
      </c>
      <c r="C84" s="1132" t="n"/>
      <c r="D84" s="1119" t="n"/>
      <c r="E84" s="1119" t="n"/>
    </row>
    <row r="85">
      <c r="A85" s="1132" t="inlineStr">
        <is>
          <t>Controlling path</t>
        </is>
      </c>
      <c r="B85" s="1132" t="n"/>
      <c r="C85" s="1132" t="n"/>
      <c r="D85" s="1119" t="n"/>
      <c r="E85" s="1119" t="n"/>
    </row>
    <row r="86">
      <c r="A86" s="1132" t="inlineStr">
        <is>
          <t>Programme release</t>
        </is>
      </c>
      <c r="B86" s="1132" t="n"/>
      <c r="C86" s="1132" t="n"/>
      <c r="D86" s="1119" t="n"/>
      <c r="E86" s="1119" t="n"/>
    </row>
    <row r="87">
      <c r="A87" s="1132" t="inlineStr">
        <is>
          <t>PROGRAMME CALENDAR BASIS</t>
        </is>
      </c>
      <c r="B87" s="1132" t="n"/>
      <c r="C87" s="1132" t="n"/>
      <c r="D87" s="1119" t="n"/>
      <c r="E87" s="1119" t="n"/>
    </row>
    <row r="88">
      <c r="A88" s="1132" t="inlineStr">
        <is>
          <t>Tender-season assumed start</t>
        </is>
      </c>
      <c r="B88" s="1132">
        <f>'Weather Risk'!B7</f>
        <v/>
      </c>
      <c r="C88" s="1132" t="n"/>
      <c r="D88" s="1119" t="n"/>
      <c r="E88" s="1119" t="n"/>
    </row>
    <row r="89">
      <c r="A89" s="1132" t="inlineStr">
        <is>
          <t>Weekday-only base finish</t>
        </is>
      </c>
      <c r="B89" s="1132">
        <f>'Weather Risk'!B10</f>
        <v/>
      </c>
      <c r="C89" s="1132" t="n"/>
      <c r="D89" s="1119" t="n"/>
      <c r="E89" s="1119" t="n"/>
    </row>
    <row r="90">
      <c r="A90" s="1132" t="inlineStr">
        <is>
          <t>Elapsed calendar span</t>
        </is>
      </c>
      <c r="B90" s="1132">
        <f>IF(OR(B88="",B89=""),"",B89-B88+1)</f>
        <v/>
      </c>
      <c r="C90" s="1132" t="n"/>
      <c r="D90" s="1119" t="n"/>
      <c r="E90" s="1119" t="n"/>
    </row>
    <row r="91">
      <c r="A91" s="1132" t="inlineStr">
        <is>
          <t>Holiday / shutdown treatment</t>
        </is>
      </c>
      <c r="B91" s="1132" t="n"/>
      <c r="C91" s="1132" t="n"/>
      <c r="D91" s="1119" t="n"/>
      <c r="E91" s="1119" t="n"/>
    </row>
    <row r="92">
      <c r="A92" s="1119" t="n"/>
      <c r="B92" s="1119" t="n"/>
      <c r="C92" s="1119" t="n"/>
      <c r="D92" s="1119" t="n"/>
      <c r="E92" s="1119" t="n"/>
    </row>
    <row r="93">
      <c r="A93" s="1378" t="inlineStr">
        <is>
          <t>CONSOLIDATED PACKAGE REVIEW - NOT FINAL TENDER UNTIL RELEASED</t>
        </is>
      </c>
      <c r="B93" s="242" t="n"/>
      <c r="C93" s="242" t="n"/>
      <c r="D93" s="242" t="n"/>
      <c r="E93" s="242" t="n"/>
    </row>
    <row r="94" ht="27" customHeight="1" s="491">
      <c r="A94" s="1132" t="inlineStr">
        <is>
          <t>Own works current pre-commercial</t>
        </is>
      </c>
      <c r="B94" s="1379">
        <f>'Tender Build-Up'!B40</f>
        <v/>
      </c>
      <c r="C94" s="1132" t="inlineStr">
        <is>
          <t>LINKED</t>
        </is>
      </c>
      <c r="D94" s="1132" t="n"/>
      <c r="E94" s="1132" t="n"/>
    </row>
    <row r="95" ht="27" customHeight="1" s="491">
      <c r="A95" s="1132" t="inlineStr">
        <is>
          <t>Subcontract packages (known)</t>
        </is>
      </c>
      <c r="B95" s="1379">
        <f>SUM('Consolidated Package'!B6:B11)</f>
        <v/>
      </c>
      <c r="C95" s="1132" t="inlineStr">
        <is>
          <t>QUOTED</t>
        </is>
      </c>
      <c r="D95" s="1132" t="n"/>
      <c r="E95" s="1132" t="n"/>
    </row>
    <row r="96" ht="27" customHeight="1" s="491">
      <c r="A96" s="1132" t="inlineStr">
        <is>
          <t>Gross current known package</t>
        </is>
      </c>
      <c r="B96" s="1379">
        <f>B94+B95</f>
        <v/>
      </c>
      <c r="C96" s="1132" t="inlineStr">
        <is>
          <t>CALCULATED</t>
        </is>
      </c>
      <c r="D96" s="1132" t="n"/>
      <c r="E96" s="1132" t="n"/>
    </row>
    <row r="97" ht="27" customHeight="1" s="491">
      <c r="A97" s="1132" t="inlineStr">
        <is>
          <t>Confirmed overlap with own works</t>
        </is>
      </c>
      <c r="B97" s="1379">
        <f>'Consolidated Package'!B13</f>
        <v/>
      </c>
      <c r="C97" s="1132" t="inlineStr">
        <is>
          <t>CLOSED</t>
        </is>
      </c>
      <c r="D97" s="1132" t="n"/>
      <c r="E97" s="1132" t="n"/>
    </row>
    <row r="98" ht="27" customHeight="1" s="491">
      <c r="A98" s="1250" t="inlineStr">
        <is>
          <t>Current known package after reconciliation</t>
        </is>
      </c>
      <c r="B98" s="1380">
        <f>B96-B97</f>
        <v/>
      </c>
      <c r="C98" s="1250" t="inlineStr">
        <is>
          <t>CALCULATED</t>
        </is>
      </c>
      <c r="D98" s="1250" t="n"/>
      <c r="E98" s="1250" t="n"/>
    </row>
    <row r="99" ht="27" customHeight="1" s="491">
      <c r="A99" s="1250" t="inlineStr">
        <is>
          <t>Company O/H</t>
        </is>
      </c>
      <c r="B99" s="1381">
        <f>'Commercial Inputs'!D21</f>
        <v/>
      </c>
      <c r="C99" s="1250" t="inlineStr">
        <is>
          <t>PROVIDED</t>
        </is>
      </c>
      <c r="D99" s="1250" t="n"/>
      <c r="E99" s="1250" t="n"/>
    </row>
    <row r="100" ht="27" customHeight="1" s="491">
      <c r="A100" s="1254" t="inlineStr">
        <is>
          <t>Contractor profit</t>
        </is>
      </c>
      <c r="B100" s="1382">
        <f>'Commercial Inputs'!D22</f>
        <v/>
      </c>
      <c r="C100" s="1254" t="inlineStr">
        <is>
          <t>PROVIDED</t>
        </is>
      </c>
      <c r="D100" s="1254" t="n"/>
      <c r="E100" s="1254" t="n"/>
    </row>
    <row r="101" ht="27" customHeight="1" s="491">
      <c r="A101" s="1254" t="inlineStr">
        <is>
          <t>Tender adjudication status</t>
        </is>
      </c>
      <c r="B101" s="1383">
        <f>'Risk Truth'!B15</f>
        <v/>
      </c>
      <c r="C101" s="1254" t="n"/>
      <c r="D101" s="1254" t="n"/>
      <c r="E101" s="1254" t="n"/>
    </row>
    <row r="102" ht="27" customHeight="1" s="491">
      <c r="A102" s="1131" t="n"/>
      <c r="B102" s="1384" t="n"/>
      <c r="C102" s="1131" t="n"/>
      <c r="D102" s="1131" t="n"/>
      <c r="E102" s="1131" t="n"/>
    </row>
    <row r="103" ht="27" customHeight="1" s="491">
      <c r="A103" s="1132" t="n"/>
      <c r="B103" s="1132" t="n"/>
      <c r="C103" s="1132" t="n"/>
      <c r="D103" s="1132" t="n"/>
      <c r="E103" s="1132" t="n"/>
    </row>
    <row r="104" ht="68" customHeight="1" s="491">
      <c r="A104" s="1257" t="n"/>
      <c r="B104" s="1257" t="n"/>
      <c r="C104" s="1257" t="n"/>
      <c r="D104" s="1257" t="n"/>
      <c r="E104" s="1257" t="n"/>
    </row>
    <row r="105" ht="25.5" customHeight="1" s="491">
      <c r="A105" s="1257" t="n"/>
      <c r="B105" s="1257" t="n"/>
      <c r="C105" s="1257" t="n"/>
      <c r="D105" s="1257" t="n"/>
      <c r="E105" s="1257" t="n"/>
    </row>
  </sheetData>
  <mergeCells count="21">
    <mergeCell ref="B40:E40"/>
    <mergeCell ref="A11:E11"/>
    <mergeCell ref="A1:E1"/>
    <mergeCell ref="D80:E80"/>
    <mergeCell ref="B2:E3"/>
    <mergeCell ref="B36:E36"/>
    <mergeCell ref="B41:E41"/>
    <mergeCell ref="D77:E77"/>
    <mergeCell ref="A65:E65"/>
    <mergeCell ref="B35:E35"/>
    <mergeCell ref="A55:E55"/>
    <mergeCell ref="D78:E78"/>
    <mergeCell ref="B43:E43"/>
    <mergeCell ref="A76:E76"/>
    <mergeCell ref="B39:E39"/>
    <mergeCell ref="B42:E42"/>
    <mergeCell ref="B38:E38"/>
    <mergeCell ref="A93:E93"/>
    <mergeCell ref="B37:E37"/>
    <mergeCell ref="D79:E79"/>
    <mergeCell ref="B34:E34"/>
  </mergeCells>
  <conditionalFormatting sqref="C77:C80">
    <cfRule type="expression" priority="1" dxfId="2">
      <formula>C77="GREEN"</formula>
    </cfRule>
    <cfRule type="expression" priority="2" dxfId="1">
      <formula>C77="AMBER"</formula>
    </cfRule>
    <cfRule type="expression" priority="3" dxfId="19">
      <formula>C77="RED"</formula>
    </cfRule>
  </conditionalFormatting>
  <dataValidations count="1">
    <dataValidation sqref="B23:B33 B44:B52 B58:E61" showDropDown="0" showInputMessage="0" showErrorMessage="1" allowBlank="1" errorTitle="Linked formula cell" error="This value is linked. Change the upstream input/source instead of overwriting this cell." type="custom">
      <formula1>FALSE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70"/>
  <sheetViews>
    <sheetView workbookViewId="0">
      <selection activeCell="A1" sqref="A1"/>
    </sheetView>
  </sheetViews>
  <sheetFormatPr baseColWidth="8" defaultRowHeight="15"/>
  <cols>
    <col width="26" customWidth="1" style="491" min="1" max="1"/>
    <col width="18" customWidth="1" style="491" min="2" max="2"/>
    <col width="18" customWidth="1" style="491" min="3" max="3"/>
    <col width="18" customWidth="1" style="491" min="4" max="4"/>
    <col width="18" customWidth="1" style="491" min="5" max="5"/>
    <col width="22" customWidth="1" style="491" min="6" max="6"/>
    <col width="42" customWidth="1" style="491" min="7" max="7"/>
    <col width="70" customWidth="1" style="491" min="8" max="8"/>
  </cols>
  <sheetData>
    <row r="1">
      <c r="A1" s="1344" t="inlineStr">
        <is>
          <t>CONSOLIDATED ALL-IN PACKAGE - OWN WORKS + SUBCONTRACT PACKAGES</t>
        </is>
      </c>
    </row>
    <row r="2">
      <c r="A2" s="1132" t="inlineStr">
        <is>
          <t>WORKING ALL-IN TENDER EXCL GST</t>
        </is>
      </c>
      <c r="B2" s="1385">
        <f>F56</f>
        <v/>
      </c>
      <c r="E2" s="1350" t="n"/>
    </row>
    <row r="3">
      <c r="A3" s="1119" t="n"/>
    </row>
    <row r="4">
      <c r="A4" s="1140" t="inlineStr">
        <is>
          <t>Package / Control</t>
        </is>
      </c>
      <c r="B4" s="1140" t="inlineStr">
        <is>
          <t>Amount excl GST</t>
        </is>
      </c>
      <c r="C4" s="1140" t="inlineStr">
        <is>
          <t>Classification</t>
        </is>
      </c>
      <c r="D4" s="1140" t="inlineStr">
        <is>
          <t>Included in Siteworks direct?</t>
        </is>
      </c>
      <c r="E4" s="1140" t="inlineStr">
        <is>
          <t>Status</t>
        </is>
      </c>
      <c r="F4" s="1140" t="inlineStr">
        <is>
          <t>Release</t>
        </is>
      </c>
      <c r="G4" s="1140" t="n"/>
      <c r="H4" s="1140" t="n"/>
    </row>
    <row r="5" ht="36" customHeight="1" s="491">
      <c r="A5" s="1132" t="inlineStr">
        <is>
          <t>Own works current pre-commercial package</t>
        </is>
      </c>
      <c r="B5" s="1385">
        <f>'Tender Build-Up'!B40</f>
        <v/>
      </c>
      <c r="C5" s="1132" t="inlineStr">
        <is>
          <t>LINKED / CURRENT</t>
        </is>
      </c>
      <c r="D5" s="1132" t="inlineStr">
        <is>
          <t>Yes</t>
        </is>
      </c>
      <c r="E5" s="1132" t="inlineStr">
        <is>
          <t>Own works</t>
        </is>
      </c>
      <c r="F5" s="1132" t="inlineStr">
        <is>
          <t>AMBER / WORKING</t>
        </is>
      </c>
      <c r="G5" s="1132" t="n"/>
      <c r="H5" s="1132" t="n"/>
    </row>
    <row r="6" ht="36" customHeight="1" s="491">
      <c r="A6" s="1132" t="n"/>
      <c r="B6" s="1385" t="n"/>
      <c r="C6" s="1132" t="inlineStr">
        <is>
          <t>QUOTED</t>
        </is>
      </c>
      <c r="D6" s="1132" t="inlineStr">
        <is>
          <t>No</t>
        </is>
      </c>
      <c r="E6" s="1132" t="n"/>
      <c r="F6" s="1132" t="inlineStr">
        <is>
          <t>AMBER</t>
        </is>
      </c>
      <c r="G6" s="1132" t="n"/>
      <c r="H6" s="1132" t="n"/>
    </row>
    <row r="7" ht="36" customHeight="1" s="491">
      <c r="A7" s="1132" t="n"/>
      <c r="B7" s="1385" t="n"/>
      <c r="C7" s="1132" t="inlineStr">
        <is>
          <t>QUOTED</t>
        </is>
      </c>
      <c r="D7" s="1132" t="inlineStr">
        <is>
          <t>No</t>
        </is>
      </c>
      <c r="E7" s="1132" t="n"/>
      <c r="F7" s="1132" t="inlineStr">
        <is>
          <t>AMBER</t>
        </is>
      </c>
      <c r="G7" s="1132" t="n"/>
      <c r="H7" s="1132" t="n"/>
    </row>
    <row r="8" ht="36" customHeight="1" s="491">
      <c r="A8" s="1132" t="n"/>
      <c r="B8" s="1385" t="n"/>
      <c r="C8" s="1132" t="inlineStr">
        <is>
          <t>QUOTED</t>
        </is>
      </c>
      <c r="D8" s="1132" t="inlineStr">
        <is>
          <t>No</t>
        </is>
      </c>
      <c r="E8" s="1132" t="n"/>
      <c r="F8" s="1132" t="inlineStr">
        <is>
          <t>AMBER</t>
        </is>
      </c>
      <c r="G8" s="1132" t="n"/>
      <c r="H8" s="1132" t="n"/>
    </row>
    <row r="9" ht="36" customHeight="1" s="491">
      <c r="A9" s="1132" t="n"/>
      <c r="B9" s="1385" t="n"/>
      <c r="C9" s="1132" t="inlineStr">
        <is>
          <t>QUOTED</t>
        </is>
      </c>
      <c r="D9" s="1132" t="inlineStr">
        <is>
          <t>No</t>
        </is>
      </c>
      <c r="E9" s="1132" t="n"/>
      <c r="F9" s="1132" t="inlineStr">
        <is>
          <t>AMBER</t>
        </is>
      </c>
      <c r="G9" s="1132" t="n"/>
      <c r="H9" s="1132" t="n"/>
    </row>
    <row r="10" ht="36" customHeight="1" s="491">
      <c r="A10" s="1132" t="n"/>
      <c r="B10" s="1385" t="n"/>
      <c r="C10" s="1250" t="inlineStr">
        <is>
          <t>QUOTED</t>
        </is>
      </c>
      <c r="D10" s="1250" t="inlineStr">
        <is>
          <t>No</t>
        </is>
      </c>
      <c r="E10" s="1250" t="n"/>
      <c r="F10" s="1250" t="inlineStr">
        <is>
          <t>AMBER</t>
        </is>
      </c>
      <c r="G10" s="1250" t="n"/>
      <c r="H10" s="1132" t="n"/>
    </row>
    <row r="11" ht="36" customHeight="1" s="491">
      <c r="A11" s="1132" t="n"/>
      <c r="B11" s="1385" t="n"/>
      <c r="C11" s="1132" t="inlineStr">
        <is>
          <t>QUOTED</t>
        </is>
      </c>
      <c r="D11" s="1132" t="inlineStr">
        <is>
          <t>No</t>
        </is>
      </c>
      <c r="E11" s="1132" t="n"/>
      <c r="F11" s="1132" t="inlineStr">
        <is>
          <t>AMBER</t>
        </is>
      </c>
      <c r="G11" s="1132" t="n"/>
      <c r="H11" s="1132" t="n"/>
    </row>
    <row r="12" ht="36" customHeight="1" s="491">
      <c r="A12" s="1132" t="inlineStr">
        <is>
          <t>GROSS CURRENT KNOWN PACKAGE</t>
        </is>
      </c>
      <c r="B12" s="1385">
        <f>B5+SUM(B6:B11)</f>
        <v/>
      </c>
      <c r="C12" s="1250" t="inlineStr">
        <is>
          <t>CALCULATED</t>
        </is>
      </c>
      <c r="D12" s="1250" t="inlineStr">
        <is>
          <t>Review total only</t>
        </is>
      </c>
      <c r="E12" s="1250" t="inlineStr">
        <is>
          <t>Not final tender</t>
        </is>
      </c>
      <c r="F12" s="1250" t="inlineStr">
        <is>
          <t>HOLD</t>
        </is>
      </c>
      <c r="G12" s="1250" t="n"/>
      <c r="H12" s="1251" t="n"/>
    </row>
    <row r="13" ht="36" customHeight="1" s="491">
      <c r="A13" s="1132" t="inlineStr">
        <is>
          <t>Confirmed overlap between own works and a package</t>
        </is>
      </c>
      <c r="B13" s="1385" t="n">
        <v>0</v>
      </c>
      <c r="C13" s="1132" t="inlineStr">
        <is>
          <t>CLOSED</t>
        </is>
      </c>
      <c r="D13" s="1132" t="inlineStr">
        <is>
          <t>None</t>
        </is>
      </c>
      <c r="E13" s="1132" t="inlineStr">
        <is>
          <t>Interface closed</t>
        </is>
      </c>
      <c r="F13" s="1132" t="inlineStr">
        <is>
          <t>AMBER / CLOSED</t>
        </is>
      </c>
      <c r="G13" s="1132" t="n"/>
      <c r="H13" s="1132" t="n"/>
    </row>
    <row r="14" ht="36" customHeight="1" s="491">
      <c r="A14" s="1132" t="inlineStr">
        <is>
          <t>Current known package after overlap</t>
        </is>
      </c>
      <c r="B14" s="1385">
        <f>B12-B13</f>
        <v/>
      </c>
      <c r="C14" s="1139" t="inlineStr">
        <is>
          <t>CALCULATED</t>
        </is>
      </c>
      <c r="D14" s="1139" t="inlineStr">
        <is>
          <t>Review only</t>
        </is>
      </c>
      <c r="E14" s="1139" t="inlineStr">
        <is>
          <t>Not final tender</t>
        </is>
      </c>
      <c r="F14" s="1139" t="inlineStr">
        <is>
          <t>HOLD</t>
        </is>
      </c>
      <c r="G14" s="1139" t="n"/>
      <c r="H14" s="1139" t="n"/>
    </row>
    <row r="15" ht="36" customHeight="1" s="491">
      <c r="A15" s="1132" t="inlineStr">
        <is>
          <t>Unpriced packages (see Quote Log)</t>
        </is>
      </c>
      <c r="B15" s="1386" t="n"/>
      <c r="C15" s="1131" t="inlineStr">
        <is>
          <t>UNPRICED</t>
        </is>
      </c>
      <c r="D15" s="1131" t="inlineStr">
        <is>
          <t>No</t>
        </is>
      </c>
      <c r="E15" s="1131" t="n"/>
      <c r="F15" s="1131" t="n"/>
      <c r="G15" s="1131" t="n"/>
      <c r="H15" s="1132" t="n"/>
    </row>
    <row r="16" ht="36" customHeight="1" s="491">
      <c r="A16" s="1132" t="inlineStr">
        <is>
          <t>WORKING ALL-IN TENDER EXCL GST</t>
        </is>
      </c>
      <c r="B16" s="1385">
        <f>F56</f>
        <v/>
      </c>
      <c r="C16" s="1283" t="inlineStr">
        <is>
          <t>CALCULATED / WORKING</t>
        </is>
      </c>
      <c r="D16" s="1283" t="inlineStr">
        <is>
          <t>N/A</t>
        </is>
      </c>
      <c r="E16" s="1283" t="n"/>
      <c r="F16" s="1283" t="n"/>
      <c r="G16" s="1283" t="n"/>
      <c r="H16" s="1283" t="n"/>
    </row>
    <row r="17" ht="39" customHeight="1" s="491">
      <c r="A17" s="1131" t="n"/>
      <c r="B17" s="1386" t="n"/>
      <c r="C17" s="1131" t="n"/>
      <c r="D17" s="1131" t="n"/>
      <c r="E17" s="1131" t="n"/>
      <c r="F17" s="1131" t="n"/>
      <c r="G17" s="1131" t="n"/>
      <c r="H17" s="1132" t="n"/>
    </row>
    <row r="18" ht="39" customHeight="1" s="491">
      <c r="A18" s="1378" t="n"/>
    </row>
    <row r="19">
      <c r="A19" s="1135" t="n"/>
      <c r="B19" s="1135" t="n"/>
      <c r="C19" s="1135" t="n"/>
      <c r="D19" s="1135" t="n"/>
      <c r="E19" s="1135" t="n"/>
      <c r="F19" s="1135" t="n"/>
      <c r="G19" s="1135" t="n"/>
      <c r="H19" s="1135" t="n"/>
    </row>
    <row r="20" ht="31.5" customHeight="1" s="491">
      <c r="A20" s="1355" t="inlineStr">
        <is>
          <t>Rules: one row per subcontract package (rows 6-11; insert more by copying a row). Amount as a number, 'Included in Siteworks direct?' = No, classification QUOTED / QUOTED BASE / CONFIRMED ADDITIONAL / ALLOCATED (never CALCULATED). A package with no price yet stays as a row with no amount and is recorded on the Quote Log.</t>
        </is>
      </c>
      <c r="H20" s="1132" t="n"/>
    </row>
    <row r="21" ht="31.5" customHeight="1" s="491">
      <c r="A21" s="1132" t="n"/>
      <c r="B21" s="1379" t="n"/>
      <c r="C21" s="1379" t="n"/>
      <c r="D21" s="1379" t="n"/>
      <c r="E21" s="1379" t="n"/>
      <c r="F21" s="1379" t="n"/>
      <c r="G21" s="1379" t="n"/>
      <c r="H21" s="1132" t="n"/>
    </row>
    <row r="22" ht="31.5" customHeight="1" s="491">
      <c r="A22" s="1132" t="n"/>
      <c r="B22" s="1379" t="n"/>
      <c r="C22" s="1379" t="n"/>
      <c r="D22" s="1379" t="n"/>
      <c r="E22" s="1379" t="n"/>
      <c r="F22" s="1379" t="n"/>
      <c r="G22" s="1379" t="n"/>
      <c r="H22" s="1132" t="n"/>
    </row>
    <row r="23" ht="31.5" customHeight="1" s="491">
      <c r="A23" s="1132" t="n"/>
      <c r="B23" s="1379" t="n"/>
      <c r="C23" s="1379" t="n"/>
      <c r="D23" s="1379" t="n"/>
      <c r="E23" s="1379" t="n"/>
      <c r="F23" s="1379" t="n"/>
      <c r="G23" s="1379" t="n"/>
      <c r="H23" s="1132" t="n"/>
    </row>
    <row r="24" ht="31.5" customHeight="1" s="491">
      <c r="A24" s="1132" t="n"/>
      <c r="B24" s="1379" t="n"/>
      <c r="C24" s="1379" t="n"/>
      <c r="D24" s="1379" t="n"/>
      <c r="E24" s="1379" t="n"/>
      <c r="F24" s="1379" t="n"/>
      <c r="G24" s="1379" t="n"/>
      <c r="H24" s="1132" t="n"/>
    </row>
    <row r="25" ht="31.5" customHeight="1" s="491">
      <c r="A25" s="1132" t="n"/>
      <c r="B25" s="1379" t="n"/>
      <c r="C25" s="1379" t="n"/>
      <c r="D25" s="1379" t="n"/>
      <c r="E25" s="1379" t="n"/>
      <c r="F25" s="1379" t="n"/>
      <c r="G25" s="1379" t="n"/>
      <c r="H25" s="1132" t="n"/>
    </row>
    <row r="26">
      <c r="A26" s="1378" t="n"/>
      <c r="H26" s="1132" t="n"/>
    </row>
    <row r="27">
      <c r="A27" s="1387" t="n"/>
    </row>
    <row r="28" ht="37.5" customHeight="1" s="491">
      <c r="A28" s="1353" t="n"/>
    </row>
    <row r="29" ht="37.5" customHeight="1" s="491">
      <c r="A29" s="1132" t="n"/>
      <c r="B29" s="1132" t="n"/>
      <c r="C29" s="1132" t="n"/>
      <c r="D29" s="1132" t="n"/>
      <c r="E29" s="1132" t="n"/>
      <c r="F29" s="1132" t="n"/>
      <c r="G29" s="1132" t="n"/>
      <c r="H29" s="1132" t="n"/>
    </row>
    <row r="30" ht="37.5" customHeight="1" s="491">
      <c r="A30" s="1378" t="n"/>
    </row>
    <row r="31" ht="37.5" customHeight="1" s="491">
      <c r="A31" s="1135" t="n"/>
      <c r="B31" s="1135" t="n"/>
      <c r="C31" s="1135" t="n"/>
      <c r="D31" s="1135" t="n"/>
      <c r="E31" s="1135" t="n"/>
      <c r="F31" s="1135" t="n"/>
      <c r="G31" s="1135" t="n"/>
      <c r="H31" s="1135" t="n"/>
    </row>
    <row r="32" ht="36" customHeight="1" s="491">
      <c r="A32" s="1132" t="n"/>
      <c r="B32" s="1132" t="n"/>
      <c r="C32" s="1379" t="n"/>
      <c r="D32" s="1379" t="n"/>
      <c r="E32" s="1379" t="n"/>
      <c r="F32" s="1132" t="n"/>
      <c r="G32" s="1132" t="n"/>
      <c r="H32" s="1132" t="n"/>
    </row>
    <row r="33" ht="36" customHeight="1" s="491">
      <c r="A33" s="1132" t="n"/>
      <c r="B33" s="1132" t="n"/>
      <c r="C33" s="1379" t="n"/>
      <c r="D33" s="1379" t="n"/>
      <c r="E33" s="1379" t="n"/>
      <c r="F33" s="1132" t="n"/>
      <c r="G33" s="1132" t="n"/>
      <c r="H33" s="1132" t="n"/>
    </row>
    <row r="34" ht="36" customHeight="1" s="491">
      <c r="A34" s="1132" t="n"/>
      <c r="B34" s="1132" t="n"/>
      <c r="C34" s="1379" t="n"/>
      <c r="D34" s="1379" t="n"/>
      <c r="E34" s="1379" t="n"/>
      <c r="F34" s="1132" t="n"/>
      <c r="G34" s="1132" t="n"/>
      <c r="H34" s="1132" t="n"/>
    </row>
    <row r="35" ht="36" customHeight="1" s="491">
      <c r="A35" s="1132" t="n"/>
      <c r="B35" s="1132" t="n"/>
      <c r="C35" s="1379" t="n"/>
      <c r="D35" s="1379" t="n"/>
      <c r="E35" s="1379" t="n"/>
      <c r="F35" s="1132" t="n"/>
      <c r="G35" s="1132" t="n"/>
      <c r="H35" s="1132" t="n"/>
    </row>
    <row r="36" ht="36" customHeight="1" s="491">
      <c r="A36" s="1132" t="n"/>
      <c r="B36" s="1132" t="n"/>
      <c r="C36" s="1379" t="n"/>
      <c r="D36" s="1379" t="n"/>
      <c r="E36" s="1379" t="n"/>
      <c r="F36" s="1132" t="n"/>
      <c r="G36" s="1132" t="n"/>
      <c r="H36" s="1132" t="n"/>
    </row>
    <row r="37" ht="36" customHeight="1" s="491">
      <c r="A37" s="1132" t="n"/>
      <c r="B37" s="1132" t="n"/>
      <c r="C37" s="1379" t="n"/>
      <c r="D37" s="1379" t="n"/>
      <c r="E37" s="1379" t="n"/>
      <c r="F37" s="1132" t="n"/>
      <c r="G37" s="1132" t="n"/>
      <c r="H37" s="1132" t="n"/>
    </row>
    <row r="38" ht="36" customHeight="1" s="491">
      <c r="A38" s="1132" t="n"/>
      <c r="B38" s="1132" t="n"/>
      <c r="C38" s="1379" t="n"/>
      <c r="D38" s="1379" t="n"/>
      <c r="E38" s="1379" t="n"/>
      <c r="F38" s="1132" t="n"/>
      <c r="G38" s="1132" t="n"/>
      <c r="H38" s="1132" t="n"/>
    </row>
    <row r="39" ht="36" customHeight="1" s="491">
      <c r="A39" s="1132" t="n"/>
      <c r="B39" s="1132" t="n"/>
      <c r="C39" s="1379" t="n"/>
      <c r="D39" s="1379" t="n"/>
      <c r="E39" s="1379" t="n"/>
      <c r="F39" s="1132" t="n"/>
      <c r="G39" s="1132" t="n"/>
      <c r="H39" s="1132" t="n"/>
    </row>
    <row r="40" ht="36" customHeight="1" s="491">
      <c r="A40" s="1378" t="n"/>
      <c r="H40" s="1132" t="n"/>
    </row>
    <row r="41" ht="36" customHeight="1" s="491">
      <c r="A41" s="1132" t="n"/>
      <c r="B41" s="1132" t="n"/>
      <c r="C41" s="1379" t="n"/>
      <c r="D41" s="1379" t="n"/>
      <c r="E41" s="1379" t="n"/>
      <c r="F41" s="1132" t="n"/>
      <c r="G41" s="1132" t="n"/>
      <c r="H41" s="1132" t="n"/>
    </row>
    <row r="42" ht="36" customHeight="1" s="491">
      <c r="A42" s="1132" t="n"/>
      <c r="B42" s="1132" t="n"/>
      <c r="C42" s="1379" t="n"/>
      <c r="D42" s="1379" t="n"/>
      <c r="E42" s="1379" t="n"/>
      <c r="F42" s="1132" t="n"/>
      <c r="G42" s="1132" t="n"/>
      <c r="H42" s="1132" t="n"/>
    </row>
    <row r="43" ht="36" customHeight="1" s="491">
      <c r="A43" s="1132" t="n"/>
      <c r="B43" s="1132" t="n"/>
      <c r="C43" s="1379" t="n"/>
      <c r="D43" s="1379" t="n"/>
      <c r="E43" s="1379" t="n"/>
      <c r="F43" s="1132" t="n"/>
      <c r="G43" s="1132" t="n"/>
      <c r="H43" s="1132" t="n"/>
    </row>
    <row r="44" ht="56" customHeight="1" s="491">
      <c r="A44" s="1132" t="n"/>
      <c r="B44" s="1132" t="n"/>
      <c r="C44" s="1379" t="n"/>
      <c r="D44" s="1379" t="n"/>
      <c r="E44" s="1379" t="n"/>
      <c r="F44" s="1132" t="n"/>
      <c r="G44" s="1132" t="n"/>
      <c r="H44" s="1132" t="n"/>
    </row>
    <row r="45" ht="36" customHeight="1" s="491">
      <c r="A45" s="1132" t="n"/>
      <c r="B45" s="1132" t="n"/>
      <c r="C45" s="1379" t="n"/>
      <c r="D45" s="1379" t="n"/>
      <c r="E45" s="1379" t="n"/>
      <c r="F45" s="1132" t="n"/>
      <c r="G45" s="1132" t="n"/>
      <c r="H45" s="1132" t="n"/>
    </row>
    <row r="46">
      <c r="A46" s="1132" t="n"/>
      <c r="B46" s="1132" t="n"/>
      <c r="C46" s="1132" t="n"/>
      <c r="D46" s="1132" t="n"/>
      <c r="E46" s="1132" t="n"/>
      <c r="F46" s="1132" t="n"/>
      <c r="G46" s="1132" t="n"/>
      <c r="H46" s="1132" t="n"/>
    </row>
    <row r="47">
      <c r="A47" s="1378" t="n"/>
    </row>
    <row r="48" ht="37.5" customHeight="1" s="491">
      <c r="A48" s="1132" t="n"/>
      <c r="B48" s="1132" t="n"/>
      <c r="C48" s="1132" t="n"/>
      <c r="D48" s="1132" t="n"/>
      <c r="E48" s="1132" t="n"/>
      <c r="F48" s="1132" t="n"/>
      <c r="G48" s="1132" t="n"/>
      <c r="H48" s="1132" t="n"/>
    </row>
    <row r="49" ht="37.5" customHeight="1" s="491">
      <c r="A49" s="1132" t="n"/>
      <c r="B49" s="1132" t="n"/>
      <c r="C49" s="1132" t="n"/>
      <c r="D49" s="1132" t="n"/>
      <c r="E49" s="1132" t="n"/>
      <c r="F49" s="1132" t="n"/>
      <c r="G49" s="1132" t="n"/>
      <c r="H49" s="1132" t="n"/>
    </row>
    <row r="50" ht="37.5" customHeight="1" s="491">
      <c r="A50" s="1132" t="n"/>
      <c r="B50" s="1132" t="n"/>
      <c r="C50" s="1132" t="n"/>
      <c r="D50" s="1132" t="n"/>
      <c r="E50" s="1132" t="n"/>
      <c r="F50" s="1132" t="n"/>
      <c r="G50" s="1132" t="n"/>
      <c r="H50" s="1132" t="n"/>
    </row>
    <row r="51" ht="37.5" customHeight="1" s="491">
      <c r="A51" s="1132" t="n"/>
      <c r="B51" s="1132" t="n"/>
      <c r="C51" s="1132" t="n"/>
      <c r="D51" s="1132" t="n"/>
      <c r="E51" s="1132" t="n"/>
      <c r="F51" s="1132" t="n"/>
      <c r="G51" s="1132" t="n"/>
      <c r="H51" s="1132" t="n"/>
    </row>
    <row r="52" ht="37.5" customHeight="1" s="491">
      <c r="A52" s="1132" t="n"/>
      <c r="B52" s="1132" t="n"/>
      <c r="C52" s="1132" t="n"/>
      <c r="D52" s="1132" t="n"/>
      <c r="E52" s="1132" t="n"/>
      <c r="F52" s="1132" t="n"/>
      <c r="G52" s="1132" t="n"/>
      <c r="H52" s="1132" t="n"/>
    </row>
    <row r="53">
      <c r="A53" s="1119" t="n"/>
      <c r="B53" s="1119" t="n"/>
      <c r="C53" s="1119" t="n"/>
      <c r="D53" s="1119" t="n"/>
      <c r="E53" s="1119" t="n"/>
      <c r="F53" s="1119" t="n"/>
      <c r="G53" s="1119" t="n"/>
      <c r="H53" s="1119" t="n"/>
    </row>
    <row r="54" ht="15" customHeight="1" s="491">
      <c r="A54" s="1388" t="inlineStr">
        <is>
          <t>CURRENT WORKING COMMERCIAL SCENARIO - OVERHEAD AND PROFIT FROM COMMERCIAL INPUTS CA17 / CA18</t>
        </is>
      </c>
    </row>
    <row r="55" ht="15" customHeight="1" s="491">
      <c r="A55" s="1140" t="inlineStr">
        <is>
          <t>Scenario</t>
        </is>
      </c>
      <c r="B55" s="1140" t="inlineStr">
        <is>
          <t>Precommercial cost</t>
        </is>
      </c>
      <c r="C55" s="1140" t="inlineStr">
        <is>
          <t>Overhead</t>
        </is>
      </c>
      <c r="D55" s="1140" t="inlineStr">
        <is>
          <t>Subtotal after OH</t>
        </is>
      </c>
      <c r="E55" s="1140" t="inlineStr">
        <is>
          <t>Profit</t>
        </is>
      </c>
      <c r="F55" s="1140" t="inlineStr">
        <is>
          <t>Tender excl GST</t>
        </is>
      </c>
      <c r="G55" s="1140" t="inlineStr">
        <is>
          <t>Commercial uplift</t>
        </is>
      </c>
      <c r="H55" s="1131" t="n"/>
    </row>
    <row r="56" ht="26.39999961853027" customHeight="1" s="491">
      <c r="A56" s="1132" t="inlineStr">
        <is>
          <t>Current known package after overlap</t>
        </is>
      </c>
      <c r="B56" s="1385">
        <f>B14</f>
        <v/>
      </c>
      <c r="C56" s="1385">
        <f>IF('Commercial Inputs'!$F$21&lt;&gt;"Yes",0,IF('Commercial Inputs'!$C$21="Markup %",B56*N('Commercial Inputs'!$D$21),N('Commercial Inputs'!$E$21)))</f>
        <v/>
      </c>
      <c r="D56" s="1385">
        <f>B56+C56</f>
        <v/>
      </c>
      <c r="E56" s="1385">
        <f>IF('Commercial Inputs'!$F$22&lt;&gt;"Yes",0,IF('Commercial Inputs'!$C$22="Margin %",D56/(1-N('Commercial Inputs'!$D$22))-D56,IF('Commercial Inputs'!$C$22="Markup %",D56*N('Commercial Inputs'!$D$22),N('Commercial Inputs'!$E$22))))</f>
        <v/>
      </c>
      <c r="F56" s="1385">
        <f>D56+E56</f>
        <v/>
      </c>
      <c r="G56" s="1385">
        <f>F56-B56</f>
        <v/>
      </c>
      <c r="H56" s="1132" t="n"/>
    </row>
    <row r="57" ht="26.39999961853027" customHeight="1" s="491">
      <c r="A57" s="1132" t="n"/>
      <c r="B57" s="1373" t="n"/>
      <c r="C57" s="1373" t="n"/>
      <c r="D57" s="1373" t="n"/>
      <c r="E57" s="1373" t="n"/>
      <c r="F57" s="1373" t="n"/>
      <c r="G57" s="1373" t="n"/>
      <c r="H57" s="1132" t="n"/>
    </row>
    <row r="58" ht="26.39999961853027" customHeight="1" s="491">
      <c r="A58" s="1132" t="n"/>
      <c r="B58" s="1132" t="n"/>
      <c r="C58" s="1132" t="n"/>
      <c r="D58" s="1132" t="n"/>
      <c r="E58" s="1132" t="n"/>
      <c r="F58" s="1132" t="n"/>
      <c r="G58" s="1132" t="n"/>
      <c r="H58" s="1132" t="n"/>
    </row>
    <row r="59" ht="39.59999847412109" customHeight="1" s="491">
      <c r="A59" s="1132" t="n"/>
      <c r="B59" s="1132" t="n"/>
      <c r="C59" s="1132" t="n"/>
      <c r="D59" s="1132" t="n"/>
      <c r="E59" s="1132" t="n"/>
      <c r="F59" s="1132" t="n"/>
      <c r="G59" s="1132" t="n"/>
      <c r="H59" s="1132" t="n"/>
    </row>
    <row r="60" ht="26.39999961853027" customHeight="1" s="491">
      <c r="A60" s="1132" t="n"/>
      <c r="B60" s="1132" t="n"/>
      <c r="C60" s="1132" t="n"/>
      <c r="D60" s="1132" t="n"/>
      <c r="E60" s="1132" t="n"/>
      <c r="F60" s="1132" t="n"/>
      <c r="G60" s="1132" t="n"/>
      <c r="H60" s="1132" t="n"/>
    </row>
    <row r="61"/>
    <row r="62"/>
    <row r="63"/>
    <row r="64"/>
    <row r="65"/>
    <row r="66"/>
    <row r="67"/>
    <row r="68"/>
    <row r="69"/>
    <row r="70"/>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106"/>
  <sheetViews>
    <sheetView workbookViewId="0">
      <selection activeCell="A1" sqref="A1"/>
    </sheetView>
  </sheetViews>
  <sheetFormatPr baseColWidth="8" defaultRowHeight="13.80000019073486"/>
  <cols>
    <col width="14" customWidth="1" style="491" min="1" max="1"/>
    <col width="34" customWidth="1" style="1389" min="2" max="2"/>
    <col width="18" customWidth="1" style="491" min="3" max="3"/>
    <col width="34" customWidth="1" style="491" min="4" max="4"/>
    <col width="28" customWidth="1" style="491" min="5" max="5"/>
    <col width="52" customWidth="1" style="491" min="6" max="6"/>
  </cols>
  <sheetData>
    <row r="1" ht="21.45000076293945" customHeight="1" s="491">
      <c r="A1" s="439" t="inlineStr">
        <is>
          <t>MASTER ESTIMATE WORKBOOK - TENDER BUILD-UP</t>
        </is>
      </c>
      <c r="B1" s="242" t="n"/>
      <c r="C1" s="16" t="n"/>
      <c r="D1" s="16" t="n"/>
      <c r="E1" s="16" t="n"/>
    </row>
    <row r="2" ht="21.45000076293945" customHeight="1" s="491">
      <c r="A2" s="26" t="n"/>
      <c r="B2" s="1390" t="n"/>
      <c r="C2" s="26" t="n"/>
      <c r="D2" s="26" t="n"/>
      <c r="E2" s="26" t="n"/>
    </row>
    <row r="3" ht="15.30000019073486" customFormat="1" customHeight="1" s="217">
      <c r="A3" s="107" t="inlineStr">
        <is>
          <t>Project</t>
        </is>
      </c>
      <c r="B3" s="1391">
        <f>'Cover &amp; Instructions'!B38</f>
        <v/>
      </c>
      <c r="C3" s="242" t="n"/>
      <c r="D3" s="242" t="n"/>
      <c r="E3" s="242" t="n"/>
    </row>
    <row r="4" ht="15.30000019073486" customFormat="1" customHeight="1" s="217">
      <c r="A4" s="107" t="inlineStr">
        <is>
          <t>Pricing status</t>
        </is>
      </c>
      <c r="B4" s="1391">
        <f>'Cover &amp; Instructions'!B42</f>
        <v/>
      </c>
      <c r="C4" s="242" t="n"/>
      <c r="D4" s="242" t="n"/>
      <c r="E4" s="242" t="n"/>
    </row>
    <row r="5" ht="15.30000019073486" customFormat="1" customHeight="1" s="217">
      <c r="A5" s="107" t="inlineStr">
        <is>
          <t>GST</t>
        </is>
      </c>
      <c r="B5" s="1391" t="inlineStr">
        <is>
          <t>Optional GST display via Commercial Inputs CA21.</t>
        </is>
      </c>
      <c r="C5" s="242" t="n"/>
      <c r="D5" s="242" t="n"/>
      <c r="E5" s="242" t="n"/>
    </row>
    <row r="6" ht="15.30000019073486" customFormat="1" customHeight="1" s="217">
      <c r="A6" s="107" t="inlineStr">
        <is>
          <t>Retention</t>
        </is>
      </c>
      <c r="B6" s="1391" t="inlineStr">
        <is>
          <t>Cashflow only by default.</t>
        </is>
      </c>
      <c r="C6" s="242" t="n"/>
      <c r="D6" s="242" t="n"/>
      <c r="E6" s="242" t="n"/>
    </row>
    <row r="7" ht="25.35000038146973" customHeight="1" s="491">
      <c r="A7" s="8" t="inlineStr">
        <is>
          <t>No direct-cost values are entered on this sheet. Base costs flow from QS Takeoff; commercial provisions flow from Commercial Inputs.</t>
        </is>
      </c>
      <c r="B7" s="1392" t="n"/>
      <c r="C7" s="242" t="n"/>
      <c r="D7" s="242" t="n"/>
      <c r="E7" s="242" t="n"/>
    </row>
    <row r="8" ht="8.850000381469727" customHeight="1" s="491">
      <c r="A8" s="26" t="n"/>
      <c r="B8" s="1390" t="n"/>
      <c r="C8" s="26" t="n"/>
      <c r="D8" s="26" t="n"/>
      <c r="E8" s="26" t="n"/>
    </row>
    <row r="9" ht="17.25" customFormat="1" customHeight="1" s="217">
      <c r="A9" s="202" t="inlineStr">
        <is>
          <t>Base direct estimate (by QS section)</t>
        </is>
      </c>
      <c r="B9" s="1393" t="inlineStr">
        <is>
          <t>Amount excl. GST</t>
        </is>
      </c>
      <c r="C9" s="202" t="inlineStr">
        <is>
          <t>Source</t>
        </is>
      </c>
      <c r="D9" s="202" t="inlineStr">
        <is>
          <t>Treatment</t>
        </is>
      </c>
      <c r="E9" s="202" t="inlineStr">
        <is>
          <t>Notes</t>
        </is>
      </c>
    </row>
    <row r="10" ht="15.75" customFormat="1" customHeight="1" s="217">
      <c r="A10" s="107" t="n"/>
      <c r="B10" s="1394">
        <f>IF(A10="",0,SUMIF('QS Takeoff'!$A$3:$A$202,A10,'QS Takeoff'!$G$3:$G$202))</f>
        <v/>
      </c>
      <c r="C10" s="107" t="inlineStr">
        <is>
          <t>QS Takeoff (type the section name exactly as used on QS Takeoff)</t>
        </is>
      </c>
      <c r="D10" s="107" t="inlineStr">
        <is>
          <t>Priced / provisional</t>
        </is>
      </c>
      <c r="E10" s="107" t="inlineStr">
        <is>
          <t>Linked QS section total; confirm current project scope, classification, source and firm-up action.</t>
        </is>
      </c>
    </row>
    <row r="11" ht="15.75" customFormat="1" customHeight="1" s="217">
      <c r="A11" s="107" t="n"/>
      <c r="B11" s="1394">
        <f>IF(A11="",0,SUMIF('QS Takeoff'!$A$3:$A$202,A11,'QS Takeoff'!$G$3:$G$202))</f>
        <v/>
      </c>
      <c r="C11" s="107" t="inlineStr">
        <is>
          <t>QS Takeoff (type the section name exactly as used on QS Takeoff)</t>
        </is>
      </c>
      <c r="D11" s="107" t="inlineStr">
        <is>
          <t>Priced / provisional</t>
        </is>
      </c>
      <c r="E11" s="107" t="inlineStr">
        <is>
          <t>Linked QS section total; confirm current project ESC scope and requirements.</t>
        </is>
      </c>
    </row>
    <row r="12" ht="15.75" customFormat="1" customHeight="1" s="217">
      <c r="A12" s="107" t="n"/>
      <c r="B12" s="1394">
        <f>IF(A12="",0,SUMIF('QS Takeoff'!$A$3:$A$202,A12,'QS Takeoff'!$G$3:$G$202))</f>
        <v/>
      </c>
      <c r="C12" s="107" t="inlineStr">
        <is>
          <t>QS Takeoff (type the section name exactly as used on QS Takeoff)</t>
        </is>
      </c>
      <c r="D12" s="107" t="inlineStr">
        <is>
          <t>Priced / provisional</t>
        </is>
      </c>
      <c r="E12" s="107" t="inlineStr">
        <is>
          <t>Linked QS section total; confirm current project quantities, ground basis, haul and disposal assumptions.</t>
        </is>
      </c>
    </row>
    <row r="13" ht="15.75" customFormat="1" customHeight="1" s="217">
      <c r="A13" s="107" t="n"/>
      <c r="B13" s="1394">
        <f>IF(A13="",0,SUMIF('QS Takeoff'!$A$3:$A$202,A13,'QS Takeoff'!$G$3:$G$202))</f>
        <v/>
      </c>
      <c r="C13" s="107" t="inlineStr">
        <is>
          <t>QS Takeoff (type the section name exactly as used on QS Takeoff)</t>
        </is>
      </c>
      <c r="D13" s="107" t="inlineStr">
        <is>
          <t>Priced / provisional</t>
        </is>
      </c>
      <c r="E13" s="107" t="inlineStr">
        <is>
          <t>Linked QS section total; confirm current project stormwater / detention design and supplier requirements.</t>
        </is>
      </c>
    </row>
    <row r="14" ht="15.75" customFormat="1" customHeight="1" s="217">
      <c r="A14" s="107" t="n"/>
      <c r="B14" s="1394">
        <f>IF(A14="",0,SUMIF('QS Takeoff'!$A$3:$A$202,A14,'QS Takeoff'!$G$3:$G$202))</f>
        <v/>
      </c>
      <c r="C14" s="107" t="inlineStr">
        <is>
          <t>QS Takeoff (type the section name exactly as used on QS Takeoff)</t>
        </is>
      </c>
      <c r="D14" s="107" t="inlineStr">
        <is>
          <t>Priced / provisional</t>
        </is>
      </c>
      <c r="E14" s="107" t="inlineStr">
        <is>
          <t>Linked QS section total; confirm current project wastewater / water scope and authority interfaces.</t>
        </is>
      </c>
    </row>
    <row r="15" ht="15.75" customFormat="1" customHeight="1" s="217">
      <c r="A15" s="107" t="n"/>
      <c r="B15" s="1394">
        <f>IF(A15="",0,SUMIF('QS Takeoff'!$A$3:$A$202,A15,'QS Takeoff'!$G$3:$G$202))</f>
        <v/>
      </c>
      <c r="C15" s="107" t="inlineStr">
        <is>
          <t>QS Takeoff (type the section name exactly as used on QS Takeoff)</t>
        </is>
      </c>
      <c r="D15" s="107" t="inlineStr">
        <is>
          <t>Priced / provisional</t>
        </is>
      </c>
      <c r="E15" s="107" t="inlineStr">
        <is>
          <t>Linked QS section total; confirm current project pavement / concrete scope and specification.</t>
        </is>
      </c>
    </row>
    <row r="16" ht="15.75" customFormat="1" customHeight="1" s="217">
      <c r="A16" s="107" t="n"/>
      <c r="B16" s="1394">
        <f>IF(A16="",0,SUMIF('QS Takeoff'!$A$3:$A$202,A16,'QS Takeoff'!$G$3:$G$202))</f>
        <v/>
      </c>
      <c r="C16" s="107" t="inlineStr">
        <is>
          <t>QS Takeoff (type the section name exactly as used on QS Takeoff)</t>
        </is>
      </c>
      <c r="D16" s="107" t="inlineStr">
        <is>
          <t>Priced / provisional</t>
        </is>
      </c>
      <c r="E16" s="107" t="inlineStr">
        <is>
          <t>Linked QS section total; confirm current project kerb / external sitework scope.</t>
        </is>
      </c>
    </row>
    <row r="17" ht="15.75" customFormat="1" customHeight="1" s="217">
      <c r="A17" s="107" t="n"/>
      <c r="B17" s="1394">
        <f>IF(A17="",0,SUMIF('QS Takeoff'!$A$3:$A$202,A17,'QS Takeoff'!$G$3:$G$202))</f>
        <v/>
      </c>
      <c r="C17" s="107" t="inlineStr">
        <is>
          <t>QS Takeoff (type the section name exactly as used on QS Takeoff)</t>
        </is>
      </c>
      <c r="D17" s="107" t="inlineStr">
        <is>
          <t>Priced / provisional</t>
        </is>
      </c>
      <c r="E17" s="107" t="inlineStr">
        <is>
          <t>Linked QS section total; confirm current project retaining-wall design, quantities and temporary works.</t>
        </is>
      </c>
    </row>
    <row r="18" ht="15.75" customFormat="1" customHeight="1" s="217">
      <c r="A18" s="107" t="n"/>
      <c r="B18" s="1394">
        <f>IF(A18="",0,SUMIF('QS Takeoff'!$A$3:$A$202,A18,'QS Takeoff'!$G$3:$G$202))</f>
        <v/>
      </c>
      <c r="C18" s="107" t="inlineStr">
        <is>
          <t>QS Takeoff (type the section name exactly as used on QS Takeoff)</t>
        </is>
      </c>
      <c r="D18" s="107" t="inlineStr">
        <is>
          <t>Priced / provisional</t>
        </is>
      </c>
      <c r="E18" s="107" t="inlineStr">
        <is>
          <t>Linked QS section total; confirm current testing, survey, as-built and compliance obligations.</t>
        </is>
      </c>
    </row>
    <row r="19" ht="15.75" customFormat="1" customHeight="1" s="217">
      <c r="A19" s="108" t="n"/>
      <c r="B19" s="1395">
        <f>IF(A19="",0,SUMIF('QS Takeoff'!$A$3:$A$202,A19,'QS Takeoff'!$G$3:$G$202))</f>
        <v/>
      </c>
      <c r="C19" s="109" t="inlineStr">
        <is>
          <t>QS Takeoff (type the section name exactly as used on QS Takeoff)</t>
        </is>
      </c>
      <c r="D19" s="108" t="inlineStr">
        <is>
          <t>Priced / provisional</t>
        </is>
      </c>
      <c r="E19" s="108" t="inlineStr">
        <is>
          <t>Linked QS section total; confirm current reinstatement, defects and handover obligations.</t>
        </is>
      </c>
    </row>
    <row r="20" ht="15.75" customFormat="1" customHeight="1" s="217">
      <c r="A20" s="208" t="inlineStr">
        <is>
          <t>Base direct estimate excl. GST</t>
        </is>
      </c>
      <c r="B20" s="1396">
        <f>SUM('QS Takeoff'!$G$3:$G$202)</f>
        <v/>
      </c>
      <c r="C20" s="208" t="n"/>
      <c r="D20" s="208" t="inlineStr">
        <is>
          <t>Subtotal</t>
        </is>
      </c>
      <c r="E20" s="208" t="inlineStr">
        <is>
          <t>Direct cost sourced from Resource Build-Up through QS Takeoff; includes measured, provisional, allowance and PC items.</t>
        </is>
      </c>
    </row>
    <row r="21" ht="15.75" customHeight="1" s="491">
      <c r="A21" s="1397" t="inlineStr">
        <is>
          <t>Check: QS sections not listed above (must be zero)</t>
        </is>
      </c>
      <c r="B21" s="1398">
        <f>ROUND(B20-SUM(B10:B19),2)</f>
        <v/>
      </c>
      <c r="C21" s="1397">
        <f>IF(B21=0,"OK","CHECK - list every QS section above")</f>
        <v/>
      </c>
      <c r="D21" s="26" t="n"/>
      <c r="E21" s="26" t="n"/>
    </row>
    <row r="22" ht="22.04999923706055" customFormat="1" customHeight="1" s="217">
      <c r="A22" s="202" t="inlineStr">
        <is>
          <t>Pre-margin additions</t>
        </is>
      </c>
      <c r="B22" s="1399" t="inlineStr">
        <is>
          <t>Calculated amount excl. GST</t>
        </is>
      </c>
      <c r="C22" s="202" t="inlineStr">
        <is>
          <t>Input source</t>
        </is>
      </c>
      <c r="D22" s="202" t="inlineStr">
        <is>
          <t>Include?</t>
        </is>
      </c>
      <c r="E22" s="202" t="inlineStr">
        <is>
          <t>Basis / Notes</t>
        </is>
      </c>
    </row>
    <row r="23" ht="17.70000076293945" customHeight="1" s="491">
      <c r="A23" s="26" t="inlineStr">
        <is>
          <t>CA01 - Design / scope residual risk - Risk Truth</t>
        </is>
      </c>
      <c r="B23" s="1400">
        <f>IF('Commercial Inputs'!$F$5&lt;&gt;"Yes",0,IF(OR('Commercial Inputs'!$C$5="Risk Engine",'Commercial Inputs'!$C$5="Weather Engine"),N('Commercial Inputs'!$L$5),IF('Commercial Inputs'!$C$5="PC Sum",N('Commercial Inputs'!$E$5),IF('Commercial Inputs'!$C$5="%",$B$20*N('Commercial Inputs'!$D$5),0))))</f>
        <v/>
      </c>
      <c r="C23" s="26">
        <f>'Commercial Inputs'!C5</f>
        <v/>
      </c>
      <c r="D23" s="26">
        <f>'Commercial Inputs'!F5</f>
        <v/>
      </c>
      <c r="E23" s="26" t="inlineStr">
        <is>
          <t>CA01 defaults to Risk Truth. PC Sum or % may be selected as a stated adjudication override; Include? controls whether the selected treatment enters the tender.</t>
        </is>
      </c>
    </row>
    <row r="24" ht="17.70000076293945" customHeight="1" s="491">
      <c r="A24" s="28" t="inlineStr">
        <is>
          <t>CA02 - Construction / execution residual risk - Risk Truth</t>
        </is>
      </c>
      <c r="B24" s="1401">
        <f>IF('Commercial Inputs'!$F$6&lt;&gt;"Yes",0,IF(OR('Commercial Inputs'!$C$6="Risk Engine",'Commercial Inputs'!$C$6="Weather Engine"),N('Commercial Inputs'!$L$6),IF('Commercial Inputs'!$C$6="PC Sum",N('Commercial Inputs'!$E$6),IF('Commercial Inputs'!$C$6="%",$B$20*N('Commercial Inputs'!$D$6),0))))</f>
        <v/>
      </c>
      <c r="C24" s="28">
        <f>'Commercial Inputs'!C6</f>
        <v/>
      </c>
      <c r="D24" s="28">
        <f>'Commercial Inputs'!F6</f>
        <v/>
      </c>
      <c r="E24" s="28" t="inlineStr">
        <is>
          <t>CA02 defaults to Risk Truth. PC Sum or % may be selected as a stated adjudication override; Include? controls whether the selected treatment enters the tender.</t>
        </is>
      </c>
    </row>
    <row r="25" ht="17.70000076293945" customHeight="1" s="491">
      <c r="A25" s="28">
        <f>'Commercial Inputs'!A7&amp;" - "&amp;'Commercial Inputs'!B7</f>
        <v/>
      </c>
      <c r="B25" s="1401">
        <f>IF('Commercial Inputs'!$F$7&lt;&gt;"Yes",0,IF(OR('Commercial Inputs'!$C$7="Risk Engine",'Commercial Inputs'!$C$7="Weather Engine"),N('Commercial Inputs'!$L$7),IF('Commercial Inputs'!$C$7="PC Sum",N('Commercial Inputs'!$E$7),IF('Commercial Inputs'!$C$7="%",$B$20*N('Commercial Inputs'!$D$7),0))))</f>
        <v/>
      </c>
      <c r="C25" s="28">
        <f>'Commercial Inputs'!C7</f>
        <v/>
      </c>
      <c r="D25" s="28">
        <f>'Commercial Inputs'!F7</f>
        <v/>
      </c>
      <c r="E25" s="28">
        <f>'Commercial Inputs'!I7</f>
        <v/>
      </c>
    </row>
    <row r="26" ht="17.70000076293945" customHeight="1" s="491">
      <c r="A26" s="28">
        <f>'Commercial Inputs'!A8&amp;" - "&amp;'Commercial Inputs'!B8</f>
        <v/>
      </c>
      <c r="B26" s="1401">
        <f>IF('Commercial Inputs'!$F$8&lt;&gt;"Yes",0,IF(OR('Commercial Inputs'!$C$8="Risk Engine",'Commercial Inputs'!$C$8="Weather Engine"),N('Commercial Inputs'!$L$8),IF('Commercial Inputs'!$C$8="PC Sum",N('Commercial Inputs'!$E$8),IF('Commercial Inputs'!$C$8="%",$B$20*N('Commercial Inputs'!$D$8),0))))</f>
        <v/>
      </c>
      <c r="C26" s="28">
        <f>'Commercial Inputs'!C8</f>
        <v/>
      </c>
      <c r="D26" s="28">
        <f>'Commercial Inputs'!F8</f>
        <v/>
      </c>
      <c r="E26" s="28">
        <f>'Commercial Inputs'!I8</f>
        <v/>
      </c>
    </row>
    <row r="27" ht="17.70000076293945" customHeight="1" s="491">
      <c r="A27" s="28">
        <f>'Commercial Inputs'!A9&amp;" - "&amp;'Commercial Inputs'!B9</f>
        <v/>
      </c>
      <c r="B27" s="1401">
        <f>IF('Commercial Inputs'!$F$9&lt;&gt;"Yes",0,IF(OR('Commercial Inputs'!$C$9="Risk Engine",'Commercial Inputs'!$C$9="Weather Engine"),N('Commercial Inputs'!$L$9),IF('Commercial Inputs'!$C$9="PC Sum",N('Commercial Inputs'!$E$9),IF('Commercial Inputs'!$C$9="%",$B$20*N('Commercial Inputs'!$D$9),0))))</f>
        <v/>
      </c>
      <c r="C27" s="28">
        <f>'Commercial Inputs'!C9</f>
        <v/>
      </c>
      <c r="D27" s="28">
        <f>'Commercial Inputs'!F9</f>
        <v/>
      </c>
      <c r="E27" s="28">
        <f>'Commercial Inputs'!I9</f>
        <v/>
      </c>
    </row>
    <row r="28" ht="17.70000076293945" customHeight="1" s="491">
      <c r="A28" s="28">
        <f>'Commercial Inputs'!A10&amp;" - "&amp;'Commercial Inputs'!B10</f>
        <v/>
      </c>
      <c r="B28" s="1401">
        <f>IF('Commercial Inputs'!$F$10&lt;&gt;"Yes",0,IF(OR('Commercial Inputs'!$C$10="Risk Engine",'Commercial Inputs'!$C$10="Weather Engine"),N('Commercial Inputs'!$L$10),IF('Commercial Inputs'!$C$10="PC Sum",N('Commercial Inputs'!$E$10),IF('Commercial Inputs'!$C$10="%",$B$20*N('Commercial Inputs'!$D$10),0))))</f>
        <v/>
      </c>
      <c r="C28" s="28">
        <f>'Commercial Inputs'!C10</f>
        <v/>
      </c>
      <c r="D28" s="28">
        <f>'Commercial Inputs'!F10</f>
        <v/>
      </c>
      <c r="E28" s="28">
        <f>'Commercial Inputs'!I10</f>
        <v/>
      </c>
    </row>
    <row r="29" ht="17.70000076293945" customHeight="1" s="491">
      <c r="A29" s="28">
        <f>'Commercial Inputs'!A11&amp;" - "&amp;'Commercial Inputs'!B11</f>
        <v/>
      </c>
      <c r="B29" s="1401">
        <f>IF('Commercial Inputs'!$F$11&lt;&gt;"Yes",0,IF(OR('Commercial Inputs'!$C$11="Risk Engine",'Commercial Inputs'!$C$11="Weather Engine"),N('Commercial Inputs'!$L$11),IF('Commercial Inputs'!$C$11="PC Sum",N('Commercial Inputs'!$E$11),IF('Commercial Inputs'!$C$11="%",$B$20*N('Commercial Inputs'!$D$11),0))))</f>
        <v/>
      </c>
      <c r="C29" s="28">
        <f>'Commercial Inputs'!C11</f>
        <v/>
      </c>
      <c r="D29" s="28">
        <f>'Commercial Inputs'!F11</f>
        <v/>
      </c>
      <c r="E29" s="28">
        <f>'Commercial Inputs'!I11</f>
        <v/>
      </c>
    </row>
    <row r="30" ht="17.70000076293945" customHeight="1" s="491">
      <c r="A30" s="28" t="inlineStr">
        <is>
          <t>CA08 - Abnormal ground / contamination / rock allowance</t>
        </is>
      </c>
      <c r="B30" s="1401">
        <f>IF('Commercial Inputs'!$F$12&lt;&gt;"Yes",0,IF(OR('Commercial Inputs'!$C$12="Risk Engine",'Commercial Inputs'!$C$12="Weather Engine"),N('Commercial Inputs'!$L$12),IF('Commercial Inputs'!$C$12="PC Sum",N('Commercial Inputs'!$E$12),IF('Commercial Inputs'!$C$12="%",$B$20*N('Commercial Inputs'!$D$12),0))))</f>
        <v/>
      </c>
      <c r="C30" s="28">
        <f>'Commercial Inputs'!C12</f>
        <v/>
      </c>
      <c r="D30" s="28">
        <f>'Commercial Inputs'!F12</f>
        <v/>
      </c>
      <c r="E30" s="28" t="inlineStr">
        <is>
          <t>No generic ground percentage. Use only an explicit evidence-based provision not more truthfully placed in QS or a specialist engine.</t>
        </is>
      </c>
    </row>
    <row r="31" ht="17.70000076293945" customHeight="1" s="491">
      <c r="A31" s="28">
        <f>'Commercial Inputs'!A13&amp;" - "&amp;'Commercial Inputs'!B13</f>
        <v/>
      </c>
      <c r="B31" s="1401">
        <f>IF('Commercial Inputs'!$F$13&lt;&gt;"Yes",0,IF(OR('Commercial Inputs'!$C$13="Risk Engine",'Commercial Inputs'!$C$13="Weather Engine"),N('Commercial Inputs'!$L$13),IF('Commercial Inputs'!$C$13="PC Sum",N('Commercial Inputs'!$E$13),IF('Commercial Inputs'!$C$13="%",$B$20*N('Commercial Inputs'!$D$13),0))))</f>
        <v/>
      </c>
      <c r="C31" s="28">
        <f>'Commercial Inputs'!C13</f>
        <v/>
      </c>
      <c r="D31" s="28">
        <f>'Commercial Inputs'!F13</f>
        <v/>
      </c>
      <c r="E31" s="28" t="inlineStr">
        <is>
          <t>Project-specific construction water-control provision only; check overlap with Weather / Ground risk treatment.</t>
        </is>
      </c>
    </row>
    <row r="32" ht="17.70000076293945" customHeight="1" s="491">
      <c r="A32" s="28">
        <f>'Commercial Inputs'!A14&amp;" - "&amp;'Commercial Inputs'!B14</f>
        <v/>
      </c>
      <c r="B32" s="1401">
        <f>IF('Commercial Inputs'!$F$14&lt;&gt;"Yes",0,IF(OR('Commercial Inputs'!$C$14="Risk Engine",'Commercial Inputs'!$C$14="Weather Engine"),N('Commercial Inputs'!$L$14),IF('Commercial Inputs'!$C$14="PC Sum",N('Commercial Inputs'!$E$14),IF('Commercial Inputs'!$C$14="%",$B$20*N('Commercial Inputs'!$D$14),0))))</f>
        <v/>
      </c>
      <c r="C32" s="28">
        <f>'Commercial Inputs'!C14</f>
        <v/>
      </c>
      <c r="D32" s="28">
        <f>'Commercial Inputs'!F14</f>
        <v/>
      </c>
      <c r="E32" s="28" t="inlineStr">
        <is>
          <t>CA10 defaults to Weather Engine. PC Sum or % may be selected explicitly; Include? can turn the weather allowance off while the engine output remains retained for audit.</t>
        </is>
      </c>
    </row>
    <row r="33" ht="17.70000076293945" customHeight="1" s="491">
      <c r="A33" s="28">
        <f>'Commercial Inputs'!A15&amp;" - "&amp;'Commercial Inputs'!B15</f>
        <v/>
      </c>
      <c r="B33" s="1401">
        <f>IF('Commercial Inputs'!$F$15&lt;&gt;"Yes",0,IF(OR('Commercial Inputs'!$C$15="Risk Engine",'Commercial Inputs'!$C$15="Weather Engine"),N('Commercial Inputs'!$L$15),IF('Commercial Inputs'!$C$15="PC Sum",N('Commercial Inputs'!$E$15),IF('Commercial Inputs'!$C$15="%",$B$20*N('Commercial Inputs'!$D$15),0))))</f>
        <v/>
      </c>
      <c r="C33" s="28">
        <f>'Commercial Inputs'!C15</f>
        <v/>
      </c>
      <c r="D33" s="28">
        <f>'Commercial Inputs'!F15</f>
        <v/>
      </c>
      <c r="E33" s="28">
        <f>'Commercial Inputs'!I15</f>
        <v/>
      </c>
    </row>
    <row r="34" ht="17.70000076293945" customHeight="1" s="491">
      <c r="A34" s="28">
        <f>'Commercial Inputs'!A16&amp;" - "&amp;'Commercial Inputs'!B16</f>
        <v/>
      </c>
      <c r="B34" s="1401">
        <f>IF('Commercial Inputs'!$F$16&lt;&gt;"Yes",0,IF(OR('Commercial Inputs'!$C$16="Risk Engine",'Commercial Inputs'!$C$16="Weather Engine"),N('Commercial Inputs'!$L$16),IF('Commercial Inputs'!$C$16="PC Sum",N('Commercial Inputs'!$E$16),IF('Commercial Inputs'!$C$16="%",$B$20*N('Commercial Inputs'!$D$16),0))))</f>
        <v/>
      </c>
      <c r="C34" s="28">
        <f>'Commercial Inputs'!C16</f>
        <v/>
      </c>
      <c r="D34" s="28">
        <f>'Commercial Inputs'!F16</f>
        <v/>
      </c>
      <c r="E34" s="28" t="inlineStr">
        <is>
          <t>Reasonable defects / closeout attendance is included under RH01.</t>
        </is>
      </c>
    </row>
    <row r="35" ht="17.70000076293945" customHeight="1" s="491">
      <c r="A35" s="28">
        <f>'Commercial Inputs'!A17&amp;" - "&amp;'Commercial Inputs'!B17</f>
        <v/>
      </c>
      <c r="B35" s="1401">
        <f>IF('Commercial Inputs'!$F$17&lt;&gt;"Yes",0,IF(OR('Commercial Inputs'!$C$17="Risk Engine",'Commercial Inputs'!$C$17="Weather Engine"),N('Commercial Inputs'!$L$17),IF('Commercial Inputs'!$C$17="PC Sum",N('Commercial Inputs'!$E$17),IF('Commercial Inputs'!$C$17="%",$B$20*N('Commercial Inputs'!$D$17),0))))</f>
        <v/>
      </c>
      <c r="C35" s="28">
        <f>'Commercial Inputs'!C17</f>
        <v/>
      </c>
      <c r="D35" s="28">
        <f>'Commercial Inputs'!F17</f>
        <v/>
      </c>
      <c r="E35" s="28" t="inlineStr">
        <is>
          <t>Basic Siteworks traffic / pedestrian / access controls are included within the itemised PG01 preliminaries.</t>
        </is>
      </c>
    </row>
    <row r="36" ht="17.70000076293945" customHeight="1" s="491">
      <c r="A36" s="28">
        <f>'Commercial Inputs'!A18&amp;" - "&amp;'Commercial Inputs'!B18</f>
        <v/>
      </c>
      <c r="B36" s="1401">
        <f>IF('Commercial Inputs'!$F$18&lt;&gt;"Yes",0,IF(OR('Commercial Inputs'!$C$18="Risk Engine",'Commercial Inputs'!$C$18="Weather Engine"),N('Commercial Inputs'!$L$18),IF('Commercial Inputs'!$C$18="PC Sum",N('Commercial Inputs'!$E$18),IF('Commercial Inputs'!$C$18="%",$B$20*N('Commercial Inputs'!$D$18),0))))</f>
        <v/>
      </c>
      <c r="C36" s="28">
        <f>'Commercial Inputs'!C18</f>
        <v/>
      </c>
      <c r="D36" s="28">
        <f>'Commercial Inputs'!F18</f>
        <v/>
      </c>
      <c r="E36" s="28">
        <f>'Commercial Inputs'!I18</f>
        <v/>
      </c>
    </row>
    <row r="37" ht="17.70000076293945" customHeight="1" s="491">
      <c r="A37" s="28">
        <f>'Commercial Inputs'!A19&amp;" - "&amp;'Commercial Inputs'!B19</f>
        <v/>
      </c>
      <c r="B37" s="1401">
        <f>IF('Commercial Inputs'!$F$19&lt;&gt;"Yes",0,IF(OR('Commercial Inputs'!$C$19="Risk Engine",'Commercial Inputs'!$C$19="Weather Engine"),N('Commercial Inputs'!$L$19),IF('Commercial Inputs'!$C$19="PC Sum",N('Commercial Inputs'!$E$19),IF('Commercial Inputs'!$C$19="%",$B$20*N('Commercial Inputs'!$D$19),0))))</f>
        <v/>
      </c>
      <c r="C37" s="28">
        <f>'Commercial Inputs'!C19</f>
        <v/>
      </c>
      <c r="D37" s="28">
        <f>'Commercial Inputs'!F19</f>
        <v/>
      </c>
      <c r="E37" s="28">
        <f>'Commercial Inputs'!I19</f>
        <v/>
      </c>
    </row>
    <row r="38" ht="16.79999923706055" customHeight="1" s="491">
      <c r="A38" s="28">
        <f>'Commercial Inputs'!A20&amp;" - "&amp;'Commercial Inputs'!B20</f>
        <v/>
      </c>
      <c r="B38" s="1401">
        <f>IF('Commercial Inputs'!$F$20&lt;&gt;"Yes",0,IF(OR('Commercial Inputs'!$C$20="Risk Engine",'Commercial Inputs'!$C$20="Weather Engine"),N('Commercial Inputs'!$L$20),IF(OR('Commercial Inputs'!$C$20="PC Sum",'Commercial Inputs'!$C$20="Fixed Amount"),N('Commercial Inputs'!$E$20),IF('Commercial Inputs'!$C$20="%",$B$20*N('Commercial Inputs'!$D$20),0))))</f>
        <v/>
      </c>
      <c r="C38" s="28">
        <f>'Commercial Inputs'!C20</f>
        <v/>
      </c>
      <c r="D38" s="28">
        <f>'Commercial Inputs'!F20</f>
        <v/>
      </c>
      <c r="E38" s="28" t="inlineStr">
        <is>
          <t>PROVIDED / AMBER management adjudication reserve</t>
        </is>
      </c>
    </row>
    <row r="39" ht="16.79999923706055" customHeight="1" s="491">
      <c r="A39" s="28" t="inlineStr">
        <is>
          <t>Pre-margin additions subtotal</t>
        </is>
      </c>
      <c r="B39" s="1401">
        <f>SUM(B23:B38)</f>
        <v/>
      </c>
      <c r="C39" s="28" t="n"/>
      <c r="D39" s="28" t="n"/>
      <c r="E39" s="28" t="n"/>
    </row>
    <row r="40" ht="14.85000038146973" customFormat="1" customHeight="1" s="217">
      <c r="A40" s="108" t="inlineStr">
        <is>
          <t>Subtotal before commercial adjustments</t>
        </is>
      </c>
      <c r="B40" s="1395">
        <f>B20+B39</f>
        <v/>
      </c>
      <c r="C40" s="109" t="n"/>
      <c r="D40" s="109" t="n"/>
      <c r="E40" s="109" t="n"/>
    </row>
    <row r="41" ht="16.35000038146973" customHeight="1" s="491">
      <c r="A41" s="7" t="inlineStr">
        <is>
          <t>Overhead, profit and other commercial adjustments</t>
        </is>
      </c>
      <c r="B41" s="1402" t="inlineStr">
        <is>
          <t>Calculated amount excl. GST</t>
        </is>
      </c>
      <c r="C41" s="10" t="inlineStr">
        <is>
          <t>Input source</t>
        </is>
      </c>
      <c r="D41" s="10" t="inlineStr">
        <is>
          <t>Include?</t>
        </is>
      </c>
      <c r="E41" s="10" t="inlineStr">
        <is>
          <t>Basis / Notes</t>
        </is>
      </c>
    </row>
    <row r="42" ht="16.35000038146973" customFormat="1" customHeight="1" s="610">
      <c r="A42" s="25">
        <f>'Commercial Inputs'!A21&amp;" - "&amp;'Commercial Inputs'!B21</f>
        <v/>
      </c>
      <c r="B42" s="1403">
        <f>IF('Commercial Inputs'!$F$21&lt;&gt;"Yes",0,IF('Commercial Inputs'!$C$21="Markup %",$B$40*N('Commercial Inputs'!$D$21),IF('Commercial Inputs'!$C$21="Fixed Amount",N('Commercial Inputs'!$E$21),0)))</f>
        <v/>
      </c>
      <c r="C42" s="25">
        <f>'Commercial Inputs'!C21</f>
        <v/>
      </c>
      <c r="D42" s="25">
        <f>'Commercial Inputs'!F21</f>
        <v/>
      </c>
      <c r="E42" s="25" t="n"/>
    </row>
    <row r="43" ht="16.35000038146973" customHeight="1" s="491">
      <c r="A43" s="9">
        <f>'Commercial Inputs'!A22&amp;" - "&amp;'Commercial Inputs'!B22</f>
        <v/>
      </c>
      <c r="B43" s="1404">
        <f>IF('Commercial Inputs'!$F$22&lt;&gt;"Yes",0,IF('Commercial Inputs'!$C$22="Margin %",($B$40+$B$42+$B$44+$B$45)/(1-N('Commercial Inputs'!$D$22))-($B$40+$B$42+$B$44+$B$45),IF('Commercial Inputs'!$C$22="Markup %",($B$40+$B$42+$B$44+$B$45)*N('Commercial Inputs'!$D$22),IF('Commercial Inputs'!$C$22="Fixed Amount",N('Commercial Inputs'!$E$22),0))))</f>
        <v/>
      </c>
      <c r="C43" s="9">
        <f>'Commercial Inputs'!C22</f>
        <v/>
      </c>
      <c r="D43" s="9">
        <f>'Commercial Inputs'!F22</f>
        <v/>
      </c>
      <c r="E43" s="9" t="n"/>
    </row>
    <row r="44" ht="16.35000038146973" customHeight="1" s="491">
      <c r="A44" s="28">
        <f>'Commercial Inputs'!A23&amp;" - "&amp;'Commercial Inputs'!B23</f>
        <v/>
      </c>
      <c r="B44" s="1401">
        <f>IF('Commercial Inputs'!$F$23&lt;&gt;"Yes",0,IF('Commercial Inputs'!$C$23="%",$B$40*N('Commercial Inputs'!$D$23),IF('Commercial Inputs'!$C$23="PC Sum",N('Commercial Inputs'!$E$23),0)))</f>
        <v/>
      </c>
      <c r="C44" s="28">
        <f>'Commercial Inputs'!C23</f>
        <v/>
      </c>
      <c r="D44" s="28">
        <f>'Commercial Inputs'!F23</f>
        <v/>
      </c>
      <c r="E44" s="28">
        <f>'Commercial Inputs'!I23</f>
        <v/>
      </c>
    </row>
    <row r="45" ht="16.35000038146973" customHeight="1" s="491">
      <c r="A45" s="28">
        <f>'Commercial Inputs'!A24&amp;" - "&amp;'Commercial Inputs'!B24</f>
        <v/>
      </c>
      <c r="B45" s="1401">
        <f>IF('Commercial Inputs'!$F$24&lt;&gt;"Yes",0,IF('Commercial Inputs'!$C$24="%",$B$40*N('Commercial Inputs'!$D$24),IF('Commercial Inputs'!$C$24="PC Sum",N('Commercial Inputs'!$E$24),0)))</f>
        <v/>
      </c>
      <c r="C45" s="28">
        <f>'Commercial Inputs'!C24</f>
        <v/>
      </c>
      <c r="D45" s="28">
        <f>'Commercial Inputs'!F24</f>
        <v/>
      </c>
      <c r="E45" s="28">
        <f>'Commercial Inputs'!I24</f>
        <v/>
      </c>
    </row>
    <row r="46" ht="16.35000038146973" customHeight="1" s="491">
      <c r="A46" s="28" t="inlineStr">
        <is>
          <t>Commercial adjustments subtotal</t>
        </is>
      </c>
      <c r="B46" s="1401">
        <f>SUM(B42:B45)</f>
        <v/>
      </c>
      <c r="C46" s="28" t="n"/>
      <c r="D46" s="28" t="n"/>
      <c r="E46" s="28" t="n"/>
    </row>
    <row r="47" ht="16.35000038146973" customHeight="1" s="491">
      <c r="A47" s="7" t="inlineStr">
        <is>
          <t>Tender total excl. GST</t>
        </is>
      </c>
      <c r="B47" s="1402">
        <f>B40+B46</f>
        <v/>
      </c>
      <c r="C47" s="10" t="n"/>
      <c r="D47" s="10" t="inlineStr">
        <is>
          <t>Subtotal</t>
        </is>
      </c>
      <c r="E47" s="10" t="inlineStr">
        <is>
          <t>Base direct estimate + selected pre-margin additions + commercial adjustments.</t>
        </is>
      </c>
    </row>
    <row r="48" ht="16.35000038146973" customHeight="1" s="491">
      <c r="A48" s="7" t="inlineStr">
        <is>
          <t>GST if selected</t>
        </is>
      </c>
      <c r="B48" s="1402">
        <f>IF('Commercial Inputs'!$F$25="Yes",$B$47*N('Commercial Inputs'!$D$25),0)</f>
        <v/>
      </c>
      <c r="C48" s="10" t="inlineStr">
        <is>
          <t>Commercial Inputs CA21</t>
        </is>
      </c>
      <c r="D48" s="7" t="inlineStr">
        <is>
          <t>Optional</t>
        </is>
      </c>
      <c r="E48" s="7" t="inlineStr">
        <is>
          <t>GST applies only when CA21 Include? is Yes.</t>
        </is>
      </c>
    </row>
    <row r="49" ht="16.35000038146973" customHeight="1" s="491">
      <c r="A49" s="7" t="inlineStr">
        <is>
          <t>Tender total incl. GST if selected</t>
        </is>
      </c>
      <c r="B49" s="1402">
        <f>B47+B48</f>
        <v/>
      </c>
      <c r="C49" s="7" t="n"/>
      <c r="D49" s="7" t="inlineStr">
        <is>
          <t>Subtotal</t>
        </is>
      </c>
      <c r="E49" s="7" t="inlineStr">
        <is>
          <t>For GST-inclusive check only.</t>
        </is>
      </c>
    </row>
    <row r="50" ht="16.35000038146973" customHeight="1" s="491">
      <c r="A50" s="7" t="n"/>
      <c r="B50" s="1402" t="n"/>
      <c r="C50" s="10" t="n"/>
      <c r="D50" s="7" t="n"/>
      <c r="E50" s="7" t="n"/>
    </row>
    <row r="51" ht="16.79999923706055" customHeight="1" s="491">
      <c r="A51" s="11" t="inlineStr">
        <is>
          <t>Cashflow / contract security visibility only</t>
        </is>
      </c>
      <c r="B51" s="1405" t="inlineStr">
        <is>
          <t>Calculated value</t>
        </is>
      </c>
      <c r="C51" s="11" t="inlineStr">
        <is>
          <t>Input source</t>
        </is>
      </c>
      <c r="D51" s="11" t="inlineStr">
        <is>
          <t>Include?</t>
        </is>
      </c>
      <c r="E51" s="11" t="inlineStr">
        <is>
          <t>Notes</t>
        </is>
      </c>
    </row>
    <row r="52" ht="16.79999923706055" customHeight="1" s="491">
      <c r="A52" s="9" t="inlineStr">
        <is>
          <t>Contract retention withholding</t>
        </is>
      </c>
      <c r="B52" s="1404">
        <f>IF('Commercial Inputs'!$F$26&lt;&gt;"Yes",0,$B$47*'Commercial Inputs'!$D$26*(1-IF(AND('Commercial Inputs'!$F$28="Yes",'Commercial Inputs'!$F$29&lt;&gt;"Yes"),'Commercial Inputs'!$D$28,0)))</f>
        <v/>
      </c>
      <c r="C52" s="9" t="inlineStr">
        <is>
          <t>Commercial Inputs CA22</t>
        </is>
      </c>
      <c r="D52" s="9" t="inlineStr">
        <is>
          <t>Cashflow only</t>
        </is>
      </c>
      <c r="E52" s="9" t="inlineStr">
        <is>
          <t>Retention withholding on retention-applicable contract value; deposit treatment controlled by CA25.</t>
        </is>
      </c>
    </row>
    <row r="53" ht="16.79999923706055" customHeight="1" s="491">
      <c r="A53" s="7" t="inlineStr">
        <is>
          <t>Net pre-GST payment after retention</t>
        </is>
      </c>
      <c r="B53" s="1402">
        <f>$B$47-$B$52</f>
        <v/>
      </c>
      <c r="C53" s="7" t="inlineStr">
        <is>
          <t>Calculated</t>
        </is>
      </c>
      <c r="D53" s="7" t="inlineStr">
        <is>
          <t>Cashflow only</t>
        </is>
      </c>
      <c r="E53" s="7" t="inlineStr">
        <is>
          <t>Tender total excl. GST less current retention withholding.</t>
        </is>
      </c>
    </row>
    <row r="54" ht="16.79999923706055" customHeight="1" s="491">
      <c r="A54" s="26" t="inlineStr">
        <is>
          <t>Retention holding period</t>
        </is>
      </c>
      <c r="B54" s="1406">
        <f>IF('Commercial Inputs'!$F$27="Yes",'Commercial Inputs'!$D$27,0)</f>
        <v/>
      </c>
      <c r="C54" s="26" t="inlineStr">
        <is>
          <t>Commercial Inputs CA23</t>
        </is>
      </c>
      <c r="D54" s="26" t="inlineStr">
        <is>
          <t>Cashflow only</t>
        </is>
      </c>
      <c r="E54" s="26" t="inlineStr">
        <is>
          <t>Months from practical completion unless contract states otherwise.</t>
        </is>
      </c>
    </row>
    <row r="55" ht="16.79999923706055" customHeight="1" s="491">
      <c r="A55" s="26" t="inlineStr">
        <is>
          <t>Retention released after holding period</t>
        </is>
      </c>
      <c r="B55" s="1406">
        <f>$B$52</f>
        <v/>
      </c>
      <c r="C55" s="26" t="inlineStr">
        <is>
          <t>Calculated</t>
        </is>
      </c>
      <c r="D55" s="26" t="inlineStr">
        <is>
          <t>Cashflow only</t>
        </is>
      </c>
      <c r="E55" s="26" t="inlineStr">
        <is>
          <t>Equals current retention withholding; released after the CA23 holding period.</t>
        </is>
      </c>
    </row>
    <row r="56" ht="16.79999923706055" customHeight="1" s="491">
      <c r="A56" s="28" t="inlineStr">
        <is>
          <t>Total pre-GST receipts including retention release</t>
        </is>
      </c>
      <c r="B56" s="1406">
        <f>$B$53+$B$55</f>
        <v/>
      </c>
      <c r="C56" s="26" t="inlineStr">
        <is>
          <t>Calculated</t>
        </is>
      </c>
      <c r="D56" s="26" t="inlineStr">
        <is>
          <t>Cashflow only</t>
        </is>
      </c>
      <c r="E56" s="26" t="inlineStr">
        <is>
          <t>Equals tender total excl. GST.</t>
        </is>
      </c>
    </row>
    <row r="57" ht="16.79999923706055" customHeight="1" s="491">
      <c r="A57" s="28" t="n"/>
      <c r="B57" s="1407" t="n"/>
      <c r="C57" s="242" t="n"/>
      <c r="D57" s="242" t="n"/>
      <c r="E57" s="242" t="n"/>
    </row>
    <row r="58" ht="21.45000076293945" customHeight="1" s="491">
      <c r="A58" s="9" t="n"/>
      <c r="B58" s="1408" t="n"/>
      <c r="C58" s="242" t="n"/>
      <c r="D58" s="242" t="n"/>
      <c r="E58" s="242" t="n"/>
    </row>
    <row r="59" ht="21.45000076293945" customHeight="1" s="491">
      <c r="A59" s="28" t="n"/>
      <c r="B59" s="1407" t="n"/>
      <c r="C59" s="242" t="n"/>
      <c r="D59" s="242" t="n"/>
      <c r="E59" s="242" t="n"/>
    </row>
    <row r="60" ht="21.45000076293945" customHeight="1" s="491">
      <c r="A60" s="28" t="n"/>
      <c r="B60" s="1407" t="n"/>
      <c r="C60" s="242" t="n"/>
      <c r="D60" s="242" t="n"/>
      <c r="E60" s="242" t="n"/>
    </row>
    <row r="61" ht="28" customHeight="1" s="491">
      <c r="A61" s="1409" t="n"/>
      <c r="B61" s="1363" t="n"/>
      <c r="C61" s="1363" t="n"/>
      <c r="D61" s="1363" t="n"/>
      <c r="E61" s="1363" t="n"/>
      <c r="F61" s="1364" t="n"/>
    </row>
    <row r="62" ht="40" customHeight="1" s="491">
      <c r="A62" s="905" t="n"/>
      <c r="B62" s="1410" t="n"/>
      <c r="C62" s="242" t="n"/>
      <c r="D62" s="242" t="n"/>
      <c r="E62" s="242" t="n"/>
      <c r="F62" s="907" t="n"/>
    </row>
    <row r="63" ht="26.39999961853027" customHeight="1" s="491">
      <c r="A63" s="28" t="n"/>
      <c r="B63" s="1407" t="n"/>
      <c r="C63" s="242" t="n"/>
      <c r="D63" s="242" t="n"/>
      <c r="E63" s="242" t="n"/>
      <c r="F63" s="26" t="n"/>
    </row>
    <row r="64" ht="26.39999961853027" customHeight="1" s="491">
      <c r="A64" s="28" t="n"/>
      <c r="B64" s="1407" t="n"/>
      <c r="C64" s="242" t="n"/>
      <c r="D64" s="242" t="n"/>
      <c r="E64" s="242" t="n"/>
      <c r="F64" s="26" t="n"/>
    </row>
    <row r="65" ht="26.39999961853027" customHeight="1" s="491">
      <c r="A65" s="26" t="n"/>
      <c r="B65" s="26" t="n"/>
      <c r="C65" s="1411" t="n"/>
      <c r="D65" s="26" t="n"/>
      <c r="E65" s="26" t="n"/>
      <c r="F65" s="26" t="n"/>
    </row>
    <row r="66" ht="26.39999961853027" customHeight="1" s="491">
      <c r="A66" s="26" t="n"/>
      <c r="B66" s="26" t="n"/>
      <c r="C66" s="1411" t="n"/>
      <c r="D66" s="26" t="n"/>
      <c r="E66" s="26" t="n"/>
      <c r="F66" s="26" t="n"/>
    </row>
    <row r="67" ht="13.80000019073486" customHeight="1" s="491">
      <c r="A67" s="26" t="n"/>
      <c r="B67" s="26" t="n"/>
      <c r="C67" s="1411" t="n"/>
      <c r="D67" s="26" t="n"/>
      <c r="E67" s="26" t="n"/>
      <c r="F67" s="26" t="n"/>
    </row>
    <row r="68" ht="26.39999961853027" customHeight="1" s="491">
      <c r="A68" s="26" t="n"/>
      <c r="B68" s="26" t="n"/>
      <c r="C68" s="1411" t="n"/>
      <c r="D68" s="26" t="n"/>
      <c r="E68" s="26" t="n"/>
      <c r="F68" s="26" t="n"/>
    </row>
    <row r="69" ht="26.39999961853027" customHeight="1" s="491">
      <c r="A69" s="26" t="n"/>
      <c r="B69" s="26" t="n"/>
      <c r="C69" s="1411" t="n"/>
      <c r="D69" s="26" t="n"/>
      <c r="E69" s="26" t="n"/>
      <c r="F69" s="26" t="n"/>
    </row>
    <row r="70" ht="26.39999961853027" customHeight="1" s="491">
      <c r="A70" s="26" t="n"/>
      <c r="B70" s="26" t="n"/>
      <c r="C70" s="1411" t="n"/>
      <c r="D70" s="26" t="n"/>
      <c r="E70" s="26" t="n"/>
      <c r="F70" s="26" t="n"/>
    </row>
    <row r="71" ht="13.80000019073486" customHeight="1" s="491">
      <c r="A71" s="26" t="n"/>
      <c r="B71" s="26" t="n"/>
      <c r="C71" s="1411" t="n"/>
      <c r="D71" s="26" t="n"/>
      <c r="E71" s="26" t="n"/>
      <c r="F71" s="26" t="n"/>
    </row>
    <row r="72" ht="13.80000019073486" customHeight="1" s="491">
      <c r="A72" s="26" t="n"/>
      <c r="B72" s="26" t="n"/>
      <c r="C72" s="1411" t="n"/>
      <c r="D72" s="26" t="n"/>
      <c r="E72" s="26" t="n"/>
      <c r="F72" s="26" t="n"/>
    </row>
    <row r="73" ht="26.39999961853027" customHeight="1" s="491">
      <c r="A73" s="26" t="n"/>
      <c r="B73" s="26" t="n"/>
      <c r="C73" s="1411" t="n"/>
      <c r="D73" s="26" t="n"/>
      <c r="E73" s="26" t="n"/>
      <c r="F73" s="26" t="n"/>
    </row>
    <row r="74" ht="26.39999961853027" customHeight="1" s="491">
      <c r="A74" s="26" t="n"/>
      <c r="B74" s="26" t="n"/>
      <c r="C74" s="1411" t="n"/>
      <c r="D74" s="26" t="n"/>
      <c r="E74" s="26" t="n"/>
      <c r="F74" s="26" t="n"/>
    </row>
    <row r="75" ht="26.39999961853027" customHeight="1" s="491">
      <c r="A75" s="26" t="n"/>
      <c r="B75" s="26" t="n"/>
      <c r="C75" s="1411" t="n"/>
      <c r="D75" s="26" t="n"/>
      <c r="E75" s="26" t="n"/>
      <c r="F75" s="26" t="n"/>
    </row>
    <row r="76" ht="39.59999847412109" customHeight="1" s="491">
      <c r="A76" s="26" t="n"/>
      <c r="B76" s="26" t="n"/>
      <c r="C76" s="1411" t="n"/>
      <c r="D76" s="26" t="n"/>
      <c r="E76" s="26" t="n"/>
      <c r="F76" s="26" t="n"/>
    </row>
    <row r="77" ht="39.59999847412109" customHeight="1" s="491">
      <c r="A77" s="26" t="n"/>
      <c r="B77" s="26" t="n"/>
      <c r="C77" s="1411" t="n"/>
      <c r="D77" s="26" t="n"/>
      <c r="E77" s="26" t="n"/>
      <c r="F77" s="26" t="n"/>
    </row>
    <row r="78" ht="40" customHeight="1" s="491">
      <c r="A78" s="26" t="n"/>
      <c r="B78" s="26" t="n"/>
      <c r="C78" s="1411" t="n"/>
      <c r="D78" s="26" t="n"/>
      <c r="E78" s="26" t="n"/>
      <c r="F78" s="26" t="n"/>
    </row>
    <row r="79" ht="13.80000019073486" customHeight="1" s="491">
      <c r="A79" s="26" t="n"/>
      <c r="B79" s="26" t="n"/>
      <c r="C79" s="1411" t="n"/>
      <c r="D79" s="26" t="n"/>
      <c r="E79" s="26" t="n"/>
      <c r="F79" s="26" t="n"/>
    </row>
    <row r="80" ht="26" customHeight="1" s="491">
      <c r="A80" s="1412" t="n"/>
      <c r="B80" s="242" t="n"/>
      <c r="C80" s="242" t="n"/>
      <c r="D80" s="242" t="n"/>
      <c r="E80" s="242" t="n"/>
      <c r="F80" s="242" t="n"/>
    </row>
    <row r="81" ht="38" customHeight="1" s="491">
      <c r="A81" s="26" t="n"/>
      <c r="B81" s="26" t="n"/>
      <c r="C81" s="1411" t="n"/>
      <c r="D81" s="26" t="n"/>
      <c r="E81" s="26" t="n"/>
      <c r="F81" s="26" t="n"/>
    </row>
    <row r="82" ht="38" customHeight="1" s="491">
      <c r="A82" s="26" t="n"/>
      <c r="B82" s="26" t="n"/>
      <c r="C82" s="1411" t="n"/>
      <c r="D82" s="26" t="n"/>
      <c r="E82" s="26" t="n"/>
      <c r="F82" s="26" t="n"/>
    </row>
    <row r="83" ht="38" customHeight="1" s="491">
      <c r="A83" s="211" t="n"/>
      <c r="B83" s="211" t="n"/>
      <c r="C83" s="1413" t="n"/>
      <c r="D83" s="211" t="n"/>
      <c r="E83" s="211" t="n"/>
      <c r="F83" s="211" t="n"/>
    </row>
    <row r="84" ht="38" customHeight="1" s="491">
      <c r="A84" s="211" t="n"/>
      <c r="B84" s="211" t="n"/>
      <c r="C84" s="211" t="n"/>
      <c r="D84" s="211" t="n"/>
      <c r="E84" s="211" t="n"/>
      <c r="F84" s="211" t="n"/>
    </row>
    <row r="85">
      <c r="A85" s="1414" t="n"/>
      <c r="B85" s="242" t="n"/>
      <c r="C85" s="242" t="n"/>
      <c r="D85" s="242" t="n"/>
      <c r="E85" s="242" t="n"/>
      <c r="F85" s="242" t="n"/>
    </row>
    <row r="86">
      <c r="A86" s="979" t="n"/>
      <c r="B86" s="979" t="n"/>
      <c r="C86" s="979" t="n"/>
      <c r="D86" s="979" t="n"/>
      <c r="E86" s="979" t="n"/>
      <c r="F86" s="979" t="n"/>
    </row>
    <row r="87" ht="34.5" customHeight="1" s="491">
      <c r="A87" s="211" t="n"/>
      <c r="B87" s="211" t="n"/>
      <c r="C87" s="1415" t="n"/>
      <c r="D87" s="1415" t="n"/>
      <c r="E87" s="1415" t="n"/>
      <c r="F87" s="211" t="n"/>
    </row>
    <row r="88" ht="34.5" customHeight="1" s="491">
      <c r="A88" s="211" t="n"/>
      <c r="B88" s="211" t="n"/>
      <c r="C88" s="1415" t="n"/>
      <c r="D88" s="1415" t="n"/>
      <c r="E88" s="1415" t="n"/>
      <c r="F88" s="211" t="n"/>
    </row>
    <row r="89" ht="34.5" customHeight="1" s="491">
      <c r="A89" s="211" t="n"/>
      <c r="B89" s="211" t="n"/>
      <c r="C89" s="1415" t="n"/>
      <c r="D89" s="1415" t="n"/>
      <c r="E89" s="1415" t="n"/>
      <c r="F89" s="211" t="n"/>
    </row>
    <row r="90" ht="34.5" customHeight="1" s="491">
      <c r="A90" s="211" t="n"/>
      <c r="B90" s="211" t="n"/>
      <c r="C90" s="1415" t="n"/>
      <c r="D90" s="1415" t="n"/>
      <c r="E90" s="1415" t="n"/>
      <c r="F90" s="211" t="n"/>
    </row>
    <row r="91" ht="34.5" customHeight="1" s="491">
      <c r="A91" s="211" t="n"/>
      <c r="B91" s="211" t="n"/>
      <c r="C91" s="1415" t="n"/>
      <c r="D91" s="1415" t="n"/>
      <c r="E91" s="1415" t="n"/>
      <c r="F91" s="211" t="n"/>
    </row>
    <row r="92" ht="34.5" customHeight="1" s="491">
      <c r="A92" s="211" t="n"/>
      <c r="B92" s="211" t="n"/>
      <c r="C92" s="1415" t="n"/>
      <c r="D92" s="1415" t="n"/>
      <c r="E92" s="1415" t="n"/>
      <c r="F92" s="211" t="n"/>
    </row>
    <row r="93" ht="34.5" customHeight="1" s="491">
      <c r="A93" s="211" t="n"/>
      <c r="B93" s="211" t="n"/>
      <c r="C93" s="1415" t="n"/>
      <c r="D93" s="1415" t="n"/>
      <c r="E93" s="1415" t="n"/>
      <c r="F93" s="211" t="n"/>
    </row>
    <row r="94" ht="34.5" customHeight="1" s="491">
      <c r="A94" s="211" t="n"/>
      <c r="B94" s="211" t="n"/>
      <c r="C94" s="1415" t="n"/>
      <c r="D94" s="1415" t="n"/>
      <c r="E94" s="1415" t="n"/>
      <c r="F94" s="211" t="n"/>
    </row>
    <row r="95" ht="34.5" customHeight="1" s="491">
      <c r="A95" s="211" t="n"/>
      <c r="B95" s="211" t="n"/>
      <c r="C95" s="1415" t="n"/>
      <c r="D95" s="1415" t="n"/>
      <c r="E95" s="1415" t="n"/>
      <c r="F95" s="211" t="n"/>
    </row>
    <row r="96" ht="34.5" customHeight="1" s="491">
      <c r="A96" s="211" t="n"/>
      <c r="B96" s="211" t="n"/>
      <c r="C96" s="1415" t="n"/>
      <c r="D96" s="1415" t="n"/>
      <c r="E96" s="1415" t="n"/>
      <c r="F96" s="211" t="n"/>
    </row>
    <row r="97" ht="34.5" customHeight="1" s="491">
      <c r="A97" s="211" t="n"/>
      <c r="B97" s="211" t="n"/>
      <c r="C97" s="1415" t="n"/>
      <c r="D97" s="1415" t="n"/>
      <c r="E97" s="1415" t="n"/>
      <c r="F97" s="211" t="n"/>
    </row>
    <row r="98" ht="34.5" customHeight="1" s="491">
      <c r="A98" s="211" t="n"/>
      <c r="B98" s="211" t="n"/>
      <c r="C98" s="1415" t="n"/>
      <c r="D98" s="1415" t="n"/>
      <c r="E98" s="1415" t="n"/>
      <c r="F98" s="211" t="n"/>
    </row>
    <row r="99" ht="34.5" customHeight="1" s="491">
      <c r="A99" s="211" t="n"/>
      <c r="B99" s="211" t="n"/>
      <c r="C99" s="1415" t="n"/>
      <c r="D99" s="1415" t="n"/>
      <c r="E99" s="1415" t="n"/>
      <c r="F99" s="211" t="n"/>
    </row>
    <row r="100" ht="34.5" customHeight="1" s="491">
      <c r="A100" s="211" t="n"/>
      <c r="B100" s="211" t="n"/>
      <c r="C100" s="1415" t="n"/>
      <c r="D100" s="1415" t="n"/>
      <c r="E100" s="1415" t="n"/>
      <c r="F100" s="211" t="n"/>
    </row>
    <row r="101" ht="34.5" customHeight="1" s="491">
      <c r="A101" s="211" t="n"/>
      <c r="B101" s="211" t="n"/>
      <c r="C101" s="1415" t="n"/>
      <c r="D101" s="1415" t="n"/>
      <c r="E101" s="1415" t="n"/>
      <c r="F101" s="211" t="n"/>
    </row>
    <row r="102" ht="34.5" customHeight="1" s="491">
      <c r="A102" s="211" t="n"/>
      <c r="B102" s="211" t="n"/>
      <c r="C102" s="1415" t="n"/>
      <c r="D102" s="1415" t="n"/>
      <c r="E102" s="1415" t="n"/>
      <c r="F102" s="211" t="n"/>
    </row>
    <row r="103" ht="34.5" customHeight="1" s="491">
      <c r="A103" s="211" t="n"/>
      <c r="B103" s="211" t="n"/>
      <c r="C103" s="1415" t="n"/>
      <c r="D103" s="1415" t="n"/>
      <c r="E103" s="1415" t="n"/>
      <c r="F103" s="211" t="n"/>
    </row>
    <row r="104" ht="34.5" customHeight="1" s="491">
      <c r="A104" s="211" t="n"/>
      <c r="B104" s="211" t="n"/>
      <c r="C104" s="1415" t="n"/>
      <c r="D104" s="1415" t="n"/>
      <c r="E104" s="1415" t="n"/>
      <c r="F104" s="211" t="n"/>
    </row>
    <row r="105" ht="34.5" customHeight="1" s="491">
      <c r="A105" s="211" t="n"/>
      <c r="B105" s="211" t="n"/>
      <c r="C105" s="1415" t="n"/>
      <c r="D105" s="1415" t="n"/>
      <c r="E105" s="1415" t="n"/>
      <c r="F105" s="211" t="n"/>
    </row>
    <row r="106" ht="34.5" customHeight="1" s="491">
      <c r="A106" s="211" t="n"/>
      <c r="B106" s="211" t="n"/>
      <c r="C106" s="1415" t="n"/>
      <c r="D106" s="1415" t="n"/>
      <c r="E106" s="1415" t="n"/>
      <c r="F106" s="211" t="n"/>
    </row>
  </sheetData>
  <mergeCells count="18">
    <mergeCell ref="B63:E63"/>
    <mergeCell ref="B61:E61"/>
    <mergeCell ref="B57:E57"/>
    <mergeCell ref="A85:F85"/>
    <mergeCell ref="B4:E4"/>
    <mergeCell ref="B58:E58"/>
    <mergeCell ref="A80:F80"/>
    <mergeCell ref="B6:E6"/>
    <mergeCell ref="B62:E62"/>
    <mergeCell ref="B64:E64"/>
    <mergeCell ref="A61:F61"/>
    <mergeCell ref="B7:E7"/>
    <mergeCell ref="B59:E59"/>
    <mergeCell ref="A1:B1"/>
    <mergeCell ref="B3:E3"/>
    <mergeCell ref="B5:E5"/>
    <mergeCell ref="B60:E60"/>
    <mergeCell ref="C62:E62"/>
  </mergeCells>
  <conditionalFormatting sqref="C83">
    <cfRule type="expression" priority="1" dxfId="39">
      <formula>ABS(C83)&gt;0.01</formula>
    </cfRule>
    <cfRule type="expression" priority="2" dxfId="40">
      <formula>ABS(C83)&lt;=0.01</formula>
    </cfRule>
  </conditionalFormatting>
  <dataValidations count="2">
    <dataValidation sqref="A23:A31 A33:A38" showDropDown="0" showInputMessage="0" showErrorMessage="1" allowBlank="1" errorTitle="Linked formula cell" error="This value is formula-controlled. Change the upstream source/input instead." type="custom">
      <formula1>FALSE</formula1>
    </dataValidation>
    <dataValidation sqref="A23:A38 A43:A45 B10:B20 B23:B40 B43:B49 B52:B56 C23:E38 C43:E45" showDropDown="0" showInputMessage="0" showErrorMessage="1" allowBlank="1" errorTitle="Linked formula cell" error="This value is linked. Change the upstream input/source instead of overwriting this cell." type="custom">
      <formula1>FALSE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3.80000019073486"/>
  <cols>
    <col width="12" customWidth="1" style="217" min="1" max="1"/>
    <col width="60.5" customWidth="1" style="217" min="2" max="2"/>
    <col width="14" customWidth="1" style="217" min="3" max="3"/>
    <col width="12" customWidth="1" style="217" min="4" max="4"/>
    <col width="16" customWidth="1" style="217" min="5" max="5"/>
    <col width="12" customWidth="1" style="217" min="6" max="6"/>
    <col width="20" customWidth="1" style="217" min="7" max="7"/>
    <col width="30" customWidth="1" style="217" min="8" max="8"/>
    <col width="88.59765625" customWidth="1" style="217" min="9" max="9"/>
    <col width="58.5" customWidth="1" style="217" min="10" max="10"/>
    <col width="30" customWidth="1" style="217" min="11" max="11"/>
    <col width="20" customWidth="1" style="491" min="12" max="12"/>
    <col width="44" customWidth="1" style="491" min="13" max="13"/>
  </cols>
  <sheetData>
    <row r="1" ht="22.95000076293945" customHeight="1" s="491">
      <c r="A1" s="439" t="inlineStr">
        <is>
          <t>COMMERCIAL INPUTS - BELOW-THE-LINE SOURCE OF TRUTH</t>
        </is>
      </c>
      <c r="B1" s="242" t="n"/>
      <c r="C1" s="242" t="n"/>
      <c r="D1" s="206" t="n"/>
      <c r="E1" s="206" t="n"/>
      <c r="F1" s="206" t="n"/>
      <c r="G1" s="206" t="n"/>
      <c r="H1" s="206" t="inlineStr">
        <is>
          <t>Profit method</t>
        </is>
      </c>
      <c r="I1" s="206">
        <f>C22</f>
        <v/>
      </c>
      <c r="J1" s="206" t="n"/>
      <c r="K1" s="206" t="n"/>
    </row>
    <row r="2" ht="21.14999961853027" customHeight="1" s="491">
      <c r="A2" s="208" t="n"/>
      <c r="B2" s="208" t="n"/>
      <c r="C2" s="208" t="n"/>
      <c r="D2" s="208" t="n"/>
      <c r="E2" s="208" t="n"/>
      <c r="F2" s="208" t="n"/>
      <c r="G2" s="208" t="n"/>
      <c r="H2" s="208" t="inlineStr">
        <is>
          <t>CA18 method (linked)</t>
        </is>
      </c>
      <c r="I2" s="222">
        <f>IF(C22="Margin %","Margin",IF(C22="Markup %","Markup",IF(C22="Fixed Amount","Fixed Amount",C22)))</f>
        <v/>
      </c>
      <c r="J2" s="217" t="inlineStr">
        <is>
          <t>The calculation method is selected in column C. There is no second profit-method selector.</t>
        </is>
      </c>
      <c r="K2" s="208" t="n"/>
    </row>
    <row r="3" ht="29.70000076293945" customHeight="1" s="491">
      <c r="A3" s="446" t="inlineStr">
        <is>
          <t>CA01/CA02: Risk Engine, PC Sum or %. CA10: Weather Engine, PC Sum or %. Other pre-margin allowances: PC Sum or %. Column F Include? is the on/off switch. Engine outputs remain live in column L even when another method is selected, preserving the audit trail.</t>
        </is>
      </c>
      <c r="B3" s="1416" t="n"/>
      <c r="C3" s="1416" t="n"/>
      <c r="D3" s="1416" t="n"/>
      <c r="E3" s="1416" t="n"/>
      <c r="F3" s="1416" t="n"/>
      <c r="G3" s="1416" t="n"/>
      <c r="H3" s="1416" t="n"/>
      <c r="I3" s="208" t="n"/>
      <c r="J3" s="208" t="n"/>
      <c r="K3" s="208" t="n"/>
    </row>
    <row r="4" ht="21.45000076293945" customHeight="1" s="491">
      <c r="A4" s="202" t="inlineStr">
        <is>
          <t>Ref</t>
        </is>
      </c>
      <c r="B4" s="202" t="inlineStr">
        <is>
          <t>Allowance / adjustment</t>
        </is>
      </c>
      <c r="C4" s="202" t="inlineStr">
        <is>
          <t>Input method</t>
        </is>
      </c>
      <c r="D4" s="202" t="inlineStr">
        <is>
          <t>Input %</t>
        </is>
      </c>
      <c r="E4" s="202" t="inlineStr">
        <is>
          <t>PC Sum excl. GST</t>
        </is>
      </c>
      <c r="F4" s="202" t="inlineStr">
        <is>
          <t>Include?</t>
        </is>
      </c>
      <c r="G4" s="202" t="inlineStr">
        <is>
          <t>Pricing stage</t>
        </is>
      </c>
      <c r="H4" s="202" t="inlineStr">
        <is>
          <t>Calculation / treatment</t>
        </is>
      </c>
      <c r="I4" s="202" t="inlineStr">
        <is>
          <t>Notes / basis</t>
        </is>
      </c>
      <c r="J4" s="202" t="inlineStr">
        <is>
          <t>Firm-up action</t>
        </is>
      </c>
      <c r="K4" s="202" t="inlineStr">
        <is>
          <t>Pricing method / flag shown in QS</t>
        </is>
      </c>
      <c r="L4" s="739" t="inlineStr">
        <is>
          <t>Engine Amount excl. GST</t>
        </is>
      </c>
      <c r="M4" s="739" t="inlineStr">
        <is>
          <t>Engine Source / Status</t>
        </is>
      </c>
    </row>
    <row r="5" ht="21.45000076293945" customHeight="1" s="491">
      <c r="A5" s="107" t="inlineStr">
        <is>
          <t>CA01</t>
        </is>
      </c>
      <c r="B5" s="107" t="inlineStr">
        <is>
          <t>Design / scope residual risk - Risk Truth linked</t>
        </is>
      </c>
      <c r="C5" s="735" t="inlineStr">
        <is>
          <t>Risk Engine</t>
        </is>
      </c>
      <c r="D5" s="688" t="n"/>
      <c r="E5" s="1417" t="n"/>
      <c r="F5" s="110" t="inlineStr">
        <is>
          <t>Yes</t>
        </is>
      </c>
      <c r="G5" s="107" t="inlineStr">
        <is>
          <t>Pre-margin addition</t>
        </is>
      </c>
      <c r="H5" s="107">
        <f>IF(C5="Risk Engine","Uses linked Risk Truth engine amount in L5",IF(C5="Weather Engine","Uses linked Weather Risk amount in L5",IF(C5="PC Sum","Uses manual PC Sum in E5",IF(C5="%","Uses Input % in D5 against base direct cost","CHECK METHOD"))))</f>
        <v/>
      </c>
      <c r="I5" s="110" t="inlineStr">
        <is>
          <t>Residual design/scope risk only where the consequence cannot be more truthfully placed in Resource Build-Up/QS or a specialist engine.</t>
        </is>
      </c>
      <c r="J5" s="110" t="inlineStr">
        <is>
          <t>Close Risk Truth RED items and confirm residual is distinct / integration complete.</t>
        </is>
      </c>
      <c r="K5" s="107">
        <f>IF(F5&lt;&gt;"Yes",C5&amp;" - OFF",C5)</f>
        <v/>
      </c>
      <c r="L5" s="1418">
        <f>'Risk Truth'!$B$12</f>
        <v/>
      </c>
      <c r="M5" s="211" t="n"/>
    </row>
    <row r="6" ht="21.45000076293945" customHeight="1" s="491">
      <c r="A6" s="107" t="inlineStr">
        <is>
          <t>CA02</t>
        </is>
      </c>
      <c r="B6" s="107" t="inlineStr">
        <is>
          <t>Construction / execution residual risk - Risk Truth linked</t>
        </is>
      </c>
      <c r="C6" s="735" t="inlineStr">
        <is>
          <t>Risk Engine</t>
        </is>
      </c>
      <c r="D6" s="688" t="n"/>
      <c r="E6" s="1417" t="n"/>
      <c r="F6" s="110" t="inlineStr">
        <is>
          <t>Yes</t>
        </is>
      </c>
      <c r="G6" s="107" t="inlineStr">
        <is>
          <t>Pre-margin addition</t>
        </is>
      </c>
      <c r="H6" s="107">
        <f>IF(C6="Risk Engine","Uses linked Risk Truth engine amount in L6",IF(C6="Weather Engine","Uses linked Weather Risk amount in L6",IF(C6="PC Sum","Uses manual PC Sum in E6",IF(C6="%","Uses Input % in D6 against base direct cost","CHECK METHOD"))))</f>
        <v/>
      </c>
      <c r="I6" s="110" t="inlineStr">
        <is>
          <t>Residual construction/execution risk only where the consequence cannot be more truthfully placed in Resource Build-Up/QS or a specialist engine.</t>
        </is>
      </c>
      <c r="J6" s="110" t="inlineStr">
        <is>
          <t>Close Risk Truth RED items and confirm residual is distinct / integration complete.</t>
        </is>
      </c>
      <c r="K6" s="107">
        <f>IF(F6&lt;&gt;"Yes",C6&amp;" - OFF",C6)</f>
        <v/>
      </c>
      <c r="L6" s="1418">
        <f>'Risk Truth'!$B$13</f>
        <v/>
      </c>
      <c r="M6" s="211" t="n"/>
    </row>
    <row r="7" ht="21.45000076293945" customHeight="1" s="491">
      <c r="A7" s="107" t="inlineStr">
        <is>
          <t>CA03</t>
        </is>
      </c>
      <c r="B7" s="107" t="inlineStr">
        <is>
          <t>Escalation / tender validity allowance</t>
        </is>
      </c>
      <c r="C7" s="735" t="inlineStr">
        <is>
          <t>%</t>
        </is>
      </c>
      <c r="D7" s="221" t="n"/>
      <c r="E7" s="1419" t="n"/>
      <c r="F7" s="110" t="inlineStr">
        <is>
          <t>No</t>
        </is>
      </c>
      <c r="G7" s="107" t="inlineStr">
        <is>
          <t>Pre-margin addition</t>
        </is>
      </c>
      <c r="H7" s="107">
        <f>IF(C7="Risk Engine","Uses linked Risk Truth engine amount in L7",IF(C7="Weather Engine","Uses linked Weather Risk amount in L7",IF(C7="PC Sum","Uses manual PC Sum in E7",IF(C7="%","Uses Input % in D7 against base direct cost","CHECK METHOD"))))</f>
        <v/>
      </c>
      <c r="I7" s="110" t="inlineStr">
        <is>
          <t>Enter only where escalation is evidence-based; do not default to a generic percentage.</t>
        </is>
      </c>
      <c r="J7" s="110" t="inlineStr">
        <is>
          <t>Confirm construction start and validity.</t>
        </is>
      </c>
      <c r="K7" s="107">
        <f>IF(F7&lt;&gt;"Yes",C7&amp;" - OFF",C7)</f>
        <v/>
      </c>
      <c r="L7" s="1418" t="n"/>
      <c r="M7" s="211" t="n"/>
    </row>
    <row r="8" ht="21.45000076293945" customHeight="1" s="491">
      <c r="A8" s="107" t="inlineStr">
        <is>
          <t>CA04</t>
        </is>
      </c>
      <c r="B8" s="107" t="inlineStr">
        <is>
          <t>Final subcontractor quote gap / market adjustment</t>
        </is>
      </c>
      <c r="C8" s="735" t="inlineStr">
        <is>
          <t>PC Sum</t>
        </is>
      </c>
      <c r="D8" s="221" t="n"/>
      <c r="E8" s="1419" t="n"/>
      <c r="F8" s="110" t="inlineStr">
        <is>
          <t>No</t>
        </is>
      </c>
      <c r="G8" s="107" t="inlineStr">
        <is>
          <t>Pre-margin addition</t>
        </is>
      </c>
      <c r="H8" s="107">
        <f>IF(C8="Risk Engine","Uses linked Risk Truth engine amount in L8",IF(C8="Weather Engine","Uses linked Weather Risk amount in L8",IF(C8="PC Sum","Uses manual PC Sum in E8",IF(C8="%","Uses Input % in D8 against base direct cost","CHECK METHOD"))))</f>
        <v/>
      </c>
      <c r="I8" s="110" t="inlineStr">
        <is>
          <t>Use only for a distinct reconciled live-quote gap not already included in QS/PC items or Risk Truth.</t>
        </is>
      </c>
      <c r="J8" s="110" t="inlineStr">
        <is>
          <t>Use only after supplier quote returns are reconciled and a distinct uncovered market gap is evidenced.</t>
        </is>
      </c>
      <c r="K8" s="107">
        <f>IF(F8&lt;&gt;"Yes",C8&amp;" - OFF",C8)</f>
        <v/>
      </c>
      <c r="L8" s="1418" t="n"/>
      <c r="M8" s="211" t="n"/>
    </row>
    <row r="9" ht="21.45000076293945" customHeight="1" s="491">
      <c r="A9" s="138" t="inlineStr">
        <is>
          <t>CA05</t>
        </is>
      </c>
      <c r="B9" s="138" t="inlineStr">
        <is>
          <t>Council / authority consent and inspection fees</t>
        </is>
      </c>
      <c r="C9" s="735" t="inlineStr">
        <is>
          <t>PC Sum</t>
        </is>
      </c>
      <c r="D9" s="221" t="n"/>
      <c r="E9" s="1419" t="n"/>
      <c r="F9" s="110" t="inlineStr">
        <is>
          <t>No</t>
        </is>
      </c>
      <c r="G9" s="138" t="inlineStr">
        <is>
          <t>Pre-margin addition</t>
        </is>
      </c>
      <c r="H9" s="138">
        <f>IF(C9="Risk Engine","Uses linked Risk Truth engine amount in L9",IF(C9="Weather Engine","Uses linked Weather Risk amount in L9",IF(C9="PC Sum","Uses manual PC Sum in E9",IF(C9="%","Uses Input % in D9 against base direct cost","CHECK METHOD"))))</f>
        <v/>
      </c>
      <c r="I9" s="138" t="inlineStr">
        <is>
          <t>Confirm contractual responsibility before inclusion.</t>
        </is>
      </c>
      <c r="J9" s="110" t="inlineStr">
        <is>
          <t>Confirm fee responsibility.</t>
        </is>
      </c>
      <c r="K9" s="107">
        <f>IF(F9&lt;&gt;"Yes",C9&amp;" - OFF",C9)</f>
        <v/>
      </c>
      <c r="L9" s="1418" t="n"/>
      <c r="M9" s="211" t="n"/>
    </row>
    <row r="10" ht="21.45000076293945" customHeight="1" s="491">
      <c r="A10" s="138" t="inlineStr">
        <is>
          <t>CA06</t>
        </is>
      </c>
      <c r="B10" s="138" t="inlineStr">
        <is>
          <t>Utility authority fees / relocations</t>
        </is>
      </c>
      <c r="C10" s="735" t="inlineStr">
        <is>
          <t>PC Sum</t>
        </is>
      </c>
      <c r="D10" s="221" t="n"/>
      <c r="E10" s="1419" t="n"/>
      <c r="F10" s="110" t="inlineStr">
        <is>
          <t>No</t>
        </is>
      </c>
      <c r="G10" s="138" t="inlineStr">
        <is>
          <t>Pre-margin addition</t>
        </is>
      </c>
      <c r="H10" s="138">
        <f>IF(C10="Risk Engine","Uses linked Risk Truth engine amount in L10",IF(C10="Weather Engine","Uses linked Weather Risk amount in L10",IF(C10="PC Sum","Uses manual PC Sum in E10",IF(C10="%","Uses Input % in D10 against base direct cost","CHECK METHOD"))))</f>
        <v/>
      </c>
      <c r="I10" s="138" t="inlineStr">
        <is>
          <t>Confirm contractual responsibility; physical construction scope should normally sit in QS.</t>
        </is>
      </c>
      <c r="J10" s="110" t="inlineStr">
        <is>
          <t>Confirm utilities.</t>
        </is>
      </c>
      <c r="K10" s="107">
        <f>IF(F10&lt;&gt;"Yes",C10&amp;" - OFF",C10)</f>
        <v/>
      </c>
      <c r="L10" s="1418" t="n"/>
      <c r="M10" s="211" t="n"/>
    </row>
    <row r="11" ht="21.45000076293945" customHeight="1" s="491">
      <c r="A11" s="138" t="inlineStr">
        <is>
          <t>CA07</t>
        </is>
      </c>
      <c r="B11" s="138" t="inlineStr">
        <is>
          <t>Temporary works engineering / PS documentation</t>
        </is>
      </c>
      <c r="C11" s="735" t="inlineStr">
        <is>
          <t>PC Sum</t>
        </is>
      </c>
      <c r="D11" s="221" t="n"/>
      <c r="E11" s="1419" t="n"/>
      <c r="F11" s="110" t="inlineStr">
        <is>
          <t>No</t>
        </is>
      </c>
      <c r="G11" s="138" t="inlineStr">
        <is>
          <t>Pre-margin addition</t>
        </is>
      </c>
      <c r="H11" s="138">
        <f>IF(C11="Risk Engine","Uses linked Risk Truth engine amount in L11",IF(C11="Weather Engine","Uses linked Weather Risk amount in L11",IF(C11="PC Sum","Uses manual PC Sum in E11",IF(C11="%","Uses Input % in D11 against base direct cost","CHECK METHOD"))))</f>
        <v/>
      </c>
      <c r="I11" s="138" t="inlineStr">
        <is>
          <t>Use only for temporary-works engineering / documentation not already in direct scope.</t>
        </is>
      </c>
      <c r="J11" s="110" t="inlineStr">
        <is>
          <t>Avoid duplication.</t>
        </is>
      </c>
      <c r="K11" s="107">
        <f>IF(F11&lt;&gt;"Yes",C11&amp;" - OFF",C11)</f>
        <v/>
      </c>
      <c r="L11" s="1418" t="n"/>
      <c r="M11" s="211" t="n"/>
    </row>
    <row r="12" ht="21.45000076293945" customHeight="1" s="491">
      <c r="A12" s="139" t="inlineStr">
        <is>
          <t>CA08</t>
        </is>
      </c>
      <c r="B12" s="139" t="inlineStr">
        <is>
          <t>Abnormal ground / contamination / rock allowance</t>
        </is>
      </c>
      <c r="C12" s="735" t="inlineStr">
        <is>
          <t>PC Sum</t>
        </is>
      </c>
      <c r="D12" s="221" t="n"/>
      <c r="E12" s="1419" t="n"/>
      <c r="F12" s="110" t="inlineStr">
        <is>
          <t>No</t>
        </is>
      </c>
      <c r="G12" s="139" t="inlineStr">
        <is>
          <t>Pre-margin addition</t>
        </is>
      </c>
      <c r="H12" s="139">
        <f>IF(C12="Risk Engine","Uses linked Risk Truth engine amount in L12",IF(C12="Weather Engine","Uses linked Weather Risk amount in L12",IF(C12="PC Sum","Uses manual PC Sum in E12",IF(C12="%","Uses Input % in D12 against base direct cost","CHECK METHOD"))))</f>
        <v/>
      </c>
      <c r="I12" s="139" t="inlineStr">
        <is>
          <t>Do not use as a generic ground-risk percentage. Quantifiable ground consequences belong in QS or an approved specialist risk treatment.</t>
        </is>
      </c>
      <c r="J12" s="110" t="inlineStr">
        <is>
          <t>Review geotech/contamination data.</t>
        </is>
      </c>
      <c r="K12" s="107">
        <f>IF(F12&lt;&gt;"Yes",C12&amp;" - OFF",C12)</f>
        <v/>
      </c>
      <c r="L12" s="1418" t="n"/>
      <c r="M12" s="211" t="n"/>
    </row>
    <row r="13" ht="21.45000076293945" customHeight="1" s="491">
      <c r="A13" s="107" t="inlineStr">
        <is>
          <t>CA09</t>
        </is>
      </c>
      <c r="B13" s="107" t="inlineStr">
        <is>
          <t>Construction dewatering / groundwater control</t>
        </is>
      </c>
      <c r="C13" s="735" t="inlineStr">
        <is>
          <t>PC Sum</t>
        </is>
      </c>
      <c r="D13" s="221" t="n"/>
      <c r="E13" s="1419" t="n"/>
      <c r="F13" s="110" t="inlineStr">
        <is>
          <t>No</t>
        </is>
      </c>
      <c r="G13" s="107" t="inlineStr">
        <is>
          <t>Pre-margin addition</t>
        </is>
      </c>
      <c r="H13" s="107">
        <f>IF(C13="Risk Engine","Uses linked Risk Truth engine amount in L13",IF(C13="Weather Engine","Uses linked Weather Risk amount in L13",IF(C13="PC Sum","Uses manual PC Sum in E13",IF(C13="%","Uses Input % in D13 against base direct cost","CHECK METHOD"))))</f>
        <v/>
      </c>
      <c r="I13" s="110" t="inlineStr">
        <is>
          <t>Construction water / dewatering PC pending final programme/groundwater conditions. Distinct from normal weather CA10.</t>
        </is>
      </c>
      <c r="J13" s="110" t="inlineStr">
        <is>
          <t>Firm methodology after earthworks programme and site conditions are confirmed.</t>
        </is>
      </c>
      <c r="K13" s="107">
        <f>IF(F13&lt;&gt;"Yes",C13&amp;" - OFF",C13)</f>
        <v/>
      </c>
      <c r="L13" s="1418" t="n"/>
      <c r="M13" s="211" t="n"/>
    </row>
    <row r="14" ht="42" customHeight="1" s="491">
      <c r="A14" s="139" t="inlineStr">
        <is>
          <t>CA10</t>
        </is>
      </c>
      <c r="B14" s="139" t="inlineStr">
        <is>
          <t>Weather risk allowance - linked approved engine</t>
        </is>
      </c>
      <c r="C14" s="735" t="inlineStr">
        <is>
          <t>Weather Engine</t>
        </is>
      </c>
      <c r="D14" s="590" t="n"/>
      <c r="E14" s="1420" t="n"/>
      <c r="F14" s="110" t="inlineStr">
        <is>
          <t>Yes</t>
        </is>
      </c>
      <c r="G14" s="139" t="inlineStr">
        <is>
          <t>Pre-margin addition</t>
        </is>
      </c>
      <c r="H14" s="139">
        <f>IF(C14="Risk Engine","Uses linked Risk Truth engine amount in L14",IF(C14="Weather Engine","Uses linked Weather Risk amount in L14",IF(C14="PC Sum","Uses manual PC Sum in E14",IF(C14="%","Uses Input % in D14 against base direct cost","CHECK METHOD"))))</f>
        <v/>
      </c>
      <c r="I14" s="139" t="inlineStr">
        <is>
          <t>Weather Risk engine feeds this line when the method is Weather Engine.</t>
        </is>
      </c>
      <c r="J14" s="110" t="inlineStr">
        <is>
          <t>Rerun the weather tool when the start date, programme or weather-exposed scope changes.</t>
        </is>
      </c>
      <c r="K14" s="107" t="inlineStr">
        <is>
          <t>Weather Engine - AMBER / CURRENT TENDER SCENARIO</t>
        </is>
      </c>
      <c r="L14" s="1418">
        <f>'Weather Risk'!$B$40</f>
        <v/>
      </c>
      <c r="M14" s="211" t="inlineStr">
        <is>
          <t>Weather tool run recorded on Weather Risk (CA10 engine feed)</t>
        </is>
      </c>
    </row>
    <row r="15" ht="42" customHeight="1" s="491">
      <c r="A15" s="107" t="inlineStr">
        <is>
          <t>CA11</t>
        </is>
      </c>
      <c r="B15" s="107" t="inlineStr">
        <is>
          <t>Extended preliminaries beyond weather-adjusted tender baseline</t>
        </is>
      </c>
      <c r="C15" s="735" t="inlineStr">
        <is>
          <t>PC Sum</t>
        </is>
      </c>
      <c r="D15" s="221" t="n"/>
      <c r="E15" s="1419" t="n"/>
      <c r="F15" s="110" t="inlineStr">
        <is>
          <t>No</t>
        </is>
      </c>
      <c r="G15" s="107" t="inlineStr">
        <is>
          <t>Pre-margin addition</t>
        </is>
      </c>
      <c r="H15" s="107">
        <f>IF(C15="Risk Engine","Uses linked Risk Truth engine amount in L15",IF(C15="Weather Engine","Uses linked Weather Risk amount in L15",IF(C15="PC Sum","Uses manual PC Sum in E15",IF(C15="%","Uses Input % in D15 against base direct cost","CHECK METHOD"))))</f>
        <v/>
      </c>
      <c r="I15" s="110" t="inlineStr">
        <is>
          <t>Do not use for weather delay already treated through CA10.</t>
        </is>
      </c>
      <c r="J15" s="110" t="inlineStr">
        <is>
          <t>Add only for non-weather instructed extension or revised contract programme after checking CA10 overlap.</t>
        </is>
      </c>
      <c r="K15" s="107">
        <f>IF(F15&lt;&gt;"Yes",C15&amp;" - OFF",C15)</f>
        <v/>
      </c>
      <c r="L15" s="1418" t="n"/>
      <c r="M15" s="211" t="n"/>
    </row>
    <row r="16" ht="21.45000076293945" customHeight="1" s="491">
      <c r="A16" s="139" t="inlineStr">
        <is>
          <t>CA12</t>
        </is>
      </c>
      <c r="B16" s="139" t="inlineStr">
        <is>
          <t>Defects liability / maintenance beyond base</t>
        </is>
      </c>
      <c r="C16" s="735" t="inlineStr">
        <is>
          <t>PC Sum</t>
        </is>
      </c>
      <c r="D16" s="221" t="n"/>
      <c r="E16" s="1419" t="n"/>
      <c r="F16" s="110" t="inlineStr">
        <is>
          <t>No</t>
        </is>
      </c>
      <c r="G16" s="139" t="inlineStr">
        <is>
          <t>Pre-margin addition</t>
        </is>
      </c>
      <c r="H16" s="139">
        <f>IF(C16="Risk Engine","Uses linked Risk Truth engine amount in L16",IF(C16="Weather Engine","Uses linked Weather Risk amount in L16",IF(C16="PC Sum","Uses manual PC Sum in E16",IF(C16="%","Uses Input % in D16 against base direct cost","CHECK METHOD"))))</f>
        <v/>
      </c>
      <c r="I16" s="139" t="inlineStr">
        <is>
          <t>Reasonable defects / closeout attendance is carried in RH01.</t>
        </is>
      </c>
      <c r="J16" s="110" t="inlineStr">
        <is>
          <t>Confirm special maintenance obligations.</t>
        </is>
      </c>
      <c r="K16" s="107">
        <f>IF(F16&lt;&gt;"Yes",C16&amp;" - OFF",C16)</f>
        <v/>
      </c>
      <c r="L16" s="1418" t="n"/>
      <c r="M16" s="211" t="n"/>
    </row>
    <row r="17" ht="21.45000076293945" customHeight="1" s="491">
      <c r="A17" s="107" t="inlineStr">
        <is>
          <t>CA13</t>
        </is>
      </c>
      <c r="B17" s="107" t="inlineStr">
        <is>
          <t>Stakeholder liaison / access marshals beyond base</t>
        </is>
      </c>
      <c r="C17" s="735" t="inlineStr">
        <is>
          <t>PC Sum</t>
        </is>
      </c>
      <c r="D17" s="221" t="n"/>
      <c r="E17" s="1419" t="n"/>
      <c r="F17" s="110" t="inlineStr">
        <is>
          <t>No</t>
        </is>
      </c>
      <c r="G17" s="107" t="inlineStr">
        <is>
          <t>Pre-margin addition</t>
        </is>
      </c>
      <c r="H17" s="107">
        <f>IF(C17="Risk Engine","Uses linked Risk Truth engine amount in L17",IF(C17="Weather Engine","Uses linked Weather Risk amount in L17",IF(C17="PC Sum","Uses manual PC Sum in E17",IF(C17="%","Uses Input % in D17 against base direct cost","CHECK METHOD"))))</f>
        <v/>
      </c>
      <c r="I17" s="110" t="inlineStr">
        <is>
          <t>Basic Siteworks traffic / pedestrian / access controls are carried within the itemised PG01 preliminaries.</t>
        </is>
      </c>
      <c r="J17" s="110" t="inlineStr">
        <is>
          <t>Confirm restricted operations.</t>
        </is>
      </c>
      <c r="K17" s="107">
        <f>IF(F17&lt;&gt;"Yes",C17&amp;" - OFF",C17)</f>
        <v/>
      </c>
      <c r="L17" s="1418" t="n"/>
      <c r="M17" s="211" t="n"/>
    </row>
    <row r="18" ht="21.45000076293945" customHeight="1" s="491">
      <c r="A18" s="107" t="inlineStr">
        <is>
          <t>CA14</t>
        </is>
      </c>
      <c r="B18" s="107" t="inlineStr">
        <is>
          <t>Out-of-hours / restricted access premium</t>
        </is>
      </c>
      <c r="C18" s="735" t="inlineStr">
        <is>
          <t>PC Sum</t>
        </is>
      </c>
      <c r="D18" s="221" t="n"/>
      <c r="E18" s="1419" t="n"/>
      <c r="F18" s="110" t="inlineStr">
        <is>
          <t>No</t>
        </is>
      </c>
      <c r="G18" s="107" t="inlineStr">
        <is>
          <t>Pre-margin addition</t>
        </is>
      </c>
      <c r="H18" s="107">
        <f>IF(C18="Risk Engine","Uses linked Risk Truth engine amount in L18",IF(C18="Weather Engine","Uses linked Weather Risk amount in L18",IF(C18="PC Sum","Uses manual PC Sum in E18",IF(C18="%","Uses Input % in D18 against base direct cost","CHECK METHOD"))))</f>
        <v/>
      </c>
      <c r="I18" s="110" t="inlineStr">
        <is>
          <t>Normal weekday access assumed.</t>
        </is>
      </c>
      <c r="J18" s="110" t="inlineStr">
        <is>
          <t>Confirm work windows.</t>
        </is>
      </c>
      <c r="K18" s="107">
        <f>IF(F18&lt;&gt;"Yes",C18&amp;" - OFF",C18)</f>
        <v/>
      </c>
      <c r="L18" s="1418" t="n"/>
      <c r="M18" s="211" t="n"/>
    </row>
    <row r="19" ht="21.45000076293945" customHeight="1" s="491">
      <c r="A19" s="107" t="inlineStr">
        <is>
          <t>CA15</t>
        </is>
      </c>
      <c r="B19" s="107" t="inlineStr">
        <is>
          <t>Unforeseen post-tender client scope additions</t>
        </is>
      </c>
      <c r="C19" s="735" t="inlineStr">
        <is>
          <t>PC Sum</t>
        </is>
      </c>
      <c r="D19" s="221" t="n"/>
      <c r="E19" s="1419" t="n"/>
      <c r="F19" s="110" t="inlineStr">
        <is>
          <t>No</t>
        </is>
      </c>
      <c r="G19" s="107" t="inlineStr">
        <is>
          <t>Pre-margin addition</t>
        </is>
      </c>
      <c r="H19" s="107">
        <f>IF(C19="Risk Engine","Uses linked Risk Truth engine amount in L19",IF(C19="Weather Engine","Uses linked Weather Risk amount in L19",IF(C19="PC Sum","Uses manual PC Sum in E19",IF(C19="%","Uses Input % in D19 against base direct cost","CHECK METHOD"))))</f>
        <v/>
      </c>
      <c r="I19" s="110" t="inlineStr">
        <is>
          <t>No allowance for later scope changes.</t>
        </is>
      </c>
      <c r="J19" s="110" t="inlineStr">
        <is>
          <t>Include only if instructed.</t>
        </is>
      </c>
      <c r="K19" s="107">
        <f>IF(F19&lt;&gt;"Yes",C19&amp;" - OFF",C19)</f>
        <v/>
      </c>
      <c r="L19" s="1418" t="n"/>
      <c r="M19" s="211" t="n"/>
    </row>
    <row r="20" ht="21.45000076293945" customHeight="1" s="491">
      <c r="A20" s="107" t="inlineStr">
        <is>
          <t>CA16</t>
        </is>
      </c>
      <c r="B20" s="107" t="inlineStr">
        <is>
          <t>Management Reserve - residual tender-stage uncertainty (adjudication)</t>
        </is>
      </c>
      <c r="C20" s="735" t="inlineStr">
        <is>
          <t>Fixed Amount</t>
        </is>
      </c>
      <c r="D20" s="1421" t="n"/>
      <c r="E20" s="1422" t="n"/>
      <c r="F20" s="110" t="inlineStr">
        <is>
          <t>No</t>
        </is>
      </c>
      <c r="G20" s="107" t="inlineStr">
        <is>
          <t>Pre-margin adjudication provision</t>
        </is>
      </c>
      <c r="H20" s="107">
        <f>IF(C20="Fixed Amount","Uses fixed management reserve in E20",IF(C20="Risk Engine","Uses linked Risk Truth engine amount in L20",IF(C20="Weather Engine","Uses linked Weather Risk amount in L20",IF(C20="PC Sum","Uses manual PC Sum in E20",IF(C20="%","Uses Input % in D20 against base direct cost","CHECK METHOD")))))</f>
        <v/>
      </c>
      <c r="I20" s="110" t="inlineStr">
        <is>
          <t>PROVIDED management reserve selected at tender adjudication. Purpose: protect the tender against aggregate residual tender-stage uncertainty and unknown-unknowns that remain after known/measurable scope, PCs, quoted packages, Weather Risk and Risk Truth treatments have already been allowed. It is not a Risk Truth contingency and does not close or downgrade any RED item.</t>
        </is>
      </c>
      <c r="J20" s="110" t="inlineStr">
        <is>
          <t>Reassess whenever a RED is resolved, a material scope/quantity/rate changes, or before contract award. If an exposure becomes measurable, price the actual consequence in the correct cost line and reassess the reserve rather than automatically consuming it.</t>
        </is>
      </c>
      <c r="K20" s="107" t="inlineStr">
        <is>
          <t>Fixed Amount - PROVIDED / AMBER / 4.0% ADJUDICATION BASIS</t>
        </is>
      </c>
      <c r="L20" s="1418" t="n"/>
      <c r="M20" s="211" t="n"/>
    </row>
    <row r="21" ht="21.45000076293945" customHeight="1" s="491">
      <c r="A21" s="107" t="inlineStr">
        <is>
          <t>CA17</t>
        </is>
      </c>
      <c r="B21" s="107" t="inlineStr">
        <is>
          <t>Company overhead recovery</t>
        </is>
      </c>
      <c r="C21" s="735" t="inlineStr">
        <is>
          <t>Markup %</t>
        </is>
      </c>
      <c r="D21" s="1421" t="n">
        <v>0.1</v>
      </c>
      <c r="E21" s="1419" t="n"/>
      <c r="F21" s="110" t="inlineStr">
        <is>
          <t>Yes</t>
        </is>
      </c>
      <c r="G21" s="107" t="inlineStr">
        <is>
          <t>Commercial adjustment</t>
        </is>
      </c>
      <c r="H21" s="107" t="inlineStr">
        <is>
          <t>10% markup applied to subtotal before profit</t>
        </is>
      </c>
      <c r="I21" s="110" t="inlineStr">
        <is>
          <t>Company overhead recovery, applied as markup to the subtotal before profit. Set per job.</t>
        </is>
      </c>
      <c r="J21" s="110" t="inlineStr">
        <is>
          <t>Review against Siteworks actual overhead recovery when company financial basis is available; no tender hold created by this user-provided input.</t>
        </is>
      </c>
      <c r="K21" s="107" t="inlineStr">
        <is>
          <t>Markup % - PROVIDED / WORKING BASIS</t>
        </is>
      </c>
    </row>
    <row r="22" ht="21.45000076293945" customHeight="1" s="491">
      <c r="A22" s="107" t="inlineStr">
        <is>
          <t>CA18</t>
        </is>
      </c>
      <c r="B22" s="107" t="inlineStr">
        <is>
          <t>Contractor profit</t>
        </is>
      </c>
      <c r="C22" s="735" t="inlineStr">
        <is>
          <t>Margin %</t>
        </is>
      </c>
      <c r="D22" s="1421" t="n">
        <v>0.15</v>
      </c>
      <c r="E22" s="1419" t="n"/>
      <c r="F22" s="110" t="inlineStr">
        <is>
          <t>Yes</t>
        </is>
      </c>
      <c r="G22" s="107" t="inlineStr">
        <is>
          <t>Commercial adjustment</t>
        </is>
      </c>
      <c r="H22" s="107" t="inlineStr">
        <is>
          <t>15% TRUE MARGIN after overhead and other selected commercial costs</t>
        </is>
      </c>
      <c r="I22" s="110" t="inlineStr">
        <is>
          <t>Contractor profit as true margin after overhead and other selected allowances. Set per job.</t>
        </is>
      </c>
      <c r="J22" s="110" t="inlineStr">
        <is>
          <t>Change only if Siteworks instructs a different profit method/rate.</t>
        </is>
      </c>
      <c r="K22" s="107" t="inlineStr">
        <is>
          <t>Margin % - PROVIDED / WORKING BASIS</t>
        </is>
      </c>
    </row>
    <row r="23" ht="21.45000076293945" customHeight="1" s="491">
      <c r="A23" s="107" t="inlineStr">
        <is>
          <t>CA19</t>
        </is>
      </c>
      <c r="B23" s="107" t="inlineStr">
        <is>
          <t>Bonds / contract securities allowance</t>
        </is>
      </c>
      <c r="C23" s="735" t="inlineStr">
        <is>
          <t>%</t>
        </is>
      </c>
      <c r="D23" s="221" t="n"/>
      <c r="E23" s="1419" t="n"/>
      <c r="F23" s="110" t="inlineStr">
        <is>
          <t>No</t>
        </is>
      </c>
      <c r="G23" s="107" t="inlineStr">
        <is>
          <t>Commercial adjustment</t>
        </is>
      </c>
      <c r="H23" s="107" t="inlineStr">
        <is>
          <t>Applied if selected</t>
        </is>
      </c>
      <c r="I23" s="110" t="inlineStr">
        <is>
          <t>Include only where contract securities create a genuine contractor cost.</t>
        </is>
      </c>
      <c r="J23" s="110" t="inlineStr">
        <is>
          <t>Confirm security terms.</t>
        </is>
      </c>
      <c r="K23" s="107" t="inlineStr">
        <is>
          <t>% user input provision</t>
        </is>
      </c>
    </row>
    <row r="24" ht="21.45000076293945" customHeight="1" s="491">
      <c r="A24" s="107" t="inlineStr">
        <is>
          <t>CA20</t>
        </is>
      </c>
      <c r="B24" s="107" t="inlineStr">
        <is>
          <t>Retention finance / cashflow cost allowance</t>
        </is>
      </c>
      <c r="C24" s="735" t="inlineStr">
        <is>
          <t>%</t>
        </is>
      </c>
      <c r="D24" s="195" t="n"/>
      <c r="E24" s="1419" t="n"/>
      <c r="F24" s="110" t="inlineStr">
        <is>
          <t>No</t>
        </is>
      </c>
      <c r="G24" s="107" t="inlineStr">
        <is>
          <t>Commercial adjustment</t>
        </is>
      </c>
      <c r="H24" s="107" t="inlineStr">
        <is>
          <t>Applied if selected</t>
        </is>
      </c>
      <c r="I24" s="110" t="inlineStr">
        <is>
          <t>Finance cost only; retention withholding itself is a cashflow item.</t>
        </is>
      </c>
      <c r="J24" s="110" t="inlineStr">
        <is>
          <t>Confirm retention terms.</t>
        </is>
      </c>
      <c r="K24" s="107" t="inlineStr">
        <is>
          <t>% user input provision</t>
        </is>
      </c>
    </row>
    <row r="25" ht="21.45000076293945" customHeight="1" s="491">
      <c r="A25" s="107" t="inlineStr">
        <is>
          <t>CA21</t>
        </is>
      </c>
      <c r="B25" s="107" t="inlineStr">
        <is>
          <t>GST</t>
        </is>
      </c>
      <c r="C25" s="735" t="inlineStr">
        <is>
          <t>%</t>
        </is>
      </c>
      <c r="D25" s="221" t="n">
        <v>0.15</v>
      </c>
      <c r="E25" s="1419" t="n"/>
      <c r="F25" s="110" t="inlineStr">
        <is>
          <t>No</t>
        </is>
      </c>
      <c r="G25" s="107" t="inlineStr">
        <is>
          <t>Tax</t>
        </is>
      </c>
      <c r="H25" s="107" t="inlineStr">
        <is>
          <t>Applied to tender total if selected</t>
        </is>
      </c>
      <c r="I25" s="110" t="inlineStr">
        <is>
          <t>Optional tax display. Set 15% for NZ GST or 10% for Australian GST when applicable; estimate control total remains ex tax.</t>
        </is>
      </c>
      <c r="J25" s="110" t="inlineStr">
        <is>
          <t>Confirm submission format.</t>
        </is>
      </c>
      <c r="K25" s="107" t="inlineStr">
        <is>
          <t>% user input provision</t>
        </is>
      </c>
    </row>
    <row r="26" ht="21.45000076293945" customHeight="1" s="491">
      <c r="A26" s="208" t="inlineStr">
        <is>
          <t>CA22</t>
        </is>
      </c>
      <c r="B26" s="208" t="inlineStr">
        <is>
          <t>Contract retention withholding</t>
        </is>
      </c>
      <c r="C26" s="736" t="inlineStr">
        <is>
          <t>%</t>
        </is>
      </c>
      <c r="D26" s="221" t="n">
        <v>0</v>
      </c>
      <c r="E26" s="222" t="n"/>
      <c r="F26" s="222" t="inlineStr">
        <is>
          <t>No</t>
        </is>
      </c>
      <c r="G26" s="208" t="inlineStr">
        <is>
          <t>Cashflow only</t>
        </is>
      </c>
      <c r="H26" s="208" t="inlineStr">
        <is>
          <t>Visibility only</t>
        </is>
      </c>
      <c r="I26" s="208" t="inlineStr">
        <is>
          <t>Not added to tender price.</t>
        </is>
      </c>
      <c r="J26" s="208" t="inlineStr">
        <is>
          <t>Confirm retention cap/terms.</t>
        </is>
      </c>
      <c r="K26" s="208" t="inlineStr">
        <is>
          <t>User input</t>
        </is>
      </c>
    </row>
    <row r="27" ht="21.45000076293945" customHeight="1" s="491">
      <c r="A27" s="107" t="inlineStr">
        <is>
          <t>CA23</t>
        </is>
      </c>
      <c r="B27" s="208" t="inlineStr">
        <is>
          <t>Retention holding period</t>
        </is>
      </c>
      <c r="C27" s="736" t="inlineStr">
        <is>
          <t>Months</t>
        </is>
      </c>
      <c r="D27" s="196" t="n">
        <v>0</v>
      </c>
      <c r="E27" s="222" t="n"/>
      <c r="F27" s="222" t="inlineStr">
        <is>
          <t>No</t>
        </is>
      </c>
      <c r="G27" s="208" t="inlineStr">
        <is>
          <t>Cashflow only</t>
        </is>
      </c>
      <c r="H27" s="208" t="inlineStr">
        <is>
          <t>Times retention release</t>
        </is>
      </c>
      <c r="I27" s="208" t="inlineStr">
        <is>
          <t>No retention holding period assumed; CA23 remains 0 until contract terms are supplied.</t>
        </is>
      </c>
      <c r="J27" s="208" t="inlineStr">
        <is>
          <t>Confirm contract.</t>
        </is>
      </c>
      <c r="K27" s="208" t="inlineStr">
        <is>
          <t>% user input provision</t>
        </is>
      </c>
    </row>
    <row r="28" ht="21.45000076293945" customHeight="1" s="491">
      <c r="A28" s="107" t="inlineStr">
        <is>
          <t>CA24</t>
        </is>
      </c>
      <c r="B28" s="350" t="inlineStr">
        <is>
          <t>Deposit / advance payment</t>
        </is>
      </c>
      <c r="C28" s="242" t="n"/>
      <c r="D28" s="242" t="n"/>
      <c r="E28" s="242" t="n"/>
      <c r="F28" s="242" t="n"/>
      <c r="G28" s="242" t="n"/>
      <c r="H28" s="242" t="n"/>
      <c r="I28" s="208" t="inlineStr">
        <is>
          <t>Used as first cashflow stage.</t>
        </is>
      </c>
      <c r="J28" s="208" t="inlineStr">
        <is>
          <t>Confirm whether permitted.</t>
        </is>
      </c>
      <c r="K28" s="208" t="inlineStr">
        <is>
          <t>User selection</t>
        </is>
      </c>
    </row>
    <row r="29" ht="21.45000076293945" customHeight="1" s="491">
      <c r="A29" s="107" t="inlineStr">
        <is>
          <t>CA25</t>
        </is>
      </c>
      <c r="B29" s="350" t="inlineStr">
        <is>
          <t>Retention applies to deposit</t>
        </is>
      </c>
      <c r="C29" s="242" t="n"/>
      <c r="D29" s="242" t="n"/>
      <c r="E29" s="242" t="n"/>
      <c r="F29" s="242" t="n"/>
      <c r="G29" s="242" t="n"/>
      <c r="H29" s="242" t="n"/>
      <c r="I29" s="208" t="inlineStr">
        <is>
          <t>Normally No.</t>
        </is>
      </c>
      <c r="J29" s="208" t="inlineStr">
        <is>
          <t>Confirm contract.</t>
        </is>
      </c>
      <c r="K29" s="208" t="n"/>
    </row>
    <row r="30" ht="21.45000076293945" customHeight="1" s="491">
      <c r="A30" s="201" t="inlineStr">
        <is>
          <t>Notes</t>
        </is>
      </c>
      <c r="B30" s="445" t="n"/>
      <c r="C30" s="242" t="n"/>
      <c r="D30" s="242" t="n"/>
      <c r="E30" s="242" t="n"/>
      <c r="F30" s="242" t="n"/>
      <c r="G30" s="242" t="n"/>
      <c r="H30" s="242" t="n"/>
      <c r="I30" s="12" t="n"/>
      <c r="J30" s="12" t="n"/>
      <c r="K30" s="12" t="n"/>
    </row>
    <row r="31" ht="21.45000076293945" customHeight="1" s="491">
      <c r="A31" s="208" t="inlineStr">
        <is>
          <t>1</t>
        </is>
      </c>
      <c r="B31" s="217" t="inlineStr">
        <is>
          <t>Leave Include? as No for any provision that is not to be included. Enter Input % or PC Sum depending on the intended basis; PC Sum overrides % where populated.</t>
        </is>
      </c>
      <c r="C31" s="208" t="n"/>
      <c r="D31" s="208" t="n"/>
      <c r="E31" s="208" t="n"/>
      <c r="F31" s="208" t="n"/>
      <c r="G31" s="208" t="n"/>
      <c r="H31" s="208" t="n"/>
      <c r="I31" s="208" t="n"/>
      <c r="J31" s="208" t="n"/>
      <c r="K31" s="208" t="n"/>
    </row>
    <row r="32" ht="21.45000076293945" customHeight="1" s="491">
      <c r="A32" s="262" t="inlineStr">
        <is>
          <t>MANAGEMENT RESERVE - ADJUDICATION BASIS</t>
        </is>
      </c>
      <c r="B32" s="242" t="n"/>
      <c r="C32" s="242" t="n"/>
      <c r="D32" s="242" t="n"/>
      <c r="E32" s="242" t="n"/>
      <c r="F32" s="242" t="n"/>
      <c r="G32" s="242" t="n"/>
      <c r="H32" s="242" t="n"/>
      <c r="I32" s="242" t="n"/>
      <c r="J32" s="242" t="n"/>
      <c r="K32" s="242" t="n"/>
      <c r="L32" s="242" t="n"/>
      <c r="M32" s="242" t="n"/>
    </row>
    <row r="33" ht="21.45000076293945" customHeight="1" s="491">
      <c r="A33" s="21" t="inlineStr">
        <is>
          <t>Control</t>
        </is>
      </c>
      <c r="B33" s="21" t="inlineStr">
        <is>
          <t>Value</t>
        </is>
      </c>
      <c r="C33" s="21" t="inlineStr">
        <is>
          <t>Classification</t>
        </is>
      </c>
      <c r="D33" s="21" t="inlineStr">
        <is>
          <t>Basis / meaning</t>
        </is>
      </c>
      <c r="E33" s="21" t="inlineStr">
        <is>
          <t>Unresolved item 1 RED</t>
        </is>
      </c>
      <c r="F33" s="21" t="inlineStr">
        <is>
          <t>Unresolved item 2 RED</t>
        </is>
      </c>
      <c r="G33" s="21" t="inlineStr">
        <is>
          <t>Unresolved item 3 RED</t>
        </is>
      </c>
      <c r="H33" s="21" t="inlineStr">
        <is>
          <t>Unresolved item 4 RED</t>
        </is>
      </c>
      <c r="I33" s="21" t="n"/>
      <c r="J33" s="21" t="n"/>
      <c r="K33" s="21" t="n"/>
      <c r="L33" s="757" t="n"/>
      <c r="M33" s="757" t="n"/>
    </row>
    <row r="34" ht="21.45000076293945" customHeight="1" s="491">
      <c r="A34" s="211" t="inlineStr">
        <is>
          <t>Reserve base</t>
        </is>
      </c>
      <c r="B34" s="1423" t="n"/>
      <c r="C34" s="211" t="n"/>
      <c r="D34" s="211" t="n"/>
      <c r="E34" s="211" t="n"/>
      <c r="F34" s="211" t="n"/>
      <c r="G34" s="211" t="n"/>
      <c r="H34" s="211" t="n"/>
      <c r="I34" s="211" t="n"/>
      <c r="J34" s="211" t="n"/>
      <c r="K34" s="211" t="n"/>
      <c r="L34" s="211" t="n"/>
      <c r="M34" s="211" t="n"/>
    </row>
    <row r="35">
      <c r="A35" s="211" t="inlineStr">
        <is>
          <t>Selected reserve rate</t>
        </is>
      </c>
      <c r="B35" s="1424" t="n"/>
      <c r="C35" s="211" t="n"/>
      <c r="D35" s="211" t="n"/>
      <c r="E35" s="211" t="n"/>
      <c r="F35" s="211" t="n"/>
      <c r="G35" s="211" t="n"/>
      <c r="H35" s="211" t="n"/>
      <c r="I35" s="211" t="n"/>
      <c r="J35" s="211" t="n"/>
      <c r="K35" s="211" t="n"/>
      <c r="L35" s="211" t="n"/>
      <c r="M35" s="211" t="n"/>
    </row>
    <row r="36">
      <c r="A36" s="211" t="inlineStr">
        <is>
          <t>Pre-OH/profit Management Reserve</t>
        </is>
      </c>
      <c r="B36" s="1423" t="n"/>
      <c r="C36" s="211" t="n"/>
      <c r="D36" s="211" t="n"/>
      <c r="E36" s="211" t="n"/>
      <c r="F36" s="211" t="n"/>
      <c r="G36" s="211" t="n"/>
      <c r="H36" s="211" t="n"/>
      <c r="I36" s="211" t="n"/>
      <c r="J36" s="211" t="n"/>
      <c r="K36" s="211" t="n"/>
      <c r="L36" s="211" t="n"/>
      <c r="M36" s="211" t="n"/>
    </row>
    <row r="37">
      <c r="A37" s="211" t="inlineStr">
        <is>
          <t>Tender effect of reserve</t>
        </is>
      </c>
      <c r="B37" s="1423" t="n"/>
      <c r="C37" s="211" t="n"/>
      <c r="D37" s="211" t="n"/>
      <c r="E37" s="211" t="n"/>
      <c r="F37" s="211" t="n"/>
      <c r="G37" s="211" t="n"/>
      <c r="H37" s="211" t="n"/>
      <c r="I37" s="211" t="n"/>
      <c r="J37" s="211" t="n"/>
      <c r="K37" s="211" t="n"/>
      <c r="L37" s="211" t="n"/>
      <c r="M37" s="211" t="n"/>
    </row>
    <row r="38">
      <c r="A38" s="211" t="inlineStr">
        <is>
          <t>Probability note</t>
        </is>
      </c>
      <c r="B38" s="211" t="inlineStr">
        <is>
          <t>N/A</t>
        </is>
      </c>
      <c r="C38" s="211" t="n"/>
      <c r="D38" s="211" t="inlineStr">
        <is>
          <t>Do not weight any item with a probability unless it is evidenced. Unknown probability = sensitivity only, never an expected value.</t>
        </is>
      </c>
      <c r="E38" s="211" t="n"/>
      <c r="F38" s="211" t="n"/>
      <c r="G38" s="211" t="n"/>
      <c r="H38" s="211" t="n"/>
      <c r="I38" s="211" t="n"/>
      <c r="J38" s="211" t="n"/>
      <c r="K38" s="211" t="n"/>
      <c r="L38" s="211" t="n"/>
      <c r="M38" s="211" t="n"/>
    </row>
    <row r="39">
      <c r="A39" s="211" t="inlineStr">
        <is>
          <t>Consumption rule</t>
        </is>
      </c>
      <c r="B39" s="211" t="inlineStr">
        <is>
          <t>N/A</t>
        </is>
      </c>
      <c r="C39" s="211" t="n"/>
      <c r="D39" s="211" t="inlineStr">
        <is>
          <t>Do not automatically consume the reserve when a risk resolves; Rick adjudicates any change under change control.</t>
        </is>
      </c>
      <c r="E39" s="211" t="n"/>
      <c r="F39" s="211" t="n"/>
      <c r="G39" s="211" t="n"/>
      <c r="H39" s="211" t="n"/>
      <c r="I39" s="211" t="n"/>
      <c r="J39" s="211" t="n"/>
      <c r="K39" s="211" t="n"/>
      <c r="L39" s="211" t="n"/>
      <c r="M39" s="211" t="n"/>
    </row>
  </sheetData>
  <mergeCells count="6">
    <mergeCell ref="A3:H3"/>
    <mergeCell ref="A1:C1"/>
    <mergeCell ref="A32:M32"/>
    <mergeCell ref="B30:H30"/>
    <mergeCell ref="B29:H29"/>
    <mergeCell ref="B28:H28"/>
  </mergeCells>
  <dataValidations count="12">
    <dataValidation sqref="C5:C6" showDropDown="0" showInputMessage="0" showErrorMessage="0" allowBlank="0" type="list">
      <formula1>"Risk Engine,PC Sum,%"</formula1>
    </dataValidation>
    <dataValidation sqref="C7:C13" showDropDown="0" showInputMessage="0" showErrorMessage="0" allowBlank="0" type="list">
      <formula1>"PC Sum,%"</formula1>
    </dataValidation>
    <dataValidation sqref="C14" showDropDown="0" showInputMessage="0" showErrorMessage="0" allowBlank="0" type="list">
      <formula1>"Weather Engine,PC Sum,%"</formula1>
    </dataValidation>
    <dataValidation sqref="C15:C20" showDropDown="0" showInputMessage="0" showErrorMessage="0" allowBlank="0" type="list">
      <formula1>"PC Sum,%"</formula1>
    </dataValidation>
    <dataValidation sqref="C21" showDropDown="0" showInputMessage="0" showErrorMessage="0" allowBlank="0" type="list">
      <formula1>"Markup %,Fixed Amount"</formula1>
    </dataValidation>
    <dataValidation sqref="C22" showDropDown="0" showInputMessage="0" showErrorMessage="0" allowBlank="0" type="list">
      <formula1>"Margin %,Markup %,Fixed Amount"</formula1>
    </dataValidation>
    <dataValidation sqref="C23:C24" showDropDown="0" showInputMessage="0" showErrorMessage="0" allowBlank="0" type="list">
      <formula1>"%,PC Sum"</formula1>
    </dataValidation>
    <dataValidation sqref="C25:C26" showDropDown="0" showInputMessage="0" showErrorMessage="0" allowBlank="0" type="list">
      <formula1>"%"</formula1>
    </dataValidation>
    <dataValidation sqref="C27" showDropDown="0" showInputMessage="0" showErrorMessage="0" allowBlank="0" type="list">
      <formula1>"Months"</formula1>
    </dataValidation>
    <dataValidation sqref="C28" showDropDown="0" showInputMessage="0" showErrorMessage="0" allowBlank="0" type="list">
      <formula1>"%"</formula1>
    </dataValidation>
    <dataValidation sqref="C29" showDropDown="0" showInputMessage="0" showErrorMessage="0" allowBlank="0" type="list">
      <formula1>"Selection"</formula1>
    </dataValidation>
    <dataValidation sqref="F5:F29" showDropDown="0" showInputMessage="0" showErrorMessage="0" allowBlank="0" type="list">
      <formula1>"Yes,No"</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203"/>
  <sheetViews>
    <sheetView workbookViewId="0">
      <selection activeCell="A1" sqref="A1"/>
    </sheetView>
  </sheetViews>
  <sheetFormatPr baseColWidth="8" defaultRowHeight="13.80000019073486"/>
  <cols>
    <col width="43.8984375" customWidth="1" style="217" min="1" max="1"/>
    <col width="10" customWidth="1" style="217" min="2" max="2"/>
    <col width="53.19921875" customWidth="1" style="217" min="3" max="3"/>
    <col width="10" customWidth="1" style="217" min="4" max="4"/>
    <col width="12" customWidth="1" style="217" min="5" max="5"/>
    <col width="14" customWidth="1" style="217" min="6" max="6"/>
    <col width="16" customWidth="1" style="217" min="7" max="7"/>
    <col width="48.19921875" customWidth="1" style="217" min="8" max="8"/>
    <col width="28" customWidth="1" style="217" min="9" max="9"/>
    <col width="12" customWidth="1" style="217" min="10" max="10"/>
    <col width="78.69921875" customWidth="1" style="217" min="11" max="11"/>
    <col width="26.8984375" customWidth="1" style="217" min="12" max="12"/>
    <col width="28" customWidth="1" style="217" min="13" max="13"/>
    <col width="22" customWidth="1" style="217" min="14" max="14"/>
    <col width="45.8984375" customWidth="1" style="217" min="15" max="15"/>
    <col width="23.59765625" customWidth="1" style="217" min="16" max="16"/>
    <col width="38" customWidth="1" style="217" min="17" max="17"/>
    <col width="12" customWidth="1" style="217" min="18" max="18"/>
    <col width="22" customWidth="1" style="217" min="19" max="19"/>
    <col width="28" customWidth="1" style="217" min="20" max="20"/>
    <col width="8.796875" customWidth="1" style="217" min="21" max="16384"/>
  </cols>
  <sheetData>
    <row r="1" ht="93.15000152587891" customHeight="1" s="491">
      <c r="A1" s="448" t="inlineStr">
        <is>
          <t>QS TAKEOFF - MASTER ESTIMATE WORKBOOK - RESOURCE-LINKED</t>
        </is>
      </c>
      <c r="B1" s="1416" t="n"/>
      <c r="C1" s="1416" t="n"/>
      <c r="D1" s="142" t="n"/>
      <c r="E1" s="143" t="n"/>
      <c r="F1" s="1425" t="n"/>
      <c r="G1" s="1425" t="n"/>
      <c r="H1" s="142" t="n"/>
      <c r="I1" s="142" t="n"/>
      <c r="J1" s="142" t="n"/>
      <c r="K1" s="142" t="n"/>
      <c r="L1" s="145" t="inlineStr">
        <is>
          <t>Rate and Amount are linked from Resource Build-Up. One row per priced item; the section name goes on every row. Do not type over the grey formula columns.</t>
        </is>
      </c>
      <c r="M1" s="142" t="n"/>
      <c r="N1" s="142" t="n"/>
      <c r="O1" s="142" t="n"/>
      <c r="P1" s="142" t="n"/>
      <c r="Q1" s="380" t="n"/>
      <c r="R1" s="242" t="n"/>
      <c r="S1" s="242" t="n"/>
      <c r="T1" s="242" t="n"/>
    </row>
    <row r="2" ht="24" customHeight="1" s="491">
      <c r="A2" s="201" t="inlineStr">
        <is>
          <t>Civil Scope / WBS</t>
        </is>
      </c>
      <c r="B2" s="201" t="inlineStr">
        <is>
          <t>Code</t>
        </is>
      </c>
      <c r="C2" s="201" t="inlineStr">
        <is>
          <t>Description</t>
        </is>
      </c>
      <c r="D2" s="201" t="inlineStr">
        <is>
          <t>Unit</t>
        </is>
      </c>
      <c r="E2" s="14" t="inlineStr">
        <is>
          <t>Quantity</t>
        </is>
      </c>
      <c r="F2" s="1426" t="inlineStr">
        <is>
          <t>Rate excl. GST</t>
        </is>
      </c>
      <c r="G2" s="1426" t="inlineStr">
        <is>
          <t>Amount excl. GST</t>
        </is>
      </c>
      <c r="H2" s="201" t="inlineStr">
        <is>
          <t>Quantity Basis</t>
        </is>
      </c>
      <c r="I2" s="201" t="inlineStr">
        <is>
          <t>Source drawing / scope</t>
        </is>
      </c>
      <c r="J2" s="201" t="inlineStr">
        <is>
          <t>Status</t>
        </is>
      </c>
      <c r="K2" s="201" t="inlineStr">
        <is>
          <t>Notes / Assumptions</t>
        </is>
      </c>
      <c r="L2" s="201" t="inlineStr">
        <is>
          <t>Pricing Method</t>
        </is>
      </c>
      <c r="M2" s="201" t="inlineStr">
        <is>
          <t>Pricing Basis / Build-up</t>
        </is>
      </c>
      <c r="N2" s="201" t="inlineStr">
        <is>
          <t>Source Type</t>
        </is>
      </c>
      <c r="O2" s="201" t="inlineStr">
        <is>
          <t>Source URL(s)</t>
        </is>
      </c>
      <c r="P2" s="201" t="inlineStr">
        <is>
          <t>Pricing Flag</t>
        </is>
      </c>
      <c r="Q2" s="201" t="inlineStr">
        <is>
          <t>Confidence / Firm-up Action</t>
        </is>
      </c>
      <c r="R2" s="19" t="inlineStr">
        <is>
          <t>Owner</t>
        </is>
      </c>
      <c r="S2" s="19" t="inlineStr">
        <is>
          <t>Verification Status</t>
        </is>
      </c>
      <c r="T2" s="19" t="inlineStr">
        <is>
          <t>Quote / Reference</t>
        </is>
      </c>
    </row>
    <row r="3" ht="21" customHeight="1" s="491">
      <c r="A3" s="35" t="n"/>
      <c r="B3" s="36" t="n"/>
      <c r="C3" s="36" t="n"/>
      <c r="D3" s="36" t="n"/>
      <c r="E3" s="17" t="n"/>
      <c r="F3" s="1427">
        <f>IF(B3="","",IF(E3=0,0,G3/E3))</f>
        <v/>
      </c>
      <c r="G3" s="1427">
        <f>IF(B3="","",SUMIF('Resource Build-Up'!$B$7:$B$306,B3,'Resource Build-Up'!$Z$7:$Z$306))</f>
        <v/>
      </c>
      <c r="H3" s="36" t="n"/>
      <c r="I3" s="36" t="n"/>
      <c r="J3" s="36" t="n"/>
      <c r="K3" s="36" t="n"/>
      <c r="L3" s="235">
        <f>IF(B3="","",IF(J3="Excluded","Excluded","Resource-linked"))</f>
        <v/>
      </c>
      <c r="M3" s="235">
        <f>IF(B3="","",IF(G3=0,"No resource cost / review","Resource Build-Up -&gt; "&amp;B3))</f>
        <v/>
      </c>
      <c r="N3" s="235">
        <f>IF(B3="","","Resource Build-Up")</f>
        <v/>
      </c>
      <c r="O3" s="235">
        <f>IF(B3="","","See Resource Build-Up / Resource Rate Library")</f>
        <v/>
      </c>
      <c r="P3" s="235" t="n"/>
      <c r="Q3" s="36" t="n"/>
      <c r="R3" s="208">
        <f>IF(OR(ISNUMBER(SEARCH("PC",P3)),ISNUMBER(SEARCH("quote",Q3))),"Jason","Rick")</f>
        <v/>
      </c>
      <c r="S3" s="146" t="n"/>
      <c r="T3" s="222" t="n"/>
    </row>
    <row r="4" ht="21" customHeight="1" s="491">
      <c r="A4" s="147" t="n"/>
      <c r="B4" s="147" t="n"/>
      <c r="C4" s="926" t="n"/>
      <c r="D4" s="147" t="n"/>
      <c r="E4" s="148" t="n"/>
      <c r="F4" s="1428">
        <f>IF(B4="","",IF(E4=0,0,G4/E4))</f>
        <v/>
      </c>
      <c r="G4" s="1428">
        <f>IF(B4="","",SUMIF('Resource Build-Up'!$B$7:$B$306,B4,'Resource Build-Up'!$Z$7:$Z$306))</f>
        <v/>
      </c>
      <c r="H4" s="147" t="n"/>
      <c r="I4" s="147" t="n"/>
      <c r="J4" s="147" t="n"/>
      <c r="K4" s="147" t="n"/>
      <c r="L4" s="150">
        <f>IF(B4="","",IF(J4="Excluded","Excluded","Resource-linked"))</f>
        <v/>
      </c>
      <c r="M4" s="150">
        <f>IF(B4="","",IF(G4=0,"No resource cost / review","Resource Build-Up -&gt; "&amp;B4))</f>
        <v/>
      </c>
      <c r="N4" s="150">
        <f>IF(B4="","","Resource Build-Up")</f>
        <v/>
      </c>
      <c r="O4" s="150">
        <f>IF(B4="","","See Resource Build-Up / Resource Rate Library")</f>
        <v/>
      </c>
      <c r="P4" s="150" t="n"/>
      <c r="Q4" s="147" t="n"/>
      <c r="R4" s="208">
        <f>IF(OR(ISNUMBER(SEARCH("PC",P4)),ISNUMBER(SEARCH("quote",Q4))),"Jason","Rick")</f>
        <v/>
      </c>
      <c r="S4" s="146" t="n"/>
      <c r="T4" s="222" t="n"/>
    </row>
    <row r="5" ht="21" customHeight="1" s="491">
      <c r="A5" s="151" t="n"/>
      <c r="B5" s="151" t="n"/>
      <c r="C5" s="927" t="n"/>
      <c r="D5" s="151" t="n"/>
      <c r="E5" s="148" t="n"/>
      <c r="F5" s="1428">
        <f>IF(B5="","",IF(E5=0,0,G5/E5))</f>
        <v/>
      </c>
      <c r="G5" s="1428">
        <f>IF(B5="","",SUMIF('Resource Build-Up'!$B$7:$B$306,B5,'Resource Build-Up'!$Z$7:$Z$306))</f>
        <v/>
      </c>
      <c r="H5" s="151" t="n"/>
      <c r="I5" s="151" t="n"/>
      <c r="J5" s="151" t="n"/>
      <c r="K5" s="151" t="n"/>
      <c r="L5" s="150">
        <f>IF(B5="","",IF(J5="Excluded","Excluded","Resource-linked"))</f>
        <v/>
      </c>
      <c r="M5" s="150">
        <f>IF(B5="","",IF(G5=0,"No resource cost / review","Resource Build-Up -&gt; "&amp;B5))</f>
        <v/>
      </c>
      <c r="N5" s="150">
        <f>IF(B5="","","Resource Build-Up")</f>
        <v/>
      </c>
      <c r="O5" s="150">
        <f>IF(B5="","","See Resource Build-Up / Resource Rate Library")</f>
        <v/>
      </c>
      <c r="P5" s="150" t="n"/>
      <c r="Q5" s="151" t="n"/>
      <c r="R5" s="208">
        <f>IF(OR(ISNUMBER(SEARCH("PC",P5)),ISNUMBER(SEARCH("quote",Q5))),"Jason","Rick")</f>
        <v/>
      </c>
      <c r="S5" s="146" t="n"/>
      <c r="T5" s="222" t="n"/>
    </row>
    <row r="6" ht="21" customHeight="1" s="491">
      <c r="A6" s="147" t="n"/>
      <c r="B6" s="147" t="n"/>
      <c r="C6" s="926" t="n"/>
      <c r="D6" s="147" t="n"/>
      <c r="E6" s="148" t="n"/>
      <c r="F6" s="1428">
        <f>IF(B6="","",IF(E6=0,0,G6/E6))</f>
        <v/>
      </c>
      <c r="G6" s="1428">
        <f>IF(B6="","",SUMIF('Resource Build-Up'!$B$7:$B$306,B6,'Resource Build-Up'!$Z$7:$Z$306))</f>
        <v/>
      </c>
      <c r="H6" s="147" t="n"/>
      <c r="I6" s="147" t="n"/>
      <c r="J6" s="147" t="n"/>
      <c r="K6" s="147" t="n"/>
      <c r="L6" s="150">
        <f>IF(B6="","",IF(J6="Excluded","Excluded","Resource-linked"))</f>
        <v/>
      </c>
      <c r="M6" s="150">
        <f>IF(B6="","",IF(G6=0,"No resource cost / review","Resource Build-Up -&gt; "&amp;B6))</f>
        <v/>
      </c>
      <c r="N6" s="150">
        <f>IF(B6="","","Resource Build-Up")</f>
        <v/>
      </c>
      <c r="O6" s="150">
        <f>IF(B6="","","See Resource Build-Up / Resource Rate Library")</f>
        <v/>
      </c>
      <c r="P6" s="150" t="n"/>
      <c r="Q6" s="147" t="n"/>
      <c r="R6" s="208">
        <f>IF(OR(ISNUMBER(SEARCH("PC",P6)),ISNUMBER(SEARCH("quote",Q6))),"Jason","Rick")</f>
        <v/>
      </c>
      <c r="S6" s="146" t="n"/>
      <c r="T6" s="222" t="n"/>
    </row>
    <row r="7" ht="21" customHeight="1" s="491">
      <c r="A7" s="151" t="n"/>
      <c r="B7" s="151" t="n"/>
      <c r="C7" s="927" t="n"/>
      <c r="D7" s="151" t="n"/>
      <c r="E7" s="148" t="n"/>
      <c r="F7" s="1428">
        <f>IF(B7="","",IF(E7=0,0,G7/E7))</f>
        <v/>
      </c>
      <c r="G7" s="1428">
        <f>IF(B7="","",SUMIF('Resource Build-Up'!$B$7:$B$306,B7,'Resource Build-Up'!$Z$7:$Z$306))</f>
        <v/>
      </c>
      <c r="H7" s="151" t="n"/>
      <c r="I7" s="151" t="n"/>
      <c r="J7" s="151" t="n"/>
      <c r="K7" s="151" t="n"/>
      <c r="L7" s="150">
        <f>IF(B7="","",IF(J7="Excluded","Excluded","Resource-linked"))</f>
        <v/>
      </c>
      <c r="M7" s="150">
        <f>IF(B7="","",IF(G7=0,"No resource cost / review","Resource Build-Up -&gt; "&amp;B7))</f>
        <v/>
      </c>
      <c r="N7" s="150">
        <f>IF(B7="","","Resource Build-Up")</f>
        <v/>
      </c>
      <c r="O7" s="150">
        <f>IF(B7="","","See Resource Build-Up / Resource Rate Library")</f>
        <v/>
      </c>
      <c r="P7" s="150" t="n"/>
      <c r="Q7" s="151" t="n"/>
      <c r="R7" s="208">
        <f>IF(OR(ISNUMBER(SEARCH("PC",P7)),ISNUMBER(SEARCH("quote",Q7))),"Jason","Rick")</f>
        <v/>
      </c>
      <c r="S7" s="146" t="n"/>
      <c r="T7" s="222" t="n"/>
    </row>
    <row r="8" ht="21" customHeight="1" s="491">
      <c r="A8" s="147" t="n"/>
      <c r="B8" s="147" t="n"/>
      <c r="C8" s="926" t="n"/>
      <c r="D8" s="147" t="n"/>
      <c r="E8" s="148" t="n"/>
      <c r="F8" s="1428">
        <f>IF(B8="","",IF(E8=0,0,G8/E8))</f>
        <v/>
      </c>
      <c r="G8" s="1428">
        <f>IF(B8="","",SUMIF('Resource Build-Up'!$B$7:$B$306,B8,'Resource Build-Up'!$Z$7:$Z$306))</f>
        <v/>
      </c>
      <c r="H8" s="147" t="n"/>
      <c r="I8" s="147" t="n"/>
      <c r="J8" s="147" t="n"/>
      <c r="K8" s="147" t="n"/>
      <c r="L8" s="150">
        <f>IF(B8="","",IF(J8="Excluded","Excluded","Resource-linked"))</f>
        <v/>
      </c>
      <c r="M8" s="150">
        <f>IF(B8="","",IF(G8=0,"No resource cost / review","Resource Build-Up -&gt; "&amp;B8))</f>
        <v/>
      </c>
      <c r="N8" s="150">
        <f>IF(B8="","","Resource Build-Up")</f>
        <v/>
      </c>
      <c r="O8" s="150">
        <f>IF(B8="","","See Resource Build-Up / Resource Rate Library")</f>
        <v/>
      </c>
      <c r="P8" s="150" t="n"/>
      <c r="Q8" s="147" t="n"/>
      <c r="R8" s="208">
        <f>IF(OR(ISNUMBER(SEARCH("PC",P8)),ISNUMBER(SEARCH("quote",Q8))),"Jason","Rick")</f>
        <v/>
      </c>
      <c r="S8" s="146" t="n"/>
      <c r="T8" s="222" t="n"/>
    </row>
    <row r="9" ht="21" customHeight="1" s="491">
      <c r="A9" s="151" t="n"/>
      <c r="B9" s="151" t="n"/>
      <c r="C9" s="927" t="n"/>
      <c r="D9" s="151" t="n"/>
      <c r="E9" s="148" t="n"/>
      <c r="F9" s="1428">
        <f>IF(B9="","",IF(E9=0,0,G9/E9))</f>
        <v/>
      </c>
      <c r="G9" s="1428">
        <f>IF(B9="","",SUMIF('Resource Build-Up'!$B$7:$B$306,B9,'Resource Build-Up'!$Z$7:$Z$306))</f>
        <v/>
      </c>
      <c r="H9" s="151" t="n"/>
      <c r="I9" s="151" t="n"/>
      <c r="J9" s="151" t="n"/>
      <c r="K9" s="151" t="n"/>
      <c r="L9" s="150">
        <f>IF(B9="","",IF(J9="Excluded","Excluded","Resource-linked"))</f>
        <v/>
      </c>
      <c r="M9" s="150">
        <f>IF(B9="","",IF(G9=0,"No resource cost / review","Resource Build-Up -&gt; "&amp;B9))</f>
        <v/>
      </c>
      <c r="N9" s="150">
        <f>IF(B9="","","Resource Build-Up")</f>
        <v/>
      </c>
      <c r="O9" s="150">
        <f>IF(B9="","","See Resource Build-Up / Resource Rate Library")</f>
        <v/>
      </c>
      <c r="P9" s="150" t="n"/>
      <c r="Q9" s="151" t="n"/>
      <c r="R9" s="208">
        <f>IF(OR(ISNUMBER(SEARCH("PC",P9)),ISNUMBER(SEARCH("quote",Q9))),"Jason","Rick")</f>
        <v/>
      </c>
      <c r="S9" s="146" t="n"/>
      <c r="T9" s="222" t="n"/>
    </row>
    <row r="10" ht="21" customHeight="1" s="491">
      <c r="A10" s="147" t="n"/>
      <c r="B10" s="147" t="n"/>
      <c r="C10" s="926" t="n"/>
      <c r="D10" s="147" t="n"/>
      <c r="E10" s="148" t="n"/>
      <c r="F10" s="1428">
        <f>IF(B10="","",IF(E10=0,0,G10/E10))</f>
        <v/>
      </c>
      <c r="G10" s="1428">
        <f>IF(B10="","",SUMIF('Resource Build-Up'!$B$7:$B$306,B10,'Resource Build-Up'!$Z$7:$Z$306))</f>
        <v/>
      </c>
      <c r="H10" s="147" t="n"/>
      <c r="I10" s="147" t="n"/>
      <c r="J10" s="147" t="n"/>
      <c r="K10" s="147" t="n"/>
      <c r="L10" s="150">
        <f>IF(B10="","",IF(J10="Excluded","Excluded","Resource-linked"))</f>
        <v/>
      </c>
      <c r="M10" s="150">
        <f>IF(B10="","",IF(G10=0,"No resource cost / review","Resource Build-Up -&gt; "&amp;B10))</f>
        <v/>
      </c>
      <c r="N10" s="150">
        <f>IF(B10="","","Resource Build-Up")</f>
        <v/>
      </c>
      <c r="O10" s="150">
        <f>IF(B10="","","See Resource Build-Up / Resource Rate Library")</f>
        <v/>
      </c>
      <c r="P10" s="150" t="n"/>
      <c r="Q10" s="147" t="n"/>
      <c r="R10" s="208">
        <f>IF(OR(ISNUMBER(SEARCH("PC",P10)),ISNUMBER(SEARCH("quote",Q10))),"Jason","Rick")</f>
        <v/>
      </c>
      <c r="S10" s="146" t="n"/>
      <c r="T10" s="222" t="n"/>
    </row>
    <row r="11" ht="21" customHeight="1" s="491">
      <c r="A11" s="151" t="n"/>
      <c r="B11" s="151" t="n"/>
      <c r="C11" s="927" t="n"/>
      <c r="D11" s="151" t="n"/>
      <c r="E11" s="148" t="n"/>
      <c r="F11" s="1428">
        <f>IF(B11="","",IF(E11=0,0,G11/E11))</f>
        <v/>
      </c>
      <c r="G11" s="1428">
        <f>IF(B11="","",SUMIF('Resource Build-Up'!$B$7:$B$306,B11,'Resource Build-Up'!$Z$7:$Z$306))</f>
        <v/>
      </c>
      <c r="H11" s="151" t="n"/>
      <c r="I11" s="151" t="n"/>
      <c r="J11" s="151" t="n"/>
      <c r="K11" s="151" t="n"/>
      <c r="L11" s="150">
        <f>IF(B11="","",IF(J11="Excluded","Excluded","Resource-linked"))</f>
        <v/>
      </c>
      <c r="M11" s="150">
        <f>IF(B11="","",IF(G11=0,"No resource cost / review","Resource Build-Up -&gt; "&amp;B11))</f>
        <v/>
      </c>
      <c r="N11" s="150">
        <f>IF(B11="","","Resource Build-Up")</f>
        <v/>
      </c>
      <c r="O11" s="150">
        <f>IF(B11="","","See Resource Build-Up / Resource Rate Library")</f>
        <v/>
      </c>
      <c r="P11" s="150" t="n"/>
      <c r="Q11" s="151" t="n"/>
      <c r="R11" s="208">
        <f>IF(OR(ISNUMBER(SEARCH("PC",P11)),ISNUMBER(SEARCH("quote",Q11))),"Jason","Rick")</f>
        <v/>
      </c>
      <c r="S11" s="146" t="n"/>
      <c r="T11" s="222" t="n"/>
    </row>
    <row r="12" ht="21" customHeight="1" s="491">
      <c r="A12" s="147" t="n"/>
      <c r="B12" s="147" t="n"/>
      <c r="C12" s="147" t="n"/>
      <c r="D12" s="147" t="n"/>
      <c r="E12" s="148" t="n"/>
      <c r="F12" s="1429">
        <f>IF(B12="","",IF(E12=0,0,G12/E12))</f>
        <v/>
      </c>
      <c r="G12" s="1429">
        <f>IF(B12="","",SUMIF('Resource Build-Up'!$B$7:$B$306,B12,'Resource Build-Up'!$Z$7:$Z$306))</f>
        <v/>
      </c>
      <c r="H12" s="147" t="n"/>
      <c r="I12" s="147" t="n"/>
      <c r="J12" s="147" t="n"/>
      <c r="K12" s="147" t="n"/>
      <c r="L12" s="150">
        <f>IF(B12="","",IF(J12="Excluded","Excluded","Resource-linked"))</f>
        <v/>
      </c>
      <c r="M12" s="150">
        <f>IF(B12="","",IF(G12=0,"No resource cost / review","Resource Build-Up -&gt; "&amp;B12))</f>
        <v/>
      </c>
      <c r="N12" s="150">
        <f>IF(B12="","","Resource Build-Up")</f>
        <v/>
      </c>
      <c r="O12" s="150">
        <f>IF(B12="","","See Resource Build-Up / Resource Rate Library")</f>
        <v/>
      </c>
      <c r="P12" s="150" t="n"/>
      <c r="Q12" s="147" t="n"/>
      <c r="R12" s="208">
        <f>IF(OR(ISNUMBER(SEARCH("PC",P12)),ISNUMBER(SEARCH("quote",Q12))),"Jason","Rick")</f>
        <v/>
      </c>
      <c r="S12" s="146" t="n"/>
      <c r="T12" s="222" t="n"/>
    </row>
    <row r="13" ht="21" customHeight="1" s="491">
      <c r="A13" s="151" t="n"/>
      <c r="B13" s="151" t="n"/>
      <c r="C13" s="151" t="n"/>
      <c r="D13" s="151" t="n"/>
      <c r="E13" s="148" t="n"/>
      <c r="F13" s="1429">
        <f>IF(B13="","",IF(E13=0,0,G13/E13))</f>
        <v/>
      </c>
      <c r="G13" s="1429">
        <f>IF(B13="","",SUMIF('Resource Build-Up'!$B$7:$B$306,B13,'Resource Build-Up'!$Z$7:$Z$306))</f>
        <v/>
      </c>
      <c r="H13" s="151" t="n"/>
      <c r="I13" s="151" t="n"/>
      <c r="J13" s="151" t="n"/>
      <c r="K13" s="151" t="n"/>
      <c r="L13" s="150">
        <f>IF(B13="","",IF(J13="Excluded","Excluded","Resource-linked"))</f>
        <v/>
      </c>
      <c r="M13" s="150">
        <f>IF(B13="","",IF(G13=0,"No resource cost / review","Resource Build-Up -&gt; "&amp;B13))</f>
        <v/>
      </c>
      <c r="N13" s="150">
        <f>IF(B13="","","Resource Build-Up")</f>
        <v/>
      </c>
      <c r="O13" s="150">
        <f>IF(B13="","","See Resource Build-Up / Resource Rate Library")</f>
        <v/>
      </c>
      <c r="P13" s="150" t="n"/>
      <c r="Q13" s="151" t="n"/>
      <c r="R13" s="208">
        <f>IF(OR(ISNUMBER(SEARCH("PC",P13)),ISNUMBER(SEARCH("quote",Q13))),"Jason","Rick")</f>
        <v/>
      </c>
      <c r="S13" s="146" t="n"/>
      <c r="T13" s="222" t="n"/>
    </row>
    <row r="14" ht="21" customHeight="1" s="491">
      <c r="A14" s="33" t="n"/>
      <c r="B14" s="33" t="n"/>
      <c r="C14" s="33" t="n"/>
      <c r="D14" s="33" t="n"/>
      <c r="E14" s="152" t="n"/>
      <c r="F14" s="1430">
        <f>IF(B14="","",IF(E14=0,0,G14/E14))</f>
        <v/>
      </c>
      <c r="G14" s="1430">
        <f>IF(B14="","",SUMIF('Resource Build-Up'!$B$7:$B$306,B14,'Resource Build-Up'!$Z$7:$Z$306))</f>
        <v/>
      </c>
      <c r="H14" s="33" t="n"/>
      <c r="I14" s="33" t="n"/>
      <c r="J14" s="33" t="n"/>
      <c r="K14" s="33" t="n"/>
      <c r="L14" s="70">
        <f>IF(B14="","",IF(J14="Excluded","Excluded","Resource-linked"))</f>
        <v/>
      </c>
      <c r="M14" s="70">
        <f>IF(B14="","",IF(G14=0,"No resource cost / review","Resource Build-Up -&gt; "&amp;B14))</f>
        <v/>
      </c>
      <c r="N14" s="70">
        <f>IF(B14="","","Resource Build-Up")</f>
        <v/>
      </c>
      <c r="O14" s="70">
        <f>IF(B14="","","See Resource Build-Up / Resource Rate Library")</f>
        <v/>
      </c>
      <c r="P14" s="70" t="n"/>
      <c r="Q14" s="33" t="n"/>
      <c r="R14" s="208">
        <f>IF(OR(ISNUMBER(SEARCH("PC",P14)),ISNUMBER(SEARCH("quote",Q14))),"Jason","Rick")</f>
        <v/>
      </c>
      <c r="S14" s="146" t="n"/>
      <c r="T14" s="222" t="n"/>
    </row>
    <row r="15" ht="21" customHeight="1" s="491">
      <c r="A15" s="35" t="n"/>
      <c r="B15" s="36" t="n"/>
      <c r="C15" s="36" t="n"/>
      <c r="D15" s="36" t="n"/>
      <c r="E15" s="17" t="n"/>
      <c r="F15" s="1427">
        <f>IF(B15="","",IF(E15=0,0,G15/E15))</f>
        <v/>
      </c>
      <c r="G15" s="1430">
        <f>IF(B15="","",SUMIF('Resource Build-Up'!$B$7:$B$306,B15,'Resource Build-Up'!$Z$7:$Z$306))</f>
        <v/>
      </c>
      <c r="H15" s="36" t="n"/>
      <c r="I15" s="36" t="n"/>
      <c r="J15" s="36" t="n"/>
      <c r="K15" s="36" t="n"/>
      <c r="L15" s="70">
        <f>IF(B15="","",IF(J15="Excluded","Excluded","Resource-linked"))</f>
        <v/>
      </c>
      <c r="M15" s="235">
        <f>IF(B15="","",IF(G15=0,"No resource cost / review","Resource Build-Up -&gt; "&amp;B15))</f>
        <v/>
      </c>
      <c r="N15" s="235">
        <f>IF(B15="","","Resource Build-Up")</f>
        <v/>
      </c>
      <c r="O15" s="235">
        <f>IF(B15="","","See Resource Build-Up / Resource Rate Library")</f>
        <v/>
      </c>
      <c r="P15" s="70" t="n"/>
      <c r="Q15" s="36" t="n"/>
      <c r="R15" s="208">
        <f>IF(OR(ISNUMBER(SEARCH("PC",P15)),ISNUMBER(SEARCH("quote",Q15))),"Jason","Rick")</f>
        <v/>
      </c>
      <c r="S15" s="146" t="n"/>
      <c r="T15" s="222" t="n"/>
    </row>
    <row r="16" ht="21" customHeight="1" s="491">
      <c r="A16" s="153" t="n"/>
      <c r="B16" s="153" t="n"/>
      <c r="C16" s="153" t="n"/>
      <c r="D16" s="153" t="n"/>
      <c r="E16" s="154" t="n"/>
      <c r="F16" s="1431">
        <f>IF(B16="","",IF(E16=0,0,G16/E16))</f>
        <v/>
      </c>
      <c r="G16" s="1431">
        <f>IF(B16="","",SUMIF('Resource Build-Up'!$B$7:$B$306,B16,'Resource Build-Up'!$Z$7:$Z$306))</f>
        <v/>
      </c>
      <c r="H16" s="153" t="n"/>
      <c r="I16" s="153" t="n"/>
      <c r="J16" s="153" t="n"/>
      <c r="K16" s="153" t="n"/>
      <c r="L16" s="146">
        <f>IF(B16="","",IF(J16="Excluded","Excluded","Resource-linked"))</f>
        <v/>
      </c>
      <c r="M16" s="146">
        <f>IF(B16="","",IF(G16=0,"No resource cost / review","Resource Build-Up -&gt; "&amp;B16))</f>
        <v/>
      </c>
      <c r="N16" s="146">
        <f>IF(B16="","","Resource Build-Up")</f>
        <v/>
      </c>
      <c r="O16" s="146">
        <f>IF(B16="","","See Resource Build-Up / Resource Rate Library")</f>
        <v/>
      </c>
      <c r="P16" s="146" t="n"/>
      <c r="Q16" s="153" t="n"/>
      <c r="R16" s="208">
        <f>IF(OR(ISNUMBER(SEARCH("PC",P16)),ISNUMBER(SEARCH("quote",Q16))),"Jason","Rick")</f>
        <v/>
      </c>
      <c r="S16" s="146" t="n"/>
      <c r="T16" s="222" t="n"/>
    </row>
    <row r="17" ht="21" customHeight="1" s="491">
      <c r="A17" s="35" t="n"/>
      <c r="B17" s="36" t="n"/>
      <c r="C17" s="36" t="n"/>
      <c r="D17" s="36" t="n"/>
      <c r="E17" s="17" t="n"/>
      <c r="F17" s="1427">
        <f>IF(B17="","",IF(E17=0,0,G17/E17))</f>
        <v/>
      </c>
      <c r="G17" s="1427">
        <f>IF(B17="","",SUMIF('Resource Build-Up'!$B$7:$B$306,B17,'Resource Build-Up'!$Z$7:$Z$306))</f>
        <v/>
      </c>
      <c r="H17" s="36" t="n"/>
      <c r="I17" s="36" t="n"/>
      <c r="J17" s="36" t="n"/>
      <c r="K17" s="36" t="n"/>
      <c r="L17" s="235">
        <f>IF(B17="","",IF(J17="Excluded","Excluded","Resource-linked"))</f>
        <v/>
      </c>
      <c r="M17" s="235">
        <f>IF(B17="","",IF(G17=0,"No resource cost / review","Resource Build-Up -&gt; "&amp;B17))</f>
        <v/>
      </c>
      <c r="N17" s="235">
        <f>IF(B17="","","Resource Build-Up")</f>
        <v/>
      </c>
      <c r="O17" s="235">
        <f>IF(B17="","","See Resource Build-Up / Resource Rate Library")</f>
        <v/>
      </c>
      <c r="P17" s="235" t="n"/>
      <c r="Q17" s="36" t="n"/>
      <c r="R17" s="208">
        <f>IF(OR(ISNUMBER(SEARCH("PC",P17)),ISNUMBER(SEARCH("quote",Q17))),"Jason","Rick")</f>
        <v/>
      </c>
      <c r="S17" s="146" t="n"/>
      <c r="T17" s="222" t="n"/>
    </row>
    <row r="18" ht="21" customHeight="1" s="491">
      <c r="A18" s="147" t="n"/>
      <c r="B18" s="147" t="n"/>
      <c r="C18" s="147" t="n"/>
      <c r="D18" s="147" t="n"/>
      <c r="E18" s="148" t="n"/>
      <c r="F18" s="1429">
        <f>IF(B18="","",IF(E18=0,0,G18/E18))</f>
        <v/>
      </c>
      <c r="G18" s="1429">
        <f>IF(B18="","",SUMIF('Resource Build-Up'!$B$7:$B$306,B18,'Resource Build-Up'!$Z$7:$Z$306))</f>
        <v/>
      </c>
      <c r="H18" s="147" t="n"/>
      <c r="I18" s="147" t="n"/>
      <c r="J18" s="147" t="n"/>
      <c r="K18" s="147" t="n"/>
      <c r="L18" s="150">
        <f>IF(B18="","",IF(J18="Excluded","Excluded","Resource-linked"))</f>
        <v/>
      </c>
      <c r="M18" s="150">
        <f>IF(B18="","",IF(G18=0,"No resource cost / review","Resource Build-Up -&gt; "&amp;B18))</f>
        <v/>
      </c>
      <c r="N18" s="150">
        <f>IF(B18="","","Resource Build-Up")</f>
        <v/>
      </c>
      <c r="O18" s="150">
        <f>IF(B18="","","See Resource Build-Up / Resource Rate Library")</f>
        <v/>
      </c>
      <c r="P18" s="150" t="n"/>
      <c r="Q18" s="147" t="n"/>
      <c r="R18" s="208">
        <f>IF(OR(ISNUMBER(SEARCH("PC",P18)),ISNUMBER(SEARCH("quote",Q18))),"Jason","Rick")</f>
        <v/>
      </c>
      <c r="S18" s="146" t="n"/>
      <c r="T18" s="222" t="n"/>
    </row>
    <row r="19" ht="21" customHeight="1" s="491">
      <c r="A19" s="151" t="n"/>
      <c r="B19" s="151" t="n"/>
      <c r="C19" s="151" t="n"/>
      <c r="D19" s="151" t="n"/>
      <c r="E19" s="148" t="n"/>
      <c r="F19" s="1429">
        <f>IF(B19="","",IF(E19=0,0,G19/E19))</f>
        <v/>
      </c>
      <c r="G19" s="1429">
        <f>IF(B19="","",SUMIF('Resource Build-Up'!$B$7:$B$306,B19,'Resource Build-Up'!$Z$7:$Z$306))</f>
        <v/>
      </c>
      <c r="H19" s="151" t="n"/>
      <c r="I19" s="151" t="n"/>
      <c r="J19" s="151" t="n"/>
      <c r="K19" s="151" t="n"/>
      <c r="L19" s="150">
        <f>IF(B19="","",IF(J19="Excluded","Excluded","Resource-linked"))</f>
        <v/>
      </c>
      <c r="M19" s="150">
        <f>IF(B19="","",IF(G19=0,"No resource cost / review","Resource Build-Up -&gt; "&amp;B19))</f>
        <v/>
      </c>
      <c r="N19" s="150">
        <f>IF(B19="","","Resource Build-Up")</f>
        <v/>
      </c>
      <c r="O19" s="150">
        <f>IF(B19="","","See Resource Build-Up / Resource Rate Library")</f>
        <v/>
      </c>
      <c r="P19" s="150" t="n"/>
      <c r="Q19" s="151" t="n"/>
      <c r="R19" s="208">
        <f>IF(OR(ISNUMBER(SEARCH("PC",P19)),ISNUMBER(SEARCH("quote",Q19))),"Jason","Rick")</f>
        <v/>
      </c>
      <c r="S19" s="146" t="n"/>
      <c r="T19" s="222" t="n"/>
    </row>
    <row r="20" ht="21" customHeight="1" s="491">
      <c r="A20" s="147" t="n"/>
      <c r="B20" s="147" t="n"/>
      <c r="C20" s="147" t="n"/>
      <c r="D20" s="147" t="n"/>
      <c r="E20" s="148" t="n"/>
      <c r="F20" s="1429">
        <f>IF(B20="","",IF(E20=0,0,G20/E20))</f>
        <v/>
      </c>
      <c r="G20" s="1429">
        <f>IF(B20="","",SUMIF('Resource Build-Up'!$B$7:$B$306,B20,'Resource Build-Up'!$Z$7:$Z$306))</f>
        <v/>
      </c>
      <c r="H20" s="147" t="n"/>
      <c r="I20" s="147" t="n"/>
      <c r="J20" s="147" t="n"/>
      <c r="K20" s="147" t="n"/>
      <c r="L20" s="150">
        <f>IF(B20="","",IF(J20="Excluded","Excluded","Resource-linked"))</f>
        <v/>
      </c>
      <c r="M20" s="150">
        <f>IF(B20="","",IF(G20=0,"No resource cost / review","Resource Build-Up -&gt; "&amp;B20))</f>
        <v/>
      </c>
      <c r="N20" s="150">
        <f>IF(B20="","","Resource Build-Up")</f>
        <v/>
      </c>
      <c r="O20" s="150">
        <f>IF(B20="","","See Resource Build-Up / Resource Rate Library")</f>
        <v/>
      </c>
      <c r="P20" s="150" t="n"/>
      <c r="Q20" s="147" t="n"/>
      <c r="R20" s="208">
        <f>IF(OR(ISNUMBER(SEARCH("PC",P20)),ISNUMBER(SEARCH("quote",Q20))),"Jason","Rick")</f>
        <v/>
      </c>
      <c r="S20" s="146" t="n"/>
      <c r="T20" s="222" t="n"/>
    </row>
    <row r="21" ht="21" customHeight="1" s="491">
      <c r="A21" s="151" t="n"/>
      <c r="B21" s="151" t="n"/>
      <c r="C21" s="151" t="n"/>
      <c r="D21" s="151" t="n"/>
      <c r="E21" s="148" t="n"/>
      <c r="F21" s="1429">
        <f>IF(B21="","",IF(E21=0,0,G21/E21))</f>
        <v/>
      </c>
      <c r="G21" s="1429">
        <f>IF(B21="","",SUMIF('Resource Build-Up'!$B$7:$B$306,B21,'Resource Build-Up'!$Z$7:$Z$306))</f>
        <v/>
      </c>
      <c r="H21" s="151" t="n"/>
      <c r="I21" s="151" t="n"/>
      <c r="J21" s="151" t="n"/>
      <c r="K21" s="151" t="n"/>
      <c r="L21" s="150">
        <f>IF(B21="","",IF(J21="Excluded","Excluded","Resource-linked"))</f>
        <v/>
      </c>
      <c r="M21" s="150">
        <f>IF(B21="","",IF(G21=0,"No resource cost / review","Resource Build-Up -&gt; "&amp;B21))</f>
        <v/>
      </c>
      <c r="N21" s="150">
        <f>IF(B21="","","Resource Build-Up")</f>
        <v/>
      </c>
      <c r="O21" s="150">
        <f>IF(B21="","","See Resource Build-Up / Resource Rate Library")</f>
        <v/>
      </c>
      <c r="P21" s="150" t="n"/>
      <c r="Q21" s="151" t="n"/>
      <c r="R21" s="208">
        <f>IF(OR(ISNUMBER(SEARCH("PC",P21)),ISNUMBER(SEARCH("quote",Q21))),"Jason","Rick")</f>
        <v/>
      </c>
      <c r="S21" s="146" t="n"/>
      <c r="T21" s="222" t="n"/>
    </row>
    <row r="22" ht="21" customHeight="1" s="491">
      <c r="A22" s="147" t="n"/>
      <c r="B22" s="147" t="n"/>
      <c r="C22" s="147" t="n"/>
      <c r="D22" s="147" t="n"/>
      <c r="E22" s="148" t="n"/>
      <c r="F22" s="1429">
        <f>IF(B22="","",IF(E22=0,0,G22/E22))</f>
        <v/>
      </c>
      <c r="G22" s="1429">
        <f>IF(B22="","",SUMIF('Resource Build-Up'!$B$7:$B$306,B22,'Resource Build-Up'!$Z$7:$Z$306))</f>
        <v/>
      </c>
      <c r="H22" s="147" t="n"/>
      <c r="I22" s="147" t="n"/>
      <c r="J22" s="147" t="n"/>
      <c r="K22" s="147" t="n"/>
      <c r="L22" s="150">
        <f>IF(B22="","",IF(J22="Excluded","Excluded","Resource-linked"))</f>
        <v/>
      </c>
      <c r="M22" s="150">
        <f>IF(B22="","",IF(G22=0,"No resource cost / review","Resource Build-Up -&gt; "&amp;B22))</f>
        <v/>
      </c>
      <c r="N22" s="150">
        <f>IF(B22="","","Resource Build-Up")</f>
        <v/>
      </c>
      <c r="O22" s="150">
        <f>IF(B22="","","See Resource Build-Up / Resource Rate Library")</f>
        <v/>
      </c>
      <c r="P22" s="150" t="n"/>
      <c r="Q22" s="147" t="n"/>
      <c r="R22" s="208">
        <f>IF(OR(ISNUMBER(SEARCH("PC",P22)),ISNUMBER(SEARCH("quote",Q22))),"Jason","Rick")</f>
        <v/>
      </c>
      <c r="S22" s="146" t="n"/>
      <c r="T22" s="222" t="n"/>
    </row>
    <row r="23" ht="21" customHeight="1" s="491">
      <c r="A23" s="35" t="n"/>
      <c r="B23" s="35" t="n"/>
      <c r="C23" s="35" t="n"/>
      <c r="D23" s="35" t="n"/>
      <c r="E23" s="152" t="n"/>
      <c r="F23" s="1430">
        <f>IF(B23="","",IF(E23=0,0,G23/E23))</f>
        <v/>
      </c>
      <c r="G23" s="1430">
        <f>IF(B23="","",SUMIF('Resource Build-Up'!$B$7:$B$306,B23,'Resource Build-Up'!$Z$7:$Z$306))</f>
        <v/>
      </c>
      <c r="H23" s="35" t="n"/>
      <c r="I23" s="35" t="n"/>
      <c r="J23" s="35" t="n"/>
      <c r="K23" s="35" t="n"/>
      <c r="L23" s="70">
        <f>IF(B23="","",IF(J23="Excluded","Excluded","Resource-linked"))</f>
        <v/>
      </c>
      <c r="M23" s="70">
        <f>IF(B23="","",IF(G23=0,"No resource cost / review","Resource Build-Up -&gt; "&amp;B23))</f>
        <v/>
      </c>
      <c r="N23" s="70">
        <f>IF(B23="","","Resource Build-Up")</f>
        <v/>
      </c>
      <c r="O23" s="70">
        <f>IF(B23="","","See Resource Build-Up / Resource Rate Library")</f>
        <v/>
      </c>
      <c r="P23" s="70" t="n"/>
      <c r="Q23" s="35" t="n"/>
      <c r="R23" s="208">
        <f>IF(OR(ISNUMBER(SEARCH("PC",P23)),ISNUMBER(SEARCH("quote",Q23))),"Jason","Rick")</f>
        <v/>
      </c>
      <c r="S23" s="146" t="n"/>
      <c r="T23" s="222" t="n"/>
    </row>
    <row r="24" ht="21" customHeight="1" s="491">
      <c r="A24" s="33" t="n"/>
      <c r="B24" s="33" t="n"/>
      <c r="C24" s="33" t="n"/>
      <c r="D24" s="33" t="n"/>
      <c r="E24" s="152" t="n"/>
      <c r="F24" s="1430">
        <f>IF(B24="","",IF(E24=0,0,G24/E24))</f>
        <v/>
      </c>
      <c r="G24" s="1430">
        <f>IF(B24="","",SUMIF('Resource Build-Up'!$B$7:$B$306,B24,'Resource Build-Up'!$Z$7:$Z$306))</f>
        <v/>
      </c>
      <c r="H24" s="33" t="n"/>
      <c r="I24" s="33" t="n"/>
      <c r="J24" s="33" t="n"/>
      <c r="K24" s="33" t="n"/>
      <c r="L24" s="70">
        <f>IF(B24="","",IF(J24="Excluded","Excluded","Resource-linked"))</f>
        <v/>
      </c>
      <c r="M24" s="70">
        <f>IF(B24="","",IF(G24=0,"No resource cost / review","Resource Build-Up -&gt; "&amp;B24))</f>
        <v/>
      </c>
      <c r="N24" s="70">
        <f>IF(B24="","","Resource Build-Up")</f>
        <v/>
      </c>
      <c r="O24" s="70">
        <f>IF(B24="","","See Resource Build-Up / Resource Rate Library")</f>
        <v/>
      </c>
      <c r="P24" s="70" t="n"/>
      <c r="Q24" s="33" t="n"/>
      <c r="R24" s="208">
        <f>IF(OR(ISNUMBER(SEARCH("PC",P24)),ISNUMBER(SEARCH("quote",Q24))),"Jason","Rick")</f>
        <v/>
      </c>
      <c r="S24" s="146" t="n"/>
      <c r="T24" s="222" t="n"/>
    </row>
    <row r="25" ht="21" customHeight="1" s="491">
      <c r="A25" s="151" t="n"/>
      <c r="B25" s="151" t="n"/>
      <c r="C25" s="151" t="n"/>
      <c r="D25" s="151" t="n"/>
      <c r="E25" s="148" t="n"/>
      <c r="F25" s="1429">
        <f>IF(B25="","",IF(E25=0,0,G25/E25))</f>
        <v/>
      </c>
      <c r="G25" s="1429">
        <f>IF(B25="","",SUMIF('Resource Build-Up'!$B$7:$B$306,B25,'Resource Build-Up'!$Z$7:$Z$306))</f>
        <v/>
      </c>
      <c r="H25" s="151" t="n"/>
      <c r="I25" s="151" t="n"/>
      <c r="J25" s="151" t="n"/>
      <c r="K25" s="151" t="n"/>
      <c r="L25" s="150">
        <f>IF(B25="","",IF(J25="Excluded","Excluded","Resource-linked"))</f>
        <v/>
      </c>
      <c r="M25" s="150">
        <f>IF(B25="","",IF(G25=0,"No resource cost / review","Resource Build-Up -&gt; "&amp;B25))</f>
        <v/>
      </c>
      <c r="N25" s="150">
        <f>IF(B25="","","Resource Build-Up")</f>
        <v/>
      </c>
      <c r="O25" s="150">
        <f>IF(B25="","","See Resource Build-Up / Resource Rate Library")</f>
        <v/>
      </c>
      <c r="P25" s="150" t="n"/>
      <c r="Q25" s="151" t="n"/>
      <c r="R25" s="208">
        <f>IF(OR(ISNUMBER(SEARCH("PC",P25)),ISNUMBER(SEARCH("quote",Q25))),"Jason","Rick")</f>
        <v/>
      </c>
      <c r="S25" s="146" t="n"/>
      <c r="T25" s="222" t="n"/>
    </row>
    <row r="26" ht="21" customHeight="1" s="491">
      <c r="A26" s="147" t="n"/>
      <c r="B26" s="147" t="n"/>
      <c r="C26" s="147" t="n"/>
      <c r="D26" s="147" t="n"/>
      <c r="E26" s="148" t="n"/>
      <c r="F26" s="1429">
        <f>IF(B26="","",IF(E26=0,0,G26/E26))</f>
        <v/>
      </c>
      <c r="G26" s="1429">
        <f>IF(B26="","",SUMIF('Resource Build-Up'!$B$7:$B$306,B26,'Resource Build-Up'!$Z$7:$Z$306))</f>
        <v/>
      </c>
      <c r="H26" s="147" t="n"/>
      <c r="I26" s="147" t="n"/>
      <c r="J26" s="147" t="n"/>
      <c r="K26" s="147" t="n"/>
      <c r="L26" s="150">
        <f>IF(B26="","",IF(J26="Excluded","Excluded","Resource-linked"))</f>
        <v/>
      </c>
      <c r="M26" s="150">
        <f>IF(B26="","",IF(G26=0,"No resource cost / review","Resource Build-Up -&gt; "&amp;B26))</f>
        <v/>
      </c>
      <c r="N26" s="150">
        <f>IF(B26="","","Resource Build-Up")</f>
        <v/>
      </c>
      <c r="O26" s="150">
        <f>IF(B26="","","See Resource Build-Up / Resource Rate Library")</f>
        <v/>
      </c>
      <c r="P26" s="150" t="n"/>
      <c r="Q26" s="147" t="n"/>
      <c r="R26" s="208">
        <f>IF(OR(ISNUMBER(SEARCH("PC",P26)),ISNUMBER(SEARCH("quote",Q26))),"Jason","Rick")</f>
        <v/>
      </c>
      <c r="S26" s="146" t="n"/>
      <c r="T26" s="222" t="n"/>
    </row>
    <row r="27" ht="21" customHeight="1" s="491">
      <c r="A27" s="151" t="n"/>
      <c r="B27" s="151" t="n"/>
      <c r="C27" s="151" t="n"/>
      <c r="D27" s="151" t="n"/>
      <c r="E27" s="148" t="n"/>
      <c r="F27" s="1429">
        <f>IF(B27="","",IF(E27=0,0,G27/E27))</f>
        <v/>
      </c>
      <c r="G27" s="1429">
        <f>IF(B27="","",SUMIF('Resource Build-Up'!$B$7:$B$306,B27,'Resource Build-Up'!$Z$7:$Z$306))</f>
        <v/>
      </c>
      <c r="H27" s="151" t="n"/>
      <c r="I27" s="151" t="n"/>
      <c r="J27" s="151" t="n"/>
      <c r="K27" s="151" t="n"/>
      <c r="L27" s="150">
        <f>IF(B27="","",IF(J27="Excluded","Excluded","Resource-linked"))</f>
        <v/>
      </c>
      <c r="M27" s="150">
        <f>IF(B27="","",IF(G27=0,"No resource cost / review","Resource Build-Up -&gt; "&amp;B27))</f>
        <v/>
      </c>
      <c r="N27" s="150">
        <f>IF(B27="","","Resource Build-Up")</f>
        <v/>
      </c>
      <c r="O27" s="150">
        <f>IF(B27="","","See Resource Build-Up / Resource Rate Library")</f>
        <v/>
      </c>
      <c r="P27" s="150" t="n"/>
      <c r="Q27" s="151" t="n"/>
      <c r="R27" s="208">
        <f>IF(OR(ISNUMBER(SEARCH("PC",P27)),ISNUMBER(SEARCH("quote",Q27))),"Jason","Rick")</f>
        <v/>
      </c>
      <c r="S27" s="146" t="n"/>
      <c r="T27" s="222" t="n"/>
    </row>
    <row r="28" ht="21" customHeight="1" s="491">
      <c r="A28" s="33" t="n"/>
      <c r="B28" s="34" t="n"/>
      <c r="C28" s="34" t="n"/>
      <c r="D28" s="34" t="n"/>
      <c r="E28" s="17" t="n"/>
      <c r="F28" s="1427">
        <f>IF(B28="","",IF(E28=0,0,G28/E28))</f>
        <v/>
      </c>
      <c r="G28" s="1430">
        <f>IF(B28="","",SUMIF('Resource Build-Up'!$B$7:$B$306,B28,'Resource Build-Up'!$Z$7:$Z$306))</f>
        <v/>
      </c>
      <c r="H28" s="34" t="n"/>
      <c r="I28" s="34" t="n"/>
      <c r="J28" s="34" t="n"/>
      <c r="K28" s="34" t="n"/>
      <c r="L28" s="70">
        <f>IF(B28="","",IF(J28="Excluded","Excluded","Resource-linked"))</f>
        <v/>
      </c>
      <c r="M28" s="235">
        <f>IF(B28="","",IF(G28=0,"No resource cost / review","Resource Build-Up -&gt; "&amp;B28))</f>
        <v/>
      </c>
      <c r="N28" s="235">
        <f>IF(B28="","","Resource Build-Up")</f>
        <v/>
      </c>
      <c r="O28" s="235">
        <f>IF(B28="","","See Resource Build-Up / Resource Rate Library")</f>
        <v/>
      </c>
      <c r="P28" s="70" t="n"/>
      <c r="Q28" s="34" t="n"/>
      <c r="R28" s="208">
        <f>IF(OR(ISNUMBER(SEARCH("PC",P28)),ISNUMBER(SEARCH("quote",Q28))),"Jason","Rick")</f>
        <v/>
      </c>
      <c r="S28" s="146" t="n"/>
      <c r="T28" s="222" t="n"/>
    </row>
    <row r="29" ht="21" customHeight="1" s="491">
      <c r="A29" s="156" t="n"/>
      <c r="B29" s="156" t="n"/>
      <c r="C29" s="156" t="n"/>
      <c r="D29" s="156" t="n"/>
      <c r="E29" s="154" t="n"/>
      <c r="F29" s="1431">
        <f>IF(B29="","",IF(E29=0,0,G29/E29))</f>
        <v/>
      </c>
      <c r="G29" s="1431">
        <f>IF(B29="","",SUMIF('Resource Build-Up'!$B$7:$B$306,B29,'Resource Build-Up'!$Z$7:$Z$306))</f>
        <v/>
      </c>
      <c r="H29" s="156" t="n"/>
      <c r="I29" s="156" t="n"/>
      <c r="J29" s="156" t="n"/>
      <c r="K29" s="156" t="n"/>
      <c r="L29" s="146">
        <f>IF(B29="","",IF(J29="Excluded","Excluded","Resource-linked"))</f>
        <v/>
      </c>
      <c r="M29" s="146">
        <f>IF(B29="","",IF(G29=0,"No resource cost / review","Resource Build-Up -&gt; "&amp;B29))</f>
        <v/>
      </c>
      <c r="N29" s="146">
        <f>IF(B29="","","Resource Build-Up")</f>
        <v/>
      </c>
      <c r="O29" s="146">
        <f>IF(B29="","","See Resource Build-Up / Resource Rate Library")</f>
        <v/>
      </c>
      <c r="P29" s="146" t="n"/>
      <c r="Q29" s="156" t="n"/>
      <c r="R29" s="208">
        <f>IF(OR(ISNUMBER(SEARCH("PC",P29)),ISNUMBER(SEARCH("quote",Q29))),"Jason","Rick")</f>
        <v/>
      </c>
      <c r="S29" s="146" t="n"/>
      <c r="T29" s="222" t="n"/>
    </row>
    <row r="30" ht="21" customHeight="1" s="491">
      <c r="A30" s="33" t="n"/>
      <c r="B30" s="34" t="n"/>
      <c r="C30" s="34" t="n"/>
      <c r="D30" s="34" t="n"/>
      <c r="E30" s="17" t="n"/>
      <c r="F30" s="1427">
        <f>IF(B30="","",IF(E30=0,0,G30/E30))</f>
        <v/>
      </c>
      <c r="G30" s="1427">
        <f>IF(B30="","",SUMIF('Resource Build-Up'!$B$7:$B$306,B30,'Resource Build-Up'!$Z$7:$Z$306))</f>
        <v/>
      </c>
      <c r="H30" s="34" t="n"/>
      <c r="I30" s="34" t="n"/>
      <c r="J30" s="34" t="n"/>
      <c r="K30" s="34" t="n"/>
      <c r="L30" s="235">
        <f>IF(B30="","",IF(J30="Excluded","Excluded","Resource-linked"))</f>
        <v/>
      </c>
      <c r="M30" s="235">
        <f>IF(B30="","",IF(G30=0,"No resource cost / review","Resource Build-Up -&gt; "&amp;B30))</f>
        <v/>
      </c>
      <c r="N30" s="235">
        <f>IF(B30="","","Resource Build-Up")</f>
        <v/>
      </c>
      <c r="O30" s="235">
        <f>IF(B30="","","See Resource Build-Up / Resource Rate Library")</f>
        <v/>
      </c>
      <c r="P30" s="235" t="n"/>
      <c r="Q30" s="34" t="n"/>
      <c r="R30" s="208">
        <f>IF(OR(ISNUMBER(SEARCH("PC",P30)),ISNUMBER(SEARCH("quote",Q30))),"Jason","Rick")</f>
        <v/>
      </c>
      <c r="S30" s="146" t="n"/>
      <c r="T30" s="222" t="n"/>
    </row>
    <row r="31" ht="21" customHeight="1" s="491">
      <c r="A31" s="151" t="n"/>
      <c r="B31" s="151" t="n"/>
      <c r="C31" s="151" t="n"/>
      <c r="D31" s="151" t="n"/>
      <c r="E31" s="148" t="n"/>
      <c r="F31" s="1429">
        <f>IF(B31="","",IF(E31=0,0,G31/E31))</f>
        <v/>
      </c>
      <c r="G31" s="1429">
        <f>IF(B31="","",SUMIF('Resource Build-Up'!$B$7:$B$306,B31,'Resource Build-Up'!$Z$7:$Z$306))</f>
        <v/>
      </c>
      <c r="H31" s="151" t="n"/>
      <c r="I31" s="151" t="n"/>
      <c r="J31" s="151" t="n"/>
      <c r="K31" s="151" t="n"/>
      <c r="L31" s="150">
        <f>IF(B31="","",IF(J31="Excluded","Excluded","Resource-linked"))</f>
        <v/>
      </c>
      <c r="M31" s="150">
        <f>IF(B31="","",IF(G31=0,"No resource cost / review","Resource Build-Up -&gt; "&amp;B31))</f>
        <v/>
      </c>
      <c r="N31" s="150">
        <f>IF(B31="","","Resource Build-Up")</f>
        <v/>
      </c>
      <c r="O31" s="150">
        <f>IF(B31="","","See Resource Build-Up / Resource Rate Library")</f>
        <v/>
      </c>
      <c r="P31" s="150" t="n"/>
      <c r="Q31" s="151" t="n"/>
      <c r="R31" s="208">
        <f>IF(OR(ISNUMBER(SEARCH("PC",P31)),ISNUMBER(SEARCH("quote",Q31))),"Jason","Rick")</f>
        <v/>
      </c>
      <c r="S31" s="146" t="n"/>
      <c r="T31" s="222" t="n"/>
    </row>
    <row r="32" ht="21" customHeight="1" s="491">
      <c r="A32" s="147" t="n"/>
      <c r="B32" s="147" t="n"/>
      <c r="C32" s="147" t="n"/>
      <c r="D32" s="147" t="n"/>
      <c r="E32" s="148" t="n"/>
      <c r="F32" s="1429">
        <f>IF(B32="","",IF(E32=0,0,G32/E32))</f>
        <v/>
      </c>
      <c r="G32" s="1429">
        <f>IF(B32="","",SUMIF('Resource Build-Up'!$B$7:$B$306,B32,'Resource Build-Up'!$Z$7:$Z$306))</f>
        <v/>
      </c>
      <c r="H32" s="147" t="n"/>
      <c r="I32" s="147" t="n"/>
      <c r="J32" s="147" t="n"/>
      <c r="K32" s="147" t="n"/>
      <c r="L32" s="150">
        <f>IF(B32="","",IF(J32="Excluded","Excluded","Resource-linked"))</f>
        <v/>
      </c>
      <c r="M32" s="150">
        <f>IF(B32="","",IF(G32=0,"No resource cost / review","Resource Build-Up -&gt; "&amp;B32))</f>
        <v/>
      </c>
      <c r="N32" s="150">
        <f>IF(B32="","","Resource Build-Up")</f>
        <v/>
      </c>
      <c r="O32" s="150">
        <f>IF(B32="","","See Resource Build-Up / Resource Rate Library")</f>
        <v/>
      </c>
      <c r="P32" s="150" t="n"/>
      <c r="Q32" s="147" t="n"/>
      <c r="R32" s="208">
        <f>IF(OR(ISNUMBER(SEARCH("PC",P32)),ISNUMBER(SEARCH("quote",Q32))),"Jason","Rick")</f>
        <v/>
      </c>
      <c r="S32" s="146" t="n"/>
      <c r="T32" s="222" t="n"/>
    </row>
    <row r="33" ht="21" customHeight="1" s="491">
      <c r="A33" s="151" t="n"/>
      <c r="B33" s="151" t="n"/>
      <c r="C33" s="151" t="n"/>
      <c r="D33" s="151" t="n"/>
      <c r="E33" s="148" t="n"/>
      <c r="F33" s="1429">
        <f>IF(B33="","",IF(E33=0,0,G33/E33))</f>
        <v/>
      </c>
      <c r="G33" s="1429">
        <f>IF(B33="","",SUMIF('Resource Build-Up'!$B$7:$B$306,B33,'Resource Build-Up'!$Z$7:$Z$306))</f>
        <v/>
      </c>
      <c r="H33" s="151" t="n"/>
      <c r="I33" s="151" t="n"/>
      <c r="J33" s="151" t="n"/>
      <c r="K33" s="151" t="n"/>
      <c r="L33" s="150">
        <f>IF(B33="","",IF(J33="Excluded","Excluded","Resource-linked"))</f>
        <v/>
      </c>
      <c r="M33" s="150">
        <f>IF(B33="","",IF(G33=0,"No resource cost / review","Resource Build-Up -&gt; "&amp;B33))</f>
        <v/>
      </c>
      <c r="N33" s="150">
        <f>IF(B33="","","Resource Build-Up")</f>
        <v/>
      </c>
      <c r="O33" s="150">
        <f>IF(B33="","","See Resource Build-Up / Resource Rate Library")</f>
        <v/>
      </c>
      <c r="P33" s="150" t="n"/>
      <c r="Q33" s="151" t="n"/>
      <c r="R33" s="208">
        <f>IF(OR(ISNUMBER(SEARCH("PC",P33)),ISNUMBER(SEARCH("quote",Q33))),"Jason","Rick")</f>
        <v/>
      </c>
      <c r="S33" s="146" t="n"/>
      <c r="T33" s="222" t="n"/>
    </row>
    <row r="34" ht="21" customHeight="1" s="491">
      <c r="A34" s="33" t="n"/>
      <c r="B34" s="33" t="n"/>
      <c r="C34" s="33" t="n"/>
      <c r="D34" s="33" t="n"/>
      <c r="E34" s="152" t="n"/>
      <c r="F34" s="1430">
        <f>IF(B34="","",IF(E34=0,0,G34/E34))</f>
        <v/>
      </c>
      <c r="G34" s="1430">
        <f>IF(B34="","",SUMIF('Resource Build-Up'!$B$7:$B$306,B34,'Resource Build-Up'!$Z$7:$Z$306))</f>
        <v/>
      </c>
      <c r="H34" s="33" t="n"/>
      <c r="I34" s="33" t="n"/>
      <c r="J34" s="33" t="n"/>
      <c r="K34" s="33" t="n"/>
      <c r="L34" s="70">
        <f>IF(B34="","",IF(J34="Excluded","Excluded","Resource-linked"))</f>
        <v/>
      </c>
      <c r="M34" s="70">
        <f>IF(B34="","",IF(G34=0,"No resource cost / review","Resource Build-Up -&gt; "&amp;B34))</f>
        <v/>
      </c>
      <c r="N34" s="70">
        <f>IF(B34="","","Resource Build-Up")</f>
        <v/>
      </c>
      <c r="O34" s="70">
        <f>IF(B34="","","See Resource Build-Up / Resource Rate Library")</f>
        <v/>
      </c>
      <c r="P34" s="70" t="n"/>
      <c r="Q34" s="33" t="n"/>
      <c r="R34" s="208">
        <f>IF(OR(ISNUMBER(SEARCH("PC",P34)),ISNUMBER(SEARCH("quote",Q34))),"Jason","Rick")</f>
        <v/>
      </c>
      <c r="S34" s="146" t="n"/>
      <c r="T34" s="222" t="n"/>
    </row>
    <row r="35" ht="21" customHeight="1" s="491">
      <c r="A35" s="35" t="n"/>
      <c r="B35" s="35" t="n"/>
      <c r="C35" s="35" t="n"/>
      <c r="D35" s="35" t="n"/>
      <c r="E35" s="152" t="n"/>
      <c r="F35" s="1430">
        <f>IF(B35="","",IF(E35=0,0,G35/E35))</f>
        <v/>
      </c>
      <c r="G35" s="1430">
        <f>IF(B35="","",SUMIF('Resource Build-Up'!$B$7:$B$306,B35,'Resource Build-Up'!$Z$7:$Z$306))</f>
        <v/>
      </c>
      <c r="H35" s="35" t="n"/>
      <c r="I35" s="35" t="n"/>
      <c r="J35" s="35" t="n"/>
      <c r="K35" s="35" t="n"/>
      <c r="L35" s="70">
        <f>IF(B35="","",IF(J35="Excluded","Excluded","Resource-linked"))</f>
        <v/>
      </c>
      <c r="M35" s="70">
        <f>IF(B35="","",IF(G35=0,"No resource cost / review","Resource Build-Up -&gt; "&amp;B35))</f>
        <v/>
      </c>
      <c r="N35" s="70">
        <f>IF(B35="","","Resource Build-Up")</f>
        <v/>
      </c>
      <c r="O35" s="70">
        <f>IF(B35="","","See Resource Build-Up / Resource Rate Library")</f>
        <v/>
      </c>
      <c r="P35" s="70" t="n"/>
      <c r="Q35" s="35" t="n"/>
      <c r="R35" s="208">
        <f>IF(OR(ISNUMBER(SEARCH("PC",P35)),ISNUMBER(SEARCH("quote",Q35))),"Jason","Rick")</f>
        <v/>
      </c>
      <c r="S35" s="146" t="n"/>
      <c r="T35" s="222" t="n"/>
    </row>
    <row r="36" ht="21" customHeight="1" s="491">
      <c r="A36" s="147" t="n"/>
      <c r="B36" s="147" t="n"/>
      <c r="C36" s="147" t="n"/>
      <c r="D36" s="147" t="n"/>
      <c r="E36" s="148" t="n"/>
      <c r="F36" s="1429">
        <f>IF(B36="","",IF(E36=0,0,G36/E36))</f>
        <v/>
      </c>
      <c r="G36" s="1429">
        <f>IF(B36="","",SUMIF('Resource Build-Up'!$B$7:$B$306,B36,'Resource Build-Up'!$Z$7:$Z$306))</f>
        <v/>
      </c>
      <c r="H36" s="147" t="n"/>
      <c r="I36" s="147" t="n"/>
      <c r="J36" s="147" t="n"/>
      <c r="K36" s="147" t="n"/>
      <c r="L36" s="150">
        <f>IF(B36="","",IF(J36="Excluded","Excluded","Resource-linked"))</f>
        <v/>
      </c>
      <c r="M36" s="150">
        <f>IF(B36="","",IF(G36=0,"No resource cost / review","Resource Build-Up -&gt; "&amp;B36))</f>
        <v/>
      </c>
      <c r="N36" s="150">
        <f>IF(B36="","","Resource Build-Up")</f>
        <v/>
      </c>
      <c r="O36" s="150">
        <f>IF(B36="","","See Resource Build-Up / Resource Rate Library")</f>
        <v/>
      </c>
      <c r="P36" s="150" t="n"/>
      <c r="Q36" s="147" t="n"/>
      <c r="R36" s="208">
        <f>IF(OR(ISNUMBER(SEARCH("PC",P36)),ISNUMBER(SEARCH("quote",Q36))),"Jason","Rick")</f>
        <v/>
      </c>
      <c r="S36" s="146" t="n"/>
      <c r="T36" s="222" t="n"/>
    </row>
    <row r="37" ht="21" customHeight="1" s="491">
      <c r="A37" s="151" t="n"/>
      <c r="B37" s="151" t="n"/>
      <c r="C37" s="151" t="n"/>
      <c r="D37" s="151" t="n"/>
      <c r="E37" s="148" t="n"/>
      <c r="F37" s="1429">
        <f>IF(B37="","",IF(E37=0,0,G37/E37))</f>
        <v/>
      </c>
      <c r="G37" s="1429">
        <f>IF(B37="","",SUMIF('Resource Build-Up'!$B$7:$B$306,B37,'Resource Build-Up'!$Z$7:$Z$306))</f>
        <v/>
      </c>
      <c r="H37" s="151" t="n"/>
      <c r="I37" s="151" t="n"/>
      <c r="J37" s="151" t="n"/>
      <c r="K37" s="151" t="n"/>
      <c r="L37" s="150">
        <f>IF(B37="","",IF(J37="Excluded","Excluded","Resource-linked"))</f>
        <v/>
      </c>
      <c r="M37" s="150">
        <f>IF(B37="","",IF(G37=0,"No resource cost / review","Resource Build-Up -&gt; "&amp;B37))</f>
        <v/>
      </c>
      <c r="N37" s="150">
        <f>IF(B37="","","Resource Build-Up")</f>
        <v/>
      </c>
      <c r="O37" s="150">
        <f>IF(B37="","","See Resource Build-Up / Resource Rate Library")</f>
        <v/>
      </c>
      <c r="P37" s="150" t="n"/>
      <c r="Q37" s="151" t="n"/>
      <c r="R37" s="208">
        <f>IF(OR(ISNUMBER(SEARCH("PC",P37)),ISNUMBER(SEARCH("quote",Q37))),"Jason","Rick")</f>
        <v/>
      </c>
      <c r="S37" s="146" t="n"/>
      <c r="T37" s="222" t="n"/>
    </row>
    <row r="38" ht="21" customHeight="1" s="491">
      <c r="A38" s="147" t="n"/>
      <c r="B38" s="147" t="n"/>
      <c r="C38" s="147" t="n"/>
      <c r="D38" s="147" t="n"/>
      <c r="E38" s="148" t="n"/>
      <c r="F38" s="1429">
        <f>IF(B38="","",IF(E38=0,0,G38/E38))</f>
        <v/>
      </c>
      <c r="G38" s="1429">
        <f>IF(B38="","",SUMIF('Resource Build-Up'!$B$7:$B$306,B38,'Resource Build-Up'!$Z$7:$Z$306))</f>
        <v/>
      </c>
      <c r="H38" s="147" t="n"/>
      <c r="I38" s="147" t="n"/>
      <c r="J38" s="147" t="n"/>
      <c r="K38" s="147" t="n"/>
      <c r="L38" s="150">
        <f>IF(B38="","",IF(J38="Excluded","Excluded","Resource-linked"))</f>
        <v/>
      </c>
      <c r="M38" s="150">
        <f>IF(B38="","",IF(G38=0,"No resource cost / review","Resource Build-Up -&gt; "&amp;B38))</f>
        <v/>
      </c>
      <c r="N38" s="150">
        <f>IF(B38="","","Resource Build-Up")</f>
        <v/>
      </c>
      <c r="O38" s="150">
        <f>IF(B38="","","See Resource Build-Up / Resource Rate Library")</f>
        <v/>
      </c>
      <c r="P38" s="150" t="n"/>
      <c r="Q38" s="147" t="n"/>
      <c r="R38" s="208">
        <f>IF(OR(ISNUMBER(SEARCH("PC",P38)),ISNUMBER(SEARCH("quote",Q38))),"Jason","Rick")</f>
        <v/>
      </c>
      <c r="S38" s="146" t="n"/>
      <c r="T38" s="222" t="n"/>
    </row>
    <row r="39" ht="21" customHeight="1" s="491">
      <c r="A39" s="151" t="n"/>
      <c r="B39" s="151" t="n"/>
      <c r="C39" s="151" t="n"/>
      <c r="D39" s="151" t="n"/>
      <c r="E39" s="148" t="n"/>
      <c r="F39" s="1429">
        <f>IF(B39="","",IF(E39=0,0,G39/E39))</f>
        <v/>
      </c>
      <c r="G39" s="1429">
        <f>IF(B39="","",SUMIF('Resource Build-Up'!$B$7:$B$306,B39,'Resource Build-Up'!$Z$7:$Z$306))</f>
        <v/>
      </c>
      <c r="H39" s="151" t="n"/>
      <c r="I39" s="151" t="n"/>
      <c r="J39" s="151" t="n"/>
      <c r="K39" s="151" t="n"/>
      <c r="L39" s="150">
        <f>IF(B39="","",IF(J39="Excluded","Excluded","Resource-linked"))</f>
        <v/>
      </c>
      <c r="M39" s="150">
        <f>IF(B39="","",IF(G39=0,"No resource cost / review","Resource Build-Up -&gt; "&amp;B39))</f>
        <v/>
      </c>
      <c r="N39" s="150">
        <f>IF(B39="","","Resource Build-Up")</f>
        <v/>
      </c>
      <c r="O39" s="150">
        <f>IF(B39="","","See Resource Build-Up / Resource Rate Library")</f>
        <v/>
      </c>
      <c r="P39" s="150" t="n"/>
      <c r="Q39" s="151" t="n"/>
      <c r="R39" s="208">
        <f>IF(OR(ISNUMBER(SEARCH("PC",P39)),ISNUMBER(SEARCH("quote",Q39))),"Jason","Rick")</f>
        <v/>
      </c>
      <c r="S39" s="146" t="n"/>
      <c r="T39" s="222" t="n"/>
    </row>
    <row r="40" ht="21" customHeight="1" s="491">
      <c r="A40" s="147" t="n"/>
      <c r="B40" s="147" t="n"/>
      <c r="C40" s="147" t="n"/>
      <c r="D40" s="147" t="n"/>
      <c r="E40" s="148" t="n"/>
      <c r="F40" s="1429">
        <f>IF(B40="","",IF(E40=0,0,G40/E40))</f>
        <v/>
      </c>
      <c r="G40" s="1429">
        <f>IF(B40="","",SUMIF('Resource Build-Up'!$B$7:$B$306,B40,'Resource Build-Up'!$Z$7:$Z$306))</f>
        <v/>
      </c>
      <c r="H40" s="147" t="n"/>
      <c r="I40" s="147" t="n"/>
      <c r="J40" s="147" t="n"/>
      <c r="K40" s="147" t="n"/>
      <c r="L40" s="150">
        <f>IF(B40="","",IF(J40="Excluded","Excluded","Resource-linked"))</f>
        <v/>
      </c>
      <c r="M40" s="150">
        <f>IF(B40="","",IF(G40=0,"No resource cost / review","Resource Build-Up -&gt; "&amp;B40))</f>
        <v/>
      </c>
      <c r="N40" s="150">
        <f>IF(B40="","","Resource Build-Up")</f>
        <v/>
      </c>
      <c r="O40" s="150">
        <f>IF(B40="","","See Resource Build-Up / Resource Rate Library")</f>
        <v/>
      </c>
      <c r="P40" s="150" t="n"/>
      <c r="Q40" s="147" t="n"/>
      <c r="R40" s="208">
        <f>IF(OR(ISNUMBER(SEARCH("PC",P40)),ISNUMBER(SEARCH("quote",Q40))),"Jason","Rick")</f>
        <v/>
      </c>
      <c r="S40" s="146" t="n"/>
      <c r="T40" s="222" t="n"/>
    </row>
    <row r="41" ht="21" customHeight="1" s="491">
      <c r="A41" s="151" t="n"/>
      <c r="B41" s="151" t="n"/>
      <c r="C41" s="151" t="n"/>
      <c r="D41" s="151" t="n"/>
      <c r="E41" s="148" t="n"/>
      <c r="F41" s="1429">
        <f>IF(B41="","",IF(E41=0,0,G41/E41))</f>
        <v/>
      </c>
      <c r="G41" s="1429">
        <f>IF(B41="","",SUMIF('Resource Build-Up'!$B$7:$B$306,B41,'Resource Build-Up'!$Z$7:$Z$306))</f>
        <v/>
      </c>
      <c r="H41" s="151" t="n"/>
      <c r="I41" s="151" t="n"/>
      <c r="J41" s="151" t="n"/>
      <c r="K41" s="151" t="n"/>
      <c r="L41" s="150">
        <f>IF(B41="","",IF(J41="Excluded","Excluded","Resource-linked"))</f>
        <v/>
      </c>
      <c r="M41" s="150">
        <f>IF(B41="","",IF(G41=0,"No resource cost / review","Resource Build-Up -&gt; "&amp;B41))</f>
        <v/>
      </c>
      <c r="N41" s="150">
        <f>IF(B41="","","Resource Build-Up")</f>
        <v/>
      </c>
      <c r="O41" s="150">
        <f>IF(B41="","","See Resource Build-Up / Resource Rate Library")</f>
        <v/>
      </c>
      <c r="P41" s="150" t="n"/>
      <c r="Q41" s="151" t="n"/>
      <c r="R41" s="208">
        <f>IF(OR(ISNUMBER(SEARCH("PC",P41)),ISNUMBER(SEARCH("quote",Q41))),"Jason","Rick")</f>
        <v/>
      </c>
      <c r="S41" s="146" t="n"/>
      <c r="T41" s="222" t="n"/>
    </row>
    <row r="42" s="491">
      <c r="A42" s="33" t="n"/>
      <c r="B42" s="34" t="n"/>
      <c r="C42" s="34" t="n"/>
      <c r="D42" s="34" t="n"/>
      <c r="E42" s="17" t="n"/>
      <c r="F42" s="1427">
        <f>IF(B42="","",IF(E42=0,0,G42/E42))</f>
        <v/>
      </c>
      <c r="G42" s="1430">
        <f>IF(B42="","",SUMIF('Resource Build-Up'!$B$7:$B$306,B42,'Resource Build-Up'!$Z$7:$Z$306))</f>
        <v/>
      </c>
      <c r="H42" s="34" t="n"/>
      <c r="I42" s="34" t="n"/>
      <c r="J42" s="34" t="n"/>
      <c r="K42" s="34" t="n"/>
      <c r="L42" s="70">
        <f>IF(B42="","",IF(J42="Excluded","Excluded","Resource-linked"))</f>
        <v/>
      </c>
      <c r="M42" s="235">
        <f>IF(B42="","",IF(G42=0,"No resource cost / review","Resource Build-Up -&gt; "&amp;B42))</f>
        <v/>
      </c>
      <c r="N42" s="235">
        <f>IF(B42="","","Resource Build-Up")</f>
        <v/>
      </c>
      <c r="O42" s="235">
        <f>IF(B42="","","See Resource Build-Up / Resource Rate Library")</f>
        <v/>
      </c>
      <c r="P42" s="70" t="n"/>
      <c r="Q42" s="34" t="n"/>
      <c r="R42" s="208">
        <f>IF(OR(ISNUMBER(SEARCH("PC",P42)),ISNUMBER(SEARCH("quote",Q42))),"Jason","Rick")</f>
        <v/>
      </c>
      <c r="S42" s="146" t="n"/>
      <c r="T42" s="222" t="n"/>
    </row>
    <row r="43" s="491">
      <c r="A43" s="156" t="n"/>
      <c r="B43" s="156" t="n"/>
      <c r="C43" s="156" t="n"/>
      <c r="D43" s="156" t="n"/>
      <c r="E43" s="154" t="n"/>
      <c r="F43" s="1431">
        <f>IF(B43="","",IF(E43=0,0,G43/E43))</f>
        <v/>
      </c>
      <c r="G43" s="1431">
        <f>IF(B43="","",SUMIF('Resource Build-Up'!$B$7:$B$306,B43,'Resource Build-Up'!$Z$7:$Z$306))</f>
        <v/>
      </c>
      <c r="H43" s="156" t="n"/>
      <c r="I43" s="156" t="n"/>
      <c r="J43" s="156" t="n"/>
      <c r="K43" s="156" t="n"/>
      <c r="L43" s="146">
        <f>IF(B43="","",IF(J43="Excluded","Excluded","Resource-linked"))</f>
        <v/>
      </c>
      <c r="M43" s="146">
        <f>IF(B43="","",IF(G43=0,"No resource cost / review","Resource Build-Up -&gt; "&amp;B43))</f>
        <v/>
      </c>
      <c r="N43" s="146">
        <f>IF(B43="","","Resource Build-Up")</f>
        <v/>
      </c>
      <c r="O43" s="146">
        <f>IF(B43="","","See Resource Build-Up / Resource Rate Library")</f>
        <v/>
      </c>
      <c r="P43" s="146" t="n"/>
      <c r="Q43" s="156" t="n"/>
      <c r="R43" s="208">
        <f>IF(OR(ISNUMBER(SEARCH("PC",P43)),ISNUMBER(SEARCH("quote",Q43))),"Jason","Rick")</f>
        <v/>
      </c>
      <c r="S43" s="146" t="n"/>
      <c r="T43" s="222" t="n"/>
    </row>
    <row r="44" s="491">
      <c r="A44" s="33" t="n"/>
      <c r="B44" s="34" t="n"/>
      <c r="C44" s="34" t="n"/>
      <c r="D44" s="34" t="n"/>
      <c r="E44" s="17" t="n"/>
      <c r="F44" s="1427">
        <f>IF(B44="","",IF(E44=0,0,G44/E44))</f>
        <v/>
      </c>
      <c r="G44" s="1427">
        <f>IF(B44="","",SUMIF('Resource Build-Up'!$B$7:$B$306,B44,'Resource Build-Up'!$Z$7:$Z$306))</f>
        <v/>
      </c>
      <c r="H44" s="34" t="n"/>
      <c r="I44" s="34" t="n"/>
      <c r="J44" s="34" t="n"/>
      <c r="K44" s="34" t="n"/>
      <c r="L44" s="235">
        <f>IF(B44="","",IF(J44="Excluded","Excluded","Resource-linked"))</f>
        <v/>
      </c>
      <c r="M44" s="235">
        <f>IF(B44="","",IF(G44=0,"No resource cost / review","Resource Build-Up -&gt; "&amp;B44))</f>
        <v/>
      </c>
      <c r="N44" s="235">
        <f>IF(B44="","","Resource Build-Up")</f>
        <v/>
      </c>
      <c r="O44" s="235">
        <f>IF(B44="","","See Resource Build-Up / Resource Rate Library")</f>
        <v/>
      </c>
      <c r="P44" s="235" t="n"/>
      <c r="Q44" s="34" t="n"/>
      <c r="R44" s="208">
        <f>IF(OR(ISNUMBER(SEARCH("PC",P44)),ISNUMBER(SEARCH("quote",Q44))),"Jason","Rick")</f>
        <v/>
      </c>
      <c r="S44" s="146" t="n"/>
      <c r="T44" s="222" t="n"/>
    </row>
    <row r="45" s="491">
      <c r="A45" s="35" t="n"/>
      <c r="B45" s="35" t="n"/>
      <c r="C45" s="35" t="n"/>
      <c r="D45" s="35" t="n"/>
      <c r="E45" s="152" t="n"/>
      <c r="F45" s="1430">
        <f>IF(B45="","",IF(E45=0,0,G45/E45))</f>
        <v/>
      </c>
      <c r="G45" s="1430">
        <f>IF(B45="","",SUMIF('Resource Build-Up'!$B$7:$B$306,B45,'Resource Build-Up'!$Z$7:$Z$306))</f>
        <v/>
      </c>
      <c r="H45" s="35" t="n"/>
      <c r="I45" s="35" t="n"/>
      <c r="J45" s="35" t="n"/>
      <c r="K45" s="35" t="n"/>
      <c r="L45" s="70">
        <f>IF(B45="","",IF(J45="Excluded","Excluded","Resource-linked"))</f>
        <v/>
      </c>
      <c r="M45" s="70">
        <f>IF(B45="","",IF(G45=0,"No resource cost / review","Resource Build-Up -&gt; "&amp;B45))</f>
        <v/>
      </c>
      <c r="N45" s="70">
        <f>IF(B45="","","Resource Build-Up")</f>
        <v/>
      </c>
      <c r="O45" s="70">
        <f>IF(B45="","","See Resource Build-Up / Resource Rate Library")</f>
        <v/>
      </c>
      <c r="P45" s="70" t="n"/>
      <c r="Q45" s="35" t="n"/>
      <c r="R45" s="208">
        <f>IF(OR(ISNUMBER(SEARCH("PC",P45)),ISNUMBER(SEARCH("quote",Q45))),"Jason","Rick")</f>
        <v/>
      </c>
      <c r="S45" s="146" t="n"/>
      <c r="T45" s="222" t="n"/>
    </row>
    <row r="46" s="491">
      <c r="A46" s="147" t="n"/>
      <c r="B46" s="147" t="n"/>
      <c r="C46" s="147" t="n"/>
      <c r="D46" s="147" t="n"/>
      <c r="E46" s="148" t="n"/>
      <c r="F46" s="1429">
        <f>IF(B46="","",IF(E46=0,0,G46/E46))</f>
        <v/>
      </c>
      <c r="G46" s="1429">
        <f>IF(B46="","",SUMIF('Resource Build-Up'!$B$7:$B$306,B46,'Resource Build-Up'!$Z$7:$Z$306))</f>
        <v/>
      </c>
      <c r="H46" s="147" t="n"/>
      <c r="I46" s="147" t="n"/>
      <c r="J46" s="147" t="n"/>
      <c r="K46" s="147" t="n"/>
      <c r="L46" s="150">
        <f>IF(B46="","",IF(J46="Excluded","Excluded","Resource-linked"))</f>
        <v/>
      </c>
      <c r="M46" s="150">
        <f>IF(B46="","",IF(G46=0,"No resource cost / review","Resource Build-Up -&gt; "&amp;B46))</f>
        <v/>
      </c>
      <c r="N46" s="150">
        <f>IF(B46="","","Resource Build-Up")</f>
        <v/>
      </c>
      <c r="O46" s="150">
        <f>IF(B46="","","See Resource Build-Up / Resource Rate Library")</f>
        <v/>
      </c>
      <c r="P46" s="150" t="n"/>
      <c r="Q46" s="147" t="n"/>
      <c r="R46" s="208">
        <f>IF(OR(ISNUMBER(SEARCH("PC",P46)),ISNUMBER(SEARCH("quote",Q46))),"Jason","Rick")</f>
        <v/>
      </c>
      <c r="S46" s="146" t="n"/>
      <c r="T46" s="222" t="n"/>
    </row>
    <row r="47" ht="26.39999961853027" customHeight="1" s="491">
      <c r="A47" s="151" t="n"/>
      <c r="B47" s="151" t="n"/>
      <c r="C47" s="151" t="n"/>
      <c r="D47" s="151" t="n"/>
      <c r="E47" s="148" t="n"/>
      <c r="F47" s="1429">
        <f>IF(B47="","",IF(E47=0,0,G47/E47))</f>
        <v/>
      </c>
      <c r="G47" s="1429">
        <f>IF(B47="","",SUMIF('Resource Build-Up'!$B$7:$B$306,B47,'Resource Build-Up'!$Z$7:$Z$306))</f>
        <v/>
      </c>
      <c r="H47" s="151" t="n"/>
      <c r="I47" s="151" t="n"/>
      <c r="J47" s="151" t="n"/>
      <c r="K47" s="151" t="n"/>
      <c r="L47" s="150">
        <f>IF(B47="","",IF(J47="Excluded","Excluded","Resource-linked"))</f>
        <v/>
      </c>
      <c r="M47" s="150">
        <f>IF(B47="","",IF(G47=0,"No resource cost / review","Resource Build-Up -&gt; "&amp;B47))</f>
        <v/>
      </c>
      <c r="N47" s="150">
        <f>IF(B47="","","Resource Build-Up")</f>
        <v/>
      </c>
      <c r="O47" s="150">
        <f>IF(B47="","","See Resource Build-Up / Resource Rate Library")</f>
        <v/>
      </c>
      <c r="P47" s="150" t="n"/>
      <c r="Q47" s="151" t="n"/>
      <c r="R47" s="208">
        <f>IF(OR(ISNUMBER(SEARCH("PC",P47)),ISNUMBER(SEARCH("quote",Q47))),"Jason","Rick")</f>
        <v/>
      </c>
      <c r="S47" s="146" t="n"/>
      <c r="T47" s="222" t="n"/>
    </row>
    <row r="48" ht="26.39999961853027" customHeight="1" s="491">
      <c r="A48" s="147" t="n"/>
      <c r="B48" s="147" t="n"/>
      <c r="C48" s="147" t="n"/>
      <c r="D48" s="147" t="n"/>
      <c r="E48" s="148" t="n"/>
      <c r="F48" s="1429">
        <f>IF(B48="","",IF(E48=0,0,G48/E48))</f>
        <v/>
      </c>
      <c r="G48" s="1429">
        <f>IF(B48="","",SUMIF('Resource Build-Up'!$B$7:$B$306,B48,'Resource Build-Up'!$Z$7:$Z$306))</f>
        <v/>
      </c>
      <c r="H48" s="147" t="n"/>
      <c r="I48" s="147" t="n"/>
      <c r="J48" s="147" t="n"/>
      <c r="K48" s="147" t="n"/>
      <c r="L48" s="150">
        <f>IF(B48="","",IF(J48="Excluded","Excluded","Resource-linked"))</f>
        <v/>
      </c>
      <c r="M48" s="150">
        <f>IF(B48="","",IF(G48=0,"No resource cost / review","Resource Build-Up -&gt; "&amp;B48))</f>
        <v/>
      </c>
      <c r="N48" s="150">
        <f>IF(B48="","","Resource Build-Up")</f>
        <v/>
      </c>
      <c r="O48" s="150">
        <f>IF(B48="","","See Resource Build-Up / Resource Rate Library")</f>
        <v/>
      </c>
      <c r="P48" s="150" t="n"/>
      <c r="Q48" s="147" t="n"/>
      <c r="R48" s="208">
        <f>IF(OR(ISNUMBER(SEARCH("PC",P48)),ISNUMBER(SEARCH("quote",Q48))),"Jason","Rick")</f>
        <v/>
      </c>
      <c r="S48" s="146" t="n"/>
      <c r="T48" s="222" t="n"/>
    </row>
    <row r="49" ht="26.39999961853027" customHeight="1" s="491">
      <c r="A49" s="151" t="n"/>
      <c r="B49" s="151" t="n"/>
      <c r="C49" s="151" t="n"/>
      <c r="D49" s="151" t="n"/>
      <c r="E49" s="148" t="n"/>
      <c r="F49" s="1429">
        <f>IF(B49="","",IF(E49=0,0,G49/E49))</f>
        <v/>
      </c>
      <c r="G49" s="1429">
        <f>IF(B49="","",SUMIF('Resource Build-Up'!$B$7:$B$306,B49,'Resource Build-Up'!$Z$7:$Z$306))</f>
        <v/>
      </c>
      <c r="H49" s="151" t="n"/>
      <c r="I49" s="151" t="n"/>
      <c r="J49" s="151" t="n"/>
      <c r="K49" s="151" t="n"/>
      <c r="L49" s="150">
        <f>IF(B49="","",IF(J49="Excluded","Excluded","Resource-linked"))</f>
        <v/>
      </c>
      <c r="M49" s="150">
        <f>IF(B49="","",IF(G49=0,"No resource cost / review","Resource Build-Up -&gt; "&amp;B49))</f>
        <v/>
      </c>
      <c r="N49" s="150">
        <f>IF(B49="","","Resource Build-Up")</f>
        <v/>
      </c>
      <c r="O49" s="150">
        <f>IF(B49="","","See Resource Build-Up / Resource Rate Library")</f>
        <v/>
      </c>
      <c r="P49" s="150" t="n"/>
      <c r="Q49" s="151" t="n"/>
      <c r="R49" s="208">
        <f>IF(OR(ISNUMBER(SEARCH("PC",P49)),ISNUMBER(SEARCH("quote",Q49))),"Jason","Rick")</f>
        <v/>
      </c>
      <c r="S49" s="146" t="n"/>
      <c r="T49" s="222" t="n"/>
    </row>
    <row r="50" ht="26.39999961853027" customHeight="1" s="491">
      <c r="A50" s="147" t="n"/>
      <c r="B50" s="147" t="n"/>
      <c r="C50" s="147" t="n"/>
      <c r="D50" s="147" t="n"/>
      <c r="E50" s="148" t="n"/>
      <c r="F50" s="1429">
        <f>IF(B50="","",IF(E50=0,0,G50/E50))</f>
        <v/>
      </c>
      <c r="G50" s="1429">
        <f>IF(B50="","",SUMIF('Resource Build-Up'!$B$7:$B$306,B50,'Resource Build-Up'!$Z$7:$Z$306))</f>
        <v/>
      </c>
      <c r="H50" s="147" t="n"/>
      <c r="I50" s="147" t="n"/>
      <c r="J50" s="147" t="n"/>
      <c r="K50" s="147" t="n"/>
      <c r="L50" s="150">
        <f>IF(B50="","",IF(J50="Excluded","Excluded","Resource-linked"))</f>
        <v/>
      </c>
      <c r="M50" s="150">
        <f>IF(B50="","",IF(G50=0,"No resource cost / review","Resource Build-Up -&gt; "&amp;B50))</f>
        <v/>
      </c>
      <c r="N50" s="150">
        <f>IF(B50="","","Resource Build-Up")</f>
        <v/>
      </c>
      <c r="O50" s="150">
        <f>IF(B50="","","See Resource Build-Up / Resource Rate Library")</f>
        <v/>
      </c>
      <c r="P50" s="150" t="n"/>
      <c r="Q50" s="147" t="n"/>
      <c r="R50" s="208">
        <f>IF(OR(ISNUMBER(SEARCH("PC",P50)),ISNUMBER(SEARCH("quote",Q50))),"Jason","Rick")</f>
        <v/>
      </c>
      <c r="S50" s="146" t="n"/>
      <c r="T50" s="222" t="n"/>
    </row>
    <row r="51" ht="26.39999961853027" customHeight="1" s="491">
      <c r="A51" s="151" t="n"/>
      <c r="B51" s="151" t="n"/>
      <c r="C51" s="151" t="n"/>
      <c r="D51" s="151" t="n"/>
      <c r="E51" s="148" t="n"/>
      <c r="F51" s="1429">
        <f>IF(B51="","",IF(E51=0,0,G51/E51))</f>
        <v/>
      </c>
      <c r="G51" s="1429">
        <f>IF(B51="","",SUMIF('Resource Build-Up'!$B$7:$B$306,B51,'Resource Build-Up'!$Z$7:$Z$306))</f>
        <v/>
      </c>
      <c r="H51" s="151" t="n"/>
      <c r="I51" s="151" t="n"/>
      <c r="J51" s="151" t="n"/>
      <c r="K51" s="151" t="n"/>
      <c r="L51" s="150">
        <f>IF(B51="","",IF(J51="Excluded","Excluded","Resource-linked"))</f>
        <v/>
      </c>
      <c r="M51" s="150">
        <f>IF(B51="","",IF(G51=0,"No resource cost / review","Resource Build-Up -&gt; "&amp;B51))</f>
        <v/>
      </c>
      <c r="N51" s="150">
        <f>IF(B51="","","Resource Build-Up")</f>
        <v/>
      </c>
      <c r="O51" s="150">
        <f>IF(B51="","","See Resource Build-Up / Resource Rate Library")</f>
        <v/>
      </c>
      <c r="P51" s="150" t="n"/>
      <c r="Q51" s="151" t="n"/>
      <c r="R51" s="208">
        <f>IF(OR(ISNUMBER(SEARCH("PC",P51)),ISNUMBER(SEARCH("quote",Q51))),"Jason","Rick")</f>
        <v/>
      </c>
      <c r="S51" s="146" t="n"/>
      <c r="T51" s="222" t="n"/>
    </row>
    <row r="52" ht="26.39999961853027" customHeight="1" s="491">
      <c r="A52" s="147" t="n"/>
      <c r="B52" s="147" t="n"/>
      <c r="C52" s="147" t="n"/>
      <c r="D52" s="147" t="n"/>
      <c r="E52" s="148" t="n"/>
      <c r="F52" s="1429">
        <f>IF(B52="","",IF(E52=0,0,G52/E52))</f>
        <v/>
      </c>
      <c r="G52" s="1429">
        <f>IF(B52="","",SUMIF('Resource Build-Up'!$B$7:$B$306,B52,'Resource Build-Up'!$Z$7:$Z$306))</f>
        <v/>
      </c>
      <c r="H52" s="147" t="n"/>
      <c r="I52" s="147" t="n"/>
      <c r="J52" s="147" t="n"/>
      <c r="K52" s="147" t="n"/>
      <c r="L52" s="150">
        <f>IF(B52="","",IF(J52="Excluded","Excluded","Resource-linked"))</f>
        <v/>
      </c>
      <c r="M52" s="150">
        <f>IF(B52="","",IF(G52=0,"No resource cost / review","Resource Build-Up -&gt; "&amp;B52))</f>
        <v/>
      </c>
      <c r="N52" s="150">
        <f>IF(B52="","","Resource Build-Up")</f>
        <v/>
      </c>
      <c r="O52" s="150">
        <f>IF(B52="","","See Resource Build-Up / Resource Rate Library")</f>
        <v/>
      </c>
      <c r="P52" s="150" t="n"/>
      <c r="Q52" s="147" t="n"/>
      <c r="R52" s="208">
        <f>IF(OR(ISNUMBER(SEARCH("PC",P52)),ISNUMBER(SEARCH("quote",Q52))),"Jason","Rick")</f>
        <v/>
      </c>
      <c r="S52" s="146" t="n"/>
      <c r="T52" s="222" t="n"/>
    </row>
    <row r="53" ht="26.39999961853027" customHeight="1" s="491">
      <c r="A53" s="151" t="n"/>
      <c r="B53" s="151" t="n"/>
      <c r="C53" s="151" t="n"/>
      <c r="D53" s="151" t="n"/>
      <c r="E53" s="148" t="n"/>
      <c r="F53" s="1429">
        <f>IF(B53="","",IF(E53=0,0,G53/E53))</f>
        <v/>
      </c>
      <c r="G53" s="1429">
        <f>IF(B53="","",SUMIF('Resource Build-Up'!$B$7:$B$306,B53,'Resource Build-Up'!$Z$7:$Z$306))</f>
        <v/>
      </c>
      <c r="H53" s="151" t="n"/>
      <c r="I53" s="151" t="n"/>
      <c r="J53" s="151" t="n"/>
      <c r="K53" s="151" t="n"/>
      <c r="L53" s="150">
        <f>IF(B53="","",IF(J53="Excluded","Excluded","Resource-linked"))</f>
        <v/>
      </c>
      <c r="M53" s="150">
        <f>IF(B53="","",IF(G53=0,"No resource cost / review","Resource Build-Up -&gt; "&amp;B53))</f>
        <v/>
      </c>
      <c r="N53" s="150">
        <f>IF(B53="","","Resource Build-Up")</f>
        <v/>
      </c>
      <c r="O53" s="150">
        <f>IF(B53="","","See Resource Build-Up / Resource Rate Library")</f>
        <v/>
      </c>
      <c r="P53" s="150" t="n"/>
      <c r="Q53" s="151" t="n"/>
      <c r="R53" s="208">
        <f>IF(OR(ISNUMBER(SEARCH("PC",P53)),ISNUMBER(SEARCH("quote",Q53))),"Jason","Rick")</f>
        <v/>
      </c>
      <c r="S53" s="146" t="n"/>
      <c r="T53" s="222" t="n"/>
    </row>
    <row r="54" ht="26.39999961853027" customHeight="1" s="491">
      <c r="A54" s="33" t="n"/>
      <c r="B54" s="34" t="n"/>
      <c r="C54" s="34" t="n"/>
      <c r="D54" s="34" t="n"/>
      <c r="E54" s="17" t="n"/>
      <c r="F54" s="1427">
        <f>IF(B54="","",IF(E54=0,0,G54/E54))</f>
        <v/>
      </c>
      <c r="G54" s="1430">
        <f>IF(B54="","",SUMIF('Resource Build-Up'!$B$7:$B$306,B54,'Resource Build-Up'!$Z$7:$Z$306))</f>
        <v/>
      </c>
      <c r="H54" s="34" t="n"/>
      <c r="I54" s="34" t="n"/>
      <c r="J54" s="34" t="n"/>
      <c r="K54" s="34" t="n"/>
      <c r="L54" s="70">
        <f>IF(B54="","",IF(J54="Excluded","Excluded","Resource-linked"))</f>
        <v/>
      </c>
      <c r="M54" s="235">
        <f>IF(B54="","",IF(G54=0,"No resource cost / review","Resource Build-Up -&gt; "&amp;B54))</f>
        <v/>
      </c>
      <c r="N54" s="235">
        <f>IF(B54="","","Resource Build-Up")</f>
        <v/>
      </c>
      <c r="O54" s="235">
        <f>IF(B54="","","See Resource Build-Up / Resource Rate Library")</f>
        <v/>
      </c>
      <c r="P54" s="70" t="n"/>
      <c r="Q54" s="34" t="n"/>
      <c r="R54" s="208">
        <f>IF(OR(ISNUMBER(SEARCH("PC",P54)),ISNUMBER(SEARCH("quote",Q54))),"Jason","Rick")</f>
        <v/>
      </c>
      <c r="S54" s="146" t="n"/>
      <c r="T54" s="222" t="n"/>
    </row>
    <row r="55" ht="26.39999961853027" customHeight="1" s="491">
      <c r="A55" s="156" t="n"/>
      <c r="B55" s="156" t="n"/>
      <c r="C55" s="156" t="n"/>
      <c r="D55" s="156" t="n"/>
      <c r="E55" s="154" t="n"/>
      <c r="F55" s="1431">
        <f>IF(B55="","",IF(E55=0,0,G55/E55))</f>
        <v/>
      </c>
      <c r="G55" s="1431">
        <f>IF(B55="","",SUMIF('Resource Build-Up'!$B$7:$B$306,B55,'Resource Build-Up'!$Z$7:$Z$306))</f>
        <v/>
      </c>
      <c r="H55" s="156" t="n"/>
      <c r="I55" s="156" t="n"/>
      <c r="J55" s="156" t="n"/>
      <c r="K55" s="156" t="n"/>
      <c r="L55" s="146">
        <f>IF(B55="","",IF(J55="Excluded","Excluded","Resource-linked"))</f>
        <v/>
      </c>
      <c r="M55" s="146">
        <f>IF(B55="","",IF(G55=0,"No resource cost / review","Resource Build-Up -&gt; "&amp;B55))</f>
        <v/>
      </c>
      <c r="N55" s="146">
        <f>IF(B55="","","Resource Build-Up")</f>
        <v/>
      </c>
      <c r="O55" s="146">
        <f>IF(B55="","","See Resource Build-Up / Resource Rate Library")</f>
        <v/>
      </c>
      <c r="P55" s="146" t="n"/>
      <c r="Q55" s="156" t="n"/>
      <c r="R55" s="208">
        <f>IF(OR(ISNUMBER(SEARCH("PC",P55)),ISNUMBER(SEARCH("quote",Q55))),"Jason","Rick")</f>
        <v/>
      </c>
      <c r="S55" s="146" t="n"/>
      <c r="T55" s="222" t="n"/>
    </row>
    <row r="56" ht="26.39999961853027" customHeight="1" s="491">
      <c r="A56" s="33" t="n"/>
      <c r="B56" s="34" t="n"/>
      <c r="C56" s="34" t="n"/>
      <c r="D56" s="34" t="n"/>
      <c r="E56" s="17" t="n"/>
      <c r="F56" s="1427">
        <f>IF(B56="","",IF(E56=0,0,G56/E56))</f>
        <v/>
      </c>
      <c r="G56" s="1427">
        <f>IF(B56="","",SUMIF('Resource Build-Up'!$B$7:$B$306,B56,'Resource Build-Up'!$Z$7:$Z$306))</f>
        <v/>
      </c>
      <c r="H56" s="34" t="n"/>
      <c r="I56" s="34" t="n"/>
      <c r="J56" s="34" t="n"/>
      <c r="K56" s="34" t="n"/>
      <c r="L56" s="235">
        <f>IF(B56="","",IF(J56="Excluded","Excluded","Resource-linked"))</f>
        <v/>
      </c>
      <c r="M56" s="235">
        <f>IF(B56="","",IF(G56=0,"No resource cost / review","Resource Build-Up -&gt; "&amp;B56))</f>
        <v/>
      </c>
      <c r="N56" s="235">
        <f>IF(B56="","","Resource Build-Up")</f>
        <v/>
      </c>
      <c r="O56" s="235">
        <f>IF(B56="","","See Resource Build-Up / Resource Rate Library")</f>
        <v/>
      </c>
      <c r="P56" s="235" t="n"/>
      <c r="Q56" s="34" t="n"/>
      <c r="R56" s="208">
        <f>IF(OR(ISNUMBER(SEARCH("PC",P56)),ISNUMBER(SEARCH("quote",Q56))),"Jason","Rick")</f>
        <v/>
      </c>
      <c r="S56" s="146" t="n"/>
      <c r="T56" s="222" t="n"/>
    </row>
    <row r="57" s="491">
      <c r="A57" s="151" t="n"/>
      <c r="B57" s="151" t="n"/>
      <c r="C57" s="151" t="n"/>
      <c r="D57" s="151" t="n"/>
      <c r="E57" s="148" t="n"/>
      <c r="F57" s="1429">
        <f>IF(B57="","",IF(E57=0,0,G57/E57))</f>
        <v/>
      </c>
      <c r="G57" s="1429">
        <f>IF(B57="","",SUMIF('Resource Build-Up'!$B$7:$B$306,B57,'Resource Build-Up'!$Z$7:$Z$306))</f>
        <v/>
      </c>
      <c r="H57" s="151" t="n"/>
      <c r="I57" s="151" t="n"/>
      <c r="J57" s="151" t="n"/>
      <c r="K57" s="151" t="n"/>
      <c r="L57" s="150">
        <f>IF(B57="","",IF(J57="Excluded","Excluded","Resource-linked"))</f>
        <v/>
      </c>
      <c r="M57" s="150">
        <f>IF(B57="","",IF(G57=0,"No resource cost / review","Resource Build-Up -&gt; "&amp;B57))</f>
        <v/>
      </c>
      <c r="N57" s="150">
        <f>IF(B57="","","Resource Build-Up")</f>
        <v/>
      </c>
      <c r="O57" s="150">
        <f>IF(B57="","","See Resource Build-Up / Resource Rate Library")</f>
        <v/>
      </c>
      <c r="P57" s="150" t="n"/>
      <c r="Q57" s="151" t="n"/>
      <c r="R57" s="208">
        <f>IF(OR(ISNUMBER(SEARCH("PC",P57)),ISNUMBER(SEARCH("quote",Q57))),"Jason","Rick")</f>
        <v/>
      </c>
      <c r="S57" s="146" t="n"/>
      <c r="T57" s="222" t="n"/>
    </row>
    <row r="58" s="491">
      <c r="A58" s="147" t="n"/>
      <c r="B58" s="147" t="n"/>
      <c r="C58" s="147" t="n"/>
      <c r="D58" s="147" t="n"/>
      <c r="E58" s="148" t="n"/>
      <c r="F58" s="1429">
        <f>IF(B58="","",IF(E58=0,0,G58/E58))</f>
        <v/>
      </c>
      <c r="G58" s="1429">
        <f>IF(B58="","",SUMIF('Resource Build-Up'!$B$7:$B$306,B58,'Resource Build-Up'!$Z$7:$Z$306))</f>
        <v/>
      </c>
      <c r="H58" s="147" t="n"/>
      <c r="I58" s="147" t="n"/>
      <c r="J58" s="147" t="n"/>
      <c r="K58" s="147" t="n"/>
      <c r="L58" s="150">
        <f>IF(B58="","",IF(J58="Excluded","Excluded","Resource-linked"))</f>
        <v/>
      </c>
      <c r="M58" s="150">
        <f>IF(B58="","",IF(G58=0,"No resource cost / review","Resource Build-Up -&gt; "&amp;B58))</f>
        <v/>
      </c>
      <c r="N58" s="150">
        <f>IF(B58="","","Resource Build-Up")</f>
        <v/>
      </c>
      <c r="O58" s="150">
        <f>IF(B58="","","See Resource Build-Up / Resource Rate Library")</f>
        <v/>
      </c>
      <c r="P58" s="150" t="n"/>
      <c r="Q58" s="147" t="n"/>
      <c r="R58" s="208">
        <f>IF(OR(ISNUMBER(SEARCH("PC",P58)),ISNUMBER(SEARCH("quote",Q58))),"Jason","Rick")</f>
        <v/>
      </c>
      <c r="S58" s="146" t="n"/>
      <c r="T58" s="222" t="n"/>
    </row>
    <row r="59" s="491">
      <c r="A59" s="151" t="n"/>
      <c r="B59" s="151" t="n"/>
      <c r="C59" s="151" t="n"/>
      <c r="D59" s="151" t="n"/>
      <c r="E59" s="148" t="n"/>
      <c r="F59" s="1429">
        <f>IF(B59="","",IF(E59=0,0,G59/E59))</f>
        <v/>
      </c>
      <c r="G59" s="1429">
        <f>IF(B59="","",SUMIF('Resource Build-Up'!$B$7:$B$306,B59,'Resource Build-Up'!$Z$7:$Z$306))</f>
        <v/>
      </c>
      <c r="H59" s="151" t="n"/>
      <c r="I59" s="151" t="n"/>
      <c r="J59" s="151" t="n"/>
      <c r="K59" s="151" t="n"/>
      <c r="L59" s="150">
        <f>IF(B59="","",IF(J59="Excluded","Excluded","Resource-linked"))</f>
        <v/>
      </c>
      <c r="M59" s="150">
        <f>IF(B59="","",IF(G59=0,"No resource cost / review","Resource Build-Up -&gt; "&amp;B59))</f>
        <v/>
      </c>
      <c r="N59" s="150">
        <f>IF(B59="","","Resource Build-Up")</f>
        <v/>
      </c>
      <c r="O59" s="150">
        <f>IF(B59="","","See Resource Build-Up / Resource Rate Library")</f>
        <v/>
      </c>
      <c r="P59" s="150" t="n"/>
      <c r="Q59" s="151" t="n"/>
      <c r="R59" s="208">
        <f>IF(OR(ISNUMBER(SEARCH("PC",P59)),ISNUMBER(SEARCH("quote",Q59))),"Jason","Rick")</f>
        <v/>
      </c>
      <c r="S59" s="146" t="n"/>
      <c r="T59" s="222" t="n"/>
    </row>
    <row r="60" s="491">
      <c r="A60" s="147" t="n"/>
      <c r="B60" s="147" t="n"/>
      <c r="C60" s="147" t="n"/>
      <c r="D60" s="147" t="n"/>
      <c r="E60" s="148" t="n"/>
      <c r="F60" s="1429">
        <f>IF(B60="","",IF(E60=0,0,G60/E60))</f>
        <v/>
      </c>
      <c r="G60" s="1429">
        <f>IF(B60="","",SUMIF('Resource Build-Up'!$B$7:$B$306,B60,'Resource Build-Up'!$Z$7:$Z$306))</f>
        <v/>
      </c>
      <c r="H60" s="147" t="n"/>
      <c r="I60" s="147" t="n"/>
      <c r="J60" s="147" t="n"/>
      <c r="K60" s="147" t="n"/>
      <c r="L60" s="150">
        <f>IF(B60="","",IF(J60="Excluded","Excluded","Resource-linked"))</f>
        <v/>
      </c>
      <c r="M60" s="150">
        <f>IF(B60="","",IF(G60=0,"No resource cost / review","Resource Build-Up -&gt; "&amp;B60))</f>
        <v/>
      </c>
      <c r="N60" s="150">
        <f>IF(B60="","","Resource Build-Up")</f>
        <v/>
      </c>
      <c r="O60" s="150">
        <f>IF(B60="","","See Resource Build-Up / Resource Rate Library")</f>
        <v/>
      </c>
      <c r="P60" s="150" t="n"/>
      <c r="Q60" s="147" t="n"/>
      <c r="R60" s="208">
        <f>IF(OR(ISNUMBER(SEARCH("PC",P60)),ISNUMBER(SEARCH("quote",Q60))),"Jason","Rick")</f>
        <v/>
      </c>
      <c r="S60" s="146" t="n"/>
      <c r="T60" s="222" t="n"/>
    </row>
    <row r="61" s="491">
      <c r="A61" s="1432" t="n"/>
      <c r="B61" s="1432" t="n"/>
      <c r="C61" s="1432" t="n"/>
      <c r="D61" s="1432" t="n"/>
      <c r="E61" s="1433" t="n"/>
      <c r="F61" s="1434">
        <f>IF(B61="","",IF(E61=0,0,G61/E61))</f>
        <v/>
      </c>
      <c r="G61" s="1434">
        <f>IF(B61="","",SUMIF('Resource Build-Up'!$B$7:$B$306,B61,'Resource Build-Up'!$Z$7:$Z$306))</f>
        <v/>
      </c>
      <c r="H61" s="1432" t="n"/>
      <c r="I61" s="1432" t="n"/>
      <c r="J61" s="1432" t="n"/>
      <c r="K61" s="1432" t="n"/>
      <c r="L61" s="1435">
        <f>IF(B61="","",IF(J61="Excluded","Excluded","Resource-linked"))</f>
        <v/>
      </c>
      <c r="M61" s="1435">
        <f>IF(B61="","",IF(G61=0,"No resource cost / review","Resource Build-Up -&gt; "&amp;B61))</f>
        <v/>
      </c>
      <c r="N61" s="1435">
        <f>IF(B61="","","Resource Build-Up")</f>
        <v/>
      </c>
      <c r="O61" s="1435">
        <f>IF(B61="","","See Resource Build-Up / Resource Rate Library")</f>
        <v/>
      </c>
      <c r="P61" s="1435" t="n"/>
      <c r="Q61" s="1432" t="n"/>
      <c r="R61" s="1397">
        <f>IF(OR(ISNUMBER(SEARCH("PC",P61)),ISNUMBER(SEARCH("quote",Q61))),"Jason","Rick")</f>
        <v/>
      </c>
      <c r="S61" s="1436" t="n"/>
      <c r="T61" s="1437" t="n"/>
    </row>
    <row r="62" ht="26.39999961853027" customHeight="1" s="491">
      <c r="A62" s="1432" t="n"/>
      <c r="B62" s="1432" t="n"/>
      <c r="C62" s="1432" t="n"/>
      <c r="D62" s="1432" t="n"/>
      <c r="E62" s="1433" t="n"/>
      <c r="F62" s="1434">
        <f>IF(B62="","",IF(E62=0,0,G62/E62))</f>
        <v/>
      </c>
      <c r="G62" s="1434">
        <f>IF(B62="","",SUMIF('Resource Build-Up'!$B$7:$B$306,B62,'Resource Build-Up'!$Z$7:$Z$306))</f>
        <v/>
      </c>
      <c r="H62" s="1432" t="n"/>
      <c r="I62" s="1432" t="n"/>
      <c r="J62" s="1432" t="n"/>
      <c r="K62" s="1432" t="n"/>
      <c r="L62" s="1435">
        <f>IF(B62="","",IF(J62="Excluded","Excluded","Resource-linked"))</f>
        <v/>
      </c>
      <c r="M62" s="1435">
        <f>IF(B62="","",IF(G62=0,"No resource cost / review","Resource Build-Up -&gt; "&amp;B62))</f>
        <v/>
      </c>
      <c r="N62" s="1435">
        <f>IF(B62="","","Resource Build-Up")</f>
        <v/>
      </c>
      <c r="O62" s="1435">
        <f>IF(B62="","","See Resource Build-Up / Resource Rate Library")</f>
        <v/>
      </c>
      <c r="P62" s="1435" t="n"/>
      <c r="Q62" s="1432" t="n"/>
      <c r="R62" s="1397">
        <f>IF(OR(ISNUMBER(SEARCH("PC",P62)),ISNUMBER(SEARCH("quote",Q62))),"Jason","Rick")</f>
        <v/>
      </c>
      <c r="S62" s="1436" t="n"/>
      <c r="T62" s="1437" t="n"/>
    </row>
    <row r="63" ht="26.39999961853027" customHeight="1" s="491">
      <c r="A63" s="1432" t="n"/>
      <c r="B63" s="1432" t="n"/>
      <c r="C63" s="1432" t="n"/>
      <c r="D63" s="1432" t="n"/>
      <c r="E63" s="1433" t="n"/>
      <c r="F63" s="1434">
        <f>IF(B63="","",IF(E63=0,0,G63/E63))</f>
        <v/>
      </c>
      <c r="G63" s="1434">
        <f>IF(B63="","",SUMIF('Resource Build-Up'!$B$7:$B$306,B63,'Resource Build-Up'!$Z$7:$Z$306))</f>
        <v/>
      </c>
      <c r="H63" s="1432" t="n"/>
      <c r="I63" s="1432" t="n"/>
      <c r="J63" s="1432" t="n"/>
      <c r="K63" s="1432" t="n"/>
      <c r="L63" s="1435">
        <f>IF(B63="","",IF(J63="Excluded","Excluded","Resource-linked"))</f>
        <v/>
      </c>
      <c r="M63" s="1435">
        <f>IF(B63="","",IF(G63=0,"No resource cost / review","Resource Build-Up -&gt; "&amp;B63))</f>
        <v/>
      </c>
      <c r="N63" s="1435">
        <f>IF(B63="","","Resource Build-Up")</f>
        <v/>
      </c>
      <c r="O63" s="1435">
        <f>IF(B63="","","See Resource Build-Up / Resource Rate Library")</f>
        <v/>
      </c>
      <c r="P63" s="1435" t="n"/>
      <c r="Q63" s="1432" t="n"/>
      <c r="R63" s="1397">
        <f>IF(OR(ISNUMBER(SEARCH("PC",P63)),ISNUMBER(SEARCH("quote",Q63))),"Jason","Rick")</f>
        <v/>
      </c>
      <c r="S63" s="1436" t="n"/>
      <c r="T63" s="1437" t="n"/>
    </row>
    <row r="64" ht="26.39999961853027" customHeight="1" s="491">
      <c r="A64" s="1432" t="n"/>
      <c r="B64" s="1432" t="n"/>
      <c r="C64" s="1432" t="n"/>
      <c r="D64" s="1432" t="n"/>
      <c r="E64" s="1433" t="n"/>
      <c r="F64" s="1434">
        <f>IF(B64="","",IF(E64=0,0,G64/E64))</f>
        <v/>
      </c>
      <c r="G64" s="1434">
        <f>IF(B64="","",SUMIF('Resource Build-Up'!$B$7:$B$306,B64,'Resource Build-Up'!$Z$7:$Z$306))</f>
        <v/>
      </c>
      <c r="H64" s="1432" t="n"/>
      <c r="I64" s="1432" t="n"/>
      <c r="J64" s="1432" t="n"/>
      <c r="K64" s="1432" t="n"/>
      <c r="L64" s="1435">
        <f>IF(B64="","",IF(J64="Excluded","Excluded","Resource-linked"))</f>
        <v/>
      </c>
      <c r="M64" s="1435">
        <f>IF(B64="","",IF(G64=0,"No resource cost / review","Resource Build-Up -&gt; "&amp;B64))</f>
        <v/>
      </c>
      <c r="N64" s="1435">
        <f>IF(B64="","","Resource Build-Up")</f>
        <v/>
      </c>
      <c r="O64" s="1435">
        <f>IF(B64="","","See Resource Build-Up / Resource Rate Library")</f>
        <v/>
      </c>
      <c r="P64" s="1435" t="n"/>
      <c r="Q64" s="1432" t="n"/>
      <c r="R64" s="1397">
        <f>IF(OR(ISNUMBER(SEARCH("PC",P64)),ISNUMBER(SEARCH("quote",Q64))),"Jason","Rick")</f>
        <v/>
      </c>
      <c r="S64" s="1436" t="n"/>
      <c r="T64" s="1437" t="n"/>
    </row>
    <row r="65" ht="26.39999961853027" customHeight="1" s="491">
      <c r="A65" s="1432" t="n"/>
      <c r="B65" s="1432" t="n"/>
      <c r="C65" s="1432" t="n"/>
      <c r="D65" s="1432" t="n"/>
      <c r="E65" s="1433" t="n"/>
      <c r="F65" s="1434">
        <f>IF(B65="","",IF(E65=0,0,G65/E65))</f>
        <v/>
      </c>
      <c r="G65" s="1434">
        <f>IF(B65="","",SUMIF('Resource Build-Up'!$B$7:$B$306,B65,'Resource Build-Up'!$Z$7:$Z$306))</f>
        <v/>
      </c>
      <c r="H65" s="1432" t="n"/>
      <c r="I65" s="1432" t="n"/>
      <c r="J65" s="1432" t="n"/>
      <c r="K65" s="1432" t="n"/>
      <c r="L65" s="1435">
        <f>IF(B65="","",IF(J65="Excluded","Excluded","Resource-linked"))</f>
        <v/>
      </c>
      <c r="M65" s="1435">
        <f>IF(B65="","",IF(G65=0,"No resource cost / review","Resource Build-Up -&gt; "&amp;B65))</f>
        <v/>
      </c>
      <c r="N65" s="1435">
        <f>IF(B65="","","Resource Build-Up")</f>
        <v/>
      </c>
      <c r="O65" s="1435">
        <f>IF(B65="","","See Resource Build-Up / Resource Rate Library")</f>
        <v/>
      </c>
      <c r="P65" s="1435" t="n"/>
      <c r="Q65" s="1432" t="n"/>
      <c r="R65" s="1397">
        <f>IF(OR(ISNUMBER(SEARCH("PC",P65)),ISNUMBER(SEARCH("quote",Q65))),"Jason","Rick")</f>
        <v/>
      </c>
      <c r="S65" s="1436" t="n"/>
      <c r="T65" s="1437" t="n"/>
    </row>
    <row r="66" ht="26.39999961853027" customHeight="1" s="491">
      <c r="A66" s="1432" t="n"/>
      <c r="B66" s="1432" t="n"/>
      <c r="C66" s="1432" t="n"/>
      <c r="D66" s="1432" t="n"/>
      <c r="E66" s="1433" t="n"/>
      <c r="F66" s="1434">
        <f>IF(B66="","",IF(E66=0,0,G66/E66))</f>
        <v/>
      </c>
      <c r="G66" s="1434">
        <f>IF(B66="","",SUMIF('Resource Build-Up'!$B$7:$B$306,B66,'Resource Build-Up'!$Z$7:$Z$306))</f>
        <v/>
      </c>
      <c r="H66" s="1432" t="n"/>
      <c r="I66" s="1432" t="n"/>
      <c r="J66" s="1432" t="n"/>
      <c r="K66" s="1432" t="n"/>
      <c r="L66" s="1435">
        <f>IF(B66="","",IF(J66="Excluded","Excluded","Resource-linked"))</f>
        <v/>
      </c>
      <c r="M66" s="1435">
        <f>IF(B66="","",IF(G66=0,"No resource cost / review","Resource Build-Up -&gt; "&amp;B66))</f>
        <v/>
      </c>
      <c r="N66" s="1435">
        <f>IF(B66="","","Resource Build-Up")</f>
        <v/>
      </c>
      <c r="O66" s="1435">
        <f>IF(B66="","","See Resource Build-Up / Resource Rate Library")</f>
        <v/>
      </c>
      <c r="P66" s="1435" t="n"/>
      <c r="Q66" s="1432" t="n"/>
      <c r="R66" s="1397">
        <f>IF(OR(ISNUMBER(SEARCH("PC",P66)),ISNUMBER(SEARCH("quote",Q66))),"Jason","Rick")</f>
        <v/>
      </c>
      <c r="S66" s="1436" t="n"/>
      <c r="T66" s="1437" t="n"/>
    </row>
    <row r="67" s="491">
      <c r="A67" s="1432" t="n"/>
      <c r="B67" s="1432" t="n"/>
      <c r="C67" s="1432" t="n"/>
      <c r="D67" s="1432" t="n"/>
      <c r="E67" s="1433" t="n"/>
      <c r="F67" s="1434">
        <f>IF(B67="","",IF(E67=0,0,G67/E67))</f>
        <v/>
      </c>
      <c r="G67" s="1434">
        <f>IF(B67="","",SUMIF('Resource Build-Up'!$B$7:$B$306,B67,'Resource Build-Up'!$Z$7:$Z$306))</f>
        <v/>
      </c>
      <c r="H67" s="1432" t="n"/>
      <c r="I67" s="1432" t="n"/>
      <c r="J67" s="1432" t="n"/>
      <c r="K67" s="1432" t="n"/>
      <c r="L67" s="1435">
        <f>IF(B67="","",IF(J67="Excluded","Excluded","Resource-linked"))</f>
        <v/>
      </c>
      <c r="M67" s="1435">
        <f>IF(B67="","",IF(G67=0,"No resource cost / review","Resource Build-Up -&gt; "&amp;B67))</f>
        <v/>
      </c>
      <c r="N67" s="1435">
        <f>IF(B67="","","Resource Build-Up")</f>
        <v/>
      </c>
      <c r="O67" s="1435">
        <f>IF(B67="","","See Resource Build-Up / Resource Rate Library")</f>
        <v/>
      </c>
      <c r="P67" s="1435" t="n"/>
      <c r="Q67" s="1432" t="n"/>
      <c r="R67" s="1397">
        <f>IF(OR(ISNUMBER(SEARCH("PC",P67)),ISNUMBER(SEARCH("quote",Q67))),"Jason","Rick")</f>
        <v/>
      </c>
      <c r="S67" s="1436" t="n"/>
      <c r="T67" s="1437" t="n"/>
    </row>
    <row r="68" ht="26.39999961853027" customHeight="1" s="491">
      <c r="A68" s="1432" t="n"/>
      <c r="B68" s="1432" t="n"/>
      <c r="C68" s="1432" t="n"/>
      <c r="D68" s="1432" t="n"/>
      <c r="E68" s="1433" t="n"/>
      <c r="F68" s="1434">
        <f>IF(B68="","",IF(E68=0,0,G68/E68))</f>
        <v/>
      </c>
      <c r="G68" s="1434">
        <f>IF(B68="","",SUMIF('Resource Build-Up'!$B$7:$B$306,B68,'Resource Build-Up'!$Z$7:$Z$306))</f>
        <v/>
      </c>
      <c r="H68" s="1432" t="n"/>
      <c r="I68" s="1432" t="n"/>
      <c r="J68" s="1432" t="n"/>
      <c r="K68" s="1432" t="n"/>
      <c r="L68" s="1435">
        <f>IF(B68="","",IF(J68="Excluded","Excluded","Resource-linked"))</f>
        <v/>
      </c>
      <c r="M68" s="1435">
        <f>IF(B68="","",IF(G68=0,"No resource cost / review","Resource Build-Up -&gt; "&amp;B68))</f>
        <v/>
      </c>
      <c r="N68" s="1435">
        <f>IF(B68="","","Resource Build-Up")</f>
        <v/>
      </c>
      <c r="O68" s="1435">
        <f>IF(B68="","","See Resource Build-Up / Resource Rate Library")</f>
        <v/>
      </c>
      <c r="P68" s="1435" t="n"/>
      <c r="Q68" s="1432" t="n"/>
      <c r="R68" s="1397">
        <f>IF(OR(ISNUMBER(SEARCH("PC",P68)),ISNUMBER(SEARCH("quote",Q68))),"Jason","Rick")</f>
        <v/>
      </c>
      <c r="S68" s="1436" t="n"/>
      <c r="T68" s="1437" t="n"/>
    </row>
    <row r="69" ht="26.39999961853027" customHeight="1" s="491">
      <c r="A69" s="1432" t="n"/>
      <c r="B69" s="1432" t="n"/>
      <c r="C69" s="1432" t="n"/>
      <c r="D69" s="1432" t="n"/>
      <c r="E69" s="1433" t="n"/>
      <c r="F69" s="1434">
        <f>IF(B69="","",IF(E69=0,0,G69/E69))</f>
        <v/>
      </c>
      <c r="G69" s="1434">
        <f>IF(B69="","",SUMIF('Resource Build-Up'!$B$7:$B$306,B69,'Resource Build-Up'!$Z$7:$Z$306))</f>
        <v/>
      </c>
      <c r="H69" s="1432" t="n"/>
      <c r="I69" s="1432" t="n"/>
      <c r="J69" s="1432" t="n"/>
      <c r="K69" s="1432" t="n"/>
      <c r="L69" s="1435">
        <f>IF(B69="","",IF(J69="Excluded","Excluded","Resource-linked"))</f>
        <v/>
      </c>
      <c r="M69" s="1435">
        <f>IF(B69="","",IF(G69=0,"No resource cost / review","Resource Build-Up -&gt; "&amp;B69))</f>
        <v/>
      </c>
      <c r="N69" s="1435">
        <f>IF(B69="","","Resource Build-Up")</f>
        <v/>
      </c>
      <c r="O69" s="1435">
        <f>IF(B69="","","See Resource Build-Up / Resource Rate Library")</f>
        <v/>
      </c>
      <c r="P69" s="1435" t="n"/>
      <c r="Q69" s="1432" t="n"/>
      <c r="R69" s="1397">
        <f>IF(OR(ISNUMBER(SEARCH("PC",P69)),ISNUMBER(SEARCH("quote",Q69))),"Jason","Rick")</f>
        <v/>
      </c>
      <c r="S69" s="1436" t="n"/>
      <c r="T69" s="1437" t="n"/>
    </row>
    <row r="70" ht="26.39999961853027" customHeight="1" s="491">
      <c r="A70" s="1432" t="n"/>
      <c r="B70" s="1432" t="n"/>
      <c r="C70" s="1432" t="n"/>
      <c r="D70" s="1432" t="n"/>
      <c r="E70" s="1433" t="n"/>
      <c r="F70" s="1434">
        <f>IF(B70="","",IF(E70=0,0,G70/E70))</f>
        <v/>
      </c>
      <c r="G70" s="1434">
        <f>IF(B70="","",SUMIF('Resource Build-Up'!$B$7:$B$306,B70,'Resource Build-Up'!$Z$7:$Z$306))</f>
        <v/>
      </c>
      <c r="H70" s="1432" t="n"/>
      <c r="I70" s="1432" t="n"/>
      <c r="J70" s="1432" t="n"/>
      <c r="K70" s="1432" t="n"/>
      <c r="L70" s="1435">
        <f>IF(B70="","",IF(J70="Excluded","Excluded","Resource-linked"))</f>
        <v/>
      </c>
      <c r="M70" s="1435">
        <f>IF(B70="","",IF(G70=0,"No resource cost / review","Resource Build-Up -&gt; "&amp;B70))</f>
        <v/>
      </c>
      <c r="N70" s="1435">
        <f>IF(B70="","","Resource Build-Up")</f>
        <v/>
      </c>
      <c r="O70" s="1435">
        <f>IF(B70="","","See Resource Build-Up / Resource Rate Library")</f>
        <v/>
      </c>
      <c r="P70" s="1435" t="n"/>
      <c r="Q70" s="1432" t="n"/>
      <c r="R70" s="1397">
        <f>IF(OR(ISNUMBER(SEARCH("PC",P70)),ISNUMBER(SEARCH("quote",Q70))),"Jason","Rick")</f>
        <v/>
      </c>
      <c r="S70" s="1436" t="n"/>
      <c r="T70" s="1437" t="n"/>
    </row>
    <row r="71" s="491">
      <c r="A71" s="1432" t="n"/>
      <c r="B71" s="1432" t="n"/>
      <c r="C71" s="1432" t="n"/>
      <c r="D71" s="1432" t="n"/>
      <c r="E71" s="1433" t="n"/>
      <c r="F71" s="1434">
        <f>IF(B71="","",IF(E71=0,0,G71/E71))</f>
        <v/>
      </c>
      <c r="G71" s="1434">
        <f>IF(B71="","",SUMIF('Resource Build-Up'!$B$7:$B$306,B71,'Resource Build-Up'!$Z$7:$Z$306))</f>
        <v/>
      </c>
      <c r="H71" s="1432" t="n"/>
      <c r="I71" s="1432" t="n"/>
      <c r="J71" s="1432" t="n"/>
      <c r="K71" s="1432" t="n"/>
      <c r="L71" s="1435">
        <f>IF(B71="","",IF(J71="Excluded","Excluded","Resource-linked"))</f>
        <v/>
      </c>
      <c r="M71" s="1435">
        <f>IF(B71="","",IF(G71=0,"No resource cost / review","Resource Build-Up -&gt; "&amp;B71))</f>
        <v/>
      </c>
      <c r="N71" s="1435">
        <f>IF(B71="","","Resource Build-Up")</f>
        <v/>
      </c>
      <c r="O71" s="1435">
        <f>IF(B71="","","See Resource Build-Up / Resource Rate Library")</f>
        <v/>
      </c>
      <c r="P71" s="1435" t="n"/>
      <c r="Q71" s="1432" t="n"/>
      <c r="R71" s="1397">
        <f>IF(OR(ISNUMBER(SEARCH("PC",P71)),ISNUMBER(SEARCH("quote",Q71))),"Jason","Rick")</f>
        <v/>
      </c>
      <c r="S71" s="1436" t="n"/>
      <c r="T71" s="1437" t="n"/>
    </row>
    <row r="72" s="491">
      <c r="A72" s="1432" t="n"/>
      <c r="B72" s="1432" t="n"/>
      <c r="C72" s="1432" t="n"/>
      <c r="D72" s="1432" t="n"/>
      <c r="E72" s="1433" t="n"/>
      <c r="F72" s="1434">
        <f>IF(B72="","",IF(E72=0,0,G72/E72))</f>
        <v/>
      </c>
      <c r="G72" s="1434">
        <f>IF(B72="","",SUMIF('Resource Build-Up'!$B$7:$B$306,B72,'Resource Build-Up'!$Z$7:$Z$306))</f>
        <v/>
      </c>
      <c r="H72" s="1432" t="n"/>
      <c r="I72" s="1432" t="n"/>
      <c r="J72" s="1432" t="n"/>
      <c r="K72" s="1432" t="n"/>
      <c r="L72" s="1435">
        <f>IF(B72="","",IF(J72="Excluded","Excluded","Resource-linked"))</f>
        <v/>
      </c>
      <c r="M72" s="1435">
        <f>IF(B72="","",IF(G72=0,"No resource cost / review","Resource Build-Up -&gt; "&amp;B72))</f>
        <v/>
      </c>
      <c r="N72" s="1435">
        <f>IF(B72="","","Resource Build-Up")</f>
        <v/>
      </c>
      <c r="O72" s="1435">
        <f>IF(B72="","","See Resource Build-Up / Resource Rate Library")</f>
        <v/>
      </c>
      <c r="P72" s="1435" t="n"/>
      <c r="Q72" s="1432" t="n"/>
      <c r="R72" s="1397">
        <f>IF(OR(ISNUMBER(SEARCH("PC",P72)),ISNUMBER(SEARCH("quote",Q72))),"Jason","Rick")</f>
        <v/>
      </c>
      <c r="S72" s="1436" t="n"/>
      <c r="T72" s="1437" t="n"/>
    </row>
    <row r="73" s="491">
      <c r="A73" s="1432" t="n"/>
      <c r="B73" s="1432" t="n"/>
      <c r="C73" s="1432" t="n"/>
      <c r="D73" s="1432" t="n"/>
      <c r="E73" s="1433" t="n"/>
      <c r="F73" s="1434">
        <f>IF(B73="","",IF(E73=0,0,G73/E73))</f>
        <v/>
      </c>
      <c r="G73" s="1434">
        <f>IF(B73="","",SUMIF('Resource Build-Up'!$B$7:$B$306,B73,'Resource Build-Up'!$Z$7:$Z$306))</f>
        <v/>
      </c>
      <c r="H73" s="1432" t="n"/>
      <c r="I73" s="1432" t="n"/>
      <c r="J73" s="1432" t="n"/>
      <c r="K73" s="1432" t="n"/>
      <c r="L73" s="1435">
        <f>IF(B73="","",IF(J73="Excluded","Excluded","Resource-linked"))</f>
        <v/>
      </c>
      <c r="M73" s="1435">
        <f>IF(B73="","",IF(G73=0,"No resource cost / review","Resource Build-Up -&gt; "&amp;B73))</f>
        <v/>
      </c>
      <c r="N73" s="1435">
        <f>IF(B73="","","Resource Build-Up")</f>
        <v/>
      </c>
      <c r="O73" s="1435">
        <f>IF(B73="","","See Resource Build-Up / Resource Rate Library")</f>
        <v/>
      </c>
      <c r="P73" s="1435" t="n"/>
      <c r="Q73" s="1432" t="n"/>
      <c r="R73" s="1397">
        <f>IF(OR(ISNUMBER(SEARCH("PC",P73)),ISNUMBER(SEARCH("quote",Q73))),"Jason","Rick")</f>
        <v/>
      </c>
      <c r="S73" s="1436" t="n"/>
      <c r="T73" s="1437" t="n"/>
    </row>
    <row r="74" ht="21.45000076293945" customHeight="1" s="491">
      <c r="A74" s="1432" t="n"/>
      <c r="B74" s="1432" t="n"/>
      <c r="C74" s="1432" t="n"/>
      <c r="D74" s="1432" t="n"/>
      <c r="E74" s="1433" t="n"/>
      <c r="F74" s="1434">
        <f>IF(B74="","",IF(E74=0,0,G74/E74))</f>
        <v/>
      </c>
      <c r="G74" s="1434">
        <f>IF(B74="","",SUMIF('Resource Build-Up'!$B$7:$B$306,B74,'Resource Build-Up'!$Z$7:$Z$306))</f>
        <v/>
      </c>
      <c r="H74" s="1432" t="n"/>
      <c r="I74" s="1432" t="n"/>
      <c r="J74" s="1432" t="n"/>
      <c r="K74" s="1432" t="n"/>
      <c r="L74" s="1435">
        <f>IF(B74="","",IF(J74="Excluded","Excluded","Resource-linked"))</f>
        <v/>
      </c>
      <c r="M74" s="1435">
        <f>IF(B74="","",IF(G74=0,"No resource cost / review","Resource Build-Up -&gt; "&amp;B74))</f>
        <v/>
      </c>
      <c r="N74" s="1435">
        <f>IF(B74="","","Resource Build-Up")</f>
        <v/>
      </c>
      <c r="O74" s="1435">
        <f>IF(B74="","","See Resource Build-Up / Resource Rate Library")</f>
        <v/>
      </c>
      <c r="P74" s="1435" t="n"/>
      <c r="Q74" s="1432" t="n"/>
      <c r="R74" s="1397">
        <f>IF(OR(ISNUMBER(SEARCH("PC",P74)),ISNUMBER(SEARCH("quote",Q74))),"Jason","Rick")</f>
        <v/>
      </c>
      <c r="S74" s="1436" t="n"/>
      <c r="T74" s="1437" t="n"/>
    </row>
    <row r="75" ht="21.45000076293945" customHeight="1" s="491">
      <c r="A75" s="1432" t="n"/>
      <c r="B75" s="1432" t="n"/>
      <c r="C75" s="1432" t="n"/>
      <c r="D75" s="1432" t="n"/>
      <c r="E75" s="1433" t="n"/>
      <c r="F75" s="1434">
        <f>IF(B75="","",IF(E75=0,0,G75/E75))</f>
        <v/>
      </c>
      <c r="G75" s="1434">
        <f>IF(B75="","",SUMIF('Resource Build-Up'!$B$7:$B$306,B75,'Resource Build-Up'!$Z$7:$Z$306))</f>
        <v/>
      </c>
      <c r="H75" s="1432" t="n"/>
      <c r="I75" s="1432" t="n"/>
      <c r="J75" s="1432" t="n"/>
      <c r="K75" s="1432" t="n"/>
      <c r="L75" s="1435">
        <f>IF(B75="","",IF(J75="Excluded","Excluded","Resource-linked"))</f>
        <v/>
      </c>
      <c r="M75" s="1435">
        <f>IF(B75="","",IF(G75=0,"No resource cost / review","Resource Build-Up -&gt; "&amp;B75))</f>
        <v/>
      </c>
      <c r="N75" s="1435">
        <f>IF(B75="","","Resource Build-Up")</f>
        <v/>
      </c>
      <c r="O75" s="1435">
        <f>IF(B75="","","See Resource Build-Up / Resource Rate Library")</f>
        <v/>
      </c>
      <c r="P75" s="1435" t="n"/>
      <c r="Q75" s="1432" t="n"/>
      <c r="R75" s="1397">
        <f>IF(OR(ISNUMBER(SEARCH("PC",P75)),ISNUMBER(SEARCH("quote",Q75))),"Jason","Rick")</f>
        <v/>
      </c>
      <c r="S75" s="1436" t="n"/>
      <c r="T75" s="1437" t="n"/>
    </row>
    <row r="76" ht="21.45000076293945" customHeight="1" s="491">
      <c r="A76" s="1432" t="n"/>
      <c r="B76" s="1432" t="n"/>
      <c r="C76" s="1432" t="n"/>
      <c r="D76" s="1432" t="n"/>
      <c r="E76" s="1433" t="n"/>
      <c r="F76" s="1434">
        <f>IF(B76="","",IF(E76=0,0,G76/E76))</f>
        <v/>
      </c>
      <c r="G76" s="1434">
        <f>IF(B76="","",SUMIF('Resource Build-Up'!$B$7:$B$306,B76,'Resource Build-Up'!$Z$7:$Z$306))</f>
        <v/>
      </c>
      <c r="H76" s="1432" t="n"/>
      <c r="I76" s="1432" t="n"/>
      <c r="J76" s="1432" t="n"/>
      <c r="K76" s="1432" t="n"/>
      <c r="L76" s="1435">
        <f>IF(B76="","",IF(J76="Excluded","Excluded","Resource-linked"))</f>
        <v/>
      </c>
      <c r="M76" s="1435">
        <f>IF(B76="","",IF(G76=0,"No resource cost / review","Resource Build-Up -&gt; "&amp;B76))</f>
        <v/>
      </c>
      <c r="N76" s="1435">
        <f>IF(B76="","","Resource Build-Up")</f>
        <v/>
      </c>
      <c r="O76" s="1435">
        <f>IF(B76="","","See Resource Build-Up / Resource Rate Library")</f>
        <v/>
      </c>
      <c r="P76" s="1435" t="n"/>
      <c r="Q76" s="1432" t="n"/>
      <c r="R76" s="1397">
        <f>IF(OR(ISNUMBER(SEARCH("PC",P76)),ISNUMBER(SEARCH("quote",Q76))),"Jason","Rick")</f>
        <v/>
      </c>
      <c r="S76" s="1436" t="n"/>
      <c r="T76" s="1437" t="n"/>
    </row>
    <row r="77" ht="21.45000076293945" customHeight="1" s="491">
      <c r="A77" s="1432" t="n"/>
      <c r="B77" s="1432" t="n"/>
      <c r="C77" s="1432" t="n"/>
      <c r="D77" s="1432" t="n"/>
      <c r="E77" s="1433" t="n"/>
      <c r="F77" s="1434">
        <f>IF(B77="","",IF(E77=0,0,G77/E77))</f>
        <v/>
      </c>
      <c r="G77" s="1434">
        <f>IF(B77="","",SUMIF('Resource Build-Up'!$B$7:$B$306,B77,'Resource Build-Up'!$Z$7:$Z$306))</f>
        <v/>
      </c>
      <c r="H77" s="1432" t="n"/>
      <c r="I77" s="1432" t="n"/>
      <c r="J77" s="1432" t="n"/>
      <c r="K77" s="1432" t="n"/>
      <c r="L77" s="1435">
        <f>IF(B77="","",IF(J77="Excluded","Excluded","Resource-linked"))</f>
        <v/>
      </c>
      <c r="M77" s="1435">
        <f>IF(B77="","",IF(G77=0,"No resource cost / review","Resource Build-Up -&gt; "&amp;B77))</f>
        <v/>
      </c>
      <c r="N77" s="1435">
        <f>IF(B77="","","Resource Build-Up")</f>
        <v/>
      </c>
      <c r="O77" s="1435">
        <f>IF(B77="","","See Resource Build-Up / Resource Rate Library")</f>
        <v/>
      </c>
      <c r="P77" s="1435" t="n"/>
      <c r="Q77" s="1432" t="n"/>
      <c r="R77" s="1397">
        <f>IF(OR(ISNUMBER(SEARCH("PC",P77)),ISNUMBER(SEARCH("quote",Q77))),"Jason","Rick")</f>
        <v/>
      </c>
      <c r="S77" s="1436" t="n"/>
      <c r="T77" s="1437" t="n"/>
    </row>
    <row r="78" ht="21.45000076293945" customHeight="1" s="491">
      <c r="A78" s="1432" t="n"/>
      <c r="B78" s="1432" t="n"/>
      <c r="C78" s="1432" t="n"/>
      <c r="D78" s="1432" t="n"/>
      <c r="E78" s="1433" t="n"/>
      <c r="F78" s="1434">
        <f>IF(B78="","",IF(E78=0,0,G78/E78))</f>
        <v/>
      </c>
      <c r="G78" s="1434">
        <f>IF(B78="","",SUMIF('Resource Build-Up'!$B$7:$B$306,B78,'Resource Build-Up'!$Z$7:$Z$306))</f>
        <v/>
      </c>
      <c r="H78" s="1432" t="n"/>
      <c r="I78" s="1432" t="n"/>
      <c r="J78" s="1432" t="n"/>
      <c r="K78" s="1432" t="n"/>
      <c r="L78" s="1435">
        <f>IF(B78="","",IF(J78="Excluded","Excluded","Resource-linked"))</f>
        <v/>
      </c>
      <c r="M78" s="1435">
        <f>IF(B78="","",IF(G78=0,"No resource cost / review","Resource Build-Up -&gt; "&amp;B78))</f>
        <v/>
      </c>
      <c r="N78" s="1435">
        <f>IF(B78="","","Resource Build-Up")</f>
        <v/>
      </c>
      <c r="O78" s="1435">
        <f>IF(B78="","","See Resource Build-Up / Resource Rate Library")</f>
        <v/>
      </c>
      <c r="P78" s="1435" t="n"/>
      <c r="Q78" s="1432" t="n"/>
      <c r="R78" s="1397">
        <f>IF(OR(ISNUMBER(SEARCH("PC",P78)),ISNUMBER(SEARCH("quote",Q78))),"Jason","Rick")</f>
        <v/>
      </c>
      <c r="S78" s="1436" t="n"/>
      <c r="T78" s="1437" t="n"/>
    </row>
    <row r="79" ht="21.45000076293945" customHeight="1" s="491">
      <c r="A79" s="1432" t="n"/>
      <c r="B79" s="1432" t="n"/>
      <c r="C79" s="1432" t="n"/>
      <c r="D79" s="1432" t="n"/>
      <c r="E79" s="1433" t="n"/>
      <c r="F79" s="1434">
        <f>IF(B79="","",IF(E79=0,0,G79/E79))</f>
        <v/>
      </c>
      <c r="G79" s="1434">
        <f>IF(B79="","",SUMIF('Resource Build-Up'!$B$7:$B$306,B79,'Resource Build-Up'!$Z$7:$Z$306))</f>
        <v/>
      </c>
      <c r="H79" s="1432" t="n"/>
      <c r="I79" s="1432" t="n"/>
      <c r="J79" s="1432" t="n"/>
      <c r="K79" s="1432" t="n"/>
      <c r="L79" s="1435">
        <f>IF(B79="","",IF(J79="Excluded","Excluded","Resource-linked"))</f>
        <v/>
      </c>
      <c r="M79" s="1435">
        <f>IF(B79="","",IF(G79=0,"No resource cost / review","Resource Build-Up -&gt; "&amp;B79))</f>
        <v/>
      </c>
      <c r="N79" s="1435">
        <f>IF(B79="","","Resource Build-Up")</f>
        <v/>
      </c>
      <c r="O79" s="1435">
        <f>IF(B79="","","See Resource Build-Up / Resource Rate Library")</f>
        <v/>
      </c>
      <c r="P79" s="1435" t="n"/>
      <c r="Q79" s="1432" t="n"/>
      <c r="R79" s="1397">
        <f>IF(OR(ISNUMBER(SEARCH("PC",P79)),ISNUMBER(SEARCH("quote",Q79))),"Jason","Rick")</f>
        <v/>
      </c>
      <c r="S79" s="1436" t="n"/>
      <c r="T79" s="1437" t="n"/>
    </row>
    <row r="80" ht="21.45000076293945" customHeight="1" s="491">
      <c r="A80" s="1432" t="n"/>
      <c r="B80" s="1432" t="n"/>
      <c r="C80" s="1432" t="n"/>
      <c r="D80" s="1432" t="n"/>
      <c r="E80" s="1433" t="n"/>
      <c r="F80" s="1434">
        <f>IF(B80="","",IF(E80=0,0,G80/E80))</f>
        <v/>
      </c>
      <c r="G80" s="1434">
        <f>IF(B80="","",SUMIF('Resource Build-Up'!$B$7:$B$306,B80,'Resource Build-Up'!$Z$7:$Z$306))</f>
        <v/>
      </c>
      <c r="H80" s="1432" t="n"/>
      <c r="I80" s="1432" t="n"/>
      <c r="J80" s="1432" t="n"/>
      <c r="K80" s="1432" t="n"/>
      <c r="L80" s="1435">
        <f>IF(B80="","",IF(J80="Excluded","Excluded","Resource-linked"))</f>
        <v/>
      </c>
      <c r="M80" s="1435">
        <f>IF(B80="","",IF(G80=0,"No resource cost / review","Resource Build-Up -&gt; "&amp;B80))</f>
        <v/>
      </c>
      <c r="N80" s="1435">
        <f>IF(B80="","","Resource Build-Up")</f>
        <v/>
      </c>
      <c r="O80" s="1435">
        <f>IF(B80="","","See Resource Build-Up / Resource Rate Library")</f>
        <v/>
      </c>
      <c r="P80" s="1435" t="n"/>
      <c r="Q80" s="1432" t="n"/>
      <c r="R80" s="1397">
        <f>IF(OR(ISNUMBER(SEARCH("PC",P80)),ISNUMBER(SEARCH("quote",Q80))),"Jason","Rick")</f>
        <v/>
      </c>
      <c r="S80" s="1436" t="n"/>
      <c r="T80" s="1437" t="n"/>
    </row>
    <row r="81" ht="21.45000076293945" customHeight="1" s="491">
      <c r="A81" s="1432" t="n"/>
      <c r="B81" s="1432" t="n"/>
      <c r="C81" s="1432" t="n"/>
      <c r="D81" s="1432" t="n"/>
      <c r="E81" s="1433" t="n"/>
      <c r="F81" s="1434">
        <f>IF(B81="","",IF(E81=0,0,G81/E81))</f>
        <v/>
      </c>
      <c r="G81" s="1434">
        <f>IF(B81="","",SUMIF('Resource Build-Up'!$B$7:$B$306,B81,'Resource Build-Up'!$Z$7:$Z$306))</f>
        <v/>
      </c>
      <c r="H81" s="1432" t="n"/>
      <c r="I81" s="1432" t="n"/>
      <c r="J81" s="1432" t="n"/>
      <c r="K81" s="1432" t="n"/>
      <c r="L81" s="1435">
        <f>IF(B81="","",IF(J81="Excluded","Excluded","Resource-linked"))</f>
        <v/>
      </c>
      <c r="M81" s="1435">
        <f>IF(B81="","",IF(G81=0,"No resource cost / review","Resource Build-Up -&gt; "&amp;B81))</f>
        <v/>
      </c>
      <c r="N81" s="1435">
        <f>IF(B81="","","Resource Build-Up")</f>
        <v/>
      </c>
      <c r="O81" s="1435">
        <f>IF(B81="","","See Resource Build-Up / Resource Rate Library")</f>
        <v/>
      </c>
      <c r="P81" s="1435" t="n"/>
      <c r="Q81" s="1432" t="n"/>
      <c r="R81" s="1397">
        <f>IF(OR(ISNUMBER(SEARCH("PC",P81)),ISNUMBER(SEARCH("quote",Q81))),"Jason","Rick")</f>
        <v/>
      </c>
      <c r="S81" s="1436" t="n"/>
      <c r="T81" s="1437" t="n"/>
    </row>
    <row r="82" ht="21.45000076293945" customHeight="1" s="491">
      <c r="A82" s="1432" t="n"/>
      <c r="B82" s="1432" t="n"/>
      <c r="C82" s="1432" t="n"/>
      <c r="D82" s="1432" t="n"/>
      <c r="E82" s="1433" t="n"/>
      <c r="F82" s="1434">
        <f>IF(B82="","",IF(E82=0,0,G82/E82))</f>
        <v/>
      </c>
      <c r="G82" s="1434">
        <f>IF(B82="","",SUMIF('Resource Build-Up'!$B$7:$B$306,B82,'Resource Build-Up'!$Z$7:$Z$306))</f>
        <v/>
      </c>
      <c r="H82" s="1432" t="n"/>
      <c r="I82" s="1432" t="n"/>
      <c r="J82" s="1432" t="n"/>
      <c r="K82" s="1432" t="n"/>
      <c r="L82" s="1435">
        <f>IF(B82="","",IF(J82="Excluded","Excluded","Resource-linked"))</f>
        <v/>
      </c>
      <c r="M82" s="1435">
        <f>IF(B82="","",IF(G82=0,"No resource cost / review","Resource Build-Up -&gt; "&amp;B82))</f>
        <v/>
      </c>
      <c r="N82" s="1435">
        <f>IF(B82="","","Resource Build-Up")</f>
        <v/>
      </c>
      <c r="O82" s="1435">
        <f>IF(B82="","","See Resource Build-Up / Resource Rate Library")</f>
        <v/>
      </c>
      <c r="P82" s="1435" t="n"/>
      <c r="Q82" s="1432" t="n"/>
      <c r="R82" s="1397">
        <f>IF(OR(ISNUMBER(SEARCH("PC",P82)),ISNUMBER(SEARCH("quote",Q82))),"Jason","Rick")</f>
        <v/>
      </c>
      <c r="S82" s="1436" t="n"/>
      <c r="T82" s="1437" t="n"/>
    </row>
    <row r="83" ht="21.45000076293945" customHeight="1" s="491">
      <c r="A83" s="1432" t="n"/>
      <c r="B83" s="1432" t="n"/>
      <c r="C83" s="1432" t="n"/>
      <c r="D83" s="1432" t="n"/>
      <c r="E83" s="1433" t="n"/>
      <c r="F83" s="1434">
        <f>IF(B83="","",IF(E83=0,0,G83/E83))</f>
        <v/>
      </c>
      <c r="G83" s="1434">
        <f>IF(B83="","",SUMIF('Resource Build-Up'!$B$7:$B$306,B83,'Resource Build-Up'!$Z$7:$Z$306))</f>
        <v/>
      </c>
      <c r="H83" s="1432" t="n"/>
      <c r="I83" s="1432" t="n"/>
      <c r="J83" s="1432" t="n"/>
      <c r="K83" s="1432" t="n"/>
      <c r="L83" s="1435">
        <f>IF(B83="","",IF(J83="Excluded","Excluded","Resource-linked"))</f>
        <v/>
      </c>
      <c r="M83" s="1435">
        <f>IF(B83="","",IF(G83=0,"No resource cost / review","Resource Build-Up -&gt; "&amp;B83))</f>
        <v/>
      </c>
      <c r="N83" s="1435">
        <f>IF(B83="","","Resource Build-Up")</f>
        <v/>
      </c>
      <c r="O83" s="1435">
        <f>IF(B83="","","See Resource Build-Up / Resource Rate Library")</f>
        <v/>
      </c>
      <c r="P83" s="1435" t="n"/>
      <c r="Q83" s="1432" t="n"/>
      <c r="R83" s="1397">
        <f>IF(OR(ISNUMBER(SEARCH("PC",P83)),ISNUMBER(SEARCH("quote",Q83))),"Jason","Rick")</f>
        <v/>
      </c>
      <c r="S83" s="1436" t="n"/>
      <c r="T83" s="1437" t="n"/>
    </row>
    <row r="84" ht="21.45000076293945" customHeight="1" s="491">
      <c r="A84" s="1432" t="n"/>
      <c r="B84" s="1432" t="n"/>
      <c r="C84" s="1432" t="n"/>
      <c r="D84" s="1432" t="n"/>
      <c r="E84" s="1433" t="n"/>
      <c r="F84" s="1434">
        <f>IF(B84="","",IF(E84=0,0,G84/E84))</f>
        <v/>
      </c>
      <c r="G84" s="1434">
        <f>IF(B84="","",SUMIF('Resource Build-Up'!$B$7:$B$306,B84,'Resource Build-Up'!$Z$7:$Z$306))</f>
        <v/>
      </c>
      <c r="H84" s="1432" t="n"/>
      <c r="I84" s="1432" t="n"/>
      <c r="J84" s="1432" t="n"/>
      <c r="K84" s="1432" t="n"/>
      <c r="L84" s="1435">
        <f>IF(B84="","",IF(J84="Excluded","Excluded","Resource-linked"))</f>
        <v/>
      </c>
      <c r="M84" s="1435">
        <f>IF(B84="","",IF(G84=0,"No resource cost / review","Resource Build-Up -&gt; "&amp;B84))</f>
        <v/>
      </c>
      <c r="N84" s="1435">
        <f>IF(B84="","","Resource Build-Up")</f>
        <v/>
      </c>
      <c r="O84" s="1435">
        <f>IF(B84="","","See Resource Build-Up / Resource Rate Library")</f>
        <v/>
      </c>
      <c r="P84" s="1435" t="n"/>
      <c r="Q84" s="1432" t="n"/>
      <c r="R84" s="1397">
        <f>IF(OR(ISNUMBER(SEARCH("PC",P84)),ISNUMBER(SEARCH("quote",Q84))),"Jason","Rick")</f>
        <v/>
      </c>
      <c r="S84" s="1436" t="n"/>
      <c r="T84" s="1437" t="n"/>
    </row>
    <row r="85" ht="21.45000076293945" customHeight="1" s="491">
      <c r="A85" s="1432" t="n"/>
      <c r="B85" s="1432" t="n"/>
      <c r="C85" s="1432" t="n"/>
      <c r="D85" s="1432" t="n"/>
      <c r="E85" s="1433" t="n"/>
      <c r="F85" s="1434">
        <f>IF(B85="","",IF(E85=0,0,G85/E85))</f>
        <v/>
      </c>
      <c r="G85" s="1434">
        <f>IF(B85="","",SUMIF('Resource Build-Up'!$B$7:$B$306,B85,'Resource Build-Up'!$Z$7:$Z$306))</f>
        <v/>
      </c>
      <c r="H85" s="1432" t="n"/>
      <c r="I85" s="1432" t="n"/>
      <c r="J85" s="1432" t="n"/>
      <c r="K85" s="1432" t="n"/>
      <c r="L85" s="1435">
        <f>IF(B85="","",IF(J85="Excluded","Excluded","Resource-linked"))</f>
        <v/>
      </c>
      <c r="M85" s="1435">
        <f>IF(B85="","",IF(G85=0,"No resource cost / review","Resource Build-Up -&gt; "&amp;B85))</f>
        <v/>
      </c>
      <c r="N85" s="1435">
        <f>IF(B85="","","Resource Build-Up")</f>
        <v/>
      </c>
      <c r="O85" s="1435">
        <f>IF(B85="","","See Resource Build-Up / Resource Rate Library")</f>
        <v/>
      </c>
      <c r="P85" s="1435" t="n"/>
      <c r="Q85" s="1432" t="n"/>
      <c r="R85" s="1397">
        <f>IF(OR(ISNUMBER(SEARCH("PC",P85)),ISNUMBER(SEARCH("quote",Q85))),"Jason","Rick")</f>
        <v/>
      </c>
      <c r="S85" s="1436" t="n"/>
      <c r="T85" s="1437" t="n"/>
    </row>
    <row r="86" ht="21.45000076293945" customHeight="1" s="491">
      <c r="A86" s="1432" t="n"/>
      <c r="B86" s="1432" t="n"/>
      <c r="C86" s="1432" t="n"/>
      <c r="D86" s="1432" t="n"/>
      <c r="E86" s="1433" t="n"/>
      <c r="F86" s="1434">
        <f>IF(B86="","",IF(E86=0,0,G86/E86))</f>
        <v/>
      </c>
      <c r="G86" s="1434">
        <f>IF(B86="","",SUMIF('Resource Build-Up'!$B$7:$B$306,B86,'Resource Build-Up'!$Z$7:$Z$306))</f>
        <v/>
      </c>
      <c r="H86" s="1432" t="n"/>
      <c r="I86" s="1432" t="n"/>
      <c r="J86" s="1432" t="n"/>
      <c r="K86" s="1432" t="n"/>
      <c r="L86" s="1435">
        <f>IF(B86="","",IF(J86="Excluded","Excluded","Resource-linked"))</f>
        <v/>
      </c>
      <c r="M86" s="1435">
        <f>IF(B86="","",IF(G86=0,"No resource cost / review","Resource Build-Up -&gt; "&amp;B86))</f>
        <v/>
      </c>
      <c r="N86" s="1435">
        <f>IF(B86="","","Resource Build-Up")</f>
        <v/>
      </c>
      <c r="O86" s="1435">
        <f>IF(B86="","","See Resource Build-Up / Resource Rate Library")</f>
        <v/>
      </c>
      <c r="P86" s="1435" t="n"/>
      <c r="Q86" s="1432" t="n"/>
      <c r="R86" s="1397">
        <f>IF(OR(ISNUMBER(SEARCH("PC",P86)),ISNUMBER(SEARCH("quote",Q86))),"Jason","Rick")</f>
        <v/>
      </c>
      <c r="S86" s="1436" t="n"/>
      <c r="T86" s="1437" t="n"/>
    </row>
    <row r="87" ht="21.45000076293945" customHeight="1" s="491">
      <c r="A87" s="1432" t="n"/>
      <c r="B87" s="1432" t="n"/>
      <c r="C87" s="1432" t="n"/>
      <c r="D87" s="1432" t="n"/>
      <c r="E87" s="1433" t="n"/>
      <c r="F87" s="1434">
        <f>IF(B87="","",IF(E87=0,0,G87/E87))</f>
        <v/>
      </c>
      <c r="G87" s="1434">
        <f>IF(B87="","",SUMIF('Resource Build-Up'!$B$7:$B$306,B87,'Resource Build-Up'!$Z$7:$Z$306))</f>
        <v/>
      </c>
      <c r="H87" s="1432" t="n"/>
      <c r="I87" s="1432" t="n"/>
      <c r="J87" s="1432" t="n"/>
      <c r="K87" s="1432" t="n"/>
      <c r="L87" s="1435">
        <f>IF(B87="","",IF(J87="Excluded","Excluded","Resource-linked"))</f>
        <v/>
      </c>
      <c r="M87" s="1435">
        <f>IF(B87="","",IF(G87=0,"No resource cost / review","Resource Build-Up -&gt; "&amp;B87))</f>
        <v/>
      </c>
      <c r="N87" s="1435">
        <f>IF(B87="","","Resource Build-Up")</f>
        <v/>
      </c>
      <c r="O87" s="1435">
        <f>IF(B87="","","See Resource Build-Up / Resource Rate Library")</f>
        <v/>
      </c>
      <c r="P87" s="1435" t="n"/>
      <c r="Q87" s="1432" t="n"/>
      <c r="R87" s="1397">
        <f>IF(OR(ISNUMBER(SEARCH("PC",P87)),ISNUMBER(SEARCH("quote",Q87))),"Jason","Rick")</f>
        <v/>
      </c>
      <c r="S87" s="1436" t="n"/>
      <c r="T87" s="1437" t="n"/>
    </row>
    <row r="88" ht="21.45000076293945" customHeight="1" s="491">
      <c r="A88" s="1432" t="n"/>
      <c r="B88" s="1432" t="n"/>
      <c r="C88" s="1432" t="n"/>
      <c r="D88" s="1432" t="n"/>
      <c r="E88" s="1433" t="n"/>
      <c r="F88" s="1434">
        <f>IF(B88="","",IF(E88=0,0,G88/E88))</f>
        <v/>
      </c>
      <c r="G88" s="1434">
        <f>IF(B88="","",SUMIF('Resource Build-Up'!$B$7:$B$306,B88,'Resource Build-Up'!$Z$7:$Z$306))</f>
        <v/>
      </c>
      <c r="H88" s="1432" t="n"/>
      <c r="I88" s="1432" t="n"/>
      <c r="J88" s="1432" t="n"/>
      <c r="K88" s="1432" t="n"/>
      <c r="L88" s="1435">
        <f>IF(B88="","",IF(J88="Excluded","Excluded","Resource-linked"))</f>
        <v/>
      </c>
      <c r="M88" s="1435">
        <f>IF(B88="","",IF(G88=0,"No resource cost / review","Resource Build-Up -&gt; "&amp;B88))</f>
        <v/>
      </c>
      <c r="N88" s="1435">
        <f>IF(B88="","","Resource Build-Up")</f>
        <v/>
      </c>
      <c r="O88" s="1435">
        <f>IF(B88="","","See Resource Build-Up / Resource Rate Library")</f>
        <v/>
      </c>
      <c r="P88" s="1435" t="n"/>
      <c r="Q88" s="1432" t="n"/>
      <c r="R88" s="1397">
        <f>IF(OR(ISNUMBER(SEARCH("PC",P88)),ISNUMBER(SEARCH("quote",Q88))),"Jason","Rick")</f>
        <v/>
      </c>
      <c r="S88" s="1436" t="n"/>
      <c r="T88" s="1437" t="n"/>
    </row>
    <row r="89" ht="21.45000076293945" customHeight="1" s="491">
      <c r="A89" s="1432" t="n"/>
      <c r="B89" s="1432" t="n"/>
      <c r="C89" s="1432" t="n"/>
      <c r="D89" s="1432" t="n"/>
      <c r="E89" s="1433" t="n"/>
      <c r="F89" s="1434">
        <f>IF(B89="","",IF(E89=0,0,G89/E89))</f>
        <v/>
      </c>
      <c r="G89" s="1434">
        <f>IF(B89="","",SUMIF('Resource Build-Up'!$B$7:$B$306,B89,'Resource Build-Up'!$Z$7:$Z$306))</f>
        <v/>
      </c>
      <c r="H89" s="1432" t="n"/>
      <c r="I89" s="1432" t="n"/>
      <c r="J89" s="1432" t="n"/>
      <c r="K89" s="1432" t="n"/>
      <c r="L89" s="1435">
        <f>IF(B89="","",IF(J89="Excluded","Excluded","Resource-linked"))</f>
        <v/>
      </c>
      <c r="M89" s="1435">
        <f>IF(B89="","",IF(G89=0,"No resource cost / review","Resource Build-Up -&gt; "&amp;B89))</f>
        <v/>
      </c>
      <c r="N89" s="1435">
        <f>IF(B89="","","Resource Build-Up")</f>
        <v/>
      </c>
      <c r="O89" s="1435">
        <f>IF(B89="","","See Resource Build-Up / Resource Rate Library")</f>
        <v/>
      </c>
      <c r="P89" s="1435" t="n"/>
      <c r="Q89" s="1432" t="n"/>
      <c r="R89" s="1397">
        <f>IF(OR(ISNUMBER(SEARCH("PC",P89)),ISNUMBER(SEARCH("quote",Q89))),"Jason","Rick")</f>
        <v/>
      </c>
      <c r="S89" s="1436" t="n"/>
      <c r="T89" s="1437" t="n"/>
    </row>
    <row r="90" ht="21.45000076293945" customHeight="1" s="491">
      <c r="A90" s="1432" t="n"/>
      <c r="B90" s="1432" t="n"/>
      <c r="C90" s="1432" t="n"/>
      <c r="D90" s="1432" t="n"/>
      <c r="E90" s="1433" t="n"/>
      <c r="F90" s="1434">
        <f>IF(B90="","",IF(E90=0,0,G90/E90))</f>
        <v/>
      </c>
      <c r="G90" s="1434">
        <f>IF(B90="","",SUMIF('Resource Build-Up'!$B$7:$B$306,B90,'Resource Build-Up'!$Z$7:$Z$306))</f>
        <v/>
      </c>
      <c r="H90" s="1432" t="n"/>
      <c r="I90" s="1432" t="n"/>
      <c r="J90" s="1432" t="n"/>
      <c r="K90" s="1432" t="n"/>
      <c r="L90" s="1435">
        <f>IF(B90="","",IF(J90="Excluded","Excluded","Resource-linked"))</f>
        <v/>
      </c>
      <c r="M90" s="1435">
        <f>IF(B90="","",IF(G90=0,"No resource cost / review","Resource Build-Up -&gt; "&amp;B90))</f>
        <v/>
      </c>
      <c r="N90" s="1435">
        <f>IF(B90="","","Resource Build-Up")</f>
        <v/>
      </c>
      <c r="O90" s="1435">
        <f>IF(B90="","","See Resource Build-Up / Resource Rate Library")</f>
        <v/>
      </c>
      <c r="P90" s="1435" t="n"/>
      <c r="Q90" s="1432" t="n"/>
      <c r="R90" s="1397">
        <f>IF(OR(ISNUMBER(SEARCH("PC",P90)),ISNUMBER(SEARCH("quote",Q90))),"Jason","Rick")</f>
        <v/>
      </c>
      <c r="S90" s="1436" t="n"/>
      <c r="T90" s="1437" t="n"/>
    </row>
    <row r="91" ht="21.45000076293945" customHeight="1" s="491">
      <c r="A91" s="1432" t="n"/>
      <c r="B91" s="1432" t="n"/>
      <c r="C91" s="1432" t="n"/>
      <c r="D91" s="1432" t="n"/>
      <c r="E91" s="1433" t="n"/>
      <c r="F91" s="1434">
        <f>IF(B91="","",IF(E91=0,0,G91/E91))</f>
        <v/>
      </c>
      <c r="G91" s="1434">
        <f>IF(B91="","",SUMIF('Resource Build-Up'!$B$7:$B$306,B91,'Resource Build-Up'!$Z$7:$Z$306))</f>
        <v/>
      </c>
      <c r="H91" s="1432" t="n"/>
      <c r="I91" s="1432" t="n"/>
      <c r="J91" s="1432" t="n"/>
      <c r="K91" s="1432" t="n"/>
      <c r="L91" s="1435">
        <f>IF(B91="","",IF(J91="Excluded","Excluded","Resource-linked"))</f>
        <v/>
      </c>
      <c r="M91" s="1435">
        <f>IF(B91="","",IF(G91=0,"No resource cost / review","Resource Build-Up -&gt; "&amp;B91))</f>
        <v/>
      </c>
      <c r="N91" s="1435">
        <f>IF(B91="","","Resource Build-Up")</f>
        <v/>
      </c>
      <c r="O91" s="1435">
        <f>IF(B91="","","See Resource Build-Up / Resource Rate Library")</f>
        <v/>
      </c>
      <c r="P91" s="1435" t="n"/>
      <c r="Q91" s="1432" t="n"/>
      <c r="R91" s="1397">
        <f>IF(OR(ISNUMBER(SEARCH("PC",P91)),ISNUMBER(SEARCH("quote",Q91))),"Jason","Rick")</f>
        <v/>
      </c>
      <c r="S91" s="1436" t="n"/>
      <c r="T91" s="1437" t="n"/>
    </row>
    <row r="92" ht="21.45000076293945" customHeight="1" s="491">
      <c r="A92" s="1432" t="n"/>
      <c r="B92" s="1432" t="n"/>
      <c r="C92" s="1432" t="n"/>
      <c r="D92" s="1432" t="n"/>
      <c r="E92" s="1433" t="n"/>
      <c r="F92" s="1434">
        <f>IF(B92="","",IF(E92=0,0,G92/E92))</f>
        <v/>
      </c>
      <c r="G92" s="1434">
        <f>IF(B92="","",SUMIF('Resource Build-Up'!$B$7:$B$306,B92,'Resource Build-Up'!$Z$7:$Z$306))</f>
        <v/>
      </c>
      <c r="H92" s="1432" t="n"/>
      <c r="I92" s="1432" t="n"/>
      <c r="J92" s="1432" t="n"/>
      <c r="K92" s="1432" t="n"/>
      <c r="L92" s="1435">
        <f>IF(B92="","",IF(J92="Excluded","Excluded","Resource-linked"))</f>
        <v/>
      </c>
      <c r="M92" s="1435">
        <f>IF(B92="","",IF(G92=0,"No resource cost / review","Resource Build-Up -&gt; "&amp;B92))</f>
        <v/>
      </c>
      <c r="N92" s="1435">
        <f>IF(B92="","","Resource Build-Up")</f>
        <v/>
      </c>
      <c r="O92" s="1435">
        <f>IF(B92="","","See Resource Build-Up / Resource Rate Library")</f>
        <v/>
      </c>
      <c r="P92" s="1435" t="n"/>
      <c r="Q92" s="1432" t="n"/>
      <c r="R92" s="1397">
        <f>IF(OR(ISNUMBER(SEARCH("PC",P92)),ISNUMBER(SEARCH("quote",Q92))),"Jason","Rick")</f>
        <v/>
      </c>
      <c r="S92" s="1436" t="n"/>
      <c r="T92" s="1437" t="n"/>
    </row>
    <row r="93" ht="21.45000076293945" customHeight="1" s="491">
      <c r="A93" s="1432" t="n"/>
      <c r="B93" s="1432" t="n"/>
      <c r="C93" s="1432" t="n"/>
      <c r="D93" s="1432" t="n"/>
      <c r="E93" s="1433" t="n"/>
      <c r="F93" s="1434">
        <f>IF(B93="","",IF(E93=0,0,G93/E93))</f>
        <v/>
      </c>
      <c r="G93" s="1434">
        <f>IF(B93="","",SUMIF('Resource Build-Up'!$B$7:$B$306,B93,'Resource Build-Up'!$Z$7:$Z$306))</f>
        <v/>
      </c>
      <c r="H93" s="1432" t="n"/>
      <c r="I93" s="1432" t="n"/>
      <c r="J93" s="1432" t="n"/>
      <c r="K93" s="1432" t="n"/>
      <c r="L93" s="1435">
        <f>IF(B93="","",IF(J93="Excluded","Excluded","Resource-linked"))</f>
        <v/>
      </c>
      <c r="M93" s="1435">
        <f>IF(B93="","",IF(G93=0,"No resource cost / review","Resource Build-Up -&gt; "&amp;B93))</f>
        <v/>
      </c>
      <c r="N93" s="1435">
        <f>IF(B93="","","Resource Build-Up")</f>
        <v/>
      </c>
      <c r="O93" s="1435">
        <f>IF(B93="","","See Resource Build-Up / Resource Rate Library")</f>
        <v/>
      </c>
      <c r="P93" s="1435" t="n"/>
      <c r="Q93" s="1432" t="n"/>
      <c r="R93" s="1397">
        <f>IF(OR(ISNUMBER(SEARCH("PC",P93)),ISNUMBER(SEARCH("quote",Q93))),"Jason","Rick")</f>
        <v/>
      </c>
      <c r="S93" s="1436" t="n"/>
      <c r="T93" s="1437" t="n"/>
    </row>
    <row r="94" ht="21.45000076293945" customHeight="1" s="491">
      <c r="A94" s="1432" t="n"/>
      <c r="B94" s="1432" t="n"/>
      <c r="C94" s="1432" t="n"/>
      <c r="D94" s="1432" t="n"/>
      <c r="E94" s="1433" t="n"/>
      <c r="F94" s="1434">
        <f>IF(B94="","",IF(E94=0,0,G94/E94))</f>
        <v/>
      </c>
      <c r="G94" s="1434">
        <f>IF(B94="","",SUMIF('Resource Build-Up'!$B$7:$B$306,B94,'Resource Build-Up'!$Z$7:$Z$306))</f>
        <v/>
      </c>
      <c r="H94" s="1432" t="n"/>
      <c r="I94" s="1432" t="n"/>
      <c r="J94" s="1432" t="n"/>
      <c r="K94" s="1432" t="n"/>
      <c r="L94" s="1435">
        <f>IF(B94="","",IF(J94="Excluded","Excluded","Resource-linked"))</f>
        <v/>
      </c>
      <c r="M94" s="1435">
        <f>IF(B94="","",IF(G94=0,"No resource cost / review","Resource Build-Up -&gt; "&amp;B94))</f>
        <v/>
      </c>
      <c r="N94" s="1435">
        <f>IF(B94="","","Resource Build-Up")</f>
        <v/>
      </c>
      <c r="O94" s="1435">
        <f>IF(B94="","","See Resource Build-Up / Resource Rate Library")</f>
        <v/>
      </c>
      <c r="P94" s="1435" t="n"/>
      <c r="Q94" s="1432" t="n"/>
      <c r="R94" s="1397">
        <f>IF(OR(ISNUMBER(SEARCH("PC",P94)),ISNUMBER(SEARCH("quote",Q94))),"Jason","Rick")</f>
        <v/>
      </c>
      <c r="S94" s="1436" t="n"/>
      <c r="T94" s="1437" t="n"/>
    </row>
    <row r="95" ht="21.45000076293945" customHeight="1" s="491">
      <c r="A95" s="1432" t="n"/>
      <c r="B95" s="1432" t="n"/>
      <c r="C95" s="1432" t="n"/>
      <c r="D95" s="1432" t="n"/>
      <c r="E95" s="1433" t="n"/>
      <c r="F95" s="1434">
        <f>IF(B95="","",IF(E95=0,0,G95/E95))</f>
        <v/>
      </c>
      <c r="G95" s="1434">
        <f>IF(B95="","",SUMIF('Resource Build-Up'!$B$7:$B$306,B95,'Resource Build-Up'!$Z$7:$Z$306))</f>
        <v/>
      </c>
      <c r="H95" s="1432" t="n"/>
      <c r="I95" s="1432" t="n"/>
      <c r="J95" s="1432" t="n"/>
      <c r="K95" s="1432" t="n"/>
      <c r="L95" s="1435">
        <f>IF(B95="","",IF(J95="Excluded","Excluded","Resource-linked"))</f>
        <v/>
      </c>
      <c r="M95" s="1435">
        <f>IF(B95="","",IF(G95=0,"No resource cost / review","Resource Build-Up -&gt; "&amp;B95))</f>
        <v/>
      </c>
      <c r="N95" s="1435">
        <f>IF(B95="","","Resource Build-Up")</f>
        <v/>
      </c>
      <c r="O95" s="1435">
        <f>IF(B95="","","See Resource Build-Up / Resource Rate Library")</f>
        <v/>
      </c>
      <c r="P95" s="1435" t="n"/>
      <c r="Q95" s="1432" t="n"/>
      <c r="R95" s="1397">
        <f>IF(OR(ISNUMBER(SEARCH("PC",P95)),ISNUMBER(SEARCH("quote",Q95))),"Jason","Rick")</f>
        <v/>
      </c>
      <c r="S95" s="1436" t="n"/>
      <c r="T95" s="1437" t="n"/>
    </row>
    <row r="96" ht="21.45000076293945" customHeight="1" s="491">
      <c r="A96" s="1432" t="n"/>
      <c r="B96" s="1432" t="n"/>
      <c r="C96" s="1432" t="n"/>
      <c r="D96" s="1432" t="n"/>
      <c r="E96" s="1433" t="n"/>
      <c r="F96" s="1434">
        <f>IF(B96="","",IF(E96=0,0,G96/E96))</f>
        <v/>
      </c>
      <c r="G96" s="1434">
        <f>IF(B96="","",SUMIF('Resource Build-Up'!$B$7:$B$306,B96,'Resource Build-Up'!$Z$7:$Z$306))</f>
        <v/>
      </c>
      <c r="H96" s="1432" t="n"/>
      <c r="I96" s="1432" t="n"/>
      <c r="J96" s="1432" t="n"/>
      <c r="K96" s="1432" t="n"/>
      <c r="L96" s="1435">
        <f>IF(B96="","",IF(J96="Excluded","Excluded","Resource-linked"))</f>
        <v/>
      </c>
      <c r="M96" s="1435">
        <f>IF(B96="","",IF(G96=0,"No resource cost / review","Resource Build-Up -&gt; "&amp;B96))</f>
        <v/>
      </c>
      <c r="N96" s="1435">
        <f>IF(B96="","","Resource Build-Up")</f>
        <v/>
      </c>
      <c r="O96" s="1435">
        <f>IF(B96="","","See Resource Build-Up / Resource Rate Library")</f>
        <v/>
      </c>
      <c r="P96" s="1435" t="n"/>
      <c r="Q96" s="1432" t="n"/>
      <c r="R96" s="1397">
        <f>IF(OR(ISNUMBER(SEARCH("PC",P96)),ISNUMBER(SEARCH("quote",Q96))),"Jason","Rick")</f>
        <v/>
      </c>
      <c r="S96" s="1436" t="n"/>
      <c r="T96" s="1437" t="n"/>
    </row>
    <row r="97" ht="21.45000076293945" customHeight="1" s="491">
      <c r="A97" s="1432" t="n"/>
      <c r="B97" s="1432" t="n"/>
      <c r="C97" s="1432" t="n"/>
      <c r="D97" s="1432" t="n"/>
      <c r="E97" s="1433" t="n"/>
      <c r="F97" s="1434">
        <f>IF(B97="","",IF(E97=0,0,G97/E97))</f>
        <v/>
      </c>
      <c r="G97" s="1434">
        <f>IF(B97="","",SUMIF('Resource Build-Up'!$B$7:$B$306,B97,'Resource Build-Up'!$Z$7:$Z$306))</f>
        <v/>
      </c>
      <c r="H97" s="1432" t="n"/>
      <c r="I97" s="1432" t="n"/>
      <c r="J97" s="1432" t="n"/>
      <c r="K97" s="1432" t="n"/>
      <c r="L97" s="1435">
        <f>IF(B97="","",IF(J97="Excluded","Excluded","Resource-linked"))</f>
        <v/>
      </c>
      <c r="M97" s="1435">
        <f>IF(B97="","",IF(G97=0,"No resource cost / review","Resource Build-Up -&gt; "&amp;B97))</f>
        <v/>
      </c>
      <c r="N97" s="1435">
        <f>IF(B97="","","Resource Build-Up")</f>
        <v/>
      </c>
      <c r="O97" s="1435">
        <f>IF(B97="","","See Resource Build-Up / Resource Rate Library")</f>
        <v/>
      </c>
      <c r="P97" s="1435" t="n"/>
      <c r="Q97" s="1432" t="n"/>
      <c r="R97" s="1397">
        <f>IF(OR(ISNUMBER(SEARCH("PC",P97)),ISNUMBER(SEARCH("quote",Q97))),"Jason","Rick")</f>
        <v/>
      </c>
      <c r="S97" s="1436" t="n"/>
      <c r="T97" s="1437" t="n"/>
    </row>
    <row r="98" ht="21.45000076293945" customHeight="1" s="491">
      <c r="A98" s="1432" t="n"/>
      <c r="B98" s="1432" t="n"/>
      <c r="C98" s="1432" t="n"/>
      <c r="D98" s="1432" t="n"/>
      <c r="E98" s="1433" t="n"/>
      <c r="F98" s="1434">
        <f>IF(B98="","",IF(E98=0,0,G98/E98))</f>
        <v/>
      </c>
      <c r="G98" s="1434">
        <f>IF(B98="","",SUMIF('Resource Build-Up'!$B$7:$B$306,B98,'Resource Build-Up'!$Z$7:$Z$306))</f>
        <v/>
      </c>
      <c r="H98" s="1432" t="n"/>
      <c r="I98" s="1432" t="n"/>
      <c r="J98" s="1432" t="n"/>
      <c r="K98" s="1432" t="n"/>
      <c r="L98" s="1435">
        <f>IF(B98="","",IF(J98="Excluded","Excluded","Resource-linked"))</f>
        <v/>
      </c>
      <c r="M98" s="1435">
        <f>IF(B98="","",IF(G98=0,"No resource cost / review","Resource Build-Up -&gt; "&amp;B98))</f>
        <v/>
      </c>
      <c r="N98" s="1435">
        <f>IF(B98="","","Resource Build-Up")</f>
        <v/>
      </c>
      <c r="O98" s="1435">
        <f>IF(B98="","","See Resource Build-Up / Resource Rate Library")</f>
        <v/>
      </c>
      <c r="P98" s="1435" t="n"/>
      <c r="Q98" s="1432" t="n"/>
      <c r="R98" s="1397">
        <f>IF(OR(ISNUMBER(SEARCH("PC",P98)),ISNUMBER(SEARCH("quote",Q98))),"Jason","Rick")</f>
        <v/>
      </c>
      <c r="S98" s="1436" t="n"/>
      <c r="T98" s="1437" t="n"/>
    </row>
    <row r="99" ht="21.45000076293945" customHeight="1" s="491">
      <c r="A99" s="1432" t="n"/>
      <c r="B99" s="1432" t="n"/>
      <c r="C99" s="1432" t="n"/>
      <c r="D99" s="1432" t="n"/>
      <c r="E99" s="1433" t="n"/>
      <c r="F99" s="1434">
        <f>IF(B99="","",IF(E99=0,0,G99/E99))</f>
        <v/>
      </c>
      <c r="G99" s="1434">
        <f>IF(B99="","",SUMIF('Resource Build-Up'!$B$7:$B$306,B99,'Resource Build-Up'!$Z$7:$Z$306))</f>
        <v/>
      </c>
      <c r="H99" s="1432" t="n"/>
      <c r="I99" s="1432" t="n"/>
      <c r="J99" s="1432" t="n"/>
      <c r="K99" s="1432" t="n"/>
      <c r="L99" s="1435">
        <f>IF(B99="","",IF(J99="Excluded","Excluded","Resource-linked"))</f>
        <v/>
      </c>
      <c r="M99" s="1435">
        <f>IF(B99="","",IF(G99=0,"No resource cost / review","Resource Build-Up -&gt; "&amp;B99))</f>
        <v/>
      </c>
      <c r="N99" s="1435">
        <f>IF(B99="","","Resource Build-Up")</f>
        <v/>
      </c>
      <c r="O99" s="1435">
        <f>IF(B99="","","See Resource Build-Up / Resource Rate Library")</f>
        <v/>
      </c>
      <c r="P99" s="1435" t="n"/>
      <c r="Q99" s="1432" t="n"/>
      <c r="R99" s="1397">
        <f>IF(OR(ISNUMBER(SEARCH("PC",P99)),ISNUMBER(SEARCH("quote",Q99))),"Jason","Rick")</f>
        <v/>
      </c>
      <c r="S99" s="1436" t="n"/>
      <c r="T99" s="1437" t="n"/>
    </row>
    <row r="100" ht="21.45000076293945" customHeight="1" s="491">
      <c r="A100" s="1432" t="n"/>
      <c r="B100" s="1432" t="n"/>
      <c r="C100" s="1432" t="n"/>
      <c r="D100" s="1432" t="n"/>
      <c r="E100" s="1433" t="n"/>
      <c r="F100" s="1434">
        <f>IF(B100="","",IF(E100=0,0,G100/E100))</f>
        <v/>
      </c>
      <c r="G100" s="1434">
        <f>IF(B100="","",SUMIF('Resource Build-Up'!$B$7:$B$306,B100,'Resource Build-Up'!$Z$7:$Z$306))</f>
        <v/>
      </c>
      <c r="H100" s="1432" t="n"/>
      <c r="I100" s="1432" t="n"/>
      <c r="J100" s="1432" t="n"/>
      <c r="K100" s="1432" t="n"/>
      <c r="L100" s="1435">
        <f>IF(B100="","",IF(J100="Excluded","Excluded","Resource-linked"))</f>
        <v/>
      </c>
      <c r="M100" s="1435">
        <f>IF(B100="","",IF(G100=0,"No resource cost / review","Resource Build-Up -&gt; "&amp;B100))</f>
        <v/>
      </c>
      <c r="N100" s="1435">
        <f>IF(B100="","","Resource Build-Up")</f>
        <v/>
      </c>
      <c r="O100" s="1435">
        <f>IF(B100="","","See Resource Build-Up / Resource Rate Library")</f>
        <v/>
      </c>
      <c r="P100" s="1435" t="n"/>
      <c r="Q100" s="1432" t="n"/>
      <c r="R100" s="1397">
        <f>IF(OR(ISNUMBER(SEARCH("PC",P100)),ISNUMBER(SEARCH("quote",Q100))),"Jason","Rick")</f>
        <v/>
      </c>
      <c r="S100" s="1436" t="n"/>
      <c r="T100" s="1437" t="n"/>
    </row>
    <row r="101" ht="21.45000076293945" customHeight="1" s="491">
      <c r="A101" s="1432" t="n"/>
      <c r="B101" s="1432" t="n"/>
      <c r="C101" s="1432" t="n"/>
      <c r="D101" s="1432" t="n"/>
      <c r="E101" s="1433" t="n"/>
      <c r="F101" s="1434">
        <f>IF(B101="","",IF(E101=0,0,G101/E101))</f>
        <v/>
      </c>
      <c r="G101" s="1434">
        <f>IF(B101="","",SUMIF('Resource Build-Up'!$B$7:$B$306,B101,'Resource Build-Up'!$Z$7:$Z$306))</f>
        <v/>
      </c>
      <c r="H101" s="1432" t="n"/>
      <c r="I101" s="1432" t="n"/>
      <c r="J101" s="1432" t="n"/>
      <c r="K101" s="1432" t="n"/>
      <c r="L101" s="1435">
        <f>IF(B101="","",IF(J101="Excluded","Excluded","Resource-linked"))</f>
        <v/>
      </c>
      <c r="M101" s="1435">
        <f>IF(B101="","",IF(G101=0,"No resource cost / review","Resource Build-Up -&gt; "&amp;B101))</f>
        <v/>
      </c>
      <c r="N101" s="1435">
        <f>IF(B101="","","Resource Build-Up")</f>
        <v/>
      </c>
      <c r="O101" s="1435">
        <f>IF(B101="","","See Resource Build-Up / Resource Rate Library")</f>
        <v/>
      </c>
      <c r="P101" s="1435" t="n"/>
      <c r="Q101" s="1432" t="n"/>
      <c r="R101" s="1397">
        <f>IF(OR(ISNUMBER(SEARCH("PC",P101)),ISNUMBER(SEARCH("quote",Q101))),"Jason","Rick")</f>
        <v/>
      </c>
      <c r="S101" s="1436" t="n"/>
      <c r="T101" s="1437" t="n"/>
    </row>
    <row r="102" ht="21.45000076293945" customHeight="1" s="491">
      <c r="A102" s="1432" t="n"/>
      <c r="B102" s="1432" t="n"/>
      <c r="C102" s="1432" t="n"/>
      <c r="D102" s="1432" t="n"/>
      <c r="E102" s="1433" t="n"/>
      <c r="F102" s="1434">
        <f>IF(B102="","",IF(E102=0,0,G102/E102))</f>
        <v/>
      </c>
      <c r="G102" s="1434">
        <f>IF(B102="","",SUMIF('Resource Build-Up'!$B$7:$B$306,B102,'Resource Build-Up'!$Z$7:$Z$306))</f>
        <v/>
      </c>
      <c r="H102" s="1432" t="n"/>
      <c r="I102" s="1432" t="n"/>
      <c r="J102" s="1432" t="n"/>
      <c r="K102" s="1432" t="n"/>
      <c r="L102" s="1435">
        <f>IF(B102="","",IF(J102="Excluded","Excluded","Resource-linked"))</f>
        <v/>
      </c>
      <c r="M102" s="1435">
        <f>IF(B102="","",IF(G102=0,"No resource cost / review","Resource Build-Up -&gt; "&amp;B102))</f>
        <v/>
      </c>
      <c r="N102" s="1435">
        <f>IF(B102="","","Resource Build-Up")</f>
        <v/>
      </c>
      <c r="O102" s="1435">
        <f>IF(B102="","","See Resource Build-Up / Resource Rate Library")</f>
        <v/>
      </c>
      <c r="P102" s="1435" t="n"/>
      <c r="Q102" s="1432" t="n"/>
      <c r="R102" s="1397">
        <f>IF(OR(ISNUMBER(SEARCH("PC",P102)),ISNUMBER(SEARCH("quote",Q102))),"Jason","Rick")</f>
        <v/>
      </c>
      <c r="S102" s="1436" t="n"/>
      <c r="T102" s="1437" t="n"/>
    </row>
    <row r="103" ht="21.45000076293945" customHeight="1" s="491">
      <c r="A103" s="1432" t="n"/>
      <c r="B103" s="1432" t="n"/>
      <c r="C103" s="1432" t="n"/>
      <c r="D103" s="1432" t="n"/>
      <c r="E103" s="1433" t="n"/>
      <c r="F103" s="1434">
        <f>IF(B103="","",IF(E103=0,0,G103/E103))</f>
        <v/>
      </c>
      <c r="G103" s="1434">
        <f>IF(B103="","",SUMIF('Resource Build-Up'!$B$7:$B$306,B103,'Resource Build-Up'!$Z$7:$Z$306))</f>
        <v/>
      </c>
      <c r="H103" s="1432" t="n"/>
      <c r="I103" s="1432" t="n"/>
      <c r="J103" s="1432" t="n"/>
      <c r="K103" s="1432" t="n"/>
      <c r="L103" s="1435">
        <f>IF(B103="","",IF(J103="Excluded","Excluded","Resource-linked"))</f>
        <v/>
      </c>
      <c r="M103" s="1435">
        <f>IF(B103="","",IF(G103=0,"No resource cost / review","Resource Build-Up -&gt; "&amp;B103))</f>
        <v/>
      </c>
      <c r="N103" s="1435">
        <f>IF(B103="","","Resource Build-Up")</f>
        <v/>
      </c>
      <c r="O103" s="1435">
        <f>IF(B103="","","See Resource Build-Up / Resource Rate Library")</f>
        <v/>
      </c>
      <c r="P103" s="1435" t="n"/>
      <c r="Q103" s="1432" t="n"/>
      <c r="R103" s="1397">
        <f>IF(OR(ISNUMBER(SEARCH("PC",P103)),ISNUMBER(SEARCH("quote",Q103))),"Jason","Rick")</f>
        <v/>
      </c>
      <c r="S103" s="1436" t="n"/>
      <c r="T103" s="1437" t="n"/>
    </row>
    <row r="104" ht="21.45000076293945" customHeight="1" s="491">
      <c r="A104" s="1432" t="n"/>
      <c r="B104" s="1432" t="n"/>
      <c r="C104" s="1432" t="n"/>
      <c r="D104" s="1432" t="n"/>
      <c r="E104" s="1433" t="n"/>
      <c r="F104" s="1434">
        <f>IF(B104="","",IF(E104=0,0,G104/E104))</f>
        <v/>
      </c>
      <c r="G104" s="1434">
        <f>IF(B104="","",SUMIF('Resource Build-Up'!$B$7:$B$306,B104,'Resource Build-Up'!$Z$7:$Z$306))</f>
        <v/>
      </c>
      <c r="H104" s="1432" t="n"/>
      <c r="I104" s="1432" t="n"/>
      <c r="J104" s="1432" t="n"/>
      <c r="K104" s="1432" t="n"/>
      <c r="L104" s="1435">
        <f>IF(B104="","",IF(J104="Excluded","Excluded","Resource-linked"))</f>
        <v/>
      </c>
      <c r="M104" s="1435">
        <f>IF(B104="","",IF(G104=0,"No resource cost / review","Resource Build-Up -&gt; "&amp;B104))</f>
        <v/>
      </c>
      <c r="N104" s="1435">
        <f>IF(B104="","","Resource Build-Up")</f>
        <v/>
      </c>
      <c r="O104" s="1435">
        <f>IF(B104="","","See Resource Build-Up / Resource Rate Library")</f>
        <v/>
      </c>
      <c r="P104" s="1435" t="n"/>
      <c r="Q104" s="1432" t="n"/>
      <c r="R104" s="1397">
        <f>IF(OR(ISNUMBER(SEARCH("PC",P104)),ISNUMBER(SEARCH("quote",Q104))),"Jason","Rick")</f>
        <v/>
      </c>
      <c r="S104" s="1436" t="n"/>
      <c r="T104" s="1437" t="n"/>
    </row>
    <row r="105" ht="21.45000076293945" customHeight="1" s="491">
      <c r="A105" s="1432" t="n"/>
      <c r="B105" s="1432" t="n"/>
      <c r="C105" s="1432" t="n"/>
      <c r="D105" s="1432" t="n"/>
      <c r="E105" s="1433" t="n"/>
      <c r="F105" s="1434">
        <f>IF(B105="","",IF(E105=0,0,G105/E105))</f>
        <v/>
      </c>
      <c r="G105" s="1434">
        <f>IF(B105="","",SUMIF('Resource Build-Up'!$B$7:$B$306,B105,'Resource Build-Up'!$Z$7:$Z$306))</f>
        <v/>
      </c>
      <c r="H105" s="1432" t="n"/>
      <c r="I105" s="1432" t="n"/>
      <c r="J105" s="1432" t="n"/>
      <c r="K105" s="1432" t="n"/>
      <c r="L105" s="1435">
        <f>IF(B105="","",IF(J105="Excluded","Excluded","Resource-linked"))</f>
        <v/>
      </c>
      <c r="M105" s="1435">
        <f>IF(B105="","",IF(G105=0,"No resource cost / review","Resource Build-Up -&gt; "&amp;B105))</f>
        <v/>
      </c>
      <c r="N105" s="1435">
        <f>IF(B105="","","Resource Build-Up")</f>
        <v/>
      </c>
      <c r="O105" s="1435">
        <f>IF(B105="","","See Resource Build-Up / Resource Rate Library")</f>
        <v/>
      </c>
      <c r="P105" s="1435" t="n"/>
      <c r="Q105" s="1432" t="n"/>
      <c r="R105" s="1397">
        <f>IF(OR(ISNUMBER(SEARCH("PC",P105)),ISNUMBER(SEARCH("quote",Q105))),"Jason","Rick")</f>
        <v/>
      </c>
      <c r="S105" s="1436" t="n"/>
      <c r="T105" s="1437" t="n"/>
    </row>
    <row r="106" ht="21.45000076293945" customHeight="1" s="491">
      <c r="A106" s="1432" t="n"/>
      <c r="B106" s="1432" t="n"/>
      <c r="C106" s="1432" t="n"/>
      <c r="D106" s="1432" t="n"/>
      <c r="E106" s="1433" t="n"/>
      <c r="F106" s="1434">
        <f>IF(B106="","",IF(E106=0,0,G106/E106))</f>
        <v/>
      </c>
      <c r="G106" s="1434">
        <f>IF(B106="","",SUMIF('Resource Build-Up'!$B$7:$B$306,B106,'Resource Build-Up'!$Z$7:$Z$306))</f>
        <v/>
      </c>
      <c r="H106" s="1432" t="n"/>
      <c r="I106" s="1432" t="n"/>
      <c r="J106" s="1432" t="n"/>
      <c r="K106" s="1432" t="n"/>
      <c r="L106" s="1435">
        <f>IF(B106="","",IF(J106="Excluded","Excluded","Resource-linked"))</f>
        <v/>
      </c>
      <c r="M106" s="1435">
        <f>IF(B106="","",IF(G106=0,"No resource cost / review","Resource Build-Up -&gt; "&amp;B106))</f>
        <v/>
      </c>
      <c r="N106" s="1435">
        <f>IF(B106="","","Resource Build-Up")</f>
        <v/>
      </c>
      <c r="O106" s="1435">
        <f>IF(B106="","","See Resource Build-Up / Resource Rate Library")</f>
        <v/>
      </c>
      <c r="P106" s="1435" t="n"/>
      <c r="Q106" s="1432" t="n"/>
      <c r="R106" s="1397">
        <f>IF(OR(ISNUMBER(SEARCH("PC",P106)),ISNUMBER(SEARCH("quote",Q106))),"Jason","Rick")</f>
        <v/>
      </c>
      <c r="S106" s="1436" t="n"/>
      <c r="T106" s="1437" t="n"/>
    </row>
    <row r="107" ht="21.45000076293945" customHeight="1" s="491">
      <c r="A107" s="1432" t="n"/>
      <c r="B107" s="1432" t="n"/>
      <c r="C107" s="1432" t="n"/>
      <c r="D107" s="1432" t="n"/>
      <c r="E107" s="1433" t="n"/>
      <c r="F107" s="1434">
        <f>IF(B107="","",IF(E107=0,0,G107/E107))</f>
        <v/>
      </c>
      <c r="G107" s="1434">
        <f>IF(B107="","",SUMIF('Resource Build-Up'!$B$7:$B$306,B107,'Resource Build-Up'!$Z$7:$Z$306))</f>
        <v/>
      </c>
      <c r="H107" s="1432" t="n"/>
      <c r="I107" s="1432" t="n"/>
      <c r="J107" s="1432" t="n"/>
      <c r="K107" s="1432" t="n"/>
      <c r="L107" s="1435">
        <f>IF(B107="","",IF(J107="Excluded","Excluded","Resource-linked"))</f>
        <v/>
      </c>
      <c r="M107" s="1435">
        <f>IF(B107="","",IF(G107=0,"No resource cost / review","Resource Build-Up -&gt; "&amp;B107))</f>
        <v/>
      </c>
      <c r="N107" s="1435">
        <f>IF(B107="","","Resource Build-Up")</f>
        <v/>
      </c>
      <c r="O107" s="1435">
        <f>IF(B107="","","See Resource Build-Up / Resource Rate Library")</f>
        <v/>
      </c>
      <c r="P107" s="1435" t="n"/>
      <c r="Q107" s="1432" t="n"/>
      <c r="R107" s="1397">
        <f>IF(OR(ISNUMBER(SEARCH("PC",P107)),ISNUMBER(SEARCH("quote",Q107))),"Jason","Rick")</f>
        <v/>
      </c>
      <c r="S107" s="1436" t="n"/>
      <c r="T107" s="1437" t="n"/>
    </row>
    <row r="108" ht="21.45000076293945" customHeight="1" s="491">
      <c r="A108" s="1432" t="n"/>
      <c r="B108" s="1432" t="n"/>
      <c r="C108" s="1432" t="n"/>
      <c r="D108" s="1432" t="n"/>
      <c r="E108" s="1433" t="n"/>
      <c r="F108" s="1434">
        <f>IF(B108="","",IF(E108=0,0,G108/E108))</f>
        <v/>
      </c>
      <c r="G108" s="1434">
        <f>IF(B108="","",SUMIF('Resource Build-Up'!$B$7:$B$306,B108,'Resource Build-Up'!$Z$7:$Z$306))</f>
        <v/>
      </c>
      <c r="H108" s="1432" t="n"/>
      <c r="I108" s="1432" t="n"/>
      <c r="J108" s="1432" t="n"/>
      <c r="K108" s="1432" t="n"/>
      <c r="L108" s="1435">
        <f>IF(B108="","",IF(J108="Excluded","Excluded","Resource-linked"))</f>
        <v/>
      </c>
      <c r="M108" s="1435">
        <f>IF(B108="","",IF(G108=0,"No resource cost / review","Resource Build-Up -&gt; "&amp;B108))</f>
        <v/>
      </c>
      <c r="N108" s="1435">
        <f>IF(B108="","","Resource Build-Up")</f>
        <v/>
      </c>
      <c r="O108" s="1435">
        <f>IF(B108="","","See Resource Build-Up / Resource Rate Library")</f>
        <v/>
      </c>
      <c r="P108" s="1435" t="n"/>
      <c r="Q108" s="1432" t="n"/>
      <c r="R108" s="1397">
        <f>IF(OR(ISNUMBER(SEARCH("PC",P108)),ISNUMBER(SEARCH("quote",Q108))),"Jason","Rick")</f>
        <v/>
      </c>
      <c r="S108" s="1436" t="n"/>
      <c r="T108" s="1437" t="n"/>
    </row>
    <row r="109" ht="21.45000076293945" customHeight="1" s="491">
      <c r="A109" s="1432" t="n"/>
      <c r="B109" s="1432" t="n"/>
      <c r="C109" s="1432" t="n"/>
      <c r="D109" s="1432" t="n"/>
      <c r="E109" s="1433" t="n"/>
      <c r="F109" s="1434">
        <f>IF(B109="","",IF(E109=0,0,G109/E109))</f>
        <v/>
      </c>
      <c r="G109" s="1434">
        <f>IF(B109="","",SUMIF('Resource Build-Up'!$B$7:$B$306,B109,'Resource Build-Up'!$Z$7:$Z$306))</f>
        <v/>
      </c>
      <c r="H109" s="1432" t="n"/>
      <c r="I109" s="1432" t="n"/>
      <c r="J109" s="1432" t="n"/>
      <c r="K109" s="1432" t="n"/>
      <c r="L109" s="1435">
        <f>IF(B109="","",IF(J109="Excluded","Excluded","Resource-linked"))</f>
        <v/>
      </c>
      <c r="M109" s="1435">
        <f>IF(B109="","",IF(G109=0,"No resource cost / review","Resource Build-Up -&gt; "&amp;B109))</f>
        <v/>
      </c>
      <c r="N109" s="1435">
        <f>IF(B109="","","Resource Build-Up")</f>
        <v/>
      </c>
      <c r="O109" s="1435">
        <f>IF(B109="","","See Resource Build-Up / Resource Rate Library")</f>
        <v/>
      </c>
      <c r="P109" s="1435" t="n"/>
      <c r="Q109" s="1432" t="n"/>
      <c r="R109" s="1397">
        <f>IF(OR(ISNUMBER(SEARCH("PC",P109)),ISNUMBER(SEARCH("quote",Q109))),"Jason","Rick")</f>
        <v/>
      </c>
      <c r="S109" s="1436" t="n"/>
      <c r="T109" s="1437" t="n"/>
    </row>
    <row r="110" ht="21.45000076293945" customHeight="1" s="491">
      <c r="A110" s="1432" t="n"/>
      <c r="B110" s="1432" t="n"/>
      <c r="C110" s="1432" t="n"/>
      <c r="D110" s="1432" t="n"/>
      <c r="E110" s="1433" t="n"/>
      <c r="F110" s="1434">
        <f>IF(B110="","",IF(E110=0,0,G110/E110))</f>
        <v/>
      </c>
      <c r="G110" s="1434">
        <f>IF(B110="","",SUMIF('Resource Build-Up'!$B$7:$B$306,B110,'Resource Build-Up'!$Z$7:$Z$306))</f>
        <v/>
      </c>
      <c r="H110" s="1432" t="n"/>
      <c r="I110" s="1432" t="n"/>
      <c r="J110" s="1432" t="n"/>
      <c r="K110" s="1432" t="n"/>
      <c r="L110" s="1435">
        <f>IF(B110="","",IF(J110="Excluded","Excluded","Resource-linked"))</f>
        <v/>
      </c>
      <c r="M110" s="1435">
        <f>IF(B110="","",IF(G110=0,"No resource cost / review","Resource Build-Up -&gt; "&amp;B110))</f>
        <v/>
      </c>
      <c r="N110" s="1435">
        <f>IF(B110="","","Resource Build-Up")</f>
        <v/>
      </c>
      <c r="O110" s="1435">
        <f>IF(B110="","","See Resource Build-Up / Resource Rate Library")</f>
        <v/>
      </c>
      <c r="P110" s="1435" t="n"/>
      <c r="Q110" s="1432" t="n"/>
      <c r="R110" s="1397">
        <f>IF(OR(ISNUMBER(SEARCH("PC",P110)),ISNUMBER(SEARCH("quote",Q110))),"Jason","Rick")</f>
        <v/>
      </c>
      <c r="S110" s="1436" t="n"/>
      <c r="T110" s="1437" t="n"/>
    </row>
    <row r="111" ht="21.45000076293945" customHeight="1" s="491">
      <c r="A111" s="1432" t="n"/>
      <c r="B111" s="1432" t="n"/>
      <c r="C111" s="1432" t="n"/>
      <c r="D111" s="1432" t="n"/>
      <c r="E111" s="1433" t="n"/>
      <c r="F111" s="1434">
        <f>IF(B111="","",IF(E111=0,0,G111/E111))</f>
        <v/>
      </c>
      <c r="G111" s="1434">
        <f>IF(B111="","",SUMIF('Resource Build-Up'!$B$7:$B$306,B111,'Resource Build-Up'!$Z$7:$Z$306))</f>
        <v/>
      </c>
      <c r="H111" s="1432" t="n"/>
      <c r="I111" s="1432" t="n"/>
      <c r="J111" s="1432" t="n"/>
      <c r="K111" s="1432" t="n"/>
      <c r="L111" s="1435">
        <f>IF(B111="","",IF(J111="Excluded","Excluded","Resource-linked"))</f>
        <v/>
      </c>
      <c r="M111" s="1435">
        <f>IF(B111="","",IF(G111=0,"No resource cost / review","Resource Build-Up -&gt; "&amp;B111))</f>
        <v/>
      </c>
      <c r="N111" s="1435">
        <f>IF(B111="","","Resource Build-Up")</f>
        <v/>
      </c>
      <c r="O111" s="1435">
        <f>IF(B111="","","See Resource Build-Up / Resource Rate Library")</f>
        <v/>
      </c>
      <c r="P111" s="1435" t="n"/>
      <c r="Q111" s="1432" t="n"/>
      <c r="R111" s="1397">
        <f>IF(OR(ISNUMBER(SEARCH("PC",P111)),ISNUMBER(SEARCH("quote",Q111))),"Jason","Rick")</f>
        <v/>
      </c>
      <c r="S111" s="1436" t="n"/>
      <c r="T111" s="1437" t="n"/>
    </row>
    <row r="112" ht="21.45000076293945" customHeight="1" s="491">
      <c r="A112" s="1432" t="n"/>
      <c r="B112" s="1432" t="n"/>
      <c r="C112" s="1432" t="n"/>
      <c r="D112" s="1432" t="n"/>
      <c r="E112" s="1433" t="n"/>
      <c r="F112" s="1434">
        <f>IF(B112="","",IF(E112=0,0,G112/E112))</f>
        <v/>
      </c>
      <c r="G112" s="1434">
        <f>IF(B112="","",SUMIF('Resource Build-Up'!$B$7:$B$306,B112,'Resource Build-Up'!$Z$7:$Z$306))</f>
        <v/>
      </c>
      <c r="H112" s="1432" t="n"/>
      <c r="I112" s="1432" t="n"/>
      <c r="J112" s="1432" t="n"/>
      <c r="K112" s="1432" t="n"/>
      <c r="L112" s="1435">
        <f>IF(B112="","",IF(J112="Excluded","Excluded","Resource-linked"))</f>
        <v/>
      </c>
      <c r="M112" s="1435">
        <f>IF(B112="","",IF(G112=0,"No resource cost / review","Resource Build-Up -&gt; "&amp;B112))</f>
        <v/>
      </c>
      <c r="N112" s="1435">
        <f>IF(B112="","","Resource Build-Up")</f>
        <v/>
      </c>
      <c r="O112" s="1435">
        <f>IF(B112="","","See Resource Build-Up / Resource Rate Library")</f>
        <v/>
      </c>
      <c r="P112" s="1435" t="n"/>
      <c r="Q112" s="1432" t="n"/>
      <c r="R112" s="1397">
        <f>IF(OR(ISNUMBER(SEARCH("PC",P112)),ISNUMBER(SEARCH("quote",Q112))),"Jason","Rick")</f>
        <v/>
      </c>
      <c r="S112" s="1436" t="n"/>
      <c r="T112" s="1437" t="n"/>
    </row>
    <row r="113" ht="21.45000076293945" customHeight="1" s="491">
      <c r="A113" s="1432" t="n"/>
      <c r="B113" s="1432" t="n"/>
      <c r="C113" s="1432" t="n"/>
      <c r="D113" s="1432" t="n"/>
      <c r="E113" s="1433" t="n"/>
      <c r="F113" s="1434">
        <f>IF(B113="","",IF(E113=0,0,G113/E113))</f>
        <v/>
      </c>
      <c r="G113" s="1434">
        <f>IF(B113="","",SUMIF('Resource Build-Up'!$B$7:$B$306,B113,'Resource Build-Up'!$Z$7:$Z$306))</f>
        <v/>
      </c>
      <c r="H113" s="1432" t="n"/>
      <c r="I113" s="1432" t="n"/>
      <c r="J113" s="1432" t="n"/>
      <c r="K113" s="1432" t="n"/>
      <c r="L113" s="1435">
        <f>IF(B113="","",IF(J113="Excluded","Excluded","Resource-linked"))</f>
        <v/>
      </c>
      <c r="M113" s="1435">
        <f>IF(B113="","",IF(G113=0,"No resource cost / review","Resource Build-Up -&gt; "&amp;B113))</f>
        <v/>
      </c>
      <c r="N113" s="1435">
        <f>IF(B113="","","Resource Build-Up")</f>
        <v/>
      </c>
      <c r="O113" s="1435">
        <f>IF(B113="","","See Resource Build-Up / Resource Rate Library")</f>
        <v/>
      </c>
      <c r="P113" s="1435" t="n"/>
      <c r="Q113" s="1432" t="n"/>
      <c r="R113" s="1397">
        <f>IF(OR(ISNUMBER(SEARCH("PC",P113)),ISNUMBER(SEARCH("quote",Q113))),"Jason","Rick")</f>
        <v/>
      </c>
      <c r="S113" s="1436" t="n"/>
      <c r="T113" s="1437" t="n"/>
    </row>
    <row r="114" ht="21.45000076293945" customHeight="1" s="491">
      <c r="A114" s="1432" t="n"/>
      <c r="B114" s="1432" t="n"/>
      <c r="C114" s="1432" t="n"/>
      <c r="D114" s="1432" t="n"/>
      <c r="E114" s="1433" t="n"/>
      <c r="F114" s="1434">
        <f>IF(B114="","",IF(E114=0,0,G114/E114))</f>
        <v/>
      </c>
      <c r="G114" s="1434">
        <f>IF(B114="","",SUMIF('Resource Build-Up'!$B$7:$B$306,B114,'Resource Build-Up'!$Z$7:$Z$306))</f>
        <v/>
      </c>
      <c r="H114" s="1432" t="n"/>
      <c r="I114" s="1432" t="n"/>
      <c r="J114" s="1432" t="n"/>
      <c r="K114" s="1432" t="n"/>
      <c r="L114" s="1435">
        <f>IF(B114="","",IF(J114="Excluded","Excluded","Resource-linked"))</f>
        <v/>
      </c>
      <c r="M114" s="1435">
        <f>IF(B114="","",IF(G114=0,"No resource cost / review","Resource Build-Up -&gt; "&amp;B114))</f>
        <v/>
      </c>
      <c r="N114" s="1435">
        <f>IF(B114="","","Resource Build-Up")</f>
        <v/>
      </c>
      <c r="O114" s="1435">
        <f>IF(B114="","","See Resource Build-Up / Resource Rate Library")</f>
        <v/>
      </c>
      <c r="P114" s="1435" t="n"/>
      <c r="Q114" s="1432" t="n"/>
      <c r="R114" s="1397">
        <f>IF(OR(ISNUMBER(SEARCH("PC",P114)),ISNUMBER(SEARCH("quote",Q114))),"Jason","Rick")</f>
        <v/>
      </c>
      <c r="S114" s="1436" t="n"/>
      <c r="T114" s="1437" t="n"/>
    </row>
    <row r="115" ht="21.45000076293945" customHeight="1" s="491">
      <c r="A115" s="1432" t="n"/>
      <c r="B115" s="1432" t="n"/>
      <c r="C115" s="1432" t="n"/>
      <c r="D115" s="1432" t="n"/>
      <c r="E115" s="1433" t="n"/>
      <c r="F115" s="1434">
        <f>IF(B115="","",IF(E115=0,0,G115/E115))</f>
        <v/>
      </c>
      <c r="G115" s="1434">
        <f>IF(B115="","",SUMIF('Resource Build-Up'!$B$7:$B$306,B115,'Resource Build-Up'!$Z$7:$Z$306))</f>
        <v/>
      </c>
      <c r="H115" s="1432" t="n"/>
      <c r="I115" s="1432" t="n"/>
      <c r="J115" s="1432" t="n"/>
      <c r="K115" s="1432" t="n"/>
      <c r="L115" s="1435">
        <f>IF(B115="","",IF(J115="Excluded","Excluded","Resource-linked"))</f>
        <v/>
      </c>
      <c r="M115" s="1435">
        <f>IF(B115="","",IF(G115=0,"No resource cost / review","Resource Build-Up -&gt; "&amp;B115))</f>
        <v/>
      </c>
      <c r="N115" s="1435">
        <f>IF(B115="","","Resource Build-Up")</f>
        <v/>
      </c>
      <c r="O115" s="1435">
        <f>IF(B115="","","See Resource Build-Up / Resource Rate Library")</f>
        <v/>
      </c>
      <c r="P115" s="1435" t="n"/>
      <c r="Q115" s="1432" t="n"/>
      <c r="R115" s="1397">
        <f>IF(OR(ISNUMBER(SEARCH("PC",P115)),ISNUMBER(SEARCH("quote",Q115))),"Jason","Rick")</f>
        <v/>
      </c>
      <c r="S115" s="1436" t="n"/>
      <c r="T115" s="1437" t="n"/>
    </row>
    <row r="116" ht="21.45000076293945" customHeight="1" s="491">
      <c r="A116" s="1432" t="n"/>
      <c r="B116" s="1432" t="n"/>
      <c r="C116" s="1432" t="n"/>
      <c r="D116" s="1432" t="n"/>
      <c r="E116" s="1433" t="n"/>
      <c r="F116" s="1434">
        <f>IF(B116="","",IF(E116=0,0,G116/E116))</f>
        <v/>
      </c>
      <c r="G116" s="1434">
        <f>IF(B116="","",SUMIF('Resource Build-Up'!$B$7:$B$306,B116,'Resource Build-Up'!$Z$7:$Z$306))</f>
        <v/>
      </c>
      <c r="H116" s="1432" t="n"/>
      <c r="I116" s="1432" t="n"/>
      <c r="J116" s="1432" t="n"/>
      <c r="K116" s="1432" t="n"/>
      <c r="L116" s="1435">
        <f>IF(B116="","",IF(J116="Excluded","Excluded","Resource-linked"))</f>
        <v/>
      </c>
      <c r="M116" s="1435">
        <f>IF(B116="","",IF(G116=0,"No resource cost / review","Resource Build-Up -&gt; "&amp;B116))</f>
        <v/>
      </c>
      <c r="N116" s="1435">
        <f>IF(B116="","","Resource Build-Up")</f>
        <v/>
      </c>
      <c r="O116" s="1435">
        <f>IF(B116="","","See Resource Build-Up / Resource Rate Library")</f>
        <v/>
      </c>
      <c r="P116" s="1435" t="n"/>
      <c r="Q116" s="1432" t="n"/>
      <c r="R116" s="1397">
        <f>IF(OR(ISNUMBER(SEARCH("PC",P116)),ISNUMBER(SEARCH("quote",Q116))),"Jason","Rick")</f>
        <v/>
      </c>
      <c r="S116" s="1436" t="n"/>
      <c r="T116" s="1437" t="n"/>
    </row>
    <row r="117" ht="21.45000076293945" customHeight="1" s="491">
      <c r="A117" s="1432" t="n"/>
      <c r="B117" s="1432" t="n"/>
      <c r="C117" s="1432" t="n"/>
      <c r="D117" s="1432" t="n"/>
      <c r="E117" s="1433" t="n"/>
      <c r="F117" s="1434">
        <f>IF(B117="","",IF(E117=0,0,G117/E117))</f>
        <v/>
      </c>
      <c r="G117" s="1434">
        <f>IF(B117="","",SUMIF('Resource Build-Up'!$B$7:$B$306,B117,'Resource Build-Up'!$Z$7:$Z$306))</f>
        <v/>
      </c>
      <c r="H117" s="1432" t="n"/>
      <c r="I117" s="1432" t="n"/>
      <c r="J117" s="1432" t="n"/>
      <c r="K117" s="1432" t="n"/>
      <c r="L117" s="1435">
        <f>IF(B117="","",IF(J117="Excluded","Excluded","Resource-linked"))</f>
        <v/>
      </c>
      <c r="M117" s="1435">
        <f>IF(B117="","",IF(G117=0,"No resource cost / review","Resource Build-Up -&gt; "&amp;B117))</f>
        <v/>
      </c>
      <c r="N117" s="1435">
        <f>IF(B117="","","Resource Build-Up")</f>
        <v/>
      </c>
      <c r="O117" s="1435">
        <f>IF(B117="","","See Resource Build-Up / Resource Rate Library")</f>
        <v/>
      </c>
      <c r="P117" s="1435" t="n"/>
      <c r="Q117" s="1432" t="n"/>
      <c r="R117" s="1397">
        <f>IF(OR(ISNUMBER(SEARCH("PC",P117)),ISNUMBER(SEARCH("quote",Q117))),"Jason","Rick")</f>
        <v/>
      </c>
      <c r="S117" s="1436" t="n"/>
      <c r="T117" s="1437" t="n"/>
    </row>
    <row r="118" ht="21.45000076293945" customHeight="1" s="491">
      <c r="A118" s="1432" t="n"/>
      <c r="B118" s="1432" t="n"/>
      <c r="C118" s="1432" t="n"/>
      <c r="D118" s="1432" t="n"/>
      <c r="E118" s="1433" t="n"/>
      <c r="F118" s="1434">
        <f>IF(B118="","",IF(E118=0,0,G118/E118))</f>
        <v/>
      </c>
      <c r="G118" s="1434">
        <f>IF(B118="","",SUMIF('Resource Build-Up'!$B$7:$B$306,B118,'Resource Build-Up'!$Z$7:$Z$306))</f>
        <v/>
      </c>
      <c r="H118" s="1432" t="n"/>
      <c r="I118" s="1432" t="n"/>
      <c r="J118" s="1432" t="n"/>
      <c r="K118" s="1432" t="n"/>
      <c r="L118" s="1435">
        <f>IF(B118="","",IF(J118="Excluded","Excluded","Resource-linked"))</f>
        <v/>
      </c>
      <c r="M118" s="1435">
        <f>IF(B118="","",IF(G118=0,"No resource cost / review","Resource Build-Up -&gt; "&amp;B118))</f>
        <v/>
      </c>
      <c r="N118" s="1435">
        <f>IF(B118="","","Resource Build-Up")</f>
        <v/>
      </c>
      <c r="O118" s="1435">
        <f>IF(B118="","","See Resource Build-Up / Resource Rate Library")</f>
        <v/>
      </c>
      <c r="P118" s="1435" t="n"/>
      <c r="Q118" s="1432" t="n"/>
      <c r="R118" s="1397">
        <f>IF(OR(ISNUMBER(SEARCH("PC",P118)),ISNUMBER(SEARCH("quote",Q118))),"Jason","Rick")</f>
        <v/>
      </c>
      <c r="S118" s="1436" t="n"/>
      <c r="T118" s="1437" t="n"/>
    </row>
    <row r="119" ht="21.45000076293945" customHeight="1" s="491">
      <c r="A119" s="1432" t="n"/>
      <c r="B119" s="1432" t="n"/>
      <c r="C119" s="1432" t="n"/>
      <c r="D119" s="1432" t="n"/>
      <c r="E119" s="1433" t="n"/>
      <c r="F119" s="1434">
        <f>IF(B119="","",IF(E119=0,0,G119/E119))</f>
        <v/>
      </c>
      <c r="G119" s="1434">
        <f>IF(B119="","",SUMIF('Resource Build-Up'!$B$7:$B$306,B119,'Resource Build-Up'!$Z$7:$Z$306))</f>
        <v/>
      </c>
      <c r="H119" s="1432" t="n"/>
      <c r="I119" s="1432" t="n"/>
      <c r="J119" s="1432" t="n"/>
      <c r="K119" s="1432" t="n"/>
      <c r="L119" s="1435">
        <f>IF(B119="","",IF(J119="Excluded","Excluded","Resource-linked"))</f>
        <v/>
      </c>
      <c r="M119" s="1435">
        <f>IF(B119="","",IF(G119=0,"No resource cost / review","Resource Build-Up -&gt; "&amp;B119))</f>
        <v/>
      </c>
      <c r="N119" s="1435">
        <f>IF(B119="","","Resource Build-Up")</f>
        <v/>
      </c>
      <c r="O119" s="1435">
        <f>IF(B119="","","See Resource Build-Up / Resource Rate Library")</f>
        <v/>
      </c>
      <c r="P119" s="1435" t="n"/>
      <c r="Q119" s="1432" t="n"/>
      <c r="R119" s="1397">
        <f>IF(OR(ISNUMBER(SEARCH("PC",P119)),ISNUMBER(SEARCH("quote",Q119))),"Jason","Rick")</f>
        <v/>
      </c>
      <c r="S119" s="1436" t="n"/>
      <c r="T119" s="1437" t="n"/>
    </row>
    <row r="120" ht="21.45000076293945" customHeight="1" s="491">
      <c r="A120" s="1432" t="n"/>
      <c r="B120" s="1432" t="n"/>
      <c r="C120" s="1432" t="n"/>
      <c r="D120" s="1432" t="n"/>
      <c r="E120" s="1433" t="n"/>
      <c r="F120" s="1434">
        <f>IF(B120="","",IF(E120=0,0,G120/E120))</f>
        <v/>
      </c>
      <c r="G120" s="1434">
        <f>IF(B120="","",SUMIF('Resource Build-Up'!$B$7:$B$306,B120,'Resource Build-Up'!$Z$7:$Z$306))</f>
        <v/>
      </c>
      <c r="H120" s="1432" t="n"/>
      <c r="I120" s="1432" t="n"/>
      <c r="J120" s="1432" t="n"/>
      <c r="K120" s="1432" t="n"/>
      <c r="L120" s="1435">
        <f>IF(B120="","",IF(J120="Excluded","Excluded","Resource-linked"))</f>
        <v/>
      </c>
      <c r="M120" s="1435">
        <f>IF(B120="","",IF(G120=0,"No resource cost / review","Resource Build-Up -&gt; "&amp;B120))</f>
        <v/>
      </c>
      <c r="N120" s="1435">
        <f>IF(B120="","","Resource Build-Up")</f>
        <v/>
      </c>
      <c r="O120" s="1435">
        <f>IF(B120="","","See Resource Build-Up / Resource Rate Library")</f>
        <v/>
      </c>
      <c r="P120" s="1435" t="n"/>
      <c r="Q120" s="1432" t="n"/>
      <c r="R120" s="1397">
        <f>IF(OR(ISNUMBER(SEARCH("PC",P120)),ISNUMBER(SEARCH("quote",Q120))),"Jason","Rick")</f>
        <v/>
      </c>
      <c r="S120" s="1436" t="n"/>
      <c r="T120" s="1437" t="n"/>
    </row>
    <row r="121" ht="21.45000076293945" customHeight="1" s="491">
      <c r="A121" s="1432" t="n"/>
      <c r="B121" s="1432" t="n"/>
      <c r="C121" s="1432" t="n"/>
      <c r="D121" s="1432" t="n"/>
      <c r="E121" s="1433" t="n"/>
      <c r="F121" s="1434">
        <f>IF(B121="","",IF(E121=0,0,G121/E121))</f>
        <v/>
      </c>
      <c r="G121" s="1434">
        <f>IF(B121="","",SUMIF('Resource Build-Up'!$B$7:$B$306,B121,'Resource Build-Up'!$Z$7:$Z$306))</f>
        <v/>
      </c>
      <c r="H121" s="1432" t="n"/>
      <c r="I121" s="1432" t="n"/>
      <c r="J121" s="1432" t="n"/>
      <c r="K121" s="1432" t="n"/>
      <c r="L121" s="1435">
        <f>IF(B121="","",IF(J121="Excluded","Excluded","Resource-linked"))</f>
        <v/>
      </c>
      <c r="M121" s="1435">
        <f>IF(B121="","",IF(G121=0,"No resource cost / review","Resource Build-Up -&gt; "&amp;B121))</f>
        <v/>
      </c>
      <c r="N121" s="1435">
        <f>IF(B121="","","Resource Build-Up")</f>
        <v/>
      </c>
      <c r="O121" s="1435">
        <f>IF(B121="","","See Resource Build-Up / Resource Rate Library")</f>
        <v/>
      </c>
      <c r="P121" s="1435" t="n"/>
      <c r="Q121" s="1432" t="n"/>
      <c r="R121" s="1397">
        <f>IF(OR(ISNUMBER(SEARCH("PC",P121)),ISNUMBER(SEARCH("quote",Q121))),"Jason","Rick")</f>
        <v/>
      </c>
      <c r="S121" s="1436" t="n"/>
      <c r="T121" s="1437" t="n"/>
    </row>
    <row r="122" ht="21.45000076293945" customHeight="1" s="491">
      <c r="A122" s="1432" t="n"/>
      <c r="B122" s="1432" t="n"/>
      <c r="C122" s="1432" t="n"/>
      <c r="D122" s="1432" t="n"/>
      <c r="E122" s="1433" t="n"/>
      <c r="F122" s="1434">
        <f>IF(B122="","",IF(E122=0,0,G122/E122))</f>
        <v/>
      </c>
      <c r="G122" s="1434">
        <f>IF(B122="","",SUMIF('Resource Build-Up'!$B$7:$B$306,B122,'Resource Build-Up'!$Z$7:$Z$306))</f>
        <v/>
      </c>
      <c r="H122" s="1432" t="n"/>
      <c r="I122" s="1432" t="n"/>
      <c r="J122" s="1432" t="n"/>
      <c r="K122" s="1432" t="n"/>
      <c r="L122" s="1435">
        <f>IF(B122="","",IF(J122="Excluded","Excluded","Resource-linked"))</f>
        <v/>
      </c>
      <c r="M122" s="1435">
        <f>IF(B122="","",IF(G122=0,"No resource cost / review","Resource Build-Up -&gt; "&amp;B122))</f>
        <v/>
      </c>
      <c r="N122" s="1435">
        <f>IF(B122="","","Resource Build-Up")</f>
        <v/>
      </c>
      <c r="O122" s="1435">
        <f>IF(B122="","","See Resource Build-Up / Resource Rate Library")</f>
        <v/>
      </c>
      <c r="P122" s="1435" t="n"/>
      <c r="Q122" s="1432" t="n"/>
      <c r="R122" s="1397">
        <f>IF(OR(ISNUMBER(SEARCH("PC",P122)),ISNUMBER(SEARCH("quote",Q122))),"Jason","Rick")</f>
        <v/>
      </c>
      <c r="S122" s="1436" t="n"/>
      <c r="T122" s="1437" t="n"/>
    </row>
    <row r="123" ht="21.45000076293945" customHeight="1" s="491">
      <c r="A123" s="1432" t="n"/>
      <c r="B123" s="1432" t="n"/>
      <c r="C123" s="1432" t="n"/>
      <c r="D123" s="1432" t="n"/>
      <c r="E123" s="1433" t="n"/>
      <c r="F123" s="1434">
        <f>IF(B123="","",IF(E123=0,0,G123/E123))</f>
        <v/>
      </c>
      <c r="G123" s="1434">
        <f>IF(B123="","",SUMIF('Resource Build-Up'!$B$7:$B$306,B123,'Resource Build-Up'!$Z$7:$Z$306))</f>
        <v/>
      </c>
      <c r="H123" s="1432" t="n"/>
      <c r="I123" s="1432" t="n"/>
      <c r="J123" s="1432" t="n"/>
      <c r="K123" s="1432" t="n"/>
      <c r="L123" s="1435">
        <f>IF(B123="","",IF(J123="Excluded","Excluded","Resource-linked"))</f>
        <v/>
      </c>
      <c r="M123" s="1435">
        <f>IF(B123="","",IF(G123=0,"No resource cost / review","Resource Build-Up -&gt; "&amp;B123))</f>
        <v/>
      </c>
      <c r="N123" s="1435">
        <f>IF(B123="","","Resource Build-Up")</f>
        <v/>
      </c>
      <c r="O123" s="1435">
        <f>IF(B123="","","See Resource Build-Up / Resource Rate Library")</f>
        <v/>
      </c>
      <c r="P123" s="1435" t="n"/>
      <c r="Q123" s="1432" t="n"/>
      <c r="R123" s="1397">
        <f>IF(OR(ISNUMBER(SEARCH("PC",P123)),ISNUMBER(SEARCH("quote",Q123))),"Jason","Rick")</f>
        <v/>
      </c>
      <c r="S123" s="1436" t="n"/>
      <c r="T123" s="1437" t="n"/>
    </row>
    <row r="124" ht="21.45000076293945" customHeight="1" s="491">
      <c r="A124" s="1432" t="n"/>
      <c r="B124" s="1432" t="n"/>
      <c r="C124" s="1432" t="n"/>
      <c r="D124" s="1432" t="n"/>
      <c r="E124" s="1433" t="n"/>
      <c r="F124" s="1434">
        <f>IF(B124="","",IF(E124=0,0,G124/E124))</f>
        <v/>
      </c>
      <c r="G124" s="1434">
        <f>IF(B124="","",SUMIF('Resource Build-Up'!$B$7:$B$306,B124,'Resource Build-Up'!$Z$7:$Z$306))</f>
        <v/>
      </c>
      <c r="H124" s="1432" t="n"/>
      <c r="I124" s="1432" t="n"/>
      <c r="J124" s="1432" t="n"/>
      <c r="K124" s="1432" t="n"/>
      <c r="L124" s="1435">
        <f>IF(B124="","",IF(J124="Excluded","Excluded","Resource-linked"))</f>
        <v/>
      </c>
      <c r="M124" s="1435">
        <f>IF(B124="","",IF(G124=0,"No resource cost / review","Resource Build-Up -&gt; "&amp;B124))</f>
        <v/>
      </c>
      <c r="N124" s="1435">
        <f>IF(B124="","","Resource Build-Up")</f>
        <v/>
      </c>
      <c r="O124" s="1435">
        <f>IF(B124="","","See Resource Build-Up / Resource Rate Library")</f>
        <v/>
      </c>
      <c r="P124" s="1435" t="n"/>
      <c r="Q124" s="1432" t="n"/>
      <c r="R124" s="1397">
        <f>IF(OR(ISNUMBER(SEARCH("PC",P124)),ISNUMBER(SEARCH("quote",Q124))),"Jason","Rick")</f>
        <v/>
      </c>
      <c r="S124" s="1436" t="n"/>
      <c r="T124" s="1437" t="n"/>
    </row>
    <row r="125" ht="21.45000076293945" customHeight="1" s="491">
      <c r="A125" s="1432" t="n"/>
      <c r="B125" s="1432" t="n"/>
      <c r="C125" s="1432" t="n"/>
      <c r="D125" s="1432" t="n"/>
      <c r="E125" s="1433" t="n"/>
      <c r="F125" s="1434">
        <f>IF(B125="","",IF(E125=0,0,G125/E125))</f>
        <v/>
      </c>
      <c r="G125" s="1434">
        <f>IF(B125="","",SUMIF('Resource Build-Up'!$B$7:$B$306,B125,'Resource Build-Up'!$Z$7:$Z$306))</f>
        <v/>
      </c>
      <c r="H125" s="1432" t="n"/>
      <c r="I125" s="1432" t="n"/>
      <c r="J125" s="1432" t="n"/>
      <c r="K125" s="1432" t="n"/>
      <c r="L125" s="1435">
        <f>IF(B125="","",IF(J125="Excluded","Excluded","Resource-linked"))</f>
        <v/>
      </c>
      <c r="M125" s="1435">
        <f>IF(B125="","",IF(G125=0,"No resource cost / review","Resource Build-Up -&gt; "&amp;B125))</f>
        <v/>
      </c>
      <c r="N125" s="1435">
        <f>IF(B125="","","Resource Build-Up")</f>
        <v/>
      </c>
      <c r="O125" s="1435">
        <f>IF(B125="","","See Resource Build-Up / Resource Rate Library")</f>
        <v/>
      </c>
      <c r="P125" s="1435" t="n"/>
      <c r="Q125" s="1432" t="n"/>
      <c r="R125" s="1397">
        <f>IF(OR(ISNUMBER(SEARCH("PC",P125)),ISNUMBER(SEARCH("quote",Q125))),"Jason","Rick")</f>
        <v/>
      </c>
      <c r="S125" s="1436" t="n"/>
      <c r="T125" s="1437" t="n"/>
    </row>
    <row r="126" ht="21.45000076293945" customHeight="1" s="491">
      <c r="A126" s="1432" t="n"/>
      <c r="B126" s="1432" t="n"/>
      <c r="C126" s="1432" t="n"/>
      <c r="D126" s="1432" t="n"/>
      <c r="E126" s="1433" t="n"/>
      <c r="F126" s="1434">
        <f>IF(B126="","",IF(E126=0,0,G126/E126))</f>
        <v/>
      </c>
      <c r="G126" s="1434">
        <f>IF(B126="","",SUMIF('Resource Build-Up'!$B$7:$B$306,B126,'Resource Build-Up'!$Z$7:$Z$306))</f>
        <v/>
      </c>
      <c r="H126" s="1432" t="n"/>
      <c r="I126" s="1432" t="n"/>
      <c r="J126" s="1432" t="n"/>
      <c r="K126" s="1432" t="n"/>
      <c r="L126" s="1435">
        <f>IF(B126="","",IF(J126="Excluded","Excluded","Resource-linked"))</f>
        <v/>
      </c>
      <c r="M126" s="1435">
        <f>IF(B126="","",IF(G126=0,"No resource cost / review","Resource Build-Up -&gt; "&amp;B126))</f>
        <v/>
      </c>
      <c r="N126" s="1435">
        <f>IF(B126="","","Resource Build-Up")</f>
        <v/>
      </c>
      <c r="O126" s="1435">
        <f>IF(B126="","","See Resource Build-Up / Resource Rate Library")</f>
        <v/>
      </c>
      <c r="P126" s="1435" t="n"/>
      <c r="Q126" s="1432" t="n"/>
      <c r="R126" s="1397">
        <f>IF(OR(ISNUMBER(SEARCH("PC",P126)),ISNUMBER(SEARCH("quote",Q126))),"Jason","Rick")</f>
        <v/>
      </c>
      <c r="S126" s="1436" t="n"/>
      <c r="T126" s="1437" t="n"/>
    </row>
    <row r="127" ht="21.45000076293945" customHeight="1" s="491">
      <c r="A127" s="1432" t="n"/>
      <c r="B127" s="1432" t="n"/>
      <c r="C127" s="1432" t="n"/>
      <c r="D127" s="1432" t="n"/>
      <c r="E127" s="1433" t="n"/>
      <c r="F127" s="1434">
        <f>IF(B127="","",IF(E127=0,0,G127/E127))</f>
        <v/>
      </c>
      <c r="G127" s="1434">
        <f>IF(B127="","",SUMIF('Resource Build-Up'!$B$7:$B$306,B127,'Resource Build-Up'!$Z$7:$Z$306))</f>
        <v/>
      </c>
      <c r="H127" s="1432" t="n"/>
      <c r="I127" s="1432" t="n"/>
      <c r="J127" s="1432" t="n"/>
      <c r="K127" s="1432" t="n"/>
      <c r="L127" s="1435">
        <f>IF(B127="","",IF(J127="Excluded","Excluded","Resource-linked"))</f>
        <v/>
      </c>
      <c r="M127" s="1435">
        <f>IF(B127="","",IF(G127=0,"No resource cost / review","Resource Build-Up -&gt; "&amp;B127))</f>
        <v/>
      </c>
      <c r="N127" s="1435">
        <f>IF(B127="","","Resource Build-Up")</f>
        <v/>
      </c>
      <c r="O127" s="1435">
        <f>IF(B127="","","See Resource Build-Up / Resource Rate Library")</f>
        <v/>
      </c>
      <c r="P127" s="1435" t="n"/>
      <c r="Q127" s="1432" t="n"/>
      <c r="R127" s="1397">
        <f>IF(OR(ISNUMBER(SEARCH("PC",P127)),ISNUMBER(SEARCH("quote",Q127))),"Jason","Rick")</f>
        <v/>
      </c>
      <c r="S127" s="1436" t="n"/>
      <c r="T127" s="1437" t="n"/>
    </row>
    <row r="128" ht="21.45000076293945" customHeight="1" s="491">
      <c r="A128" s="1432" t="n"/>
      <c r="B128" s="1432" t="n"/>
      <c r="C128" s="1432" t="n"/>
      <c r="D128" s="1432" t="n"/>
      <c r="E128" s="1433" t="n"/>
      <c r="F128" s="1434">
        <f>IF(B128="","",IF(E128=0,0,G128/E128))</f>
        <v/>
      </c>
      <c r="G128" s="1434">
        <f>IF(B128="","",SUMIF('Resource Build-Up'!$B$7:$B$306,B128,'Resource Build-Up'!$Z$7:$Z$306))</f>
        <v/>
      </c>
      <c r="H128" s="1432" t="n"/>
      <c r="I128" s="1432" t="n"/>
      <c r="J128" s="1432" t="n"/>
      <c r="K128" s="1432" t="n"/>
      <c r="L128" s="1435">
        <f>IF(B128="","",IF(J128="Excluded","Excluded","Resource-linked"))</f>
        <v/>
      </c>
      <c r="M128" s="1435">
        <f>IF(B128="","",IF(G128=0,"No resource cost / review","Resource Build-Up -&gt; "&amp;B128))</f>
        <v/>
      </c>
      <c r="N128" s="1435">
        <f>IF(B128="","","Resource Build-Up")</f>
        <v/>
      </c>
      <c r="O128" s="1435">
        <f>IF(B128="","","See Resource Build-Up / Resource Rate Library")</f>
        <v/>
      </c>
      <c r="P128" s="1435" t="n"/>
      <c r="Q128" s="1432" t="n"/>
      <c r="R128" s="1397">
        <f>IF(OR(ISNUMBER(SEARCH("PC",P128)),ISNUMBER(SEARCH("quote",Q128))),"Jason","Rick")</f>
        <v/>
      </c>
      <c r="S128" s="1436" t="n"/>
      <c r="T128" s="1437" t="n"/>
    </row>
    <row r="129" ht="21.45000076293945" customHeight="1" s="491">
      <c r="A129" s="1432" t="n"/>
      <c r="B129" s="1432" t="n"/>
      <c r="C129" s="1432" t="n"/>
      <c r="D129" s="1432" t="n"/>
      <c r="E129" s="1433" t="n"/>
      <c r="F129" s="1434">
        <f>IF(B129="","",IF(E129=0,0,G129/E129))</f>
        <v/>
      </c>
      <c r="G129" s="1434">
        <f>IF(B129="","",SUMIF('Resource Build-Up'!$B$7:$B$306,B129,'Resource Build-Up'!$Z$7:$Z$306))</f>
        <v/>
      </c>
      <c r="H129" s="1432" t="n"/>
      <c r="I129" s="1432" t="n"/>
      <c r="J129" s="1432" t="n"/>
      <c r="K129" s="1432" t="n"/>
      <c r="L129" s="1435">
        <f>IF(B129="","",IF(J129="Excluded","Excluded","Resource-linked"))</f>
        <v/>
      </c>
      <c r="M129" s="1435">
        <f>IF(B129="","",IF(G129=0,"No resource cost / review","Resource Build-Up -&gt; "&amp;B129))</f>
        <v/>
      </c>
      <c r="N129" s="1435">
        <f>IF(B129="","","Resource Build-Up")</f>
        <v/>
      </c>
      <c r="O129" s="1435">
        <f>IF(B129="","","See Resource Build-Up / Resource Rate Library")</f>
        <v/>
      </c>
      <c r="P129" s="1435" t="n"/>
      <c r="Q129" s="1432" t="n"/>
      <c r="R129" s="1397">
        <f>IF(OR(ISNUMBER(SEARCH("PC",P129)),ISNUMBER(SEARCH("quote",Q129))),"Jason","Rick")</f>
        <v/>
      </c>
      <c r="S129" s="1436" t="n"/>
      <c r="T129" s="1437" t="n"/>
    </row>
    <row r="130" ht="21.45000076293945" customHeight="1" s="491">
      <c r="A130" s="1432" t="n"/>
      <c r="B130" s="1432" t="n"/>
      <c r="C130" s="1432" t="n"/>
      <c r="D130" s="1432" t="n"/>
      <c r="E130" s="1433" t="n"/>
      <c r="F130" s="1434">
        <f>IF(B130="","",IF(E130=0,0,G130/E130))</f>
        <v/>
      </c>
      <c r="G130" s="1434">
        <f>IF(B130="","",SUMIF('Resource Build-Up'!$B$7:$B$306,B130,'Resource Build-Up'!$Z$7:$Z$306))</f>
        <v/>
      </c>
      <c r="H130" s="1432" t="n"/>
      <c r="I130" s="1432" t="n"/>
      <c r="J130" s="1432" t="n"/>
      <c r="K130" s="1432" t="n"/>
      <c r="L130" s="1435">
        <f>IF(B130="","",IF(J130="Excluded","Excluded","Resource-linked"))</f>
        <v/>
      </c>
      <c r="M130" s="1435">
        <f>IF(B130="","",IF(G130=0,"No resource cost / review","Resource Build-Up -&gt; "&amp;B130))</f>
        <v/>
      </c>
      <c r="N130" s="1435">
        <f>IF(B130="","","Resource Build-Up")</f>
        <v/>
      </c>
      <c r="O130" s="1435">
        <f>IF(B130="","","See Resource Build-Up / Resource Rate Library")</f>
        <v/>
      </c>
      <c r="P130" s="1435" t="n"/>
      <c r="Q130" s="1432" t="n"/>
      <c r="R130" s="1397">
        <f>IF(OR(ISNUMBER(SEARCH("PC",P130)),ISNUMBER(SEARCH("quote",Q130))),"Jason","Rick")</f>
        <v/>
      </c>
      <c r="S130" s="1436" t="n"/>
      <c r="T130" s="1437" t="n"/>
    </row>
    <row r="131" ht="21.45000076293945" customHeight="1" s="491">
      <c r="A131" s="1432" t="n"/>
      <c r="B131" s="1432" t="n"/>
      <c r="C131" s="1432" t="n"/>
      <c r="D131" s="1432" t="n"/>
      <c r="E131" s="1433" t="n"/>
      <c r="F131" s="1434">
        <f>IF(B131="","",IF(E131=0,0,G131/E131))</f>
        <v/>
      </c>
      <c r="G131" s="1434">
        <f>IF(B131="","",SUMIF('Resource Build-Up'!$B$7:$B$306,B131,'Resource Build-Up'!$Z$7:$Z$306))</f>
        <v/>
      </c>
      <c r="H131" s="1432" t="n"/>
      <c r="I131" s="1432" t="n"/>
      <c r="J131" s="1432" t="n"/>
      <c r="K131" s="1432" t="n"/>
      <c r="L131" s="1435">
        <f>IF(B131="","",IF(J131="Excluded","Excluded","Resource-linked"))</f>
        <v/>
      </c>
      <c r="M131" s="1435">
        <f>IF(B131="","",IF(G131=0,"No resource cost / review","Resource Build-Up -&gt; "&amp;B131))</f>
        <v/>
      </c>
      <c r="N131" s="1435">
        <f>IF(B131="","","Resource Build-Up")</f>
        <v/>
      </c>
      <c r="O131" s="1435">
        <f>IF(B131="","","See Resource Build-Up / Resource Rate Library")</f>
        <v/>
      </c>
      <c r="P131" s="1435" t="n"/>
      <c r="Q131" s="1432" t="n"/>
      <c r="R131" s="1397">
        <f>IF(OR(ISNUMBER(SEARCH("PC",P131)),ISNUMBER(SEARCH("quote",Q131))),"Jason","Rick")</f>
        <v/>
      </c>
      <c r="S131" s="1436" t="n"/>
      <c r="T131" s="1437" t="n"/>
    </row>
    <row r="132" ht="21.45000076293945" customHeight="1" s="491">
      <c r="A132" s="1432" t="n"/>
      <c r="B132" s="1432" t="n"/>
      <c r="C132" s="1432" t="n"/>
      <c r="D132" s="1432" t="n"/>
      <c r="E132" s="1433" t="n"/>
      <c r="F132" s="1434">
        <f>IF(B132="","",IF(E132=0,0,G132/E132))</f>
        <v/>
      </c>
      <c r="G132" s="1434">
        <f>IF(B132="","",SUMIF('Resource Build-Up'!$B$7:$B$306,B132,'Resource Build-Up'!$Z$7:$Z$306))</f>
        <v/>
      </c>
      <c r="H132" s="1432" t="n"/>
      <c r="I132" s="1432" t="n"/>
      <c r="J132" s="1432" t="n"/>
      <c r="K132" s="1432" t="n"/>
      <c r="L132" s="1435">
        <f>IF(B132="","",IF(J132="Excluded","Excluded","Resource-linked"))</f>
        <v/>
      </c>
      <c r="M132" s="1435">
        <f>IF(B132="","",IF(G132=0,"No resource cost / review","Resource Build-Up -&gt; "&amp;B132))</f>
        <v/>
      </c>
      <c r="N132" s="1435">
        <f>IF(B132="","","Resource Build-Up")</f>
        <v/>
      </c>
      <c r="O132" s="1435">
        <f>IF(B132="","","See Resource Build-Up / Resource Rate Library")</f>
        <v/>
      </c>
      <c r="P132" s="1435" t="n"/>
      <c r="Q132" s="1432" t="n"/>
      <c r="R132" s="1397">
        <f>IF(OR(ISNUMBER(SEARCH("PC",P132)),ISNUMBER(SEARCH("quote",Q132))),"Jason","Rick")</f>
        <v/>
      </c>
      <c r="S132" s="1436" t="n"/>
      <c r="T132" s="1437" t="n"/>
    </row>
    <row r="133" ht="21.45000076293945" customHeight="1" s="491">
      <c r="A133" s="1432" t="n"/>
      <c r="B133" s="1432" t="n"/>
      <c r="C133" s="1432" t="n"/>
      <c r="D133" s="1432" t="n"/>
      <c r="E133" s="1433" t="n"/>
      <c r="F133" s="1434">
        <f>IF(B133="","",IF(E133=0,0,G133/E133))</f>
        <v/>
      </c>
      <c r="G133" s="1434">
        <f>IF(B133="","",SUMIF('Resource Build-Up'!$B$7:$B$306,B133,'Resource Build-Up'!$Z$7:$Z$306))</f>
        <v/>
      </c>
      <c r="H133" s="1432" t="n"/>
      <c r="I133" s="1432" t="n"/>
      <c r="J133" s="1432" t="n"/>
      <c r="K133" s="1432" t="n"/>
      <c r="L133" s="1435">
        <f>IF(B133="","",IF(J133="Excluded","Excluded","Resource-linked"))</f>
        <v/>
      </c>
      <c r="M133" s="1435">
        <f>IF(B133="","",IF(G133=0,"No resource cost / review","Resource Build-Up -&gt; "&amp;B133))</f>
        <v/>
      </c>
      <c r="N133" s="1435">
        <f>IF(B133="","","Resource Build-Up")</f>
        <v/>
      </c>
      <c r="O133" s="1435">
        <f>IF(B133="","","See Resource Build-Up / Resource Rate Library")</f>
        <v/>
      </c>
      <c r="P133" s="1435" t="n"/>
      <c r="Q133" s="1432" t="n"/>
      <c r="R133" s="1397">
        <f>IF(OR(ISNUMBER(SEARCH("PC",P133)),ISNUMBER(SEARCH("quote",Q133))),"Jason","Rick")</f>
        <v/>
      </c>
      <c r="S133" s="1436" t="n"/>
      <c r="T133" s="1437" t="n"/>
    </row>
    <row r="134" ht="21.45000076293945" customHeight="1" s="491">
      <c r="A134" s="1432" t="n"/>
      <c r="B134" s="1432" t="n"/>
      <c r="C134" s="1432" t="n"/>
      <c r="D134" s="1432" t="n"/>
      <c r="E134" s="1433" t="n"/>
      <c r="F134" s="1434">
        <f>IF(B134="","",IF(E134=0,0,G134/E134))</f>
        <v/>
      </c>
      <c r="G134" s="1434">
        <f>IF(B134="","",SUMIF('Resource Build-Up'!$B$7:$B$306,B134,'Resource Build-Up'!$Z$7:$Z$306))</f>
        <v/>
      </c>
      <c r="H134" s="1432" t="n"/>
      <c r="I134" s="1432" t="n"/>
      <c r="J134" s="1432" t="n"/>
      <c r="K134" s="1432" t="n"/>
      <c r="L134" s="1435">
        <f>IF(B134="","",IF(J134="Excluded","Excluded","Resource-linked"))</f>
        <v/>
      </c>
      <c r="M134" s="1435">
        <f>IF(B134="","",IF(G134=0,"No resource cost / review","Resource Build-Up -&gt; "&amp;B134))</f>
        <v/>
      </c>
      <c r="N134" s="1435">
        <f>IF(B134="","","Resource Build-Up")</f>
        <v/>
      </c>
      <c r="O134" s="1435">
        <f>IF(B134="","","See Resource Build-Up / Resource Rate Library")</f>
        <v/>
      </c>
      <c r="P134" s="1435" t="n"/>
      <c r="Q134" s="1432" t="n"/>
      <c r="R134" s="1397">
        <f>IF(OR(ISNUMBER(SEARCH("PC",P134)),ISNUMBER(SEARCH("quote",Q134))),"Jason","Rick")</f>
        <v/>
      </c>
      <c r="S134" s="1436" t="n"/>
      <c r="T134" s="1437" t="n"/>
    </row>
    <row r="135" ht="21.45000076293945" customHeight="1" s="491">
      <c r="A135" s="1432" t="n"/>
      <c r="B135" s="1432" t="n"/>
      <c r="C135" s="1432" t="n"/>
      <c r="D135" s="1432" t="n"/>
      <c r="E135" s="1433" t="n"/>
      <c r="F135" s="1434">
        <f>IF(B135="","",IF(E135=0,0,G135/E135))</f>
        <v/>
      </c>
      <c r="G135" s="1434">
        <f>IF(B135="","",SUMIF('Resource Build-Up'!$B$7:$B$306,B135,'Resource Build-Up'!$Z$7:$Z$306))</f>
        <v/>
      </c>
      <c r="H135" s="1432" t="n"/>
      <c r="I135" s="1432" t="n"/>
      <c r="J135" s="1432" t="n"/>
      <c r="K135" s="1432" t="n"/>
      <c r="L135" s="1435">
        <f>IF(B135="","",IF(J135="Excluded","Excluded","Resource-linked"))</f>
        <v/>
      </c>
      <c r="M135" s="1435">
        <f>IF(B135="","",IF(G135=0,"No resource cost / review","Resource Build-Up -&gt; "&amp;B135))</f>
        <v/>
      </c>
      <c r="N135" s="1435">
        <f>IF(B135="","","Resource Build-Up")</f>
        <v/>
      </c>
      <c r="O135" s="1435">
        <f>IF(B135="","","See Resource Build-Up / Resource Rate Library")</f>
        <v/>
      </c>
      <c r="P135" s="1435" t="n"/>
      <c r="Q135" s="1432" t="n"/>
      <c r="R135" s="1397">
        <f>IF(OR(ISNUMBER(SEARCH("PC",P135)),ISNUMBER(SEARCH("quote",Q135))),"Jason","Rick")</f>
        <v/>
      </c>
      <c r="S135" s="1436" t="n"/>
      <c r="T135" s="1437" t="n"/>
    </row>
    <row r="136" ht="21.45000076293945" customHeight="1" s="491">
      <c r="A136" s="1432" t="n"/>
      <c r="B136" s="1432" t="n"/>
      <c r="C136" s="1432" t="n"/>
      <c r="D136" s="1432" t="n"/>
      <c r="E136" s="1433" t="n"/>
      <c r="F136" s="1434">
        <f>IF(B136="","",IF(E136=0,0,G136/E136))</f>
        <v/>
      </c>
      <c r="G136" s="1434">
        <f>IF(B136="","",SUMIF('Resource Build-Up'!$B$7:$B$306,B136,'Resource Build-Up'!$Z$7:$Z$306))</f>
        <v/>
      </c>
      <c r="H136" s="1432" t="n"/>
      <c r="I136" s="1432" t="n"/>
      <c r="J136" s="1432" t="n"/>
      <c r="K136" s="1432" t="n"/>
      <c r="L136" s="1435">
        <f>IF(B136="","",IF(J136="Excluded","Excluded","Resource-linked"))</f>
        <v/>
      </c>
      <c r="M136" s="1435">
        <f>IF(B136="","",IF(G136=0,"No resource cost / review","Resource Build-Up -&gt; "&amp;B136))</f>
        <v/>
      </c>
      <c r="N136" s="1435">
        <f>IF(B136="","","Resource Build-Up")</f>
        <v/>
      </c>
      <c r="O136" s="1435">
        <f>IF(B136="","","See Resource Build-Up / Resource Rate Library")</f>
        <v/>
      </c>
      <c r="P136" s="1435" t="n"/>
      <c r="Q136" s="1432" t="n"/>
      <c r="R136" s="1397">
        <f>IF(OR(ISNUMBER(SEARCH("PC",P136)),ISNUMBER(SEARCH("quote",Q136))),"Jason","Rick")</f>
        <v/>
      </c>
      <c r="S136" s="1436" t="n"/>
      <c r="T136" s="1437" t="n"/>
    </row>
    <row r="137" ht="21.45000076293945" customHeight="1" s="491">
      <c r="A137" s="1432" t="n"/>
      <c r="B137" s="1432" t="n"/>
      <c r="C137" s="1432" t="n"/>
      <c r="D137" s="1432" t="n"/>
      <c r="E137" s="1433" t="n"/>
      <c r="F137" s="1434">
        <f>IF(B137="","",IF(E137=0,0,G137/E137))</f>
        <v/>
      </c>
      <c r="G137" s="1434">
        <f>IF(B137="","",SUMIF('Resource Build-Up'!$B$7:$B$306,B137,'Resource Build-Up'!$Z$7:$Z$306))</f>
        <v/>
      </c>
      <c r="H137" s="1432" t="n"/>
      <c r="I137" s="1432" t="n"/>
      <c r="J137" s="1432" t="n"/>
      <c r="K137" s="1432" t="n"/>
      <c r="L137" s="1435">
        <f>IF(B137="","",IF(J137="Excluded","Excluded","Resource-linked"))</f>
        <v/>
      </c>
      <c r="M137" s="1435">
        <f>IF(B137="","",IF(G137=0,"No resource cost / review","Resource Build-Up -&gt; "&amp;B137))</f>
        <v/>
      </c>
      <c r="N137" s="1435">
        <f>IF(B137="","","Resource Build-Up")</f>
        <v/>
      </c>
      <c r="O137" s="1435">
        <f>IF(B137="","","See Resource Build-Up / Resource Rate Library")</f>
        <v/>
      </c>
      <c r="P137" s="1435" t="n"/>
      <c r="Q137" s="1432" t="n"/>
      <c r="R137" s="1397">
        <f>IF(OR(ISNUMBER(SEARCH("PC",P137)),ISNUMBER(SEARCH("quote",Q137))),"Jason","Rick")</f>
        <v/>
      </c>
      <c r="S137" s="1436" t="n"/>
      <c r="T137" s="1437" t="n"/>
    </row>
    <row r="138">
      <c r="A138" s="1432" t="n"/>
      <c r="B138" s="1432" t="n"/>
      <c r="C138" s="1432" t="n"/>
      <c r="D138" s="1432" t="n"/>
      <c r="E138" s="1433" t="n"/>
      <c r="F138" s="1434">
        <f>IF(B138="","",IF(E138=0,0,G138/E138))</f>
        <v/>
      </c>
      <c r="G138" s="1434">
        <f>IF(B138="","",SUMIF('Resource Build-Up'!$B$7:$B$306,B138,'Resource Build-Up'!$Z$7:$Z$306))</f>
        <v/>
      </c>
      <c r="H138" s="1432" t="n"/>
      <c r="I138" s="1432" t="n"/>
      <c r="J138" s="1432" t="n"/>
      <c r="K138" s="1432" t="n"/>
      <c r="L138" s="1435">
        <f>IF(B138="","",IF(J138="Excluded","Excluded","Resource-linked"))</f>
        <v/>
      </c>
      <c r="M138" s="1435">
        <f>IF(B138="","",IF(G138=0,"No resource cost / review","Resource Build-Up -&gt; "&amp;B138))</f>
        <v/>
      </c>
      <c r="N138" s="1435">
        <f>IF(B138="","","Resource Build-Up")</f>
        <v/>
      </c>
      <c r="O138" s="1435">
        <f>IF(B138="","","See Resource Build-Up / Resource Rate Library")</f>
        <v/>
      </c>
      <c r="P138" s="1435" t="n"/>
      <c r="Q138" s="1432" t="n"/>
      <c r="R138" s="1397">
        <f>IF(OR(ISNUMBER(SEARCH("PC",P138)),ISNUMBER(SEARCH("quote",Q138))),"Jason","Rick")</f>
        <v/>
      </c>
      <c r="S138" s="1436" t="n"/>
      <c r="T138" s="1437" t="n"/>
    </row>
    <row r="139">
      <c r="A139" s="1432" t="n"/>
      <c r="B139" s="1432" t="n"/>
      <c r="C139" s="1432" t="n"/>
      <c r="D139" s="1432" t="n"/>
      <c r="E139" s="1433" t="n"/>
      <c r="F139" s="1434">
        <f>IF(B139="","",IF(E139=0,0,G139/E139))</f>
        <v/>
      </c>
      <c r="G139" s="1434">
        <f>IF(B139="","",SUMIF('Resource Build-Up'!$B$7:$B$306,B139,'Resource Build-Up'!$Z$7:$Z$306))</f>
        <v/>
      </c>
      <c r="H139" s="1432" t="n"/>
      <c r="I139" s="1432" t="n"/>
      <c r="J139" s="1432" t="n"/>
      <c r="K139" s="1432" t="n"/>
      <c r="L139" s="1435">
        <f>IF(B139="","",IF(J139="Excluded","Excluded","Resource-linked"))</f>
        <v/>
      </c>
      <c r="M139" s="1435">
        <f>IF(B139="","",IF(G139=0,"No resource cost / review","Resource Build-Up -&gt; "&amp;B139))</f>
        <v/>
      </c>
      <c r="N139" s="1435">
        <f>IF(B139="","","Resource Build-Up")</f>
        <v/>
      </c>
      <c r="O139" s="1435">
        <f>IF(B139="","","See Resource Build-Up / Resource Rate Library")</f>
        <v/>
      </c>
      <c r="P139" s="1435" t="n"/>
      <c r="Q139" s="1432" t="n"/>
      <c r="R139" s="1397">
        <f>IF(OR(ISNUMBER(SEARCH("PC",P139)),ISNUMBER(SEARCH("quote",Q139))),"Jason","Rick")</f>
        <v/>
      </c>
      <c r="S139" s="1436" t="n"/>
      <c r="T139" s="1437" t="n"/>
    </row>
    <row r="140">
      <c r="A140" s="1432" t="n"/>
      <c r="B140" s="1432" t="n"/>
      <c r="C140" s="1432" t="n"/>
      <c r="D140" s="1432" t="n"/>
      <c r="E140" s="1433" t="n"/>
      <c r="F140" s="1434">
        <f>IF(B140="","",IF(E140=0,0,G140/E140))</f>
        <v/>
      </c>
      <c r="G140" s="1434">
        <f>IF(B140="","",SUMIF('Resource Build-Up'!$B$7:$B$306,B140,'Resource Build-Up'!$Z$7:$Z$306))</f>
        <v/>
      </c>
      <c r="H140" s="1432" t="n"/>
      <c r="I140" s="1432" t="n"/>
      <c r="J140" s="1432" t="n"/>
      <c r="K140" s="1432" t="n"/>
      <c r="L140" s="1435">
        <f>IF(B140="","",IF(J140="Excluded","Excluded","Resource-linked"))</f>
        <v/>
      </c>
      <c r="M140" s="1435">
        <f>IF(B140="","",IF(G140=0,"No resource cost / review","Resource Build-Up -&gt; "&amp;B140))</f>
        <v/>
      </c>
      <c r="N140" s="1435">
        <f>IF(B140="","","Resource Build-Up")</f>
        <v/>
      </c>
      <c r="O140" s="1435">
        <f>IF(B140="","","See Resource Build-Up / Resource Rate Library")</f>
        <v/>
      </c>
      <c r="P140" s="1435" t="n"/>
      <c r="Q140" s="1432" t="n"/>
      <c r="R140" s="1397">
        <f>IF(OR(ISNUMBER(SEARCH("PC",P140)),ISNUMBER(SEARCH("quote",Q140))),"Jason","Rick")</f>
        <v/>
      </c>
      <c r="S140" s="1436" t="n"/>
      <c r="T140" s="1437" t="n"/>
    </row>
    <row r="141">
      <c r="A141" s="1432" t="n"/>
      <c r="B141" s="1432" t="n"/>
      <c r="C141" s="1432" t="n"/>
      <c r="D141" s="1432" t="n"/>
      <c r="E141" s="1433" t="n"/>
      <c r="F141" s="1434">
        <f>IF(B141="","",IF(E141=0,0,G141/E141))</f>
        <v/>
      </c>
      <c r="G141" s="1434">
        <f>IF(B141="","",SUMIF('Resource Build-Up'!$B$7:$B$306,B141,'Resource Build-Up'!$Z$7:$Z$306))</f>
        <v/>
      </c>
      <c r="H141" s="1432" t="n"/>
      <c r="I141" s="1432" t="n"/>
      <c r="J141" s="1432" t="n"/>
      <c r="K141" s="1432" t="n"/>
      <c r="L141" s="1435">
        <f>IF(B141="","",IF(J141="Excluded","Excluded","Resource-linked"))</f>
        <v/>
      </c>
      <c r="M141" s="1435">
        <f>IF(B141="","",IF(G141=0,"No resource cost / review","Resource Build-Up -&gt; "&amp;B141))</f>
        <v/>
      </c>
      <c r="N141" s="1435">
        <f>IF(B141="","","Resource Build-Up")</f>
        <v/>
      </c>
      <c r="O141" s="1435">
        <f>IF(B141="","","See Resource Build-Up / Resource Rate Library")</f>
        <v/>
      </c>
      <c r="P141" s="1435" t="n"/>
      <c r="Q141" s="1432" t="n"/>
      <c r="R141" s="1397">
        <f>IF(OR(ISNUMBER(SEARCH("PC",P141)),ISNUMBER(SEARCH("quote",Q141))),"Jason","Rick")</f>
        <v/>
      </c>
      <c r="S141" s="1436" t="n"/>
      <c r="T141" s="1437" t="n"/>
    </row>
    <row r="142">
      <c r="A142" s="1432" t="n"/>
      <c r="B142" s="1432" t="n"/>
      <c r="C142" s="1432" t="n"/>
      <c r="D142" s="1432" t="n"/>
      <c r="E142" s="1433" t="n"/>
      <c r="F142" s="1434">
        <f>IF(B142="","",IF(E142=0,0,G142/E142))</f>
        <v/>
      </c>
      <c r="G142" s="1434">
        <f>IF(B142="","",SUMIF('Resource Build-Up'!$B$7:$B$306,B142,'Resource Build-Up'!$Z$7:$Z$306))</f>
        <v/>
      </c>
      <c r="H142" s="1432" t="n"/>
      <c r="I142" s="1432" t="n"/>
      <c r="J142" s="1432" t="n"/>
      <c r="K142" s="1432" t="n"/>
      <c r="L142" s="1435">
        <f>IF(B142="","",IF(J142="Excluded","Excluded","Resource-linked"))</f>
        <v/>
      </c>
      <c r="M142" s="1435">
        <f>IF(B142="","",IF(G142=0,"No resource cost / review","Resource Build-Up -&gt; "&amp;B142))</f>
        <v/>
      </c>
      <c r="N142" s="1435">
        <f>IF(B142="","","Resource Build-Up")</f>
        <v/>
      </c>
      <c r="O142" s="1435">
        <f>IF(B142="","","See Resource Build-Up / Resource Rate Library")</f>
        <v/>
      </c>
      <c r="P142" s="1435" t="n"/>
      <c r="Q142" s="1432" t="n"/>
      <c r="R142" s="1397">
        <f>IF(OR(ISNUMBER(SEARCH("PC",P142)),ISNUMBER(SEARCH("quote",Q142))),"Jason","Rick")</f>
        <v/>
      </c>
      <c r="S142" s="1436" t="n"/>
      <c r="T142" s="1437" t="n"/>
    </row>
    <row r="143">
      <c r="A143" s="1432" t="n"/>
      <c r="B143" s="1432" t="n"/>
      <c r="C143" s="1432" t="n"/>
      <c r="D143" s="1432" t="n"/>
      <c r="E143" s="1433" t="n"/>
      <c r="F143" s="1434">
        <f>IF(B143="","",IF(E143=0,0,G143/E143))</f>
        <v/>
      </c>
      <c r="G143" s="1434">
        <f>IF(B143="","",SUMIF('Resource Build-Up'!$B$7:$B$306,B143,'Resource Build-Up'!$Z$7:$Z$306))</f>
        <v/>
      </c>
      <c r="H143" s="1432" t="n"/>
      <c r="I143" s="1432" t="n"/>
      <c r="J143" s="1432" t="n"/>
      <c r="K143" s="1432" t="n"/>
      <c r="L143" s="1435">
        <f>IF(B143="","",IF(J143="Excluded","Excluded","Resource-linked"))</f>
        <v/>
      </c>
      <c r="M143" s="1435">
        <f>IF(B143="","",IF(G143=0,"No resource cost / review","Resource Build-Up -&gt; "&amp;B143))</f>
        <v/>
      </c>
      <c r="N143" s="1435">
        <f>IF(B143="","","Resource Build-Up")</f>
        <v/>
      </c>
      <c r="O143" s="1435">
        <f>IF(B143="","","See Resource Build-Up / Resource Rate Library")</f>
        <v/>
      </c>
      <c r="P143" s="1435" t="n"/>
      <c r="Q143" s="1432" t="n"/>
      <c r="R143" s="1397">
        <f>IF(OR(ISNUMBER(SEARCH("PC",P143)),ISNUMBER(SEARCH("quote",Q143))),"Jason","Rick")</f>
        <v/>
      </c>
      <c r="S143" s="1436" t="n"/>
      <c r="T143" s="1437" t="n"/>
    </row>
    <row r="144">
      <c r="A144" s="1432" t="n"/>
      <c r="B144" s="1432" t="n"/>
      <c r="C144" s="1432" t="n"/>
      <c r="D144" s="1432" t="n"/>
      <c r="E144" s="1433" t="n"/>
      <c r="F144" s="1434">
        <f>IF(B144="","",IF(E144=0,0,G144/E144))</f>
        <v/>
      </c>
      <c r="G144" s="1434">
        <f>IF(B144="","",SUMIF('Resource Build-Up'!$B$7:$B$306,B144,'Resource Build-Up'!$Z$7:$Z$306))</f>
        <v/>
      </c>
      <c r="H144" s="1432" t="n"/>
      <c r="I144" s="1432" t="n"/>
      <c r="J144" s="1432" t="n"/>
      <c r="K144" s="1432" t="n"/>
      <c r="L144" s="1435">
        <f>IF(B144="","",IF(J144="Excluded","Excluded","Resource-linked"))</f>
        <v/>
      </c>
      <c r="M144" s="1435">
        <f>IF(B144="","",IF(G144=0,"No resource cost / review","Resource Build-Up -&gt; "&amp;B144))</f>
        <v/>
      </c>
      <c r="N144" s="1435">
        <f>IF(B144="","","Resource Build-Up")</f>
        <v/>
      </c>
      <c r="O144" s="1435">
        <f>IF(B144="","","See Resource Build-Up / Resource Rate Library")</f>
        <v/>
      </c>
      <c r="P144" s="1435" t="n"/>
      <c r="Q144" s="1432" t="n"/>
      <c r="R144" s="1397">
        <f>IF(OR(ISNUMBER(SEARCH("PC",P144)),ISNUMBER(SEARCH("quote",Q144))),"Jason","Rick")</f>
        <v/>
      </c>
      <c r="S144" s="1436" t="n"/>
      <c r="T144" s="1437" t="n"/>
    </row>
    <row r="145">
      <c r="A145" s="1432" t="n"/>
      <c r="B145" s="1432" t="n"/>
      <c r="C145" s="1432" t="n"/>
      <c r="D145" s="1432" t="n"/>
      <c r="E145" s="1433" t="n"/>
      <c r="F145" s="1434">
        <f>IF(B145="","",IF(E145=0,0,G145/E145))</f>
        <v/>
      </c>
      <c r="G145" s="1434">
        <f>IF(B145="","",SUMIF('Resource Build-Up'!$B$7:$B$306,B145,'Resource Build-Up'!$Z$7:$Z$306))</f>
        <v/>
      </c>
      <c r="H145" s="1432" t="n"/>
      <c r="I145" s="1432" t="n"/>
      <c r="J145" s="1432" t="n"/>
      <c r="K145" s="1432" t="n"/>
      <c r="L145" s="1435">
        <f>IF(B145="","",IF(J145="Excluded","Excluded","Resource-linked"))</f>
        <v/>
      </c>
      <c r="M145" s="1435">
        <f>IF(B145="","",IF(G145=0,"No resource cost / review","Resource Build-Up -&gt; "&amp;B145))</f>
        <v/>
      </c>
      <c r="N145" s="1435">
        <f>IF(B145="","","Resource Build-Up")</f>
        <v/>
      </c>
      <c r="O145" s="1435">
        <f>IF(B145="","","See Resource Build-Up / Resource Rate Library")</f>
        <v/>
      </c>
      <c r="P145" s="1435" t="n"/>
      <c r="Q145" s="1432" t="n"/>
      <c r="R145" s="1397">
        <f>IF(OR(ISNUMBER(SEARCH("PC",P145)),ISNUMBER(SEARCH("quote",Q145))),"Jason","Rick")</f>
        <v/>
      </c>
      <c r="S145" s="1436" t="n"/>
      <c r="T145" s="1437" t="n"/>
    </row>
    <row r="146">
      <c r="A146" s="1432" t="n"/>
      <c r="B146" s="1432" t="n"/>
      <c r="C146" s="1432" t="n"/>
      <c r="D146" s="1432" t="n"/>
      <c r="E146" s="1433" t="n"/>
      <c r="F146" s="1434">
        <f>IF(B146="","",IF(E146=0,0,G146/E146))</f>
        <v/>
      </c>
      <c r="G146" s="1434">
        <f>IF(B146="","",SUMIF('Resource Build-Up'!$B$7:$B$306,B146,'Resource Build-Up'!$Z$7:$Z$306))</f>
        <v/>
      </c>
      <c r="H146" s="1432" t="n"/>
      <c r="I146" s="1432" t="n"/>
      <c r="J146" s="1432" t="n"/>
      <c r="K146" s="1432" t="n"/>
      <c r="L146" s="1435">
        <f>IF(B146="","",IF(J146="Excluded","Excluded","Resource-linked"))</f>
        <v/>
      </c>
      <c r="M146" s="1435">
        <f>IF(B146="","",IF(G146=0,"No resource cost / review","Resource Build-Up -&gt; "&amp;B146))</f>
        <v/>
      </c>
      <c r="N146" s="1435">
        <f>IF(B146="","","Resource Build-Up")</f>
        <v/>
      </c>
      <c r="O146" s="1435">
        <f>IF(B146="","","See Resource Build-Up / Resource Rate Library")</f>
        <v/>
      </c>
      <c r="P146" s="1435" t="n"/>
      <c r="Q146" s="1432" t="n"/>
      <c r="R146" s="1397">
        <f>IF(OR(ISNUMBER(SEARCH("PC",P146)),ISNUMBER(SEARCH("quote",Q146))),"Jason","Rick")</f>
        <v/>
      </c>
      <c r="S146" s="1436" t="n"/>
      <c r="T146" s="1437" t="n"/>
    </row>
    <row r="147">
      <c r="A147" s="1432" t="n"/>
      <c r="B147" s="1432" t="n"/>
      <c r="C147" s="1432" t="n"/>
      <c r="D147" s="1432" t="n"/>
      <c r="E147" s="1433" t="n"/>
      <c r="F147" s="1434">
        <f>IF(B147="","",IF(E147=0,0,G147/E147))</f>
        <v/>
      </c>
      <c r="G147" s="1434">
        <f>IF(B147="","",SUMIF('Resource Build-Up'!$B$7:$B$306,B147,'Resource Build-Up'!$Z$7:$Z$306))</f>
        <v/>
      </c>
      <c r="H147" s="1432" t="n"/>
      <c r="I147" s="1432" t="n"/>
      <c r="J147" s="1432" t="n"/>
      <c r="K147" s="1432" t="n"/>
      <c r="L147" s="1435">
        <f>IF(B147="","",IF(J147="Excluded","Excluded","Resource-linked"))</f>
        <v/>
      </c>
      <c r="M147" s="1435">
        <f>IF(B147="","",IF(G147=0,"No resource cost / review","Resource Build-Up -&gt; "&amp;B147))</f>
        <v/>
      </c>
      <c r="N147" s="1435">
        <f>IF(B147="","","Resource Build-Up")</f>
        <v/>
      </c>
      <c r="O147" s="1435">
        <f>IF(B147="","","See Resource Build-Up / Resource Rate Library")</f>
        <v/>
      </c>
      <c r="P147" s="1435" t="n"/>
      <c r="Q147" s="1432" t="n"/>
      <c r="R147" s="1397">
        <f>IF(OR(ISNUMBER(SEARCH("PC",P147)),ISNUMBER(SEARCH("quote",Q147))),"Jason","Rick")</f>
        <v/>
      </c>
      <c r="S147" s="1436" t="n"/>
      <c r="T147" s="1437" t="n"/>
    </row>
    <row r="148">
      <c r="A148" s="1432" t="n"/>
      <c r="B148" s="1432" t="n"/>
      <c r="C148" s="1432" t="n"/>
      <c r="D148" s="1432" t="n"/>
      <c r="E148" s="1433" t="n"/>
      <c r="F148" s="1434">
        <f>IF(B148="","",IF(E148=0,0,G148/E148))</f>
        <v/>
      </c>
      <c r="G148" s="1434">
        <f>IF(B148="","",SUMIF('Resource Build-Up'!$B$7:$B$306,B148,'Resource Build-Up'!$Z$7:$Z$306))</f>
        <v/>
      </c>
      <c r="H148" s="1432" t="n"/>
      <c r="I148" s="1432" t="n"/>
      <c r="J148" s="1432" t="n"/>
      <c r="K148" s="1432" t="n"/>
      <c r="L148" s="1435">
        <f>IF(B148="","",IF(J148="Excluded","Excluded","Resource-linked"))</f>
        <v/>
      </c>
      <c r="M148" s="1435">
        <f>IF(B148="","",IF(G148=0,"No resource cost / review","Resource Build-Up -&gt; "&amp;B148))</f>
        <v/>
      </c>
      <c r="N148" s="1435">
        <f>IF(B148="","","Resource Build-Up")</f>
        <v/>
      </c>
      <c r="O148" s="1435">
        <f>IF(B148="","","See Resource Build-Up / Resource Rate Library")</f>
        <v/>
      </c>
      <c r="P148" s="1435" t="n"/>
      <c r="Q148" s="1432" t="n"/>
      <c r="R148" s="1397">
        <f>IF(OR(ISNUMBER(SEARCH("PC",P148)),ISNUMBER(SEARCH("quote",Q148))),"Jason","Rick")</f>
        <v/>
      </c>
      <c r="S148" s="1436" t="n"/>
      <c r="T148" s="1437" t="n"/>
    </row>
    <row r="149">
      <c r="A149" s="1432" t="n"/>
      <c r="B149" s="1432" t="n"/>
      <c r="C149" s="1432" t="n"/>
      <c r="D149" s="1432" t="n"/>
      <c r="E149" s="1433" t="n"/>
      <c r="F149" s="1434">
        <f>IF(B149="","",IF(E149=0,0,G149/E149))</f>
        <v/>
      </c>
      <c r="G149" s="1434">
        <f>IF(B149="","",SUMIF('Resource Build-Up'!$B$7:$B$306,B149,'Resource Build-Up'!$Z$7:$Z$306))</f>
        <v/>
      </c>
      <c r="H149" s="1432" t="n"/>
      <c r="I149" s="1432" t="n"/>
      <c r="J149" s="1432" t="n"/>
      <c r="K149" s="1432" t="n"/>
      <c r="L149" s="1435">
        <f>IF(B149="","",IF(J149="Excluded","Excluded","Resource-linked"))</f>
        <v/>
      </c>
      <c r="M149" s="1435">
        <f>IF(B149="","",IF(G149=0,"No resource cost / review","Resource Build-Up -&gt; "&amp;B149))</f>
        <v/>
      </c>
      <c r="N149" s="1435">
        <f>IF(B149="","","Resource Build-Up")</f>
        <v/>
      </c>
      <c r="O149" s="1435">
        <f>IF(B149="","","See Resource Build-Up / Resource Rate Library")</f>
        <v/>
      </c>
      <c r="P149" s="1435" t="n"/>
      <c r="Q149" s="1432" t="n"/>
      <c r="R149" s="1397">
        <f>IF(OR(ISNUMBER(SEARCH("PC",P149)),ISNUMBER(SEARCH("quote",Q149))),"Jason","Rick")</f>
        <v/>
      </c>
      <c r="S149" s="1436" t="n"/>
      <c r="T149" s="1437" t="n"/>
    </row>
    <row r="150">
      <c r="A150" s="1432" t="n"/>
      <c r="B150" s="1432" t="n"/>
      <c r="C150" s="1432" t="n"/>
      <c r="D150" s="1432" t="n"/>
      <c r="E150" s="1433" t="n"/>
      <c r="F150" s="1434">
        <f>IF(B150="","",IF(E150=0,0,G150/E150))</f>
        <v/>
      </c>
      <c r="G150" s="1434">
        <f>IF(B150="","",SUMIF('Resource Build-Up'!$B$7:$B$306,B150,'Resource Build-Up'!$Z$7:$Z$306))</f>
        <v/>
      </c>
      <c r="H150" s="1432" t="n"/>
      <c r="I150" s="1432" t="n"/>
      <c r="J150" s="1432" t="n"/>
      <c r="K150" s="1432" t="n"/>
      <c r="L150" s="1435">
        <f>IF(B150="","",IF(J150="Excluded","Excluded","Resource-linked"))</f>
        <v/>
      </c>
      <c r="M150" s="1435">
        <f>IF(B150="","",IF(G150=0,"No resource cost / review","Resource Build-Up -&gt; "&amp;B150))</f>
        <v/>
      </c>
      <c r="N150" s="1435">
        <f>IF(B150="","","Resource Build-Up")</f>
        <v/>
      </c>
      <c r="O150" s="1435">
        <f>IF(B150="","","See Resource Build-Up / Resource Rate Library")</f>
        <v/>
      </c>
      <c r="P150" s="1435" t="n"/>
      <c r="Q150" s="1432" t="n"/>
      <c r="R150" s="1397">
        <f>IF(OR(ISNUMBER(SEARCH("PC",P150)),ISNUMBER(SEARCH("quote",Q150))),"Jason","Rick")</f>
        <v/>
      </c>
      <c r="S150" s="1436" t="n"/>
      <c r="T150" s="1437" t="n"/>
    </row>
    <row r="151">
      <c r="A151" s="1432" t="n"/>
      <c r="B151" s="1432" t="n"/>
      <c r="C151" s="1432" t="n"/>
      <c r="D151" s="1432" t="n"/>
      <c r="E151" s="1433" t="n"/>
      <c r="F151" s="1434">
        <f>IF(B151="","",IF(E151=0,0,G151/E151))</f>
        <v/>
      </c>
      <c r="G151" s="1434">
        <f>IF(B151="","",SUMIF('Resource Build-Up'!$B$7:$B$306,B151,'Resource Build-Up'!$Z$7:$Z$306))</f>
        <v/>
      </c>
      <c r="H151" s="1432" t="n"/>
      <c r="I151" s="1432" t="n"/>
      <c r="J151" s="1432" t="n"/>
      <c r="K151" s="1432" t="n"/>
      <c r="L151" s="1435">
        <f>IF(B151="","",IF(J151="Excluded","Excluded","Resource-linked"))</f>
        <v/>
      </c>
      <c r="M151" s="1435">
        <f>IF(B151="","",IF(G151=0,"No resource cost / review","Resource Build-Up -&gt; "&amp;B151))</f>
        <v/>
      </c>
      <c r="N151" s="1435">
        <f>IF(B151="","","Resource Build-Up")</f>
        <v/>
      </c>
      <c r="O151" s="1435">
        <f>IF(B151="","","See Resource Build-Up / Resource Rate Library")</f>
        <v/>
      </c>
      <c r="P151" s="1435" t="n"/>
      <c r="Q151" s="1432" t="n"/>
      <c r="R151" s="1397">
        <f>IF(OR(ISNUMBER(SEARCH("PC",P151)),ISNUMBER(SEARCH("quote",Q151))),"Jason","Rick")</f>
        <v/>
      </c>
      <c r="S151" s="1436" t="n"/>
      <c r="T151" s="1437" t="n"/>
    </row>
    <row r="152">
      <c r="A152" s="1432" t="n"/>
      <c r="B152" s="1432" t="n"/>
      <c r="C152" s="1432" t="n"/>
      <c r="D152" s="1432" t="n"/>
      <c r="E152" s="1433" t="n"/>
      <c r="F152" s="1434">
        <f>IF(B152="","",IF(E152=0,0,G152/E152))</f>
        <v/>
      </c>
      <c r="G152" s="1434">
        <f>IF(B152="","",SUMIF('Resource Build-Up'!$B$7:$B$306,B152,'Resource Build-Up'!$Z$7:$Z$306))</f>
        <v/>
      </c>
      <c r="H152" s="1432" t="n"/>
      <c r="I152" s="1432" t="n"/>
      <c r="J152" s="1432" t="n"/>
      <c r="K152" s="1432" t="n"/>
      <c r="L152" s="1435">
        <f>IF(B152="","",IF(J152="Excluded","Excluded","Resource-linked"))</f>
        <v/>
      </c>
      <c r="M152" s="1435">
        <f>IF(B152="","",IF(G152=0,"No resource cost / review","Resource Build-Up -&gt; "&amp;B152))</f>
        <v/>
      </c>
      <c r="N152" s="1435">
        <f>IF(B152="","","Resource Build-Up")</f>
        <v/>
      </c>
      <c r="O152" s="1435">
        <f>IF(B152="","","See Resource Build-Up / Resource Rate Library")</f>
        <v/>
      </c>
      <c r="P152" s="1435" t="n"/>
      <c r="Q152" s="1432" t="n"/>
      <c r="R152" s="1397">
        <f>IF(OR(ISNUMBER(SEARCH("PC",P152)),ISNUMBER(SEARCH("quote",Q152))),"Jason","Rick")</f>
        <v/>
      </c>
      <c r="S152" s="1436" t="n"/>
      <c r="T152" s="1437" t="n"/>
    </row>
    <row r="153">
      <c r="A153" s="1432" t="n"/>
      <c r="B153" s="1432" t="n"/>
      <c r="C153" s="1432" t="n"/>
      <c r="D153" s="1432" t="n"/>
      <c r="E153" s="1433" t="n"/>
      <c r="F153" s="1434">
        <f>IF(B153="","",IF(E153=0,0,G153/E153))</f>
        <v/>
      </c>
      <c r="G153" s="1434">
        <f>IF(B153="","",SUMIF('Resource Build-Up'!$B$7:$B$306,B153,'Resource Build-Up'!$Z$7:$Z$306))</f>
        <v/>
      </c>
      <c r="H153" s="1432" t="n"/>
      <c r="I153" s="1432" t="n"/>
      <c r="J153" s="1432" t="n"/>
      <c r="K153" s="1432" t="n"/>
      <c r="L153" s="1435">
        <f>IF(B153="","",IF(J153="Excluded","Excluded","Resource-linked"))</f>
        <v/>
      </c>
      <c r="M153" s="1435">
        <f>IF(B153="","",IF(G153=0,"No resource cost / review","Resource Build-Up -&gt; "&amp;B153))</f>
        <v/>
      </c>
      <c r="N153" s="1435">
        <f>IF(B153="","","Resource Build-Up")</f>
        <v/>
      </c>
      <c r="O153" s="1435">
        <f>IF(B153="","","See Resource Build-Up / Resource Rate Library")</f>
        <v/>
      </c>
      <c r="P153" s="1435" t="n"/>
      <c r="Q153" s="1432" t="n"/>
      <c r="R153" s="1397">
        <f>IF(OR(ISNUMBER(SEARCH("PC",P153)),ISNUMBER(SEARCH("quote",Q153))),"Jason","Rick")</f>
        <v/>
      </c>
      <c r="S153" s="1436" t="n"/>
      <c r="T153" s="1437" t="n"/>
    </row>
    <row r="154">
      <c r="A154" s="1432" t="n"/>
      <c r="B154" s="1432" t="n"/>
      <c r="C154" s="1432" t="n"/>
      <c r="D154" s="1432" t="n"/>
      <c r="E154" s="1433" t="n"/>
      <c r="F154" s="1434">
        <f>IF(B154="","",IF(E154=0,0,G154/E154))</f>
        <v/>
      </c>
      <c r="G154" s="1434">
        <f>IF(B154="","",SUMIF('Resource Build-Up'!$B$7:$B$306,B154,'Resource Build-Up'!$Z$7:$Z$306))</f>
        <v/>
      </c>
      <c r="H154" s="1432" t="n"/>
      <c r="I154" s="1432" t="n"/>
      <c r="J154" s="1432" t="n"/>
      <c r="K154" s="1432" t="n"/>
      <c r="L154" s="1435">
        <f>IF(B154="","",IF(J154="Excluded","Excluded","Resource-linked"))</f>
        <v/>
      </c>
      <c r="M154" s="1435">
        <f>IF(B154="","",IF(G154=0,"No resource cost / review","Resource Build-Up -&gt; "&amp;B154))</f>
        <v/>
      </c>
      <c r="N154" s="1435">
        <f>IF(B154="","","Resource Build-Up")</f>
        <v/>
      </c>
      <c r="O154" s="1435">
        <f>IF(B154="","","See Resource Build-Up / Resource Rate Library")</f>
        <v/>
      </c>
      <c r="P154" s="1435" t="n"/>
      <c r="Q154" s="1432" t="n"/>
      <c r="R154" s="1397">
        <f>IF(OR(ISNUMBER(SEARCH("PC",P154)),ISNUMBER(SEARCH("quote",Q154))),"Jason","Rick")</f>
        <v/>
      </c>
      <c r="S154" s="1436" t="n"/>
      <c r="T154" s="1437" t="n"/>
    </row>
    <row r="155">
      <c r="A155" s="1432" t="n"/>
      <c r="B155" s="1432" t="n"/>
      <c r="C155" s="1432" t="n"/>
      <c r="D155" s="1432" t="n"/>
      <c r="E155" s="1433" t="n"/>
      <c r="F155" s="1434">
        <f>IF(B155="","",IF(E155=0,0,G155/E155))</f>
        <v/>
      </c>
      <c r="G155" s="1434">
        <f>IF(B155="","",SUMIF('Resource Build-Up'!$B$7:$B$306,B155,'Resource Build-Up'!$Z$7:$Z$306))</f>
        <v/>
      </c>
      <c r="H155" s="1432" t="n"/>
      <c r="I155" s="1432" t="n"/>
      <c r="J155" s="1432" t="n"/>
      <c r="K155" s="1432" t="n"/>
      <c r="L155" s="1435">
        <f>IF(B155="","",IF(J155="Excluded","Excluded","Resource-linked"))</f>
        <v/>
      </c>
      <c r="M155" s="1435">
        <f>IF(B155="","",IF(G155=0,"No resource cost / review","Resource Build-Up -&gt; "&amp;B155))</f>
        <v/>
      </c>
      <c r="N155" s="1435">
        <f>IF(B155="","","Resource Build-Up")</f>
        <v/>
      </c>
      <c r="O155" s="1435">
        <f>IF(B155="","","See Resource Build-Up / Resource Rate Library")</f>
        <v/>
      </c>
      <c r="P155" s="1435" t="n"/>
      <c r="Q155" s="1432" t="n"/>
      <c r="R155" s="1397">
        <f>IF(OR(ISNUMBER(SEARCH("PC",P155)),ISNUMBER(SEARCH("quote",Q155))),"Jason","Rick")</f>
        <v/>
      </c>
      <c r="S155" s="1436" t="n"/>
      <c r="T155" s="1437" t="n"/>
    </row>
    <row r="156">
      <c r="A156" s="1432" t="n"/>
      <c r="B156" s="1432" t="n"/>
      <c r="C156" s="1432" t="n"/>
      <c r="D156" s="1432" t="n"/>
      <c r="E156" s="1433" t="n"/>
      <c r="F156" s="1434">
        <f>IF(B156="","",IF(E156=0,0,G156/E156))</f>
        <v/>
      </c>
      <c r="G156" s="1434">
        <f>IF(B156="","",SUMIF('Resource Build-Up'!$B$7:$B$306,B156,'Resource Build-Up'!$Z$7:$Z$306))</f>
        <v/>
      </c>
      <c r="H156" s="1432" t="n"/>
      <c r="I156" s="1432" t="n"/>
      <c r="J156" s="1432" t="n"/>
      <c r="K156" s="1432" t="n"/>
      <c r="L156" s="1435">
        <f>IF(B156="","",IF(J156="Excluded","Excluded","Resource-linked"))</f>
        <v/>
      </c>
      <c r="M156" s="1435">
        <f>IF(B156="","",IF(G156=0,"No resource cost / review","Resource Build-Up -&gt; "&amp;B156))</f>
        <v/>
      </c>
      <c r="N156" s="1435">
        <f>IF(B156="","","Resource Build-Up")</f>
        <v/>
      </c>
      <c r="O156" s="1435">
        <f>IF(B156="","","See Resource Build-Up / Resource Rate Library")</f>
        <v/>
      </c>
      <c r="P156" s="1435" t="n"/>
      <c r="Q156" s="1432" t="n"/>
      <c r="R156" s="1397">
        <f>IF(OR(ISNUMBER(SEARCH("PC",P156)),ISNUMBER(SEARCH("quote",Q156))),"Jason","Rick")</f>
        <v/>
      </c>
      <c r="S156" s="1436" t="n"/>
      <c r="T156" s="1437" t="n"/>
    </row>
    <row r="157">
      <c r="A157" s="1432" t="n"/>
      <c r="B157" s="1432" t="n"/>
      <c r="C157" s="1432" t="n"/>
      <c r="D157" s="1432" t="n"/>
      <c r="E157" s="1433" t="n"/>
      <c r="F157" s="1434">
        <f>IF(B157="","",IF(E157=0,0,G157/E157))</f>
        <v/>
      </c>
      <c r="G157" s="1434">
        <f>IF(B157="","",SUMIF('Resource Build-Up'!$B$7:$B$306,B157,'Resource Build-Up'!$Z$7:$Z$306))</f>
        <v/>
      </c>
      <c r="H157" s="1432" t="n"/>
      <c r="I157" s="1432" t="n"/>
      <c r="J157" s="1432" t="n"/>
      <c r="K157" s="1432" t="n"/>
      <c r="L157" s="1435">
        <f>IF(B157="","",IF(J157="Excluded","Excluded","Resource-linked"))</f>
        <v/>
      </c>
      <c r="M157" s="1435">
        <f>IF(B157="","",IF(G157=0,"No resource cost / review","Resource Build-Up -&gt; "&amp;B157))</f>
        <v/>
      </c>
      <c r="N157" s="1435">
        <f>IF(B157="","","Resource Build-Up")</f>
        <v/>
      </c>
      <c r="O157" s="1435">
        <f>IF(B157="","","See Resource Build-Up / Resource Rate Library")</f>
        <v/>
      </c>
      <c r="P157" s="1435" t="n"/>
      <c r="Q157" s="1432" t="n"/>
      <c r="R157" s="1397">
        <f>IF(OR(ISNUMBER(SEARCH("PC",P157)),ISNUMBER(SEARCH("quote",Q157))),"Jason","Rick")</f>
        <v/>
      </c>
      <c r="S157" s="1436" t="n"/>
      <c r="T157" s="1437" t="n"/>
    </row>
    <row r="158">
      <c r="A158" s="1432" t="n"/>
      <c r="B158" s="1432" t="n"/>
      <c r="C158" s="1432" t="n"/>
      <c r="D158" s="1432" t="n"/>
      <c r="E158" s="1433" t="n"/>
      <c r="F158" s="1434">
        <f>IF(B158="","",IF(E158=0,0,G158/E158))</f>
        <v/>
      </c>
      <c r="G158" s="1434">
        <f>IF(B158="","",SUMIF('Resource Build-Up'!$B$7:$B$306,B158,'Resource Build-Up'!$Z$7:$Z$306))</f>
        <v/>
      </c>
      <c r="H158" s="1432" t="n"/>
      <c r="I158" s="1432" t="n"/>
      <c r="J158" s="1432" t="n"/>
      <c r="K158" s="1432" t="n"/>
      <c r="L158" s="1435">
        <f>IF(B158="","",IF(J158="Excluded","Excluded","Resource-linked"))</f>
        <v/>
      </c>
      <c r="M158" s="1435">
        <f>IF(B158="","",IF(G158=0,"No resource cost / review","Resource Build-Up -&gt; "&amp;B158))</f>
        <v/>
      </c>
      <c r="N158" s="1435">
        <f>IF(B158="","","Resource Build-Up")</f>
        <v/>
      </c>
      <c r="O158" s="1435">
        <f>IF(B158="","","See Resource Build-Up / Resource Rate Library")</f>
        <v/>
      </c>
      <c r="P158" s="1435" t="n"/>
      <c r="Q158" s="1432" t="n"/>
      <c r="R158" s="1397">
        <f>IF(OR(ISNUMBER(SEARCH("PC",P158)),ISNUMBER(SEARCH("quote",Q158))),"Jason","Rick")</f>
        <v/>
      </c>
      <c r="S158" s="1436" t="n"/>
      <c r="T158" s="1437" t="n"/>
    </row>
    <row r="159">
      <c r="A159" s="1432" t="n"/>
      <c r="B159" s="1432" t="n"/>
      <c r="C159" s="1432" t="n"/>
      <c r="D159" s="1432" t="n"/>
      <c r="E159" s="1433" t="n"/>
      <c r="F159" s="1434">
        <f>IF(B159="","",IF(E159=0,0,G159/E159))</f>
        <v/>
      </c>
      <c r="G159" s="1434">
        <f>IF(B159="","",SUMIF('Resource Build-Up'!$B$7:$B$306,B159,'Resource Build-Up'!$Z$7:$Z$306))</f>
        <v/>
      </c>
      <c r="H159" s="1432" t="n"/>
      <c r="I159" s="1432" t="n"/>
      <c r="J159" s="1432" t="n"/>
      <c r="K159" s="1432" t="n"/>
      <c r="L159" s="1435">
        <f>IF(B159="","",IF(J159="Excluded","Excluded","Resource-linked"))</f>
        <v/>
      </c>
      <c r="M159" s="1435">
        <f>IF(B159="","",IF(G159=0,"No resource cost / review","Resource Build-Up -&gt; "&amp;B159))</f>
        <v/>
      </c>
      <c r="N159" s="1435">
        <f>IF(B159="","","Resource Build-Up")</f>
        <v/>
      </c>
      <c r="O159" s="1435">
        <f>IF(B159="","","See Resource Build-Up / Resource Rate Library")</f>
        <v/>
      </c>
      <c r="P159" s="1435" t="n"/>
      <c r="Q159" s="1432" t="n"/>
      <c r="R159" s="1397">
        <f>IF(OR(ISNUMBER(SEARCH("PC",P159)),ISNUMBER(SEARCH("quote",Q159))),"Jason","Rick")</f>
        <v/>
      </c>
      <c r="S159" s="1436" t="n"/>
      <c r="T159" s="1437" t="n"/>
    </row>
    <row r="160">
      <c r="A160" s="1432" t="n"/>
      <c r="B160" s="1432" t="n"/>
      <c r="C160" s="1432" t="n"/>
      <c r="D160" s="1432" t="n"/>
      <c r="E160" s="1433" t="n"/>
      <c r="F160" s="1434">
        <f>IF(B160="","",IF(E160=0,0,G160/E160))</f>
        <v/>
      </c>
      <c r="G160" s="1434">
        <f>IF(B160="","",SUMIF('Resource Build-Up'!$B$7:$B$306,B160,'Resource Build-Up'!$Z$7:$Z$306))</f>
        <v/>
      </c>
      <c r="H160" s="1432" t="n"/>
      <c r="I160" s="1432" t="n"/>
      <c r="J160" s="1432" t="n"/>
      <c r="K160" s="1432" t="n"/>
      <c r="L160" s="1435">
        <f>IF(B160="","",IF(J160="Excluded","Excluded","Resource-linked"))</f>
        <v/>
      </c>
      <c r="M160" s="1435">
        <f>IF(B160="","",IF(G160=0,"No resource cost / review","Resource Build-Up -&gt; "&amp;B160))</f>
        <v/>
      </c>
      <c r="N160" s="1435">
        <f>IF(B160="","","Resource Build-Up")</f>
        <v/>
      </c>
      <c r="O160" s="1435">
        <f>IF(B160="","","See Resource Build-Up / Resource Rate Library")</f>
        <v/>
      </c>
      <c r="P160" s="1435" t="n"/>
      <c r="Q160" s="1432" t="n"/>
      <c r="R160" s="1397">
        <f>IF(OR(ISNUMBER(SEARCH("PC",P160)),ISNUMBER(SEARCH("quote",Q160))),"Jason","Rick")</f>
        <v/>
      </c>
      <c r="S160" s="1436" t="n"/>
      <c r="T160" s="1437" t="n"/>
    </row>
    <row r="161">
      <c r="A161" s="1432" t="n"/>
      <c r="B161" s="1432" t="n"/>
      <c r="C161" s="1432" t="n"/>
      <c r="D161" s="1432" t="n"/>
      <c r="E161" s="1433" t="n"/>
      <c r="F161" s="1434">
        <f>IF(B161="","",IF(E161=0,0,G161/E161))</f>
        <v/>
      </c>
      <c r="G161" s="1434">
        <f>IF(B161="","",SUMIF('Resource Build-Up'!$B$7:$B$306,B161,'Resource Build-Up'!$Z$7:$Z$306))</f>
        <v/>
      </c>
      <c r="H161" s="1432" t="n"/>
      <c r="I161" s="1432" t="n"/>
      <c r="J161" s="1432" t="n"/>
      <c r="K161" s="1432" t="n"/>
      <c r="L161" s="1435">
        <f>IF(B161="","",IF(J161="Excluded","Excluded","Resource-linked"))</f>
        <v/>
      </c>
      <c r="M161" s="1435">
        <f>IF(B161="","",IF(G161=0,"No resource cost / review","Resource Build-Up -&gt; "&amp;B161))</f>
        <v/>
      </c>
      <c r="N161" s="1435">
        <f>IF(B161="","","Resource Build-Up")</f>
        <v/>
      </c>
      <c r="O161" s="1435">
        <f>IF(B161="","","See Resource Build-Up / Resource Rate Library")</f>
        <v/>
      </c>
      <c r="P161" s="1435" t="n"/>
      <c r="Q161" s="1432" t="n"/>
      <c r="R161" s="1397">
        <f>IF(OR(ISNUMBER(SEARCH("PC",P161)),ISNUMBER(SEARCH("quote",Q161))),"Jason","Rick")</f>
        <v/>
      </c>
      <c r="S161" s="1436" t="n"/>
      <c r="T161" s="1437" t="n"/>
    </row>
    <row r="162">
      <c r="A162" s="1432" t="n"/>
      <c r="B162" s="1432" t="n"/>
      <c r="C162" s="1432" t="n"/>
      <c r="D162" s="1432" t="n"/>
      <c r="E162" s="1433" t="n"/>
      <c r="F162" s="1434">
        <f>IF(B162="","",IF(E162=0,0,G162/E162))</f>
        <v/>
      </c>
      <c r="G162" s="1434">
        <f>IF(B162="","",SUMIF('Resource Build-Up'!$B$7:$B$306,B162,'Resource Build-Up'!$Z$7:$Z$306))</f>
        <v/>
      </c>
      <c r="H162" s="1432" t="n"/>
      <c r="I162" s="1432" t="n"/>
      <c r="J162" s="1432" t="n"/>
      <c r="K162" s="1432" t="n"/>
      <c r="L162" s="1435">
        <f>IF(B162="","",IF(J162="Excluded","Excluded","Resource-linked"))</f>
        <v/>
      </c>
      <c r="M162" s="1435">
        <f>IF(B162="","",IF(G162=0,"No resource cost / review","Resource Build-Up -&gt; "&amp;B162))</f>
        <v/>
      </c>
      <c r="N162" s="1435">
        <f>IF(B162="","","Resource Build-Up")</f>
        <v/>
      </c>
      <c r="O162" s="1435">
        <f>IF(B162="","","See Resource Build-Up / Resource Rate Library")</f>
        <v/>
      </c>
      <c r="P162" s="1435" t="n"/>
      <c r="Q162" s="1432" t="n"/>
      <c r="R162" s="1397">
        <f>IF(OR(ISNUMBER(SEARCH("PC",P162)),ISNUMBER(SEARCH("quote",Q162))),"Jason","Rick")</f>
        <v/>
      </c>
      <c r="S162" s="1436" t="n"/>
      <c r="T162" s="1437" t="n"/>
    </row>
    <row r="163">
      <c r="A163" s="1432" t="n"/>
      <c r="B163" s="1432" t="n"/>
      <c r="C163" s="1432" t="n"/>
      <c r="D163" s="1432" t="n"/>
      <c r="E163" s="1433" t="n"/>
      <c r="F163" s="1434">
        <f>IF(B163="","",IF(E163=0,0,G163/E163))</f>
        <v/>
      </c>
      <c r="G163" s="1434">
        <f>IF(B163="","",SUMIF('Resource Build-Up'!$B$7:$B$306,B163,'Resource Build-Up'!$Z$7:$Z$306))</f>
        <v/>
      </c>
      <c r="H163" s="1432" t="n"/>
      <c r="I163" s="1432" t="n"/>
      <c r="J163" s="1432" t="n"/>
      <c r="K163" s="1432" t="n"/>
      <c r="L163" s="1435">
        <f>IF(B163="","",IF(J163="Excluded","Excluded","Resource-linked"))</f>
        <v/>
      </c>
      <c r="M163" s="1435">
        <f>IF(B163="","",IF(G163=0,"No resource cost / review","Resource Build-Up -&gt; "&amp;B163))</f>
        <v/>
      </c>
      <c r="N163" s="1435">
        <f>IF(B163="","","Resource Build-Up")</f>
        <v/>
      </c>
      <c r="O163" s="1435">
        <f>IF(B163="","","See Resource Build-Up / Resource Rate Library")</f>
        <v/>
      </c>
      <c r="P163" s="1435" t="n"/>
      <c r="Q163" s="1432" t="n"/>
      <c r="R163" s="1397">
        <f>IF(OR(ISNUMBER(SEARCH("PC",P163)),ISNUMBER(SEARCH("quote",Q163))),"Jason","Rick")</f>
        <v/>
      </c>
      <c r="S163" s="1436" t="n"/>
      <c r="T163" s="1437" t="n"/>
    </row>
    <row r="164">
      <c r="A164" s="1432" t="n"/>
      <c r="B164" s="1432" t="n"/>
      <c r="C164" s="1432" t="n"/>
      <c r="D164" s="1432" t="n"/>
      <c r="E164" s="1433" t="n"/>
      <c r="F164" s="1434">
        <f>IF(B164="","",IF(E164=0,0,G164/E164))</f>
        <v/>
      </c>
      <c r="G164" s="1434">
        <f>IF(B164="","",SUMIF('Resource Build-Up'!$B$7:$B$306,B164,'Resource Build-Up'!$Z$7:$Z$306))</f>
        <v/>
      </c>
      <c r="H164" s="1432" t="n"/>
      <c r="I164" s="1432" t="n"/>
      <c r="J164" s="1432" t="n"/>
      <c r="K164" s="1432" t="n"/>
      <c r="L164" s="1435">
        <f>IF(B164="","",IF(J164="Excluded","Excluded","Resource-linked"))</f>
        <v/>
      </c>
      <c r="M164" s="1435">
        <f>IF(B164="","",IF(G164=0,"No resource cost / review","Resource Build-Up -&gt; "&amp;B164))</f>
        <v/>
      </c>
      <c r="N164" s="1435">
        <f>IF(B164="","","Resource Build-Up")</f>
        <v/>
      </c>
      <c r="O164" s="1435">
        <f>IF(B164="","","See Resource Build-Up / Resource Rate Library")</f>
        <v/>
      </c>
      <c r="P164" s="1435" t="n"/>
      <c r="Q164" s="1432" t="n"/>
      <c r="R164" s="1397">
        <f>IF(OR(ISNUMBER(SEARCH("PC",P164)),ISNUMBER(SEARCH("quote",Q164))),"Jason","Rick")</f>
        <v/>
      </c>
      <c r="S164" s="1436" t="n"/>
      <c r="T164" s="1437" t="n"/>
    </row>
    <row r="165">
      <c r="A165" s="1432" t="n"/>
      <c r="B165" s="1432" t="n"/>
      <c r="C165" s="1432" t="n"/>
      <c r="D165" s="1432" t="n"/>
      <c r="E165" s="1433" t="n"/>
      <c r="F165" s="1434">
        <f>IF(B165="","",IF(E165=0,0,G165/E165))</f>
        <v/>
      </c>
      <c r="G165" s="1434">
        <f>IF(B165="","",SUMIF('Resource Build-Up'!$B$7:$B$306,B165,'Resource Build-Up'!$Z$7:$Z$306))</f>
        <v/>
      </c>
      <c r="H165" s="1432" t="n"/>
      <c r="I165" s="1432" t="n"/>
      <c r="J165" s="1432" t="n"/>
      <c r="K165" s="1432" t="n"/>
      <c r="L165" s="1435">
        <f>IF(B165="","",IF(J165="Excluded","Excluded","Resource-linked"))</f>
        <v/>
      </c>
      <c r="M165" s="1435">
        <f>IF(B165="","",IF(G165=0,"No resource cost / review","Resource Build-Up -&gt; "&amp;B165))</f>
        <v/>
      </c>
      <c r="N165" s="1435">
        <f>IF(B165="","","Resource Build-Up")</f>
        <v/>
      </c>
      <c r="O165" s="1435">
        <f>IF(B165="","","See Resource Build-Up / Resource Rate Library")</f>
        <v/>
      </c>
      <c r="P165" s="1435" t="n"/>
      <c r="Q165" s="1432" t="n"/>
      <c r="R165" s="1397">
        <f>IF(OR(ISNUMBER(SEARCH("PC",P165)),ISNUMBER(SEARCH("quote",Q165))),"Jason","Rick")</f>
        <v/>
      </c>
      <c r="S165" s="1436" t="n"/>
      <c r="T165" s="1437" t="n"/>
    </row>
    <row r="166">
      <c r="A166" s="1432" t="n"/>
      <c r="B166" s="1432" t="n"/>
      <c r="C166" s="1432" t="n"/>
      <c r="D166" s="1432" t="n"/>
      <c r="E166" s="1433" t="n"/>
      <c r="F166" s="1434">
        <f>IF(B166="","",IF(E166=0,0,G166/E166))</f>
        <v/>
      </c>
      <c r="G166" s="1434">
        <f>IF(B166="","",SUMIF('Resource Build-Up'!$B$7:$B$306,B166,'Resource Build-Up'!$Z$7:$Z$306))</f>
        <v/>
      </c>
      <c r="H166" s="1432" t="n"/>
      <c r="I166" s="1432" t="n"/>
      <c r="J166" s="1432" t="n"/>
      <c r="K166" s="1432" t="n"/>
      <c r="L166" s="1435">
        <f>IF(B166="","",IF(J166="Excluded","Excluded","Resource-linked"))</f>
        <v/>
      </c>
      <c r="M166" s="1435">
        <f>IF(B166="","",IF(G166=0,"No resource cost / review","Resource Build-Up -&gt; "&amp;B166))</f>
        <v/>
      </c>
      <c r="N166" s="1435">
        <f>IF(B166="","","Resource Build-Up")</f>
        <v/>
      </c>
      <c r="O166" s="1435">
        <f>IF(B166="","","See Resource Build-Up / Resource Rate Library")</f>
        <v/>
      </c>
      <c r="P166" s="1435" t="n"/>
      <c r="Q166" s="1432" t="n"/>
      <c r="R166" s="1397">
        <f>IF(OR(ISNUMBER(SEARCH("PC",P166)),ISNUMBER(SEARCH("quote",Q166))),"Jason","Rick")</f>
        <v/>
      </c>
      <c r="S166" s="1436" t="n"/>
      <c r="T166" s="1437" t="n"/>
    </row>
    <row r="167">
      <c r="A167" s="1432" t="n"/>
      <c r="B167" s="1432" t="n"/>
      <c r="C167" s="1432" t="n"/>
      <c r="D167" s="1432" t="n"/>
      <c r="E167" s="1433" t="n"/>
      <c r="F167" s="1434">
        <f>IF(B167="","",IF(E167=0,0,G167/E167))</f>
        <v/>
      </c>
      <c r="G167" s="1434">
        <f>IF(B167="","",SUMIF('Resource Build-Up'!$B$7:$B$306,B167,'Resource Build-Up'!$Z$7:$Z$306))</f>
        <v/>
      </c>
      <c r="H167" s="1432" t="n"/>
      <c r="I167" s="1432" t="n"/>
      <c r="J167" s="1432" t="n"/>
      <c r="K167" s="1432" t="n"/>
      <c r="L167" s="1435">
        <f>IF(B167="","",IF(J167="Excluded","Excluded","Resource-linked"))</f>
        <v/>
      </c>
      <c r="M167" s="1435">
        <f>IF(B167="","",IF(G167=0,"No resource cost / review","Resource Build-Up -&gt; "&amp;B167))</f>
        <v/>
      </c>
      <c r="N167" s="1435">
        <f>IF(B167="","","Resource Build-Up")</f>
        <v/>
      </c>
      <c r="O167" s="1435">
        <f>IF(B167="","","See Resource Build-Up / Resource Rate Library")</f>
        <v/>
      </c>
      <c r="P167" s="1435" t="n"/>
      <c r="Q167" s="1432" t="n"/>
      <c r="R167" s="1397">
        <f>IF(OR(ISNUMBER(SEARCH("PC",P167)),ISNUMBER(SEARCH("quote",Q167))),"Jason","Rick")</f>
        <v/>
      </c>
      <c r="S167" s="1436" t="n"/>
      <c r="T167" s="1437" t="n"/>
    </row>
    <row r="168">
      <c r="A168" s="1432" t="n"/>
      <c r="B168" s="1432" t="n"/>
      <c r="C168" s="1432" t="n"/>
      <c r="D168" s="1432" t="n"/>
      <c r="E168" s="1433" t="n"/>
      <c r="F168" s="1434">
        <f>IF(B168="","",IF(E168=0,0,G168/E168))</f>
        <v/>
      </c>
      <c r="G168" s="1434">
        <f>IF(B168="","",SUMIF('Resource Build-Up'!$B$7:$B$306,B168,'Resource Build-Up'!$Z$7:$Z$306))</f>
        <v/>
      </c>
      <c r="H168" s="1432" t="n"/>
      <c r="I168" s="1432" t="n"/>
      <c r="J168" s="1432" t="n"/>
      <c r="K168" s="1432" t="n"/>
      <c r="L168" s="1435">
        <f>IF(B168="","",IF(J168="Excluded","Excluded","Resource-linked"))</f>
        <v/>
      </c>
      <c r="M168" s="1435">
        <f>IF(B168="","",IF(G168=0,"No resource cost / review","Resource Build-Up -&gt; "&amp;B168))</f>
        <v/>
      </c>
      <c r="N168" s="1435">
        <f>IF(B168="","","Resource Build-Up")</f>
        <v/>
      </c>
      <c r="O168" s="1435">
        <f>IF(B168="","","See Resource Build-Up / Resource Rate Library")</f>
        <v/>
      </c>
      <c r="P168" s="1435" t="n"/>
      <c r="Q168" s="1432" t="n"/>
      <c r="R168" s="1397">
        <f>IF(OR(ISNUMBER(SEARCH("PC",P168)),ISNUMBER(SEARCH("quote",Q168))),"Jason","Rick")</f>
        <v/>
      </c>
      <c r="S168" s="1436" t="n"/>
      <c r="T168" s="1437" t="n"/>
    </row>
    <row r="169">
      <c r="A169" s="1432" t="n"/>
      <c r="B169" s="1432" t="n"/>
      <c r="C169" s="1432" t="n"/>
      <c r="D169" s="1432" t="n"/>
      <c r="E169" s="1433" t="n"/>
      <c r="F169" s="1434">
        <f>IF(B169="","",IF(E169=0,0,G169/E169))</f>
        <v/>
      </c>
      <c r="G169" s="1434">
        <f>IF(B169="","",SUMIF('Resource Build-Up'!$B$7:$B$306,B169,'Resource Build-Up'!$Z$7:$Z$306))</f>
        <v/>
      </c>
      <c r="H169" s="1432" t="n"/>
      <c r="I169" s="1432" t="n"/>
      <c r="J169" s="1432" t="n"/>
      <c r="K169" s="1432" t="n"/>
      <c r="L169" s="1435">
        <f>IF(B169="","",IF(J169="Excluded","Excluded","Resource-linked"))</f>
        <v/>
      </c>
      <c r="M169" s="1435">
        <f>IF(B169="","",IF(G169=0,"No resource cost / review","Resource Build-Up -&gt; "&amp;B169))</f>
        <v/>
      </c>
      <c r="N169" s="1435">
        <f>IF(B169="","","Resource Build-Up")</f>
        <v/>
      </c>
      <c r="O169" s="1435">
        <f>IF(B169="","","See Resource Build-Up / Resource Rate Library")</f>
        <v/>
      </c>
      <c r="P169" s="1435" t="n"/>
      <c r="Q169" s="1432" t="n"/>
      <c r="R169" s="1397">
        <f>IF(OR(ISNUMBER(SEARCH("PC",P169)),ISNUMBER(SEARCH("quote",Q169))),"Jason","Rick")</f>
        <v/>
      </c>
      <c r="S169" s="1436" t="n"/>
      <c r="T169" s="1437" t="n"/>
    </row>
    <row r="170">
      <c r="A170" s="1432" t="n"/>
      <c r="B170" s="1432" t="n"/>
      <c r="C170" s="1432" t="n"/>
      <c r="D170" s="1432" t="n"/>
      <c r="E170" s="1433" t="n"/>
      <c r="F170" s="1434">
        <f>IF(B170="","",IF(E170=0,0,G170/E170))</f>
        <v/>
      </c>
      <c r="G170" s="1434">
        <f>IF(B170="","",SUMIF('Resource Build-Up'!$B$7:$B$306,B170,'Resource Build-Up'!$Z$7:$Z$306))</f>
        <v/>
      </c>
      <c r="H170" s="1432" t="n"/>
      <c r="I170" s="1432" t="n"/>
      <c r="J170" s="1432" t="n"/>
      <c r="K170" s="1432" t="n"/>
      <c r="L170" s="1435">
        <f>IF(B170="","",IF(J170="Excluded","Excluded","Resource-linked"))</f>
        <v/>
      </c>
      <c r="M170" s="1435">
        <f>IF(B170="","",IF(G170=0,"No resource cost / review","Resource Build-Up -&gt; "&amp;B170))</f>
        <v/>
      </c>
      <c r="N170" s="1435">
        <f>IF(B170="","","Resource Build-Up")</f>
        <v/>
      </c>
      <c r="O170" s="1435">
        <f>IF(B170="","","See Resource Build-Up / Resource Rate Library")</f>
        <v/>
      </c>
      <c r="P170" s="1435" t="n"/>
      <c r="Q170" s="1432" t="n"/>
      <c r="R170" s="1397">
        <f>IF(OR(ISNUMBER(SEARCH("PC",P170)),ISNUMBER(SEARCH("quote",Q170))),"Jason","Rick")</f>
        <v/>
      </c>
      <c r="S170" s="1436" t="n"/>
      <c r="T170" s="1437" t="n"/>
    </row>
    <row r="171">
      <c r="A171" s="1432" t="n"/>
      <c r="B171" s="1432" t="n"/>
      <c r="C171" s="1432" t="n"/>
      <c r="D171" s="1432" t="n"/>
      <c r="E171" s="1433" t="n"/>
      <c r="F171" s="1434">
        <f>IF(B171="","",IF(E171=0,0,G171/E171))</f>
        <v/>
      </c>
      <c r="G171" s="1434">
        <f>IF(B171="","",SUMIF('Resource Build-Up'!$B$7:$B$306,B171,'Resource Build-Up'!$Z$7:$Z$306))</f>
        <v/>
      </c>
      <c r="H171" s="1432" t="n"/>
      <c r="I171" s="1432" t="n"/>
      <c r="J171" s="1432" t="n"/>
      <c r="K171" s="1432" t="n"/>
      <c r="L171" s="1435">
        <f>IF(B171="","",IF(J171="Excluded","Excluded","Resource-linked"))</f>
        <v/>
      </c>
      <c r="M171" s="1435">
        <f>IF(B171="","",IF(G171=0,"No resource cost / review","Resource Build-Up -&gt; "&amp;B171))</f>
        <v/>
      </c>
      <c r="N171" s="1435">
        <f>IF(B171="","","Resource Build-Up")</f>
        <v/>
      </c>
      <c r="O171" s="1435">
        <f>IF(B171="","","See Resource Build-Up / Resource Rate Library")</f>
        <v/>
      </c>
      <c r="P171" s="1435" t="n"/>
      <c r="Q171" s="1432" t="n"/>
      <c r="R171" s="1397">
        <f>IF(OR(ISNUMBER(SEARCH("PC",P171)),ISNUMBER(SEARCH("quote",Q171))),"Jason","Rick")</f>
        <v/>
      </c>
      <c r="S171" s="1436" t="n"/>
      <c r="T171" s="1437" t="n"/>
    </row>
    <row r="172">
      <c r="A172" s="1432" t="n"/>
      <c r="B172" s="1432" t="n"/>
      <c r="C172" s="1432" t="n"/>
      <c r="D172" s="1432" t="n"/>
      <c r="E172" s="1433" t="n"/>
      <c r="F172" s="1434">
        <f>IF(B172="","",IF(E172=0,0,G172/E172))</f>
        <v/>
      </c>
      <c r="G172" s="1434">
        <f>IF(B172="","",SUMIF('Resource Build-Up'!$B$7:$B$306,B172,'Resource Build-Up'!$Z$7:$Z$306))</f>
        <v/>
      </c>
      <c r="H172" s="1432" t="n"/>
      <c r="I172" s="1432" t="n"/>
      <c r="J172" s="1432" t="n"/>
      <c r="K172" s="1432" t="n"/>
      <c r="L172" s="1435">
        <f>IF(B172="","",IF(J172="Excluded","Excluded","Resource-linked"))</f>
        <v/>
      </c>
      <c r="M172" s="1435">
        <f>IF(B172="","",IF(G172=0,"No resource cost / review","Resource Build-Up -&gt; "&amp;B172))</f>
        <v/>
      </c>
      <c r="N172" s="1435">
        <f>IF(B172="","","Resource Build-Up")</f>
        <v/>
      </c>
      <c r="O172" s="1435">
        <f>IF(B172="","","See Resource Build-Up / Resource Rate Library")</f>
        <v/>
      </c>
      <c r="P172" s="1435" t="n"/>
      <c r="Q172" s="1432" t="n"/>
      <c r="R172" s="1397">
        <f>IF(OR(ISNUMBER(SEARCH("PC",P172)),ISNUMBER(SEARCH("quote",Q172))),"Jason","Rick")</f>
        <v/>
      </c>
      <c r="S172" s="1436" t="n"/>
      <c r="T172" s="1437" t="n"/>
    </row>
    <row r="173">
      <c r="A173" s="1432" t="n"/>
      <c r="B173" s="1432" t="n"/>
      <c r="C173" s="1432" t="n"/>
      <c r="D173" s="1432" t="n"/>
      <c r="E173" s="1433" t="n"/>
      <c r="F173" s="1434">
        <f>IF(B173="","",IF(E173=0,0,G173/E173))</f>
        <v/>
      </c>
      <c r="G173" s="1434">
        <f>IF(B173="","",SUMIF('Resource Build-Up'!$B$7:$B$306,B173,'Resource Build-Up'!$Z$7:$Z$306))</f>
        <v/>
      </c>
      <c r="H173" s="1432" t="n"/>
      <c r="I173" s="1432" t="n"/>
      <c r="J173" s="1432" t="n"/>
      <c r="K173" s="1432" t="n"/>
      <c r="L173" s="1435">
        <f>IF(B173="","",IF(J173="Excluded","Excluded","Resource-linked"))</f>
        <v/>
      </c>
      <c r="M173" s="1435">
        <f>IF(B173="","",IF(G173=0,"No resource cost / review","Resource Build-Up -&gt; "&amp;B173))</f>
        <v/>
      </c>
      <c r="N173" s="1435">
        <f>IF(B173="","","Resource Build-Up")</f>
        <v/>
      </c>
      <c r="O173" s="1435">
        <f>IF(B173="","","See Resource Build-Up / Resource Rate Library")</f>
        <v/>
      </c>
      <c r="P173" s="1435" t="n"/>
      <c r="Q173" s="1432" t="n"/>
      <c r="R173" s="1397">
        <f>IF(OR(ISNUMBER(SEARCH("PC",P173)),ISNUMBER(SEARCH("quote",Q173))),"Jason","Rick")</f>
        <v/>
      </c>
      <c r="S173" s="1436" t="n"/>
      <c r="T173" s="1437" t="n"/>
    </row>
    <row r="174">
      <c r="A174" s="1432" t="n"/>
      <c r="B174" s="1432" t="n"/>
      <c r="C174" s="1432" t="n"/>
      <c r="D174" s="1432" t="n"/>
      <c r="E174" s="1433" t="n"/>
      <c r="F174" s="1434">
        <f>IF(B174="","",IF(E174=0,0,G174/E174))</f>
        <v/>
      </c>
      <c r="G174" s="1434">
        <f>IF(B174="","",SUMIF('Resource Build-Up'!$B$7:$B$306,B174,'Resource Build-Up'!$Z$7:$Z$306))</f>
        <v/>
      </c>
      <c r="H174" s="1432" t="n"/>
      <c r="I174" s="1432" t="n"/>
      <c r="J174" s="1432" t="n"/>
      <c r="K174" s="1432" t="n"/>
      <c r="L174" s="1435">
        <f>IF(B174="","",IF(J174="Excluded","Excluded","Resource-linked"))</f>
        <v/>
      </c>
      <c r="M174" s="1435">
        <f>IF(B174="","",IF(G174=0,"No resource cost / review","Resource Build-Up -&gt; "&amp;B174))</f>
        <v/>
      </c>
      <c r="N174" s="1435">
        <f>IF(B174="","","Resource Build-Up")</f>
        <v/>
      </c>
      <c r="O174" s="1435">
        <f>IF(B174="","","See Resource Build-Up / Resource Rate Library")</f>
        <v/>
      </c>
      <c r="P174" s="1435" t="n"/>
      <c r="Q174" s="1432" t="n"/>
      <c r="R174" s="1397">
        <f>IF(OR(ISNUMBER(SEARCH("PC",P174)),ISNUMBER(SEARCH("quote",Q174))),"Jason","Rick")</f>
        <v/>
      </c>
      <c r="S174" s="1436" t="n"/>
      <c r="T174" s="1437" t="n"/>
    </row>
    <row r="175">
      <c r="A175" s="1432" t="n"/>
      <c r="B175" s="1432" t="n"/>
      <c r="C175" s="1432" t="n"/>
      <c r="D175" s="1432" t="n"/>
      <c r="E175" s="1433" t="n"/>
      <c r="F175" s="1434">
        <f>IF(B175="","",IF(E175=0,0,G175/E175))</f>
        <v/>
      </c>
      <c r="G175" s="1434">
        <f>IF(B175="","",SUMIF('Resource Build-Up'!$B$7:$B$306,B175,'Resource Build-Up'!$Z$7:$Z$306))</f>
        <v/>
      </c>
      <c r="H175" s="1432" t="n"/>
      <c r="I175" s="1432" t="n"/>
      <c r="J175" s="1432" t="n"/>
      <c r="K175" s="1432" t="n"/>
      <c r="L175" s="1435">
        <f>IF(B175="","",IF(J175="Excluded","Excluded","Resource-linked"))</f>
        <v/>
      </c>
      <c r="M175" s="1435">
        <f>IF(B175="","",IF(G175=0,"No resource cost / review","Resource Build-Up -&gt; "&amp;B175))</f>
        <v/>
      </c>
      <c r="N175" s="1435">
        <f>IF(B175="","","Resource Build-Up")</f>
        <v/>
      </c>
      <c r="O175" s="1435">
        <f>IF(B175="","","See Resource Build-Up / Resource Rate Library")</f>
        <v/>
      </c>
      <c r="P175" s="1435" t="n"/>
      <c r="Q175" s="1432" t="n"/>
      <c r="R175" s="1397">
        <f>IF(OR(ISNUMBER(SEARCH("PC",P175)),ISNUMBER(SEARCH("quote",Q175))),"Jason","Rick")</f>
        <v/>
      </c>
      <c r="S175" s="1436" t="n"/>
      <c r="T175" s="1437" t="n"/>
    </row>
    <row r="176">
      <c r="A176" s="1432" t="n"/>
      <c r="B176" s="1432" t="n"/>
      <c r="C176" s="1432" t="n"/>
      <c r="D176" s="1432" t="n"/>
      <c r="E176" s="1433" t="n"/>
      <c r="F176" s="1434">
        <f>IF(B176="","",IF(E176=0,0,G176/E176))</f>
        <v/>
      </c>
      <c r="G176" s="1434">
        <f>IF(B176="","",SUMIF('Resource Build-Up'!$B$7:$B$306,B176,'Resource Build-Up'!$Z$7:$Z$306))</f>
        <v/>
      </c>
      <c r="H176" s="1432" t="n"/>
      <c r="I176" s="1432" t="n"/>
      <c r="J176" s="1432" t="n"/>
      <c r="K176" s="1432" t="n"/>
      <c r="L176" s="1435">
        <f>IF(B176="","",IF(J176="Excluded","Excluded","Resource-linked"))</f>
        <v/>
      </c>
      <c r="M176" s="1435">
        <f>IF(B176="","",IF(G176=0,"No resource cost / review","Resource Build-Up -&gt; "&amp;B176))</f>
        <v/>
      </c>
      <c r="N176" s="1435">
        <f>IF(B176="","","Resource Build-Up")</f>
        <v/>
      </c>
      <c r="O176" s="1435">
        <f>IF(B176="","","See Resource Build-Up / Resource Rate Library")</f>
        <v/>
      </c>
      <c r="P176" s="1435" t="n"/>
      <c r="Q176" s="1432" t="n"/>
      <c r="R176" s="1397">
        <f>IF(OR(ISNUMBER(SEARCH("PC",P176)),ISNUMBER(SEARCH("quote",Q176))),"Jason","Rick")</f>
        <v/>
      </c>
      <c r="S176" s="1436" t="n"/>
      <c r="T176" s="1437" t="n"/>
    </row>
    <row r="177">
      <c r="A177" s="1432" t="n"/>
      <c r="B177" s="1432" t="n"/>
      <c r="C177" s="1432" t="n"/>
      <c r="D177" s="1432" t="n"/>
      <c r="E177" s="1433" t="n"/>
      <c r="F177" s="1434">
        <f>IF(B177="","",IF(E177=0,0,G177/E177))</f>
        <v/>
      </c>
      <c r="G177" s="1434">
        <f>IF(B177="","",SUMIF('Resource Build-Up'!$B$7:$B$306,B177,'Resource Build-Up'!$Z$7:$Z$306))</f>
        <v/>
      </c>
      <c r="H177" s="1432" t="n"/>
      <c r="I177" s="1432" t="n"/>
      <c r="J177" s="1432" t="n"/>
      <c r="K177" s="1432" t="n"/>
      <c r="L177" s="1435">
        <f>IF(B177="","",IF(J177="Excluded","Excluded","Resource-linked"))</f>
        <v/>
      </c>
      <c r="M177" s="1435">
        <f>IF(B177="","",IF(G177=0,"No resource cost / review","Resource Build-Up -&gt; "&amp;B177))</f>
        <v/>
      </c>
      <c r="N177" s="1435">
        <f>IF(B177="","","Resource Build-Up")</f>
        <v/>
      </c>
      <c r="O177" s="1435">
        <f>IF(B177="","","See Resource Build-Up / Resource Rate Library")</f>
        <v/>
      </c>
      <c r="P177" s="1435" t="n"/>
      <c r="Q177" s="1432" t="n"/>
      <c r="R177" s="1397">
        <f>IF(OR(ISNUMBER(SEARCH("PC",P177)),ISNUMBER(SEARCH("quote",Q177))),"Jason","Rick")</f>
        <v/>
      </c>
      <c r="S177" s="1436" t="n"/>
      <c r="T177" s="1437" t="n"/>
    </row>
    <row r="178">
      <c r="A178" s="1432" t="n"/>
      <c r="B178" s="1432" t="n"/>
      <c r="C178" s="1432" t="n"/>
      <c r="D178" s="1432" t="n"/>
      <c r="E178" s="1433" t="n"/>
      <c r="F178" s="1434">
        <f>IF(B178="","",IF(E178=0,0,G178/E178))</f>
        <v/>
      </c>
      <c r="G178" s="1434">
        <f>IF(B178="","",SUMIF('Resource Build-Up'!$B$7:$B$306,B178,'Resource Build-Up'!$Z$7:$Z$306))</f>
        <v/>
      </c>
      <c r="H178" s="1432" t="n"/>
      <c r="I178" s="1432" t="n"/>
      <c r="J178" s="1432" t="n"/>
      <c r="K178" s="1432" t="n"/>
      <c r="L178" s="1435">
        <f>IF(B178="","",IF(J178="Excluded","Excluded","Resource-linked"))</f>
        <v/>
      </c>
      <c r="M178" s="1435">
        <f>IF(B178="","",IF(G178=0,"No resource cost / review","Resource Build-Up -&gt; "&amp;B178))</f>
        <v/>
      </c>
      <c r="N178" s="1435">
        <f>IF(B178="","","Resource Build-Up")</f>
        <v/>
      </c>
      <c r="O178" s="1435">
        <f>IF(B178="","","See Resource Build-Up / Resource Rate Library")</f>
        <v/>
      </c>
      <c r="P178" s="1435" t="n"/>
      <c r="Q178" s="1432" t="n"/>
      <c r="R178" s="1397">
        <f>IF(OR(ISNUMBER(SEARCH("PC",P178)),ISNUMBER(SEARCH("quote",Q178))),"Jason","Rick")</f>
        <v/>
      </c>
      <c r="S178" s="1436" t="n"/>
      <c r="T178" s="1437" t="n"/>
    </row>
    <row r="179">
      <c r="A179" s="1432" t="n"/>
      <c r="B179" s="1432" t="n"/>
      <c r="C179" s="1432" t="n"/>
      <c r="D179" s="1432" t="n"/>
      <c r="E179" s="1433" t="n"/>
      <c r="F179" s="1434">
        <f>IF(B179="","",IF(E179=0,0,G179/E179))</f>
        <v/>
      </c>
      <c r="G179" s="1434">
        <f>IF(B179="","",SUMIF('Resource Build-Up'!$B$7:$B$306,B179,'Resource Build-Up'!$Z$7:$Z$306))</f>
        <v/>
      </c>
      <c r="H179" s="1432" t="n"/>
      <c r="I179" s="1432" t="n"/>
      <c r="J179" s="1432" t="n"/>
      <c r="K179" s="1432" t="n"/>
      <c r="L179" s="1435">
        <f>IF(B179="","",IF(J179="Excluded","Excluded","Resource-linked"))</f>
        <v/>
      </c>
      <c r="M179" s="1435">
        <f>IF(B179="","",IF(G179=0,"No resource cost / review","Resource Build-Up -&gt; "&amp;B179))</f>
        <v/>
      </c>
      <c r="N179" s="1435">
        <f>IF(B179="","","Resource Build-Up")</f>
        <v/>
      </c>
      <c r="O179" s="1435">
        <f>IF(B179="","","See Resource Build-Up / Resource Rate Library")</f>
        <v/>
      </c>
      <c r="P179" s="1435" t="n"/>
      <c r="Q179" s="1432" t="n"/>
      <c r="R179" s="1397">
        <f>IF(OR(ISNUMBER(SEARCH("PC",P179)),ISNUMBER(SEARCH("quote",Q179))),"Jason","Rick")</f>
        <v/>
      </c>
      <c r="S179" s="1436" t="n"/>
      <c r="T179" s="1437" t="n"/>
    </row>
    <row r="180">
      <c r="A180" s="1432" t="n"/>
      <c r="B180" s="1432" t="n"/>
      <c r="C180" s="1432" t="n"/>
      <c r="D180" s="1432" t="n"/>
      <c r="E180" s="1433" t="n"/>
      <c r="F180" s="1434">
        <f>IF(B180="","",IF(E180=0,0,G180/E180))</f>
        <v/>
      </c>
      <c r="G180" s="1434">
        <f>IF(B180="","",SUMIF('Resource Build-Up'!$B$7:$B$306,B180,'Resource Build-Up'!$Z$7:$Z$306))</f>
        <v/>
      </c>
      <c r="H180" s="1432" t="n"/>
      <c r="I180" s="1432" t="n"/>
      <c r="J180" s="1432" t="n"/>
      <c r="K180" s="1432" t="n"/>
      <c r="L180" s="1435">
        <f>IF(B180="","",IF(J180="Excluded","Excluded","Resource-linked"))</f>
        <v/>
      </c>
      <c r="M180" s="1435">
        <f>IF(B180="","",IF(G180=0,"No resource cost / review","Resource Build-Up -&gt; "&amp;B180))</f>
        <v/>
      </c>
      <c r="N180" s="1435">
        <f>IF(B180="","","Resource Build-Up")</f>
        <v/>
      </c>
      <c r="O180" s="1435">
        <f>IF(B180="","","See Resource Build-Up / Resource Rate Library")</f>
        <v/>
      </c>
      <c r="P180" s="1435" t="n"/>
      <c r="Q180" s="1432" t="n"/>
      <c r="R180" s="1397">
        <f>IF(OR(ISNUMBER(SEARCH("PC",P180)),ISNUMBER(SEARCH("quote",Q180))),"Jason","Rick")</f>
        <v/>
      </c>
      <c r="S180" s="1436" t="n"/>
      <c r="T180" s="1437" t="n"/>
    </row>
    <row r="181">
      <c r="A181" s="1432" t="n"/>
      <c r="B181" s="1432" t="n"/>
      <c r="C181" s="1432" t="n"/>
      <c r="D181" s="1432" t="n"/>
      <c r="E181" s="1433" t="n"/>
      <c r="F181" s="1434">
        <f>IF(B181="","",IF(E181=0,0,G181/E181))</f>
        <v/>
      </c>
      <c r="G181" s="1434">
        <f>IF(B181="","",SUMIF('Resource Build-Up'!$B$7:$B$306,B181,'Resource Build-Up'!$Z$7:$Z$306))</f>
        <v/>
      </c>
      <c r="H181" s="1432" t="n"/>
      <c r="I181" s="1432" t="n"/>
      <c r="J181" s="1432" t="n"/>
      <c r="K181" s="1432" t="n"/>
      <c r="L181" s="1435">
        <f>IF(B181="","",IF(J181="Excluded","Excluded","Resource-linked"))</f>
        <v/>
      </c>
      <c r="M181" s="1435">
        <f>IF(B181="","",IF(G181=0,"No resource cost / review","Resource Build-Up -&gt; "&amp;B181))</f>
        <v/>
      </c>
      <c r="N181" s="1435">
        <f>IF(B181="","","Resource Build-Up")</f>
        <v/>
      </c>
      <c r="O181" s="1435">
        <f>IF(B181="","","See Resource Build-Up / Resource Rate Library")</f>
        <v/>
      </c>
      <c r="P181" s="1435" t="n"/>
      <c r="Q181" s="1432" t="n"/>
      <c r="R181" s="1397">
        <f>IF(OR(ISNUMBER(SEARCH("PC",P181)),ISNUMBER(SEARCH("quote",Q181))),"Jason","Rick")</f>
        <v/>
      </c>
      <c r="S181" s="1436" t="n"/>
      <c r="T181" s="1437" t="n"/>
    </row>
    <row r="182">
      <c r="A182" s="1432" t="n"/>
      <c r="B182" s="1432" t="n"/>
      <c r="C182" s="1432" t="n"/>
      <c r="D182" s="1432" t="n"/>
      <c r="E182" s="1433" t="n"/>
      <c r="F182" s="1434">
        <f>IF(B182="","",IF(E182=0,0,G182/E182))</f>
        <v/>
      </c>
      <c r="G182" s="1434">
        <f>IF(B182="","",SUMIF('Resource Build-Up'!$B$7:$B$306,B182,'Resource Build-Up'!$Z$7:$Z$306))</f>
        <v/>
      </c>
      <c r="H182" s="1432" t="n"/>
      <c r="I182" s="1432" t="n"/>
      <c r="J182" s="1432" t="n"/>
      <c r="K182" s="1432" t="n"/>
      <c r="L182" s="1435">
        <f>IF(B182="","",IF(J182="Excluded","Excluded","Resource-linked"))</f>
        <v/>
      </c>
      <c r="M182" s="1435">
        <f>IF(B182="","",IF(G182=0,"No resource cost / review","Resource Build-Up -&gt; "&amp;B182))</f>
        <v/>
      </c>
      <c r="N182" s="1435">
        <f>IF(B182="","","Resource Build-Up")</f>
        <v/>
      </c>
      <c r="O182" s="1435">
        <f>IF(B182="","","See Resource Build-Up / Resource Rate Library")</f>
        <v/>
      </c>
      <c r="P182" s="1435" t="n"/>
      <c r="Q182" s="1432" t="n"/>
      <c r="R182" s="1397">
        <f>IF(OR(ISNUMBER(SEARCH("PC",P182)),ISNUMBER(SEARCH("quote",Q182))),"Jason","Rick")</f>
        <v/>
      </c>
      <c r="S182" s="1436" t="n"/>
      <c r="T182" s="1437" t="n"/>
    </row>
    <row r="183">
      <c r="A183" s="1432" t="n"/>
      <c r="B183" s="1432" t="n"/>
      <c r="C183" s="1432" t="n"/>
      <c r="D183" s="1432" t="n"/>
      <c r="E183" s="1433" t="n"/>
      <c r="F183" s="1434">
        <f>IF(B183="","",IF(E183=0,0,G183/E183))</f>
        <v/>
      </c>
      <c r="G183" s="1434">
        <f>IF(B183="","",SUMIF('Resource Build-Up'!$B$7:$B$306,B183,'Resource Build-Up'!$Z$7:$Z$306))</f>
        <v/>
      </c>
      <c r="H183" s="1432" t="n"/>
      <c r="I183" s="1432" t="n"/>
      <c r="J183" s="1432" t="n"/>
      <c r="K183" s="1432" t="n"/>
      <c r="L183" s="1435">
        <f>IF(B183="","",IF(J183="Excluded","Excluded","Resource-linked"))</f>
        <v/>
      </c>
      <c r="M183" s="1435">
        <f>IF(B183="","",IF(G183=0,"No resource cost / review","Resource Build-Up -&gt; "&amp;B183))</f>
        <v/>
      </c>
      <c r="N183" s="1435">
        <f>IF(B183="","","Resource Build-Up")</f>
        <v/>
      </c>
      <c r="O183" s="1435">
        <f>IF(B183="","","See Resource Build-Up / Resource Rate Library")</f>
        <v/>
      </c>
      <c r="P183" s="1435" t="n"/>
      <c r="Q183" s="1432" t="n"/>
      <c r="R183" s="1397">
        <f>IF(OR(ISNUMBER(SEARCH("PC",P183)),ISNUMBER(SEARCH("quote",Q183))),"Jason","Rick")</f>
        <v/>
      </c>
      <c r="S183" s="1436" t="n"/>
      <c r="T183" s="1437" t="n"/>
    </row>
    <row r="184">
      <c r="A184" s="1432" t="n"/>
      <c r="B184" s="1432" t="n"/>
      <c r="C184" s="1432" t="n"/>
      <c r="D184" s="1432" t="n"/>
      <c r="E184" s="1433" t="n"/>
      <c r="F184" s="1434">
        <f>IF(B184="","",IF(E184=0,0,G184/E184))</f>
        <v/>
      </c>
      <c r="G184" s="1434">
        <f>IF(B184="","",SUMIF('Resource Build-Up'!$B$7:$B$306,B184,'Resource Build-Up'!$Z$7:$Z$306))</f>
        <v/>
      </c>
      <c r="H184" s="1432" t="n"/>
      <c r="I184" s="1432" t="n"/>
      <c r="J184" s="1432" t="n"/>
      <c r="K184" s="1432" t="n"/>
      <c r="L184" s="1435">
        <f>IF(B184="","",IF(J184="Excluded","Excluded","Resource-linked"))</f>
        <v/>
      </c>
      <c r="M184" s="1435">
        <f>IF(B184="","",IF(G184=0,"No resource cost / review","Resource Build-Up -&gt; "&amp;B184))</f>
        <v/>
      </c>
      <c r="N184" s="1435">
        <f>IF(B184="","","Resource Build-Up")</f>
        <v/>
      </c>
      <c r="O184" s="1435">
        <f>IF(B184="","","See Resource Build-Up / Resource Rate Library")</f>
        <v/>
      </c>
      <c r="P184" s="1435" t="n"/>
      <c r="Q184" s="1432" t="n"/>
      <c r="R184" s="1397">
        <f>IF(OR(ISNUMBER(SEARCH("PC",P184)),ISNUMBER(SEARCH("quote",Q184))),"Jason","Rick")</f>
        <v/>
      </c>
      <c r="S184" s="1436" t="n"/>
      <c r="T184" s="1437" t="n"/>
    </row>
    <row r="185">
      <c r="A185" s="1432" t="n"/>
      <c r="B185" s="1432" t="n"/>
      <c r="C185" s="1432" t="n"/>
      <c r="D185" s="1432" t="n"/>
      <c r="E185" s="1433" t="n"/>
      <c r="F185" s="1434">
        <f>IF(B185="","",IF(E185=0,0,G185/E185))</f>
        <v/>
      </c>
      <c r="G185" s="1434">
        <f>IF(B185="","",SUMIF('Resource Build-Up'!$B$7:$B$306,B185,'Resource Build-Up'!$Z$7:$Z$306))</f>
        <v/>
      </c>
      <c r="H185" s="1432" t="n"/>
      <c r="I185" s="1432" t="n"/>
      <c r="J185" s="1432" t="n"/>
      <c r="K185" s="1432" t="n"/>
      <c r="L185" s="1435">
        <f>IF(B185="","",IF(J185="Excluded","Excluded","Resource-linked"))</f>
        <v/>
      </c>
      <c r="M185" s="1435">
        <f>IF(B185="","",IF(G185=0,"No resource cost / review","Resource Build-Up -&gt; "&amp;B185))</f>
        <v/>
      </c>
      <c r="N185" s="1435">
        <f>IF(B185="","","Resource Build-Up")</f>
        <v/>
      </c>
      <c r="O185" s="1435">
        <f>IF(B185="","","See Resource Build-Up / Resource Rate Library")</f>
        <v/>
      </c>
      <c r="P185" s="1435" t="n"/>
      <c r="Q185" s="1432" t="n"/>
      <c r="R185" s="1397">
        <f>IF(OR(ISNUMBER(SEARCH("PC",P185)),ISNUMBER(SEARCH("quote",Q185))),"Jason","Rick")</f>
        <v/>
      </c>
      <c r="S185" s="1436" t="n"/>
      <c r="T185" s="1437" t="n"/>
    </row>
    <row r="186">
      <c r="A186" s="1432" t="n"/>
      <c r="B186" s="1432" t="n"/>
      <c r="C186" s="1432" t="n"/>
      <c r="D186" s="1432" t="n"/>
      <c r="E186" s="1433" t="n"/>
      <c r="F186" s="1434">
        <f>IF(B186="","",IF(E186=0,0,G186/E186))</f>
        <v/>
      </c>
      <c r="G186" s="1434">
        <f>IF(B186="","",SUMIF('Resource Build-Up'!$B$7:$B$306,B186,'Resource Build-Up'!$Z$7:$Z$306))</f>
        <v/>
      </c>
      <c r="H186" s="1432" t="n"/>
      <c r="I186" s="1432" t="n"/>
      <c r="J186" s="1432" t="n"/>
      <c r="K186" s="1432" t="n"/>
      <c r="L186" s="1435">
        <f>IF(B186="","",IF(J186="Excluded","Excluded","Resource-linked"))</f>
        <v/>
      </c>
      <c r="M186" s="1435">
        <f>IF(B186="","",IF(G186=0,"No resource cost / review","Resource Build-Up -&gt; "&amp;B186))</f>
        <v/>
      </c>
      <c r="N186" s="1435">
        <f>IF(B186="","","Resource Build-Up")</f>
        <v/>
      </c>
      <c r="O186" s="1435">
        <f>IF(B186="","","See Resource Build-Up / Resource Rate Library")</f>
        <v/>
      </c>
      <c r="P186" s="1435" t="n"/>
      <c r="Q186" s="1432" t="n"/>
      <c r="R186" s="1397">
        <f>IF(OR(ISNUMBER(SEARCH("PC",P186)),ISNUMBER(SEARCH("quote",Q186))),"Jason","Rick")</f>
        <v/>
      </c>
      <c r="S186" s="1436" t="n"/>
      <c r="T186" s="1437" t="n"/>
    </row>
    <row r="187">
      <c r="A187" s="1432" t="n"/>
      <c r="B187" s="1432" t="n"/>
      <c r="C187" s="1432" t="n"/>
      <c r="D187" s="1432" t="n"/>
      <c r="E187" s="1433" t="n"/>
      <c r="F187" s="1434">
        <f>IF(B187="","",IF(E187=0,0,G187/E187))</f>
        <v/>
      </c>
      <c r="G187" s="1434">
        <f>IF(B187="","",SUMIF('Resource Build-Up'!$B$7:$B$306,B187,'Resource Build-Up'!$Z$7:$Z$306))</f>
        <v/>
      </c>
      <c r="H187" s="1432" t="n"/>
      <c r="I187" s="1432" t="n"/>
      <c r="J187" s="1432" t="n"/>
      <c r="K187" s="1432" t="n"/>
      <c r="L187" s="1435">
        <f>IF(B187="","",IF(J187="Excluded","Excluded","Resource-linked"))</f>
        <v/>
      </c>
      <c r="M187" s="1435">
        <f>IF(B187="","",IF(G187=0,"No resource cost / review","Resource Build-Up -&gt; "&amp;B187))</f>
        <v/>
      </c>
      <c r="N187" s="1435">
        <f>IF(B187="","","Resource Build-Up")</f>
        <v/>
      </c>
      <c r="O187" s="1435">
        <f>IF(B187="","","See Resource Build-Up / Resource Rate Library")</f>
        <v/>
      </c>
      <c r="P187" s="1435" t="n"/>
      <c r="Q187" s="1432" t="n"/>
      <c r="R187" s="1397">
        <f>IF(OR(ISNUMBER(SEARCH("PC",P187)),ISNUMBER(SEARCH("quote",Q187))),"Jason","Rick")</f>
        <v/>
      </c>
      <c r="S187" s="1436" t="n"/>
      <c r="T187" s="1437" t="n"/>
    </row>
    <row r="188">
      <c r="A188" s="1432" t="n"/>
      <c r="B188" s="1432" t="n"/>
      <c r="C188" s="1432" t="n"/>
      <c r="D188" s="1432" t="n"/>
      <c r="E188" s="1433" t="n"/>
      <c r="F188" s="1434">
        <f>IF(B188="","",IF(E188=0,0,G188/E188))</f>
        <v/>
      </c>
      <c r="G188" s="1434">
        <f>IF(B188="","",SUMIF('Resource Build-Up'!$B$7:$B$306,B188,'Resource Build-Up'!$Z$7:$Z$306))</f>
        <v/>
      </c>
      <c r="H188" s="1432" t="n"/>
      <c r="I188" s="1432" t="n"/>
      <c r="J188" s="1432" t="n"/>
      <c r="K188" s="1432" t="n"/>
      <c r="L188" s="1435">
        <f>IF(B188="","",IF(J188="Excluded","Excluded","Resource-linked"))</f>
        <v/>
      </c>
      <c r="M188" s="1435">
        <f>IF(B188="","",IF(G188=0,"No resource cost / review","Resource Build-Up -&gt; "&amp;B188))</f>
        <v/>
      </c>
      <c r="N188" s="1435">
        <f>IF(B188="","","Resource Build-Up")</f>
        <v/>
      </c>
      <c r="O188" s="1435">
        <f>IF(B188="","","See Resource Build-Up / Resource Rate Library")</f>
        <v/>
      </c>
      <c r="P188" s="1435" t="n"/>
      <c r="Q188" s="1432" t="n"/>
      <c r="R188" s="1397">
        <f>IF(OR(ISNUMBER(SEARCH("PC",P188)),ISNUMBER(SEARCH("quote",Q188))),"Jason","Rick")</f>
        <v/>
      </c>
      <c r="S188" s="1436" t="n"/>
      <c r="T188" s="1437" t="n"/>
    </row>
    <row r="189">
      <c r="A189" s="1432" t="n"/>
      <c r="B189" s="1432" t="n"/>
      <c r="C189" s="1432" t="n"/>
      <c r="D189" s="1432" t="n"/>
      <c r="E189" s="1433" t="n"/>
      <c r="F189" s="1434">
        <f>IF(B189="","",IF(E189=0,0,G189/E189))</f>
        <v/>
      </c>
      <c r="G189" s="1434">
        <f>IF(B189="","",SUMIF('Resource Build-Up'!$B$7:$B$306,B189,'Resource Build-Up'!$Z$7:$Z$306))</f>
        <v/>
      </c>
      <c r="H189" s="1432" t="n"/>
      <c r="I189" s="1432" t="n"/>
      <c r="J189" s="1432" t="n"/>
      <c r="K189" s="1432" t="n"/>
      <c r="L189" s="1435">
        <f>IF(B189="","",IF(J189="Excluded","Excluded","Resource-linked"))</f>
        <v/>
      </c>
      <c r="M189" s="1435">
        <f>IF(B189="","",IF(G189=0,"No resource cost / review","Resource Build-Up -&gt; "&amp;B189))</f>
        <v/>
      </c>
      <c r="N189" s="1435">
        <f>IF(B189="","","Resource Build-Up")</f>
        <v/>
      </c>
      <c r="O189" s="1435">
        <f>IF(B189="","","See Resource Build-Up / Resource Rate Library")</f>
        <v/>
      </c>
      <c r="P189" s="1435" t="n"/>
      <c r="Q189" s="1432" t="n"/>
      <c r="R189" s="1397">
        <f>IF(OR(ISNUMBER(SEARCH("PC",P189)),ISNUMBER(SEARCH("quote",Q189))),"Jason","Rick")</f>
        <v/>
      </c>
      <c r="S189" s="1436" t="n"/>
      <c r="T189" s="1437" t="n"/>
    </row>
    <row r="190">
      <c r="A190" s="1432" t="n"/>
      <c r="B190" s="1432" t="n"/>
      <c r="C190" s="1432" t="n"/>
      <c r="D190" s="1432" t="n"/>
      <c r="E190" s="1433" t="n"/>
      <c r="F190" s="1434">
        <f>IF(B190="","",IF(E190=0,0,G190/E190))</f>
        <v/>
      </c>
      <c r="G190" s="1434">
        <f>IF(B190="","",SUMIF('Resource Build-Up'!$B$7:$B$306,B190,'Resource Build-Up'!$Z$7:$Z$306))</f>
        <v/>
      </c>
      <c r="H190" s="1432" t="n"/>
      <c r="I190" s="1432" t="n"/>
      <c r="J190" s="1432" t="n"/>
      <c r="K190" s="1432" t="n"/>
      <c r="L190" s="1435">
        <f>IF(B190="","",IF(J190="Excluded","Excluded","Resource-linked"))</f>
        <v/>
      </c>
      <c r="M190" s="1435">
        <f>IF(B190="","",IF(G190=0,"No resource cost / review","Resource Build-Up -&gt; "&amp;B190))</f>
        <v/>
      </c>
      <c r="N190" s="1435">
        <f>IF(B190="","","Resource Build-Up")</f>
        <v/>
      </c>
      <c r="O190" s="1435">
        <f>IF(B190="","","See Resource Build-Up / Resource Rate Library")</f>
        <v/>
      </c>
      <c r="P190" s="1435" t="n"/>
      <c r="Q190" s="1432" t="n"/>
      <c r="R190" s="1397">
        <f>IF(OR(ISNUMBER(SEARCH("PC",P190)),ISNUMBER(SEARCH("quote",Q190))),"Jason","Rick")</f>
        <v/>
      </c>
      <c r="S190" s="1436" t="n"/>
      <c r="T190" s="1437" t="n"/>
    </row>
    <row r="191">
      <c r="A191" s="1432" t="n"/>
      <c r="B191" s="1432" t="n"/>
      <c r="C191" s="1432" t="n"/>
      <c r="D191" s="1432" t="n"/>
      <c r="E191" s="1433" t="n"/>
      <c r="F191" s="1434">
        <f>IF(B191="","",IF(E191=0,0,G191/E191))</f>
        <v/>
      </c>
      <c r="G191" s="1434">
        <f>IF(B191="","",SUMIF('Resource Build-Up'!$B$7:$B$306,B191,'Resource Build-Up'!$Z$7:$Z$306))</f>
        <v/>
      </c>
      <c r="H191" s="1432" t="n"/>
      <c r="I191" s="1432" t="n"/>
      <c r="J191" s="1432" t="n"/>
      <c r="K191" s="1432" t="n"/>
      <c r="L191" s="1435">
        <f>IF(B191="","",IF(J191="Excluded","Excluded","Resource-linked"))</f>
        <v/>
      </c>
      <c r="M191" s="1435">
        <f>IF(B191="","",IF(G191=0,"No resource cost / review","Resource Build-Up -&gt; "&amp;B191))</f>
        <v/>
      </c>
      <c r="N191" s="1435">
        <f>IF(B191="","","Resource Build-Up")</f>
        <v/>
      </c>
      <c r="O191" s="1435">
        <f>IF(B191="","","See Resource Build-Up / Resource Rate Library")</f>
        <v/>
      </c>
      <c r="P191" s="1435" t="n"/>
      <c r="Q191" s="1432" t="n"/>
      <c r="R191" s="1397">
        <f>IF(OR(ISNUMBER(SEARCH("PC",P191)),ISNUMBER(SEARCH("quote",Q191))),"Jason","Rick")</f>
        <v/>
      </c>
      <c r="S191" s="1436" t="n"/>
      <c r="T191" s="1437" t="n"/>
    </row>
    <row r="192">
      <c r="A192" s="1432" t="n"/>
      <c r="B192" s="1432" t="n"/>
      <c r="C192" s="1432" t="n"/>
      <c r="D192" s="1432" t="n"/>
      <c r="E192" s="1433" t="n"/>
      <c r="F192" s="1434">
        <f>IF(B192="","",IF(E192=0,0,G192/E192))</f>
        <v/>
      </c>
      <c r="G192" s="1434">
        <f>IF(B192="","",SUMIF('Resource Build-Up'!$B$7:$B$306,B192,'Resource Build-Up'!$Z$7:$Z$306))</f>
        <v/>
      </c>
      <c r="H192" s="1432" t="n"/>
      <c r="I192" s="1432" t="n"/>
      <c r="J192" s="1432" t="n"/>
      <c r="K192" s="1432" t="n"/>
      <c r="L192" s="1435">
        <f>IF(B192="","",IF(J192="Excluded","Excluded","Resource-linked"))</f>
        <v/>
      </c>
      <c r="M192" s="1435">
        <f>IF(B192="","",IF(G192=0,"No resource cost / review","Resource Build-Up -&gt; "&amp;B192))</f>
        <v/>
      </c>
      <c r="N192" s="1435">
        <f>IF(B192="","","Resource Build-Up")</f>
        <v/>
      </c>
      <c r="O192" s="1435">
        <f>IF(B192="","","See Resource Build-Up / Resource Rate Library")</f>
        <v/>
      </c>
      <c r="P192" s="1435" t="n"/>
      <c r="Q192" s="1432" t="n"/>
      <c r="R192" s="1397">
        <f>IF(OR(ISNUMBER(SEARCH("PC",P192)),ISNUMBER(SEARCH("quote",Q192))),"Jason","Rick")</f>
        <v/>
      </c>
      <c r="S192" s="1436" t="n"/>
      <c r="T192" s="1437" t="n"/>
    </row>
    <row r="193">
      <c r="A193" s="1432" t="n"/>
      <c r="B193" s="1432" t="n"/>
      <c r="C193" s="1432" t="n"/>
      <c r="D193" s="1432" t="n"/>
      <c r="E193" s="1433" t="n"/>
      <c r="F193" s="1434">
        <f>IF(B193="","",IF(E193=0,0,G193/E193))</f>
        <v/>
      </c>
      <c r="G193" s="1434">
        <f>IF(B193="","",SUMIF('Resource Build-Up'!$B$7:$B$306,B193,'Resource Build-Up'!$Z$7:$Z$306))</f>
        <v/>
      </c>
      <c r="H193" s="1432" t="n"/>
      <c r="I193" s="1432" t="n"/>
      <c r="J193" s="1432" t="n"/>
      <c r="K193" s="1432" t="n"/>
      <c r="L193" s="1435">
        <f>IF(B193="","",IF(J193="Excluded","Excluded","Resource-linked"))</f>
        <v/>
      </c>
      <c r="M193" s="1435">
        <f>IF(B193="","",IF(G193=0,"No resource cost / review","Resource Build-Up -&gt; "&amp;B193))</f>
        <v/>
      </c>
      <c r="N193" s="1435">
        <f>IF(B193="","","Resource Build-Up")</f>
        <v/>
      </c>
      <c r="O193" s="1435">
        <f>IF(B193="","","See Resource Build-Up / Resource Rate Library")</f>
        <v/>
      </c>
      <c r="P193" s="1435" t="n"/>
      <c r="Q193" s="1432" t="n"/>
      <c r="R193" s="1397">
        <f>IF(OR(ISNUMBER(SEARCH("PC",P193)),ISNUMBER(SEARCH("quote",Q193))),"Jason","Rick")</f>
        <v/>
      </c>
      <c r="S193" s="1436" t="n"/>
      <c r="T193" s="1437" t="n"/>
    </row>
    <row r="194">
      <c r="A194" s="1432" t="n"/>
      <c r="B194" s="1432" t="n"/>
      <c r="C194" s="1432" t="n"/>
      <c r="D194" s="1432" t="n"/>
      <c r="E194" s="1433" t="n"/>
      <c r="F194" s="1434">
        <f>IF(B194="","",IF(E194=0,0,G194/E194))</f>
        <v/>
      </c>
      <c r="G194" s="1434">
        <f>IF(B194="","",SUMIF('Resource Build-Up'!$B$7:$B$306,B194,'Resource Build-Up'!$Z$7:$Z$306))</f>
        <v/>
      </c>
      <c r="H194" s="1432" t="n"/>
      <c r="I194" s="1432" t="n"/>
      <c r="J194" s="1432" t="n"/>
      <c r="K194" s="1432" t="n"/>
      <c r="L194" s="1435">
        <f>IF(B194="","",IF(J194="Excluded","Excluded","Resource-linked"))</f>
        <v/>
      </c>
      <c r="M194" s="1435">
        <f>IF(B194="","",IF(G194=0,"No resource cost / review","Resource Build-Up -&gt; "&amp;B194))</f>
        <v/>
      </c>
      <c r="N194" s="1435">
        <f>IF(B194="","","Resource Build-Up")</f>
        <v/>
      </c>
      <c r="O194" s="1435">
        <f>IF(B194="","","See Resource Build-Up / Resource Rate Library")</f>
        <v/>
      </c>
      <c r="P194" s="1435" t="n"/>
      <c r="Q194" s="1432" t="n"/>
      <c r="R194" s="1397">
        <f>IF(OR(ISNUMBER(SEARCH("PC",P194)),ISNUMBER(SEARCH("quote",Q194))),"Jason","Rick")</f>
        <v/>
      </c>
      <c r="S194" s="1436" t="n"/>
      <c r="T194" s="1437" t="n"/>
    </row>
    <row r="195">
      <c r="A195" s="1432" t="n"/>
      <c r="B195" s="1432" t="n"/>
      <c r="C195" s="1432" t="n"/>
      <c r="D195" s="1432" t="n"/>
      <c r="E195" s="1433" t="n"/>
      <c r="F195" s="1434">
        <f>IF(B195="","",IF(E195=0,0,G195/E195))</f>
        <v/>
      </c>
      <c r="G195" s="1434">
        <f>IF(B195="","",SUMIF('Resource Build-Up'!$B$7:$B$306,B195,'Resource Build-Up'!$Z$7:$Z$306))</f>
        <v/>
      </c>
      <c r="H195" s="1432" t="n"/>
      <c r="I195" s="1432" t="n"/>
      <c r="J195" s="1432" t="n"/>
      <c r="K195" s="1432" t="n"/>
      <c r="L195" s="1435">
        <f>IF(B195="","",IF(J195="Excluded","Excluded","Resource-linked"))</f>
        <v/>
      </c>
      <c r="M195" s="1435">
        <f>IF(B195="","",IF(G195=0,"No resource cost / review","Resource Build-Up -&gt; "&amp;B195))</f>
        <v/>
      </c>
      <c r="N195" s="1435">
        <f>IF(B195="","","Resource Build-Up")</f>
        <v/>
      </c>
      <c r="O195" s="1435">
        <f>IF(B195="","","See Resource Build-Up / Resource Rate Library")</f>
        <v/>
      </c>
      <c r="P195" s="1435" t="n"/>
      <c r="Q195" s="1432" t="n"/>
      <c r="R195" s="1397">
        <f>IF(OR(ISNUMBER(SEARCH("PC",P195)),ISNUMBER(SEARCH("quote",Q195))),"Jason","Rick")</f>
        <v/>
      </c>
      <c r="S195" s="1436" t="n"/>
      <c r="T195" s="1437" t="n"/>
    </row>
    <row r="196">
      <c r="A196" s="1432" t="n"/>
      <c r="B196" s="1432" t="n"/>
      <c r="C196" s="1432" t="n"/>
      <c r="D196" s="1432" t="n"/>
      <c r="E196" s="1433" t="n"/>
      <c r="F196" s="1434">
        <f>IF(B196="","",IF(E196=0,0,G196/E196))</f>
        <v/>
      </c>
      <c r="G196" s="1434">
        <f>IF(B196="","",SUMIF('Resource Build-Up'!$B$7:$B$306,B196,'Resource Build-Up'!$Z$7:$Z$306))</f>
        <v/>
      </c>
      <c r="H196" s="1432" t="n"/>
      <c r="I196" s="1432" t="n"/>
      <c r="J196" s="1432" t="n"/>
      <c r="K196" s="1432" t="n"/>
      <c r="L196" s="1435">
        <f>IF(B196="","",IF(J196="Excluded","Excluded","Resource-linked"))</f>
        <v/>
      </c>
      <c r="M196" s="1435">
        <f>IF(B196="","",IF(G196=0,"No resource cost / review","Resource Build-Up -&gt; "&amp;B196))</f>
        <v/>
      </c>
      <c r="N196" s="1435">
        <f>IF(B196="","","Resource Build-Up")</f>
        <v/>
      </c>
      <c r="O196" s="1435">
        <f>IF(B196="","","See Resource Build-Up / Resource Rate Library")</f>
        <v/>
      </c>
      <c r="P196" s="1435" t="n"/>
      <c r="Q196" s="1432" t="n"/>
      <c r="R196" s="1397">
        <f>IF(OR(ISNUMBER(SEARCH("PC",P196)),ISNUMBER(SEARCH("quote",Q196))),"Jason","Rick")</f>
        <v/>
      </c>
      <c r="S196" s="1436" t="n"/>
      <c r="T196" s="1437" t="n"/>
    </row>
    <row r="197">
      <c r="A197" s="1432" t="n"/>
      <c r="B197" s="1432" t="n"/>
      <c r="C197" s="1432" t="n"/>
      <c r="D197" s="1432" t="n"/>
      <c r="E197" s="1433" t="n"/>
      <c r="F197" s="1434">
        <f>IF(B197="","",IF(E197=0,0,G197/E197))</f>
        <v/>
      </c>
      <c r="G197" s="1434">
        <f>IF(B197="","",SUMIF('Resource Build-Up'!$B$7:$B$306,B197,'Resource Build-Up'!$Z$7:$Z$306))</f>
        <v/>
      </c>
      <c r="H197" s="1432" t="n"/>
      <c r="I197" s="1432" t="n"/>
      <c r="J197" s="1432" t="n"/>
      <c r="K197" s="1432" t="n"/>
      <c r="L197" s="1435">
        <f>IF(B197="","",IF(J197="Excluded","Excluded","Resource-linked"))</f>
        <v/>
      </c>
      <c r="M197" s="1435">
        <f>IF(B197="","",IF(G197=0,"No resource cost / review","Resource Build-Up -&gt; "&amp;B197))</f>
        <v/>
      </c>
      <c r="N197" s="1435">
        <f>IF(B197="","","Resource Build-Up")</f>
        <v/>
      </c>
      <c r="O197" s="1435">
        <f>IF(B197="","","See Resource Build-Up / Resource Rate Library")</f>
        <v/>
      </c>
      <c r="P197" s="1435" t="n"/>
      <c r="Q197" s="1432" t="n"/>
      <c r="R197" s="1397">
        <f>IF(OR(ISNUMBER(SEARCH("PC",P197)),ISNUMBER(SEARCH("quote",Q197))),"Jason","Rick")</f>
        <v/>
      </c>
      <c r="S197" s="1436" t="n"/>
      <c r="T197" s="1437" t="n"/>
    </row>
    <row r="198">
      <c r="A198" s="1432" t="n"/>
      <c r="B198" s="1432" t="n"/>
      <c r="C198" s="1432" t="n"/>
      <c r="D198" s="1432" t="n"/>
      <c r="E198" s="1433" t="n"/>
      <c r="F198" s="1434">
        <f>IF(B198="","",IF(E198=0,0,G198/E198))</f>
        <v/>
      </c>
      <c r="G198" s="1434">
        <f>IF(B198="","",SUMIF('Resource Build-Up'!$B$7:$B$306,B198,'Resource Build-Up'!$Z$7:$Z$306))</f>
        <v/>
      </c>
      <c r="H198" s="1432" t="n"/>
      <c r="I198" s="1432" t="n"/>
      <c r="J198" s="1432" t="n"/>
      <c r="K198" s="1432" t="n"/>
      <c r="L198" s="1435">
        <f>IF(B198="","",IF(J198="Excluded","Excluded","Resource-linked"))</f>
        <v/>
      </c>
      <c r="M198" s="1435">
        <f>IF(B198="","",IF(G198=0,"No resource cost / review","Resource Build-Up -&gt; "&amp;B198))</f>
        <v/>
      </c>
      <c r="N198" s="1435">
        <f>IF(B198="","","Resource Build-Up")</f>
        <v/>
      </c>
      <c r="O198" s="1435">
        <f>IF(B198="","","See Resource Build-Up / Resource Rate Library")</f>
        <v/>
      </c>
      <c r="P198" s="1435" t="n"/>
      <c r="Q198" s="1432" t="n"/>
      <c r="R198" s="1397">
        <f>IF(OR(ISNUMBER(SEARCH("PC",P198)),ISNUMBER(SEARCH("quote",Q198))),"Jason","Rick")</f>
        <v/>
      </c>
      <c r="S198" s="1436" t="n"/>
      <c r="T198" s="1437" t="n"/>
    </row>
    <row r="199">
      <c r="A199" s="1432" t="n"/>
      <c r="B199" s="1432" t="n"/>
      <c r="C199" s="1432" t="n"/>
      <c r="D199" s="1432" t="n"/>
      <c r="E199" s="1433" t="n"/>
      <c r="F199" s="1434">
        <f>IF(B199="","",IF(E199=0,0,G199/E199))</f>
        <v/>
      </c>
      <c r="G199" s="1434">
        <f>IF(B199="","",SUMIF('Resource Build-Up'!$B$7:$B$306,B199,'Resource Build-Up'!$Z$7:$Z$306))</f>
        <v/>
      </c>
      <c r="H199" s="1432" t="n"/>
      <c r="I199" s="1432" t="n"/>
      <c r="J199" s="1432" t="n"/>
      <c r="K199" s="1432" t="n"/>
      <c r="L199" s="1435">
        <f>IF(B199="","",IF(J199="Excluded","Excluded","Resource-linked"))</f>
        <v/>
      </c>
      <c r="M199" s="1435">
        <f>IF(B199="","",IF(G199=0,"No resource cost / review","Resource Build-Up -&gt; "&amp;B199))</f>
        <v/>
      </c>
      <c r="N199" s="1435">
        <f>IF(B199="","","Resource Build-Up")</f>
        <v/>
      </c>
      <c r="O199" s="1435">
        <f>IF(B199="","","See Resource Build-Up / Resource Rate Library")</f>
        <v/>
      </c>
      <c r="P199" s="1435" t="n"/>
      <c r="Q199" s="1432" t="n"/>
      <c r="R199" s="1397">
        <f>IF(OR(ISNUMBER(SEARCH("PC",P199)),ISNUMBER(SEARCH("quote",Q199))),"Jason","Rick")</f>
        <v/>
      </c>
      <c r="S199" s="1436" t="n"/>
      <c r="T199" s="1437" t="n"/>
    </row>
    <row r="200">
      <c r="A200" s="1432" t="n"/>
      <c r="B200" s="1432" t="n"/>
      <c r="C200" s="1432" t="n"/>
      <c r="D200" s="1432" t="n"/>
      <c r="E200" s="1433" t="n"/>
      <c r="F200" s="1434">
        <f>IF(B200="","",IF(E200=0,0,G200/E200))</f>
        <v/>
      </c>
      <c r="G200" s="1434">
        <f>IF(B200="","",SUMIF('Resource Build-Up'!$B$7:$B$306,B200,'Resource Build-Up'!$Z$7:$Z$306))</f>
        <v/>
      </c>
      <c r="H200" s="1432" t="n"/>
      <c r="I200" s="1432" t="n"/>
      <c r="J200" s="1432" t="n"/>
      <c r="K200" s="1432" t="n"/>
      <c r="L200" s="1435">
        <f>IF(B200="","",IF(J200="Excluded","Excluded","Resource-linked"))</f>
        <v/>
      </c>
      <c r="M200" s="1435">
        <f>IF(B200="","",IF(G200=0,"No resource cost / review","Resource Build-Up -&gt; "&amp;B200))</f>
        <v/>
      </c>
      <c r="N200" s="1435">
        <f>IF(B200="","","Resource Build-Up")</f>
        <v/>
      </c>
      <c r="O200" s="1435">
        <f>IF(B200="","","See Resource Build-Up / Resource Rate Library")</f>
        <v/>
      </c>
      <c r="P200" s="1435" t="n"/>
      <c r="Q200" s="1432" t="n"/>
      <c r="R200" s="1397">
        <f>IF(OR(ISNUMBER(SEARCH("PC",P200)),ISNUMBER(SEARCH("quote",Q200))),"Jason","Rick")</f>
        <v/>
      </c>
      <c r="S200" s="1436" t="n"/>
      <c r="T200" s="1437" t="n"/>
    </row>
    <row r="201">
      <c r="A201" s="1432" t="n"/>
      <c r="B201" s="1432" t="n"/>
      <c r="C201" s="1432" t="n"/>
      <c r="D201" s="1432" t="n"/>
      <c r="E201" s="1433" t="n"/>
      <c r="F201" s="1434">
        <f>IF(B201="","",IF(E201=0,0,G201/E201))</f>
        <v/>
      </c>
      <c r="G201" s="1434">
        <f>IF(B201="","",SUMIF('Resource Build-Up'!$B$7:$B$306,B201,'Resource Build-Up'!$Z$7:$Z$306))</f>
        <v/>
      </c>
      <c r="H201" s="1432" t="n"/>
      <c r="I201" s="1432" t="n"/>
      <c r="J201" s="1432" t="n"/>
      <c r="K201" s="1432" t="n"/>
      <c r="L201" s="1435">
        <f>IF(B201="","",IF(J201="Excluded","Excluded","Resource-linked"))</f>
        <v/>
      </c>
      <c r="M201" s="1435">
        <f>IF(B201="","",IF(G201=0,"No resource cost / review","Resource Build-Up -&gt; "&amp;B201))</f>
        <v/>
      </c>
      <c r="N201" s="1435">
        <f>IF(B201="","","Resource Build-Up")</f>
        <v/>
      </c>
      <c r="O201" s="1435">
        <f>IF(B201="","","See Resource Build-Up / Resource Rate Library")</f>
        <v/>
      </c>
      <c r="P201" s="1435" t="n"/>
      <c r="Q201" s="1432" t="n"/>
      <c r="R201" s="1397">
        <f>IF(OR(ISNUMBER(SEARCH("PC",P201)),ISNUMBER(SEARCH("quote",Q201))),"Jason","Rick")</f>
        <v/>
      </c>
      <c r="S201" s="1436" t="n"/>
      <c r="T201" s="1437" t="n"/>
    </row>
    <row r="202">
      <c r="A202" s="1432" t="n"/>
      <c r="B202" s="1432" t="n"/>
      <c r="C202" s="1432" t="n"/>
      <c r="D202" s="1432" t="n"/>
      <c r="E202" s="1433" t="n"/>
      <c r="F202" s="1434">
        <f>IF(B202="","",IF(E202=0,0,G202/E202))</f>
        <v/>
      </c>
      <c r="G202" s="1434">
        <f>IF(B202="","",SUMIF('Resource Build-Up'!$B$7:$B$306,B202,'Resource Build-Up'!$Z$7:$Z$306))</f>
        <v/>
      </c>
      <c r="H202" s="1432" t="n"/>
      <c r="I202" s="1432" t="n"/>
      <c r="J202" s="1432" t="n"/>
      <c r="K202" s="1432" t="n"/>
      <c r="L202" s="1435">
        <f>IF(B202="","",IF(J202="Excluded","Excluded","Resource-linked"))</f>
        <v/>
      </c>
      <c r="M202" s="1435">
        <f>IF(B202="","",IF(G202=0,"No resource cost / review","Resource Build-Up -&gt; "&amp;B202))</f>
        <v/>
      </c>
      <c r="N202" s="1435">
        <f>IF(B202="","","Resource Build-Up")</f>
        <v/>
      </c>
      <c r="O202" s="1435">
        <f>IF(B202="","","See Resource Build-Up / Resource Rate Library")</f>
        <v/>
      </c>
      <c r="P202" s="1435" t="n"/>
      <c r="Q202" s="1432" t="n"/>
      <c r="R202" s="1397">
        <f>IF(OR(ISNUMBER(SEARCH("PC",P202)),ISNUMBER(SEARCH("quote",Q202))),"Jason","Rick")</f>
        <v/>
      </c>
      <c r="S202" s="1436" t="n"/>
      <c r="T202" s="1437" t="n"/>
    </row>
    <row r="203">
      <c r="A203" s="1438" t="inlineStr">
        <is>
          <t>TOTAL DIRECT COST</t>
        </is>
      </c>
      <c r="B203" s="1438" t="n"/>
      <c r="C203" s="1438" t="n"/>
      <c r="D203" s="1438" t="n"/>
      <c r="E203" s="1439" t="n"/>
      <c r="F203" s="1440" t="n"/>
      <c r="G203" s="1440">
        <f>SUM(G3:G202)</f>
        <v/>
      </c>
      <c r="H203" s="1438" t="n"/>
      <c r="I203" s="1438" t="n"/>
      <c r="J203" s="1438" t="n"/>
      <c r="K203" s="1438" t="n"/>
      <c r="L203" s="1438" t="n"/>
      <c r="M203" s="1438" t="n"/>
      <c r="N203" s="1438" t="n"/>
      <c r="O203" s="1438" t="n"/>
      <c r="P203" s="1438" t="n"/>
      <c r="Q203" s="1438" t="n"/>
      <c r="R203" s="260" t="n"/>
      <c r="S203" s="260" t="n"/>
      <c r="T203" s="260" t="n"/>
    </row>
  </sheetData>
  <mergeCells count="5">
    <mergeCell ref="B137:D137"/>
    <mergeCell ref="B136:D136"/>
    <mergeCell ref="A1:C1"/>
    <mergeCell ref="B135:D135"/>
    <mergeCell ref="Q1:T1"/>
  </mergeCells>
  <conditionalFormatting sqref="F3:F109">
    <cfRule type="expression" priority="1" dxfId="5">
      <formula>$R3="Jason"</formula>
    </cfRule>
  </conditionalFormatting>
  <conditionalFormatting sqref="S3:S109">
    <cfRule type="expression" priority="2" dxfId="5">
      <formula>$S3="PC / Quote Required"</formula>
    </cfRule>
    <cfRule type="expression" priority="3" dxfId="1">
      <formula>$S3="Market Rate"</formula>
    </cfRule>
    <cfRule type="expression" priority="4" dxfId="2">
      <formula>$S3="Supplier Quote"</formula>
    </cfRule>
  </conditionalFormatting>
  <dataValidations count="2">
    <dataValidation sqref="F3:G202 L3:O202 R3:R202" showDropDown="0" showInputMessage="0" showErrorMessage="1" allowBlank="1" errorTitle="Formula cell" error="This column is calculated. Change the Resource Build-Up instead." type="custom">
      <formula1>FALSE</formula1>
    </dataValidation>
    <dataValidation sqref="P3:P202" showDropDown="0" showInputMessage="0" showErrorMessage="0" allowBlank="1" type="list">
      <formula1>"GREEN,AMBER,RED"</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N306"/>
  <sheetViews>
    <sheetView workbookViewId="0">
      <selection activeCell="A1" sqref="A1"/>
    </sheetView>
  </sheetViews>
  <sheetFormatPr baseColWidth="8" defaultRowHeight="13.80000019073486"/>
  <cols>
    <col width="17" customWidth="1" style="491" min="1" max="1"/>
    <col width="12" customWidth="1" style="491" min="2" max="2"/>
    <col width="37.19921875" customWidth="1" style="491" min="3" max="3"/>
    <col width="55.19921875" customWidth="1" style="491" min="4" max="4"/>
    <col width="10" customWidth="1" style="491" min="5" max="6"/>
    <col width="14" customWidth="1" style="491" min="7" max="7"/>
    <col width="81.5" customWidth="1" style="491" min="8" max="8"/>
    <col width="14" customWidth="1" style="491" min="9" max="13"/>
    <col width="29.59765625" customWidth="1" style="491" min="14" max="14"/>
    <col width="15" customWidth="1" style="491" min="15" max="16"/>
    <col width="30" customWidth="1" style="491" min="17" max="17"/>
    <col width="15" customWidth="1" style="491" min="18" max="19"/>
    <col width="12" customWidth="1" style="491" min="20" max="20"/>
    <col width="11" customWidth="1" style="491" min="21" max="22"/>
    <col width="14" customWidth="1" style="491" min="23" max="26"/>
    <col width="27" customWidth="1" style="491" min="27" max="27"/>
    <col width="52.8984375" customWidth="1" style="491" min="28" max="28"/>
    <col width="13" customWidth="1" style="491" min="29" max="32"/>
    <col width="52.5" customWidth="1" style="491" min="33" max="33"/>
    <col width="12" customWidth="1" style="491" min="34" max="34"/>
    <col width="30" customWidth="1" style="491" min="35" max="35"/>
    <col width="24" customWidth="1" style="491" min="36" max="36"/>
    <col width="16" customWidth="1" style="491" min="37" max="37"/>
    <col width="34" customWidth="1" style="491" min="38" max="38"/>
    <col width="44" customWidth="1" style="491" min="39" max="39"/>
    <col width="20" customWidth="1" style="491" min="40" max="40"/>
  </cols>
  <sheetData>
    <row r="1" ht="22.5" customHeight="1" s="491">
      <c r="A1" s="452" t="inlineStr">
        <is>
          <t>RESOURCE BUILD-UP - MASTER ESTIMATE WORKBOOK - LINKED COST / DURATION FORMULAS</t>
        </is>
      </c>
      <c r="B1" s="242" t="n"/>
      <c r="C1" s="242" t="n"/>
      <c r="D1" s="242" t="n"/>
      <c r="E1" s="242" t="n"/>
      <c r="F1" s="242" t="n"/>
      <c r="G1" s="242" t="n"/>
      <c r="H1" s="242" t="n"/>
      <c r="I1" s="242" t="n"/>
      <c r="J1" s="242" t="n"/>
      <c r="K1" s="242" t="n"/>
      <c r="L1" s="242" t="n"/>
      <c r="M1" s="242" t="n"/>
      <c r="N1" s="242" t="n"/>
      <c r="O1" s="242" t="n"/>
      <c r="P1" s="242" t="n"/>
      <c r="Q1" s="242" t="n"/>
      <c r="R1" s="242" t="n"/>
      <c r="S1" s="242" t="n"/>
      <c r="T1" s="242" t="n"/>
      <c r="U1" s="242" t="n"/>
      <c r="V1" s="242" t="n"/>
      <c r="W1" s="242" t="n"/>
      <c r="X1" s="242" t="n"/>
      <c r="Y1" s="242" t="n"/>
      <c r="Z1" s="242" t="n"/>
      <c r="AA1" s="242" t="n"/>
      <c r="AB1" s="242" t="n"/>
      <c r="AC1" s="242" t="n"/>
      <c r="AD1" s="242" t="n"/>
      <c r="AE1" s="242" t="n"/>
      <c r="AF1" s="242" t="n"/>
      <c r="AG1" s="242" t="n"/>
      <c r="AH1" s="242" t="n"/>
      <c r="AI1" s="242" t="n"/>
      <c r="AJ1" s="242" t="n"/>
    </row>
    <row r="2" ht="21.14999961853027" customFormat="1" customHeight="1" s="217">
      <c r="A2" s="344" t="inlineStr">
        <is>
          <t>Every active QS Code must have resource rows here. Extended Cost totals by QS Code are pulled into QS Takeoff; do not type a second QS rate or amount.</t>
        </is>
      </c>
      <c r="B2" s="242" t="n"/>
      <c r="C2" s="242" t="n"/>
      <c r="D2" s="242" t="n"/>
      <c r="E2" s="242" t="n"/>
      <c r="F2" s="242" t="n"/>
      <c r="G2" s="242" t="n"/>
      <c r="H2" s="242" t="n"/>
      <c r="I2" s="242" t="n"/>
      <c r="J2" s="242" t="n"/>
      <c r="K2" s="242" t="n"/>
      <c r="L2" s="242" t="n"/>
      <c r="M2" s="242" t="n"/>
      <c r="N2" s="242" t="n"/>
      <c r="O2" s="242" t="n"/>
      <c r="P2" s="242" t="n"/>
      <c r="Q2" s="242" t="n"/>
      <c r="R2" s="242" t="n"/>
      <c r="S2" s="242" t="n"/>
      <c r="T2" s="242" t="n"/>
      <c r="U2" s="242" t="n"/>
      <c r="V2" s="242" t="n"/>
      <c r="W2" s="242" t="n"/>
      <c r="X2" s="242" t="n"/>
      <c r="Y2" s="242" t="n"/>
      <c r="Z2" s="242" t="n"/>
      <c r="AA2" s="242" t="n"/>
      <c r="AB2" s="242" t="n"/>
      <c r="AC2" s="242" t="n"/>
      <c r="AD2" s="242" t="n"/>
      <c r="AE2" s="242" t="n"/>
      <c r="AF2" s="242" t="n"/>
      <c r="AG2" s="242" t="n"/>
      <c r="AH2" s="242" t="n"/>
      <c r="AI2" s="242" t="n"/>
      <c r="AJ2" s="242" t="n"/>
    </row>
    <row r="3" ht="21.14999961853027" customFormat="1" customHeight="1" s="217">
      <c r="A3" s="425" t="inlineStr">
        <is>
          <t>Ordinary civil plant stays Plant whether owned or hired. Specialist delivered capability such as mobile cranes is normally Subcontract. Wet hire must record operator/fuel inclusions to stop double counting.</t>
        </is>
      </c>
      <c r="B3" s="242" t="n"/>
      <c r="C3" s="242" t="n"/>
      <c r="D3" s="242" t="n"/>
      <c r="E3" s="242" t="n"/>
      <c r="F3" s="242" t="n"/>
      <c r="G3" s="242" t="n"/>
      <c r="H3" s="242" t="n"/>
      <c r="I3" s="242" t="n"/>
      <c r="J3" s="242" t="n"/>
      <c r="K3" s="242" t="n"/>
      <c r="L3" s="242" t="n"/>
      <c r="M3" s="242" t="n"/>
      <c r="N3" s="242" t="n"/>
      <c r="O3" s="242" t="n"/>
      <c r="P3" s="242" t="n"/>
      <c r="Q3" s="242" t="n"/>
      <c r="R3" s="242" t="n"/>
      <c r="S3" s="242" t="n"/>
      <c r="T3" s="242" t="n"/>
      <c r="U3" s="242" t="n"/>
      <c r="V3" s="242" t="n"/>
      <c r="W3" s="242" t="n"/>
      <c r="X3" s="242" t="n"/>
      <c r="Y3" s="242" t="n"/>
      <c r="Z3" s="242" t="n"/>
      <c r="AA3" s="242" t="n"/>
      <c r="AB3" s="242" t="n"/>
      <c r="AC3" s="242" t="n"/>
      <c r="AD3" s="242" t="n"/>
      <c r="AE3" s="242" t="n"/>
      <c r="AF3" s="242" t="n"/>
      <c r="AG3" s="242" t="n"/>
      <c r="AH3" s="242" t="n"/>
      <c r="AI3" s="242" t="n"/>
      <c r="AJ3" s="242" t="n"/>
    </row>
    <row r="4" ht="21.14999961853027" customFormat="1" customHeight="1" s="217">
      <c r="A4" s="311" t="inlineStr">
        <is>
          <t>Calculation modes: Time x Count; QS Qty x Factor; Direct Qty; Lump Sum / Quote. Duration is derived from quantity/productivity or explicitly overridden where sequencing requires it.</t>
        </is>
      </c>
      <c r="B4" s="242" t="n"/>
      <c r="C4" s="242" t="n"/>
      <c r="D4" s="242" t="n"/>
      <c r="E4" s="242" t="n"/>
      <c r="F4" s="242" t="n"/>
      <c r="G4" s="242" t="n"/>
      <c r="H4" s="242" t="n"/>
      <c r="I4" s="242" t="n"/>
      <c r="J4" s="242" t="n"/>
      <c r="K4" s="242" t="n"/>
      <c r="L4" s="242" t="n"/>
      <c r="M4" s="242" t="n"/>
      <c r="N4" s="242" t="n"/>
      <c r="O4" s="242" t="n"/>
      <c r="P4" s="242" t="n"/>
      <c r="Q4" s="242" t="n"/>
      <c r="R4" s="242" t="n"/>
      <c r="S4" s="242" t="n"/>
      <c r="T4" s="242" t="n"/>
      <c r="U4" s="242" t="n"/>
      <c r="V4" s="242" t="n"/>
      <c r="W4" s="242" t="n"/>
      <c r="X4" s="242" t="n"/>
      <c r="Y4" s="242" t="n"/>
      <c r="Z4" s="242" t="n"/>
      <c r="AA4" s="242" t="n"/>
      <c r="AB4" s="242" t="n"/>
      <c r="AC4" s="242" t="n"/>
      <c r="AD4" s="242" t="n"/>
      <c r="AE4" s="242" t="n"/>
      <c r="AF4" s="242" t="n"/>
      <c r="AG4" s="242" t="n"/>
      <c r="AH4" s="242" t="n"/>
      <c r="AI4" s="242" t="n"/>
      <c r="AJ4" s="242" t="n"/>
    </row>
    <row r="5" ht="34" customHeight="1" s="491">
      <c r="A5" s="470" t="inlineStr">
        <is>
          <t>Weather controls: AK:AM are estimator inputs; AN is formula-controlled exposed Labour/Plant cost feeding Weather Risk. Materials, fixed subcontract and Other costs are excluded from direct weather productivity by default.</t>
        </is>
      </c>
      <c r="B5" s="242" t="n"/>
      <c r="C5" s="242" t="n"/>
      <c r="D5" s="242" t="n"/>
      <c r="E5" s="242" t="n"/>
      <c r="F5" s="242" t="n"/>
      <c r="G5" s="242" t="n"/>
      <c r="H5" s="242" t="n"/>
      <c r="I5" s="242" t="n"/>
      <c r="J5" s="242" t="n"/>
      <c r="K5" s="242" t="n"/>
      <c r="L5" s="242" t="n"/>
      <c r="M5" s="242" t="n"/>
      <c r="N5" s="242" t="n"/>
      <c r="O5" s="242" t="n"/>
      <c r="P5" s="242" t="n"/>
      <c r="Q5" s="242"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row>
    <row r="6" ht="25.95000076293945" customFormat="1" customHeight="1" s="217">
      <c r="A6" s="173" t="inlineStr">
        <is>
          <t>Build-Up Row ID</t>
        </is>
      </c>
      <c r="B6" s="174" t="inlineStr">
        <is>
          <t>QS Code</t>
        </is>
      </c>
      <c r="C6" s="174" t="inlineStr">
        <is>
          <t>WBS / Section</t>
        </is>
      </c>
      <c r="D6" s="174" t="inlineStr">
        <is>
          <t>Task Description</t>
        </is>
      </c>
      <c r="E6" s="174" t="inlineStr">
        <is>
          <t>QS Qty</t>
        </is>
      </c>
      <c r="F6" s="174" t="inlineStr">
        <is>
          <t>QS Unit</t>
        </is>
      </c>
      <c r="G6" s="174" t="inlineStr">
        <is>
          <t>Estimate Class</t>
        </is>
      </c>
      <c r="H6" s="174" t="inlineStr">
        <is>
          <t>Methodology / Work Step</t>
        </is>
      </c>
      <c r="I6" s="174" t="inlineStr">
        <is>
          <t>Productivity Rate</t>
        </is>
      </c>
      <c r="J6" s="174" t="inlineStr">
        <is>
          <t>Productivity Unit</t>
        </is>
      </c>
      <c r="K6" s="174" t="inlineStr">
        <is>
          <t>Calc Duration hrs</t>
        </is>
      </c>
      <c r="L6" s="174" t="inlineStr">
        <is>
          <t>Duration Override hrs</t>
        </is>
      </c>
      <c r="M6" s="174" t="inlineStr">
        <is>
          <t>Applied Duration hrs</t>
        </is>
      </c>
      <c r="N6" s="174" t="inlineStr">
        <is>
          <t>Calculation Mode</t>
        </is>
      </c>
      <c r="O6" s="174" t="inlineStr">
        <is>
          <t>Resource Type</t>
        </is>
      </c>
      <c r="P6" s="174" t="inlineStr">
        <is>
          <t>Resource Code</t>
        </is>
      </c>
      <c r="Q6" s="174" t="inlineStr">
        <is>
          <t>Resource Description</t>
        </is>
      </c>
      <c r="R6" s="174" t="inlineStr">
        <is>
          <t>Resource Count / Factor</t>
        </is>
      </c>
      <c r="S6" s="174" t="inlineStr">
        <is>
          <t>Manual Resource Qty</t>
        </is>
      </c>
      <c r="T6" s="174" t="inlineStr">
        <is>
          <t>Resource Unit</t>
        </is>
      </c>
      <c r="U6" s="174" t="inlineStr">
        <is>
          <t>Utilisation %</t>
        </is>
      </c>
      <c r="V6" s="174" t="inlineStr">
        <is>
          <t>Waste %</t>
        </is>
      </c>
      <c r="W6" s="174" t="inlineStr">
        <is>
          <t>Library Rate</t>
        </is>
      </c>
      <c r="X6" s="174" t="inlineStr">
        <is>
          <t>Job Rate Override</t>
        </is>
      </c>
      <c r="Y6" s="174" t="inlineStr">
        <is>
          <t>Applied Rate</t>
        </is>
      </c>
      <c r="Z6" s="174" t="inlineStr">
        <is>
          <t>Extended Cost</t>
        </is>
      </c>
      <c r="AA6" s="174" t="inlineStr">
        <is>
          <t>Library Source</t>
        </is>
      </c>
      <c r="AB6" s="174" t="inlineStr">
        <is>
          <t>Job Quote / Source Ref</t>
        </is>
      </c>
      <c r="AC6" s="174" t="inlineStr">
        <is>
          <t>Source Date</t>
        </is>
      </c>
      <c r="AD6" s="174" t="inlineStr">
        <is>
          <t>Operator Included?</t>
        </is>
      </c>
      <c r="AE6" s="174" t="inlineStr">
        <is>
          <t>Fuel Included?</t>
        </is>
      </c>
      <c r="AF6" s="174" t="inlineStr">
        <is>
          <t>Confidence</t>
        </is>
      </c>
      <c r="AG6" s="174" t="inlineStr">
        <is>
          <t>Assumption / RFI</t>
        </is>
      </c>
      <c r="AH6" s="174" t="inlineStr">
        <is>
          <t>Verified?</t>
        </is>
      </c>
      <c r="AI6" s="174" t="inlineStr">
        <is>
          <t>QA / Double-Count Check</t>
        </is>
      </c>
      <c r="AJ6" s="175" t="inlineStr">
        <is>
          <t>Notes</t>
        </is>
      </c>
      <c r="AK6" s="581" t="inlineStr">
        <is>
          <t>Weather Exposed?</t>
        </is>
      </c>
      <c r="AL6" s="581" t="inlineStr">
        <is>
          <t>Weather Task Type</t>
        </is>
      </c>
      <c r="AM6" s="581" t="inlineStr">
        <is>
          <t>Weather Basis / Status</t>
        </is>
      </c>
      <c r="AN6" s="581" t="inlineStr">
        <is>
          <t>Weather-Exposed Labour + Plant Cost</t>
        </is>
      </c>
    </row>
    <row r="7" ht="22.04999923706055" customHeight="1" s="491">
      <c r="A7" s="80">
        <f>IF(B7="","",B7&amp;"-"&amp;TEXT(COUNTIF($B$7:B7,B7),"000"))</f>
        <v/>
      </c>
      <c r="B7" s="53" t="n"/>
      <c r="C7" s="81">
        <f>IFERROR(INDEX('QS Takeoff'!$A$3:$A$202,MATCH(B7,'QS Takeoff'!$B$3:$B$202,0)),"")</f>
        <v/>
      </c>
      <c r="D7" s="81">
        <f>IFERROR(INDEX('QS Takeoff'!$C$3:$C$202,MATCH(B7,'QS Takeoff'!$B$3:$B$202,0)),"")</f>
        <v/>
      </c>
      <c r="E7" s="81">
        <f>IFERROR(INDEX('QS Takeoff'!$E$3:$E$202,MATCH(B7,'QS Takeoff'!$B$3:$B$202,0)),"")</f>
        <v/>
      </c>
      <c r="F7" s="81">
        <f>IFERROR(INDEX('QS Takeoff'!$D$3:$D$202,MATCH(B7,'QS Takeoff'!$B$3:$B$202,0)),"")</f>
        <v/>
      </c>
      <c r="G7" s="81">
        <f>IFERROR(INDEX('QS Takeoff'!$J$3:$J$202,MATCH(B7,'QS Takeoff'!$B$3:$B$202,0)),"")</f>
        <v/>
      </c>
      <c r="H7" s="53" t="n"/>
      <c r="I7" s="60" t="n"/>
      <c r="J7" s="60" t="n"/>
      <c r="K7" s="82">
        <f>IF(OR(B7="",I7="",I7=0),"",E7/I7)</f>
        <v/>
      </c>
      <c r="L7" s="60" t="n"/>
      <c r="M7" s="82">
        <f>IF(L7&gt;0,L7,K7)</f>
        <v/>
      </c>
      <c r="N7" s="53" t="n"/>
      <c r="O7" s="53" t="n"/>
      <c r="P7" s="53" t="n"/>
      <c r="Q7" s="81">
        <f>IFERROR(INDEX('Resource Rate Library'!$C$5:$C$200,MATCH(P7,'Resource Rate Library'!$A$5:$A$200,0)),"")</f>
        <v/>
      </c>
      <c r="R7" s="53" t="n"/>
      <c r="S7" s="53" t="n"/>
      <c r="T7" s="81">
        <f>IFERROR(INDEX('Resource Rate Library'!$E$5:$E$200,MATCH(P7,'Resource Rate Library'!$A$5:$A$200,0)),"")</f>
        <v/>
      </c>
      <c r="U7" s="1441" t="n"/>
      <c r="V7" s="1441" t="n"/>
      <c r="W7" s="1442">
        <f>IFERROR(INDEX('Resource Rate Library'!$I$5:$I$200,MATCH(P7,'Resource Rate Library'!$A$5:$A$200,0)),0)</f>
        <v/>
      </c>
      <c r="X7" s="1443" t="n"/>
      <c r="Y7" s="1442">
        <f>IF(X7&gt;0,X7,W7)</f>
        <v/>
      </c>
      <c r="Z7" s="1442">
        <f>IF(B7="","",IF(N7="Time x Count",M7*R7*IF(U7="",1,U7)*Y7,IF(N7="QS Qty x Factor",E7*R7*(1+IF(V7="",0,V7))*Y7,IF(N7="Direct Qty",S7*(1+IF(V7="",0,V7))*Y7,IF(N7="Lump Sum / Quote",S7*Y7,0)))))</f>
        <v/>
      </c>
      <c r="AA7" s="81">
        <f>IFERROR(INDEX('Resource Rate Library'!$N$5:$N$200,MATCH(P7,'Resource Rate Library'!$A$5:$A$200,0)),"")</f>
        <v/>
      </c>
      <c r="AB7" s="53" t="n"/>
      <c r="AC7" s="59" t="n"/>
      <c r="AD7" s="81">
        <f>IFERROR(INDEX('Resource Rate Library'!$G$5:$G$200,MATCH(P7,'Resource Rate Library'!$A$5:$A$200,0)),"")</f>
        <v/>
      </c>
      <c r="AE7" s="81">
        <f>IFERROR(INDEX('Resource Rate Library'!$H$5:$H$200,MATCH(P7,'Resource Rate Library'!$A$5:$A$200,0)),"")</f>
        <v/>
      </c>
      <c r="AF7" s="53" t="n"/>
      <c r="AG7" s="53" t="n"/>
      <c r="AH7" s="53" t="n"/>
      <c r="AI7" s="81">
        <f>IF(B7="","",IF(AND(P7="",N7&lt;&gt;"Lump Sum / Quote"),"RESOURCE CODE",IF(Y7=0,"RATE MISSING",IF(AND(O7="Plant",AD7="Yes",COUNTIFS($B$7:$B$306,B7,$O$7:$O$306,"Labour",$Q$7:$Q$306,"*Operator*")&gt;0),"OPERATOR DOUBLE-COUNT",IF(AND(O7="Plant",AE7="Yes",COUNTIFS($B$7:$B$306,B7,$Q$7:$Q$306,"*Fuel*")&gt;0),"FUEL DOUBLE-COUNT",IF(AH7&lt;&gt;"Yes","VERIFY","OK"))))))</f>
        <v/>
      </c>
      <c r="AJ7" s="54" t="n"/>
      <c r="AK7" s="473" t="n"/>
      <c r="AL7" s="473" t="n"/>
      <c r="AM7" s="473" t="n"/>
      <c r="AN7" s="1444">
        <f>IF(AND(AK7="Yes",OR(O7="Labour",O7="Plant")),Z7,0)</f>
        <v/>
      </c>
    </row>
    <row r="8" ht="22.04999923706055" customHeight="1" s="491">
      <c r="A8" s="80">
        <f>IF(B8="","",B8&amp;"-"&amp;TEXT(COUNTIF($B$7:B8,B8),"000"))</f>
        <v/>
      </c>
      <c r="B8" s="53" t="n"/>
      <c r="C8" s="81">
        <f>IFERROR(INDEX('QS Takeoff'!$A$3:$A$202,MATCH(B8,'QS Takeoff'!$B$3:$B$202,0)),"")</f>
        <v/>
      </c>
      <c r="D8" s="81">
        <f>IFERROR(INDEX('QS Takeoff'!$C$3:$C$202,MATCH(B8,'QS Takeoff'!$B$3:$B$202,0)),"")</f>
        <v/>
      </c>
      <c r="E8" s="81">
        <f>IFERROR(INDEX('QS Takeoff'!$E$3:$E$202,MATCH(B8,'QS Takeoff'!$B$3:$B$202,0)),"")</f>
        <v/>
      </c>
      <c r="F8" s="81">
        <f>IFERROR(INDEX('QS Takeoff'!$D$3:$D$202,MATCH(B8,'QS Takeoff'!$B$3:$B$202,0)),"")</f>
        <v/>
      </c>
      <c r="G8" s="81">
        <f>IFERROR(INDEX('QS Takeoff'!$J$3:$J$202,MATCH(B8,'QS Takeoff'!$B$3:$B$202,0)),"")</f>
        <v/>
      </c>
      <c r="H8" s="53" t="n"/>
      <c r="I8" s="60" t="n"/>
      <c r="J8" s="60" t="n"/>
      <c r="K8" s="82">
        <f>IF(OR(B8="",I8="",I8=0),"",E8/I8)</f>
        <v/>
      </c>
      <c r="L8" s="60" t="n"/>
      <c r="M8" s="82">
        <f>IF(L8&gt;0,L8,K8)</f>
        <v/>
      </c>
      <c r="N8" s="53" t="n"/>
      <c r="O8" s="53" t="n"/>
      <c r="P8" s="53" t="n"/>
      <c r="Q8" s="81">
        <f>IFERROR(INDEX('Resource Rate Library'!$C$5:$C$200,MATCH(P8,'Resource Rate Library'!$A$5:$A$200,0)),"")</f>
        <v/>
      </c>
      <c r="R8" s="53" t="n"/>
      <c r="S8" s="53" t="n"/>
      <c r="T8" s="81">
        <f>IFERROR(INDEX('Resource Rate Library'!$E$5:$E$200,MATCH(P8,'Resource Rate Library'!$A$5:$A$200,0)),"")</f>
        <v/>
      </c>
      <c r="U8" s="1441" t="n"/>
      <c r="V8" s="1441" t="n"/>
      <c r="W8" s="1442">
        <f>IFERROR(INDEX('Resource Rate Library'!$I$5:$I$200,MATCH(P8,'Resource Rate Library'!$A$5:$A$200,0)),0)</f>
        <v/>
      </c>
      <c r="X8" s="1443" t="n"/>
      <c r="Y8" s="1442">
        <f>IF(X8&gt;0,X8,W8)</f>
        <v/>
      </c>
      <c r="Z8" s="1442">
        <f>IF(B8="","",IF(N8="Time x Count",M8*R8*IF(U8="",1,U8)*Y8,IF(N8="QS Qty x Factor",E8*R8*(1+IF(V8="",0,V8))*Y8,IF(N8="Direct Qty",S8*(1+IF(V8="",0,V8))*Y8,IF(N8="Lump Sum / Quote",S8*Y8,0)))))</f>
        <v/>
      </c>
      <c r="AA8" s="81">
        <f>IFERROR(INDEX('Resource Rate Library'!$N$5:$N$200,MATCH(P8,'Resource Rate Library'!$A$5:$A$200,0)),"")</f>
        <v/>
      </c>
      <c r="AB8" s="53" t="n"/>
      <c r="AC8" s="59" t="n"/>
      <c r="AD8" s="81">
        <f>IFERROR(INDEX('Resource Rate Library'!$G$5:$G$200,MATCH(P8,'Resource Rate Library'!$A$5:$A$200,0)),"")</f>
        <v/>
      </c>
      <c r="AE8" s="81">
        <f>IFERROR(INDEX('Resource Rate Library'!$H$5:$H$200,MATCH(P8,'Resource Rate Library'!$A$5:$A$200,0)),"")</f>
        <v/>
      </c>
      <c r="AF8" s="53" t="n"/>
      <c r="AG8" s="53" t="n"/>
      <c r="AH8" s="53" t="n"/>
      <c r="AI8" s="81">
        <f>IF(B8="","",IF(AND(P8="",N8&lt;&gt;"Lump Sum / Quote"),"RESOURCE CODE",IF(Y8=0,"RATE MISSING",IF(AND(O8="Plant",AD8="Yes",COUNTIFS($B$7:$B$306,B8,$O$7:$O$306,"Labour",$Q$7:$Q$306,"*Operator*")&gt;0),"OPERATOR DOUBLE-COUNT",IF(AND(O8="Plant",AE8="Yes",COUNTIFS($B$7:$B$306,B8,$Q$7:$Q$306,"*Fuel*")&gt;0),"FUEL DOUBLE-COUNT",IF(AH8&lt;&gt;"Yes","VERIFY","OK"))))))</f>
        <v/>
      </c>
      <c r="AJ8" s="54" t="n"/>
      <c r="AK8" s="473" t="n"/>
      <c r="AL8" s="473" t="n"/>
      <c r="AM8" s="473" t="n"/>
      <c r="AN8" s="1444">
        <f>IF(AND(AK8="Yes",OR(O8="Labour",O8="Plant")),Z8,0)</f>
        <v/>
      </c>
    </row>
    <row r="9" ht="22.04999923706055" customHeight="1" s="491">
      <c r="A9" s="80">
        <f>IF(B9="","",B9&amp;"-"&amp;TEXT(COUNTIF($B$7:B9,B9),"000"))</f>
        <v/>
      </c>
      <c r="B9" s="53" t="n"/>
      <c r="C9" s="81">
        <f>IFERROR(INDEX('QS Takeoff'!$A$3:$A$202,MATCH(B9,'QS Takeoff'!$B$3:$B$202,0)),"")</f>
        <v/>
      </c>
      <c r="D9" s="81">
        <f>IFERROR(INDEX('QS Takeoff'!$C$3:$C$202,MATCH(B9,'QS Takeoff'!$B$3:$B$202,0)),"")</f>
        <v/>
      </c>
      <c r="E9" s="81">
        <f>IFERROR(INDEX('QS Takeoff'!$E$3:$E$202,MATCH(B9,'QS Takeoff'!$B$3:$B$202,0)),"")</f>
        <v/>
      </c>
      <c r="F9" s="81">
        <f>IFERROR(INDEX('QS Takeoff'!$D$3:$D$202,MATCH(B9,'QS Takeoff'!$B$3:$B$202,0)),"")</f>
        <v/>
      </c>
      <c r="G9" s="81">
        <f>IFERROR(INDEX('QS Takeoff'!$J$3:$J$202,MATCH(B9,'QS Takeoff'!$B$3:$B$202,0)),"")</f>
        <v/>
      </c>
      <c r="H9" s="53" t="n"/>
      <c r="I9" s="60" t="n"/>
      <c r="J9" s="60" t="n"/>
      <c r="K9" s="82">
        <f>IF(OR(B9="",I9="",I9=0),"",E9/I9)</f>
        <v/>
      </c>
      <c r="L9" s="60" t="n"/>
      <c r="M9" s="82">
        <f>IF(L9&gt;0,L9,K9)</f>
        <v/>
      </c>
      <c r="N9" s="53" t="n"/>
      <c r="O9" s="53" t="n"/>
      <c r="P9" s="53" t="n"/>
      <c r="Q9" s="81">
        <f>IFERROR(INDEX('Resource Rate Library'!$C$5:$C$200,MATCH(P9,'Resource Rate Library'!$A$5:$A$200,0)),"")</f>
        <v/>
      </c>
      <c r="R9" s="53" t="n"/>
      <c r="S9" s="53" t="n"/>
      <c r="T9" s="81">
        <f>IFERROR(INDEX('Resource Rate Library'!$E$5:$E$200,MATCH(P9,'Resource Rate Library'!$A$5:$A$200,0)),"")</f>
        <v/>
      </c>
      <c r="U9" s="1441" t="n"/>
      <c r="V9" s="1441" t="n"/>
      <c r="W9" s="1442">
        <f>IFERROR(INDEX('Resource Rate Library'!$I$5:$I$200,MATCH(P9,'Resource Rate Library'!$A$5:$A$200,0)),0)</f>
        <v/>
      </c>
      <c r="X9" s="1443" t="n"/>
      <c r="Y9" s="1442">
        <f>IF(X9&gt;0,X9,W9)</f>
        <v/>
      </c>
      <c r="Z9" s="1442">
        <f>IF(B9="","",IF(N9="Time x Count",M9*R9*IF(U9="",1,U9)*Y9,IF(N9="QS Qty x Factor",E9*R9*(1+IF(V9="",0,V9))*Y9,IF(N9="Direct Qty",S9*(1+IF(V9="",0,V9))*Y9,IF(N9="Lump Sum / Quote",S9*Y9,0)))))</f>
        <v/>
      </c>
      <c r="AA9" s="81">
        <f>IFERROR(INDEX('Resource Rate Library'!$N$5:$N$200,MATCH(P9,'Resource Rate Library'!$A$5:$A$200,0)),"")</f>
        <v/>
      </c>
      <c r="AB9" s="53" t="n"/>
      <c r="AC9" s="59" t="n"/>
      <c r="AD9" s="81">
        <f>IFERROR(INDEX('Resource Rate Library'!$G$5:$G$200,MATCH(P9,'Resource Rate Library'!$A$5:$A$200,0)),"")</f>
        <v/>
      </c>
      <c r="AE9" s="81">
        <f>IFERROR(INDEX('Resource Rate Library'!$H$5:$H$200,MATCH(P9,'Resource Rate Library'!$A$5:$A$200,0)),"")</f>
        <v/>
      </c>
      <c r="AF9" s="53" t="n"/>
      <c r="AG9" s="53" t="n"/>
      <c r="AH9" s="53" t="n"/>
      <c r="AI9" s="81">
        <f>IF(B9="","",IF(AND(P9="",N9&lt;&gt;"Lump Sum / Quote"),"RESOURCE CODE",IF(Y9=0,"RATE MISSING",IF(AND(O9="Plant",AD9="Yes",COUNTIFS($B$7:$B$306,B9,$O$7:$O$306,"Labour",$Q$7:$Q$306,"*Operator*")&gt;0),"OPERATOR DOUBLE-COUNT",IF(AND(O9="Plant",AE9="Yes",COUNTIFS($B$7:$B$306,B9,$Q$7:$Q$306,"*Fuel*")&gt;0),"FUEL DOUBLE-COUNT",IF(AH9&lt;&gt;"Yes","VERIFY","OK"))))))</f>
        <v/>
      </c>
      <c r="AJ9" s="54" t="n"/>
      <c r="AK9" s="473" t="n"/>
      <c r="AL9" s="473" t="n"/>
      <c r="AM9" s="473" t="n"/>
      <c r="AN9" s="1444">
        <f>IF(AND(AK9="Yes",OR(O9="Labour",O9="Plant")),Z9,0)</f>
        <v/>
      </c>
    </row>
    <row r="10" ht="22.04999923706055" customHeight="1" s="491">
      <c r="A10" s="80">
        <f>IF(B10="","",B10&amp;"-"&amp;TEXT(COUNTIF($B$7:B10,B10),"000"))</f>
        <v/>
      </c>
      <c r="B10" s="53" t="n"/>
      <c r="C10" s="81">
        <f>IFERROR(INDEX('QS Takeoff'!$A$3:$A$202,MATCH(B10,'QS Takeoff'!$B$3:$B$202,0)),"")</f>
        <v/>
      </c>
      <c r="D10" s="81">
        <f>IFERROR(INDEX('QS Takeoff'!$C$3:$C$202,MATCH(B10,'QS Takeoff'!$B$3:$B$202,0)),"")</f>
        <v/>
      </c>
      <c r="E10" s="81">
        <f>IFERROR(INDEX('QS Takeoff'!$E$3:$E$202,MATCH(B10,'QS Takeoff'!$B$3:$B$202,0)),"")</f>
        <v/>
      </c>
      <c r="F10" s="81">
        <f>IFERROR(INDEX('QS Takeoff'!$D$3:$D$202,MATCH(B10,'QS Takeoff'!$B$3:$B$202,0)),"")</f>
        <v/>
      </c>
      <c r="G10" s="81">
        <f>IFERROR(INDEX('QS Takeoff'!$J$3:$J$202,MATCH(B10,'QS Takeoff'!$B$3:$B$202,0)),"")</f>
        <v/>
      </c>
      <c r="H10" s="53" t="n"/>
      <c r="I10" s="60" t="n"/>
      <c r="J10" s="60" t="n"/>
      <c r="K10" s="82">
        <f>IF(OR(B10="",I10="",I10=0),"",E10/I10)</f>
        <v/>
      </c>
      <c r="L10" s="60" t="n"/>
      <c r="M10" s="82">
        <f>IF(L10&gt;0,L10,K10)</f>
        <v/>
      </c>
      <c r="N10" s="53" t="n"/>
      <c r="O10" s="53" t="n"/>
      <c r="P10" s="53" t="n"/>
      <c r="Q10" s="81">
        <f>IFERROR(INDEX('Resource Rate Library'!$C$5:$C$200,MATCH(P10,'Resource Rate Library'!$A$5:$A$200,0)),"")</f>
        <v/>
      </c>
      <c r="R10" s="53" t="n"/>
      <c r="S10" s="53" t="n"/>
      <c r="T10" s="81">
        <f>IFERROR(INDEX('Resource Rate Library'!$E$5:$E$200,MATCH(P10,'Resource Rate Library'!$A$5:$A$200,0)),"")</f>
        <v/>
      </c>
      <c r="U10" s="1441" t="n"/>
      <c r="V10" s="1441" t="n"/>
      <c r="W10" s="1442">
        <f>IFERROR(INDEX('Resource Rate Library'!$I$5:$I$200,MATCH(P10,'Resource Rate Library'!$A$5:$A$200,0)),0)</f>
        <v/>
      </c>
      <c r="X10" s="1443" t="n"/>
      <c r="Y10" s="1442">
        <f>IF(X10&gt;0,X10,W10)</f>
        <v/>
      </c>
      <c r="Z10" s="1442">
        <f>IF(B10="","",IF(N10="Time x Count",M10*R10*IF(U10="",1,U10)*Y10,IF(N10="QS Qty x Factor",E10*R10*(1+IF(V10="",0,V10))*Y10,IF(N10="Direct Qty",S10*(1+IF(V10="",0,V10))*Y10,IF(N10="Lump Sum / Quote",S10*Y10,0)))))</f>
        <v/>
      </c>
      <c r="AA10" s="81">
        <f>IFERROR(INDEX('Resource Rate Library'!$N$5:$N$200,MATCH(P10,'Resource Rate Library'!$A$5:$A$200,0)),"")</f>
        <v/>
      </c>
      <c r="AB10" s="53" t="n"/>
      <c r="AC10" s="59" t="n"/>
      <c r="AD10" s="81">
        <f>IFERROR(INDEX('Resource Rate Library'!$G$5:$G$200,MATCH(P10,'Resource Rate Library'!$A$5:$A$200,0)),"")</f>
        <v/>
      </c>
      <c r="AE10" s="81">
        <f>IFERROR(INDEX('Resource Rate Library'!$H$5:$H$200,MATCH(P10,'Resource Rate Library'!$A$5:$A$200,0)),"")</f>
        <v/>
      </c>
      <c r="AF10" s="53" t="n"/>
      <c r="AG10" s="53" t="n"/>
      <c r="AH10" s="53" t="n"/>
      <c r="AI10" s="81">
        <f>IF(B10="","",IF(AND(P10="",N10&lt;&gt;"Lump Sum / Quote"),"RESOURCE CODE",IF(Y10=0,"RATE MISSING",IF(AND(O10="Plant",AD10="Yes",COUNTIFS($B$7:$B$306,B10,$O$7:$O$306,"Labour",$Q$7:$Q$306,"*Operator*")&gt;0),"OPERATOR DOUBLE-COUNT",IF(AND(O10="Plant",AE10="Yes",COUNTIFS($B$7:$B$306,B10,$Q$7:$Q$306,"*Fuel*")&gt;0),"FUEL DOUBLE-COUNT",IF(AH10&lt;&gt;"Yes","VERIFY","OK"))))))</f>
        <v/>
      </c>
      <c r="AJ10" s="54" t="n"/>
      <c r="AK10" s="473" t="n"/>
      <c r="AL10" s="473" t="n"/>
      <c r="AM10" s="473" t="n"/>
      <c r="AN10" s="1444">
        <f>IF(AND(AK10="Yes",OR(O10="Labour",O10="Plant")),Z10,0)</f>
        <v/>
      </c>
    </row>
    <row r="11" ht="22.04999923706055" customHeight="1" s="491">
      <c r="A11" s="80">
        <f>IF(B11="","",B11&amp;"-"&amp;TEXT(COUNTIF($B$7:B11,B11),"000"))</f>
        <v/>
      </c>
      <c r="B11" s="53" t="n"/>
      <c r="C11" s="81">
        <f>IFERROR(INDEX('QS Takeoff'!$A$3:$A$202,MATCH(B11,'QS Takeoff'!$B$3:$B$202,0)),"")</f>
        <v/>
      </c>
      <c r="D11" s="81">
        <f>IFERROR(INDEX('QS Takeoff'!$C$3:$C$202,MATCH(B11,'QS Takeoff'!$B$3:$B$202,0)),"")</f>
        <v/>
      </c>
      <c r="E11" s="81">
        <f>IFERROR(INDEX('QS Takeoff'!$E$3:$E$202,MATCH(B11,'QS Takeoff'!$B$3:$B$202,0)),"")</f>
        <v/>
      </c>
      <c r="F11" s="81">
        <f>IFERROR(INDEX('QS Takeoff'!$D$3:$D$202,MATCH(B11,'QS Takeoff'!$B$3:$B$202,0)),"")</f>
        <v/>
      </c>
      <c r="G11" s="81">
        <f>IFERROR(INDEX('QS Takeoff'!$J$3:$J$202,MATCH(B11,'QS Takeoff'!$B$3:$B$202,0)),"")</f>
        <v/>
      </c>
      <c r="H11" s="53" t="n"/>
      <c r="I11" s="60" t="n"/>
      <c r="J11" s="60" t="n"/>
      <c r="K11" s="82">
        <f>IF(OR(B11="",I11="",I11=0),"",E11/I11)</f>
        <v/>
      </c>
      <c r="L11" s="60" t="n"/>
      <c r="M11" s="82">
        <f>IF(L11&gt;0,L11,K11)</f>
        <v/>
      </c>
      <c r="N11" s="53" t="n"/>
      <c r="O11" s="53" t="n"/>
      <c r="P11" s="53" t="n"/>
      <c r="Q11" s="81">
        <f>IFERROR(INDEX('Resource Rate Library'!$C$5:$C$200,MATCH(P11,'Resource Rate Library'!$A$5:$A$200,0)),"")</f>
        <v/>
      </c>
      <c r="R11" s="53" t="n"/>
      <c r="S11" s="53" t="n"/>
      <c r="T11" s="81">
        <f>IFERROR(INDEX('Resource Rate Library'!$E$5:$E$200,MATCH(P11,'Resource Rate Library'!$A$5:$A$200,0)),"")</f>
        <v/>
      </c>
      <c r="U11" s="1441" t="n"/>
      <c r="V11" s="1441" t="n"/>
      <c r="W11" s="1442">
        <f>IFERROR(INDEX('Resource Rate Library'!$I$5:$I$200,MATCH(P11,'Resource Rate Library'!$A$5:$A$200,0)),0)</f>
        <v/>
      </c>
      <c r="X11" s="1443" t="n"/>
      <c r="Y11" s="1442">
        <f>IF(X11&gt;0,X11,W11)</f>
        <v/>
      </c>
      <c r="Z11" s="1442">
        <f>IF(B11="","",IF(N11="Time x Count",M11*R11*IF(U11="",1,U11)*Y11,IF(N11="QS Qty x Factor",E11*R11*(1+IF(V11="",0,V11))*Y11,IF(N11="Direct Qty",S11*(1+IF(V11="",0,V11))*Y11,IF(N11="Lump Sum / Quote",S11*Y11,0)))))</f>
        <v/>
      </c>
      <c r="AA11" s="81">
        <f>IFERROR(INDEX('Resource Rate Library'!$N$5:$N$200,MATCH(P11,'Resource Rate Library'!$A$5:$A$200,0)),"")</f>
        <v/>
      </c>
      <c r="AB11" s="53" t="n"/>
      <c r="AC11" s="59" t="n"/>
      <c r="AD11" s="81">
        <f>IFERROR(INDEX('Resource Rate Library'!$G$5:$G$200,MATCH(P11,'Resource Rate Library'!$A$5:$A$200,0)),"")</f>
        <v/>
      </c>
      <c r="AE11" s="81">
        <f>IFERROR(INDEX('Resource Rate Library'!$H$5:$H$200,MATCH(P11,'Resource Rate Library'!$A$5:$A$200,0)),"")</f>
        <v/>
      </c>
      <c r="AF11" s="53" t="n"/>
      <c r="AG11" s="53" t="n"/>
      <c r="AH11" s="53" t="n"/>
      <c r="AI11" s="81">
        <f>IF(B11="","",IF(AND(P11="",N11&lt;&gt;"Lump Sum / Quote"),"RESOURCE CODE",IF(Y11=0,"RATE MISSING",IF(AND(O11="Plant",AD11="Yes",COUNTIFS($B$7:$B$306,B11,$O$7:$O$306,"Labour",$Q$7:$Q$306,"*Operator*")&gt;0),"OPERATOR DOUBLE-COUNT",IF(AND(O11="Plant",AE11="Yes",COUNTIFS($B$7:$B$306,B11,$Q$7:$Q$306,"*Fuel*")&gt;0),"FUEL DOUBLE-COUNT",IF(AH11&lt;&gt;"Yes","VERIFY","OK"))))))</f>
        <v/>
      </c>
      <c r="AJ11" s="54" t="n"/>
      <c r="AK11" s="473" t="n"/>
      <c r="AL11" s="473" t="n"/>
      <c r="AM11" s="473" t="n"/>
      <c r="AN11" s="1444">
        <f>IF(AND(AK11="Yes",OR(O11="Labour",O11="Plant")),Z11,0)</f>
        <v/>
      </c>
    </row>
    <row r="12" ht="22.04999923706055" customHeight="1" s="491">
      <c r="A12" s="80">
        <f>IF(B12="","",B12&amp;"-"&amp;TEXT(COUNTIF($B$7:B12,B12),"000"))</f>
        <v/>
      </c>
      <c r="B12" s="53" t="n"/>
      <c r="C12" s="81">
        <f>IFERROR(INDEX('QS Takeoff'!$A$3:$A$202,MATCH(B12,'QS Takeoff'!$B$3:$B$202,0)),"")</f>
        <v/>
      </c>
      <c r="D12" s="81">
        <f>IFERROR(INDEX('QS Takeoff'!$C$3:$C$202,MATCH(B12,'QS Takeoff'!$B$3:$B$202,0)),"")</f>
        <v/>
      </c>
      <c r="E12" s="81">
        <f>IFERROR(INDEX('QS Takeoff'!$E$3:$E$202,MATCH(B12,'QS Takeoff'!$B$3:$B$202,0)),"")</f>
        <v/>
      </c>
      <c r="F12" s="81">
        <f>IFERROR(INDEX('QS Takeoff'!$D$3:$D$202,MATCH(B12,'QS Takeoff'!$B$3:$B$202,0)),"")</f>
        <v/>
      </c>
      <c r="G12" s="81">
        <f>IFERROR(INDEX('QS Takeoff'!$J$3:$J$202,MATCH(B12,'QS Takeoff'!$B$3:$B$202,0)),"")</f>
        <v/>
      </c>
      <c r="H12" s="53" t="n"/>
      <c r="I12" s="60" t="n"/>
      <c r="J12" s="60" t="n"/>
      <c r="K12" s="82">
        <f>IF(OR(B12="",I12="",I12=0),"",E12/I12)</f>
        <v/>
      </c>
      <c r="L12" s="60" t="n"/>
      <c r="M12" s="82">
        <f>IF(L12&gt;0,L12,K12)</f>
        <v/>
      </c>
      <c r="N12" s="53" t="n"/>
      <c r="O12" s="53" t="n"/>
      <c r="P12" s="53" t="n"/>
      <c r="Q12" s="81">
        <f>IFERROR(INDEX('Resource Rate Library'!$C$5:$C$200,MATCH(P12,'Resource Rate Library'!$A$5:$A$200,0)),"")</f>
        <v/>
      </c>
      <c r="R12" s="53" t="n"/>
      <c r="S12" s="53" t="n"/>
      <c r="T12" s="81">
        <f>IFERROR(INDEX('Resource Rate Library'!$E$5:$E$200,MATCH(P12,'Resource Rate Library'!$A$5:$A$200,0)),"")</f>
        <v/>
      </c>
      <c r="U12" s="1441" t="n"/>
      <c r="V12" s="1441" t="n"/>
      <c r="W12" s="1442">
        <f>IFERROR(INDEX('Resource Rate Library'!$I$5:$I$200,MATCH(P12,'Resource Rate Library'!$A$5:$A$200,0)),0)</f>
        <v/>
      </c>
      <c r="X12" s="1443" t="n"/>
      <c r="Y12" s="1442">
        <f>IF(X12&gt;0,X12,W12)</f>
        <v/>
      </c>
      <c r="Z12" s="1442">
        <f>IF(B12="","",IF(N12="Time x Count",M12*R12*IF(U12="",1,U12)*Y12,IF(N12="QS Qty x Factor",E12*R12*(1+IF(V12="",0,V12))*Y12,IF(N12="Direct Qty",S12*(1+IF(V12="",0,V12))*Y12,IF(N12="Lump Sum / Quote",S12*Y12,0)))))</f>
        <v/>
      </c>
      <c r="AA12" s="81">
        <f>IFERROR(INDEX('Resource Rate Library'!$N$5:$N$200,MATCH(P12,'Resource Rate Library'!$A$5:$A$200,0)),"")</f>
        <v/>
      </c>
      <c r="AB12" s="53" t="n"/>
      <c r="AC12" s="59" t="n"/>
      <c r="AD12" s="81">
        <f>IFERROR(INDEX('Resource Rate Library'!$G$5:$G$200,MATCH(P12,'Resource Rate Library'!$A$5:$A$200,0)),"")</f>
        <v/>
      </c>
      <c r="AE12" s="81">
        <f>IFERROR(INDEX('Resource Rate Library'!$H$5:$H$200,MATCH(P12,'Resource Rate Library'!$A$5:$A$200,0)),"")</f>
        <v/>
      </c>
      <c r="AF12" s="53" t="n"/>
      <c r="AG12" s="53" t="n"/>
      <c r="AH12" s="53" t="n"/>
      <c r="AI12" s="81">
        <f>IF(B12="","",IF(AND(P12="",N12&lt;&gt;"Lump Sum / Quote"),"RESOURCE CODE",IF(Y12=0,"RATE MISSING",IF(AND(O12="Plant",AD12="Yes",COUNTIFS($B$7:$B$306,B12,$O$7:$O$306,"Labour",$Q$7:$Q$306,"*Operator*")&gt;0),"OPERATOR DOUBLE-COUNT",IF(AND(O12="Plant",AE12="Yes",COUNTIFS($B$7:$B$306,B12,$Q$7:$Q$306,"*Fuel*")&gt;0),"FUEL DOUBLE-COUNT",IF(AH12&lt;&gt;"Yes","VERIFY","OK"))))))</f>
        <v/>
      </c>
      <c r="AJ12" s="54" t="n"/>
      <c r="AK12" s="473" t="n"/>
      <c r="AL12" s="473" t="n"/>
      <c r="AM12" s="473" t="n"/>
      <c r="AN12" s="1444">
        <f>IF(AND(AK12="Yes",OR(O12="Labour",O12="Plant")),Z12,0)</f>
        <v/>
      </c>
    </row>
    <row r="13" ht="22.04999923706055" customHeight="1" s="491">
      <c r="A13" s="80">
        <f>IF(B13="","",B13&amp;"-"&amp;TEXT(COUNTIF($B$7:B13,B13),"000"))</f>
        <v/>
      </c>
      <c r="B13" s="53" t="n"/>
      <c r="C13" s="81">
        <f>IFERROR(INDEX('QS Takeoff'!$A$3:$A$202,MATCH(B13,'QS Takeoff'!$B$3:$B$202,0)),"")</f>
        <v/>
      </c>
      <c r="D13" s="81">
        <f>IFERROR(INDEX('QS Takeoff'!$C$3:$C$202,MATCH(B13,'QS Takeoff'!$B$3:$B$202,0)),"")</f>
        <v/>
      </c>
      <c r="E13" s="81">
        <f>IFERROR(INDEX('QS Takeoff'!$E$3:$E$202,MATCH(B13,'QS Takeoff'!$B$3:$B$202,0)),"")</f>
        <v/>
      </c>
      <c r="F13" s="81">
        <f>IFERROR(INDEX('QS Takeoff'!$D$3:$D$202,MATCH(B13,'QS Takeoff'!$B$3:$B$202,0)),"")</f>
        <v/>
      </c>
      <c r="G13" s="81">
        <f>IFERROR(INDEX('QS Takeoff'!$J$3:$J$202,MATCH(B13,'QS Takeoff'!$B$3:$B$202,0)),"")</f>
        <v/>
      </c>
      <c r="H13" s="53" t="n"/>
      <c r="I13" s="60" t="n"/>
      <c r="J13" s="60" t="n"/>
      <c r="K13" s="82">
        <f>IF(OR(B13="",I13="",I13=0),"",E13/I13)</f>
        <v/>
      </c>
      <c r="L13" s="60" t="n"/>
      <c r="M13" s="82">
        <f>IF(L13&gt;0,L13,K13)</f>
        <v/>
      </c>
      <c r="N13" s="53" t="n"/>
      <c r="O13" s="53" t="n"/>
      <c r="P13" s="53" t="n"/>
      <c r="Q13" s="81">
        <f>IFERROR(INDEX('Resource Rate Library'!$C$5:$C$200,MATCH(P13,'Resource Rate Library'!$A$5:$A$200,0)),"")</f>
        <v/>
      </c>
      <c r="R13" s="53" t="n"/>
      <c r="S13" s="53" t="n"/>
      <c r="T13" s="81">
        <f>IFERROR(INDEX('Resource Rate Library'!$E$5:$E$200,MATCH(P13,'Resource Rate Library'!$A$5:$A$200,0)),"")</f>
        <v/>
      </c>
      <c r="U13" s="1441" t="n"/>
      <c r="V13" s="1441" t="n"/>
      <c r="W13" s="1442">
        <f>IFERROR(INDEX('Resource Rate Library'!$I$5:$I$200,MATCH(P13,'Resource Rate Library'!$A$5:$A$200,0)),0)</f>
        <v/>
      </c>
      <c r="X13" s="1443" t="n"/>
      <c r="Y13" s="1442">
        <f>IF(X13&gt;0,X13,W13)</f>
        <v/>
      </c>
      <c r="Z13" s="1442">
        <f>IF(B13="","",IF(N13="Time x Count",M13*R13*IF(U13="",1,U13)*Y13,IF(N13="QS Qty x Factor",E13*R13*(1+IF(V13="",0,V13))*Y13,IF(N13="Direct Qty",S13*(1+IF(V13="",0,V13))*Y13,IF(N13="Lump Sum / Quote",S13*Y13,0)))))</f>
        <v/>
      </c>
      <c r="AA13" s="81">
        <f>IFERROR(INDEX('Resource Rate Library'!$N$5:$N$200,MATCH(P13,'Resource Rate Library'!$A$5:$A$200,0)),"")</f>
        <v/>
      </c>
      <c r="AB13" s="53" t="n"/>
      <c r="AC13" s="59" t="n"/>
      <c r="AD13" s="81">
        <f>IFERROR(INDEX('Resource Rate Library'!$G$5:$G$200,MATCH(P13,'Resource Rate Library'!$A$5:$A$200,0)),"")</f>
        <v/>
      </c>
      <c r="AE13" s="81">
        <f>IFERROR(INDEX('Resource Rate Library'!$H$5:$H$200,MATCH(P13,'Resource Rate Library'!$A$5:$A$200,0)),"")</f>
        <v/>
      </c>
      <c r="AF13" s="53" t="n"/>
      <c r="AG13" s="53" t="n"/>
      <c r="AH13" s="53" t="n"/>
      <c r="AI13" s="81">
        <f>IF(B13="","",IF(AND(P13="",N13&lt;&gt;"Lump Sum / Quote"),"RESOURCE CODE",IF(Y13=0,"RATE MISSING",IF(AND(O13="Plant",AD13="Yes",COUNTIFS($B$7:$B$306,B13,$O$7:$O$306,"Labour",$Q$7:$Q$306,"*Operator*")&gt;0),"OPERATOR DOUBLE-COUNT",IF(AND(O13="Plant",AE13="Yes",COUNTIFS($B$7:$B$306,B13,$Q$7:$Q$306,"*Fuel*")&gt;0),"FUEL DOUBLE-COUNT",IF(AH13&lt;&gt;"Yes","VERIFY","OK"))))))</f>
        <v/>
      </c>
      <c r="AJ13" s="54" t="n"/>
      <c r="AK13" s="473" t="n"/>
      <c r="AL13" s="473" t="n"/>
      <c r="AM13" s="473" t="n"/>
      <c r="AN13" s="1444">
        <f>IF(AND(AK13="Yes",OR(O13="Labour",O13="Plant")),Z13,0)</f>
        <v/>
      </c>
    </row>
    <row r="14" ht="22.04999923706055" customHeight="1" s="491">
      <c r="A14" s="80">
        <f>IF(B14="","",B14&amp;"-"&amp;TEXT(COUNTIF($B$7:B14,B14),"000"))</f>
        <v/>
      </c>
      <c r="B14" s="53" t="n"/>
      <c r="C14" s="81">
        <f>IFERROR(INDEX('QS Takeoff'!$A$3:$A$202,MATCH(B14,'QS Takeoff'!$B$3:$B$202,0)),"")</f>
        <v/>
      </c>
      <c r="D14" s="81">
        <f>IFERROR(INDEX('QS Takeoff'!$C$3:$C$202,MATCH(B14,'QS Takeoff'!$B$3:$B$202,0)),"")</f>
        <v/>
      </c>
      <c r="E14" s="81">
        <f>IFERROR(INDEX('QS Takeoff'!$E$3:$E$202,MATCH(B14,'QS Takeoff'!$B$3:$B$202,0)),"")</f>
        <v/>
      </c>
      <c r="F14" s="81">
        <f>IFERROR(INDEX('QS Takeoff'!$D$3:$D$202,MATCH(B14,'QS Takeoff'!$B$3:$B$202,0)),"")</f>
        <v/>
      </c>
      <c r="G14" s="81">
        <f>IFERROR(INDEX('QS Takeoff'!$J$3:$J$202,MATCH(B14,'QS Takeoff'!$B$3:$B$202,0)),"")</f>
        <v/>
      </c>
      <c r="H14" s="53" t="n"/>
      <c r="I14" s="60" t="n"/>
      <c r="J14" s="60" t="n"/>
      <c r="K14" s="82">
        <f>IF(OR(B14="",I14="",I14=0),"",E14/I14)</f>
        <v/>
      </c>
      <c r="L14" s="60" t="n"/>
      <c r="M14" s="82">
        <f>IF(L14&gt;0,L14,K14)</f>
        <v/>
      </c>
      <c r="N14" s="53" t="n"/>
      <c r="O14" s="53" t="n"/>
      <c r="P14" s="53" t="n"/>
      <c r="Q14" s="81">
        <f>IFERROR(INDEX('Resource Rate Library'!$C$5:$C$200,MATCH(P14,'Resource Rate Library'!$A$5:$A$200,0)),"")</f>
        <v/>
      </c>
      <c r="R14" s="53" t="n"/>
      <c r="S14" s="53" t="n"/>
      <c r="T14" s="81">
        <f>IFERROR(INDEX('Resource Rate Library'!$E$5:$E$200,MATCH(P14,'Resource Rate Library'!$A$5:$A$200,0)),"")</f>
        <v/>
      </c>
      <c r="U14" s="1441" t="n"/>
      <c r="V14" s="1441" t="n"/>
      <c r="W14" s="1442">
        <f>IFERROR(INDEX('Resource Rate Library'!$I$5:$I$200,MATCH(P14,'Resource Rate Library'!$A$5:$A$200,0)),0)</f>
        <v/>
      </c>
      <c r="X14" s="1443" t="n"/>
      <c r="Y14" s="1442">
        <f>IF(X14&gt;0,X14,W14)</f>
        <v/>
      </c>
      <c r="Z14" s="1442">
        <f>IF(B14="","",IF(N14="Time x Count",M14*R14*IF(U14="",1,U14)*Y14,IF(N14="QS Qty x Factor",E14*R14*(1+IF(V14="",0,V14))*Y14,IF(N14="Direct Qty",S14*(1+IF(V14="",0,V14))*Y14,IF(N14="Lump Sum / Quote",S14*Y14,0)))))</f>
        <v/>
      </c>
      <c r="AA14" s="81">
        <f>IFERROR(INDEX('Resource Rate Library'!$N$5:$N$200,MATCH(P14,'Resource Rate Library'!$A$5:$A$200,0)),"")</f>
        <v/>
      </c>
      <c r="AB14" s="53" t="n"/>
      <c r="AC14" s="59" t="n"/>
      <c r="AD14" s="81">
        <f>IFERROR(INDEX('Resource Rate Library'!$G$5:$G$200,MATCH(P14,'Resource Rate Library'!$A$5:$A$200,0)),"")</f>
        <v/>
      </c>
      <c r="AE14" s="81">
        <f>IFERROR(INDEX('Resource Rate Library'!$H$5:$H$200,MATCH(P14,'Resource Rate Library'!$A$5:$A$200,0)),"")</f>
        <v/>
      </c>
      <c r="AF14" s="53" t="n"/>
      <c r="AG14" s="53" t="n"/>
      <c r="AH14" s="53" t="n"/>
      <c r="AI14" s="81">
        <f>IF(B14="","",IF(AND(P14="",N14&lt;&gt;"Lump Sum / Quote"),"RESOURCE CODE",IF(Y14=0,"RATE MISSING",IF(AND(O14="Plant",AD14="Yes",COUNTIFS($B$7:$B$306,B14,$O$7:$O$306,"Labour",$Q$7:$Q$306,"*Operator*")&gt;0),"OPERATOR DOUBLE-COUNT",IF(AND(O14="Plant",AE14="Yes",COUNTIFS($B$7:$B$306,B14,$Q$7:$Q$306,"*Fuel*")&gt;0),"FUEL DOUBLE-COUNT",IF(AH14&lt;&gt;"Yes","VERIFY","OK"))))))</f>
        <v/>
      </c>
      <c r="AJ14" s="54" t="n"/>
      <c r="AK14" s="473" t="n"/>
      <c r="AL14" s="473" t="n"/>
      <c r="AM14" s="473" t="n"/>
      <c r="AN14" s="1444">
        <f>IF(AND(AK14="Yes",OR(O14="Labour",O14="Plant")),Z14,0)</f>
        <v/>
      </c>
    </row>
    <row r="15" ht="22.04999923706055" customHeight="1" s="491">
      <c r="A15" s="80">
        <f>IF(B15="","",B15&amp;"-"&amp;TEXT(COUNTIF($B$7:B15,B15),"000"))</f>
        <v/>
      </c>
      <c r="B15" s="53" t="n"/>
      <c r="C15" s="81">
        <f>IFERROR(INDEX('QS Takeoff'!$A$3:$A$202,MATCH(B15,'QS Takeoff'!$B$3:$B$202,0)),"")</f>
        <v/>
      </c>
      <c r="D15" s="81">
        <f>IFERROR(INDEX('QS Takeoff'!$C$3:$C$202,MATCH(B15,'QS Takeoff'!$B$3:$B$202,0)),"")</f>
        <v/>
      </c>
      <c r="E15" s="81">
        <f>IFERROR(INDEX('QS Takeoff'!$E$3:$E$202,MATCH(B15,'QS Takeoff'!$B$3:$B$202,0)),"")</f>
        <v/>
      </c>
      <c r="F15" s="81">
        <f>IFERROR(INDEX('QS Takeoff'!$D$3:$D$202,MATCH(B15,'QS Takeoff'!$B$3:$B$202,0)),"")</f>
        <v/>
      </c>
      <c r="G15" s="81">
        <f>IFERROR(INDEX('QS Takeoff'!$J$3:$J$202,MATCH(B15,'QS Takeoff'!$B$3:$B$202,0)),"")</f>
        <v/>
      </c>
      <c r="H15" s="53" t="n"/>
      <c r="I15" s="60" t="n"/>
      <c r="J15" s="60" t="n"/>
      <c r="K15" s="82">
        <f>IF(OR(B15="",I15="",I15=0),"",E15/I15)</f>
        <v/>
      </c>
      <c r="L15" s="60" t="n"/>
      <c r="M15" s="82">
        <f>IF(L15&gt;0,L15,K15)</f>
        <v/>
      </c>
      <c r="N15" s="53" t="n"/>
      <c r="O15" s="53" t="n"/>
      <c r="P15" s="53" t="n"/>
      <c r="Q15" s="81">
        <f>IFERROR(INDEX('Resource Rate Library'!$C$5:$C$200,MATCH(P15,'Resource Rate Library'!$A$5:$A$200,0)),"")</f>
        <v/>
      </c>
      <c r="R15" s="53" t="n"/>
      <c r="S15" s="53" t="n"/>
      <c r="T15" s="81">
        <f>IFERROR(INDEX('Resource Rate Library'!$E$5:$E$200,MATCH(P15,'Resource Rate Library'!$A$5:$A$200,0)),"")</f>
        <v/>
      </c>
      <c r="U15" s="1441" t="n"/>
      <c r="V15" s="1441" t="n"/>
      <c r="W15" s="1442">
        <f>IFERROR(INDEX('Resource Rate Library'!$I$5:$I$200,MATCH(P15,'Resource Rate Library'!$A$5:$A$200,0)),0)</f>
        <v/>
      </c>
      <c r="X15" s="1443" t="n"/>
      <c r="Y15" s="1442">
        <f>IF(X15&gt;0,X15,W15)</f>
        <v/>
      </c>
      <c r="Z15" s="1442">
        <f>IF(B15="","",IF(N15="Time x Count",M15*R15*IF(U15="",1,U15)*Y15,IF(N15="QS Qty x Factor",E15*R15*(1+IF(V15="",0,V15))*Y15,IF(N15="Direct Qty",S15*(1+IF(V15="",0,V15))*Y15,IF(N15="Lump Sum / Quote",S15*Y15,0)))))</f>
        <v/>
      </c>
      <c r="AA15" s="81">
        <f>IFERROR(INDEX('Resource Rate Library'!$N$5:$N$200,MATCH(P15,'Resource Rate Library'!$A$5:$A$200,0)),"")</f>
        <v/>
      </c>
      <c r="AB15" s="53" t="n"/>
      <c r="AC15" s="59" t="n"/>
      <c r="AD15" s="81">
        <f>IFERROR(INDEX('Resource Rate Library'!$G$5:$G$200,MATCH(P15,'Resource Rate Library'!$A$5:$A$200,0)),"")</f>
        <v/>
      </c>
      <c r="AE15" s="81">
        <f>IFERROR(INDEX('Resource Rate Library'!$H$5:$H$200,MATCH(P15,'Resource Rate Library'!$A$5:$A$200,0)),"")</f>
        <v/>
      </c>
      <c r="AF15" s="53" t="n"/>
      <c r="AG15" s="53" t="n"/>
      <c r="AH15" s="53" t="n"/>
      <c r="AI15" s="81">
        <f>IF(B15="","",IF(AND(P15="",N15&lt;&gt;"Lump Sum / Quote"),"RESOURCE CODE",IF(Y15=0,"RATE MISSING",IF(AND(O15="Plant",AD15="Yes",COUNTIFS($B$7:$B$306,B15,$O$7:$O$306,"Labour",$Q$7:$Q$306,"*Operator*")&gt;0),"OPERATOR DOUBLE-COUNT",IF(AND(O15="Plant",AE15="Yes",COUNTIFS($B$7:$B$306,B15,$Q$7:$Q$306,"*Fuel*")&gt;0),"FUEL DOUBLE-COUNT",IF(AH15&lt;&gt;"Yes","VERIFY","OK"))))))</f>
        <v/>
      </c>
      <c r="AJ15" s="54" t="n"/>
      <c r="AK15" s="473" t="n"/>
      <c r="AL15" s="473" t="n"/>
      <c r="AM15" s="473" t="n"/>
      <c r="AN15" s="1444">
        <f>IF(AND(AK15="Yes",OR(O15="Labour",O15="Plant")),Z15,0)</f>
        <v/>
      </c>
    </row>
    <row r="16" ht="22.04999923706055" customHeight="1" s="491">
      <c r="A16" s="80">
        <f>IF(B16="","",B16&amp;"-"&amp;TEXT(COUNTIF($B$7:B16,B16),"000"))</f>
        <v/>
      </c>
      <c r="B16" s="53" t="n"/>
      <c r="C16" s="81">
        <f>IFERROR(INDEX('QS Takeoff'!$A$3:$A$202,MATCH(B16,'QS Takeoff'!$B$3:$B$202,0)),"")</f>
        <v/>
      </c>
      <c r="D16" s="81">
        <f>IFERROR(INDEX('QS Takeoff'!$C$3:$C$202,MATCH(B16,'QS Takeoff'!$B$3:$B$202,0)),"")</f>
        <v/>
      </c>
      <c r="E16" s="81">
        <f>IFERROR(INDEX('QS Takeoff'!$E$3:$E$202,MATCH(B16,'QS Takeoff'!$B$3:$B$202,0)),"")</f>
        <v/>
      </c>
      <c r="F16" s="81">
        <f>IFERROR(INDEX('QS Takeoff'!$D$3:$D$202,MATCH(B16,'QS Takeoff'!$B$3:$B$202,0)),"")</f>
        <v/>
      </c>
      <c r="G16" s="81">
        <f>IFERROR(INDEX('QS Takeoff'!$J$3:$J$202,MATCH(B16,'QS Takeoff'!$B$3:$B$202,0)),"")</f>
        <v/>
      </c>
      <c r="H16" s="53" t="n"/>
      <c r="I16" s="60" t="n"/>
      <c r="J16" s="60" t="n"/>
      <c r="K16" s="82">
        <f>IF(OR(B16="",I16="",I16=0),"",E16/I16)</f>
        <v/>
      </c>
      <c r="L16" s="60" t="n"/>
      <c r="M16" s="82">
        <f>IF(L16&gt;0,L16,K16)</f>
        <v/>
      </c>
      <c r="N16" s="53" t="n"/>
      <c r="O16" s="53" t="n"/>
      <c r="P16" s="53" t="n"/>
      <c r="Q16" s="81">
        <f>IFERROR(INDEX('Resource Rate Library'!$C$5:$C$200,MATCH(P16,'Resource Rate Library'!$A$5:$A$200,0)),"")</f>
        <v/>
      </c>
      <c r="R16" s="53" t="n"/>
      <c r="S16" s="53" t="n"/>
      <c r="T16" s="81">
        <f>IFERROR(INDEX('Resource Rate Library'!$E$5:$E$200,MATCH(P16,'Resource Rate Library'!$A$5:$A$200,0)),"")</f>
        <v/>
      </c>
      <c r="U16" s="1441" t="n"/>
      <c r="V16" s="1441" t="n"/>
      <c r="W16" s="1442">
        <f>IFERROR(INDEX('Resource Rate Library'!$I$5:$I$200,MATCH(P16,'Resource Rate Library'!$A$5:$A$200,0)),0)</f>
        <v/>
      </c>
      <c r="X16" s="1443" t="n"/>
      <c r="Y16" s="1442">
        <f>IF(X16&gt;0,X16,W16)</f>
        <v/>
      </c>
      <c r="Z16" s="1442">
        <f>IF(B16="","",IF(N16="Time x Count",M16*R16*IF(U16="",1,U16)*Y16,IF(N16="QS Qty x Factor",E16*R16*(1+IF(V16="",0,V16))*Y16,IF(N16="Direct Qty",S16*(1+IF(V16="",0,V16))*Y16,IF(N16="Lump Sum / Quote",S16*Y16,0)))))</f>
        <v/>
      </c>
      <c r="AA16" s="81">
        <f>IFERROR(INDEX('Resource Rate Library'!$N$5:$N$200,MATCH(P16,'Resource Rate Library'!$A$5:$A$200,0)),"")</f>
        <v/>
      </c>
      <c r="AB16" s="53" t="n"/>
      <c r="AC16" s="59" t="n"/>
      <c r="AD16" s="81">
        <f>IFERROR(INDEX('Resource Rate Library'!$G$5:$G$200,MATCH(P16,'Resource Rate Library'!$A$5:$A$200,0)),"")</f>
        <v/>
      </c>
      <c r="AE16" s="81">
        <f>IFERROR(INDEX('Resource Rate Library'!$H$5:$H$200,MATCH(P16,'Resource Rate Library'!$A$5:$A$200,0)),"")</f>
        <v/>
      </c>
      <c r="AF16" s="53" t="n"/>
      <c r="AG16" s="53" t="n"/>
      <c r="AH16" s="53" t="n"/>
      <c r="AI16" s="81">
        <f>IF(B16="","",IF(AND(P16="",N16&lt;&gt;"Lump Sum / Quote"),"RESOURCE CODE",IF(Y16=0,"RATE MISSING",IF(AND(O16="Plant",AD16="Yes",COUNTIFS($B$7:$B$306,B16,$O$7:$O$306,"Labour",$Q$7:$Q$306,"*Operator*")&gt;0),"OPERATOR DOUBLE-COUNT",IF(AND(O16="Plant",AE16="Yes",COUNTIFS($B$7:$B$306,B16,$Q$7:$Q$306,"*Fuel*")&gt;0),"FUEL DOUBLE-COUNT",IF(AH16&lt;&gt;"Yes","VERIFY","OK"))))))</f>
        <v/>
      </c>
      <c r="AJ16" s="54" t="n"/>
      <c r="AK16" s="473" t="n"/>
      <c r="AL16" s="473" t="n"/>
      <c r="AM16" s="473" t="n"/>
      <c r="AN16" s="1444">
        <f>IF(AND(AK16="Yes",OR(O16="Labour",O16="Plant")),Z16,0)</f>
        <v/>
      </c>
    </row>
    <row r="17" ht="22.04999923706055" customHeight="1" s="491">
      <c r="A17" s="80">
        <f>IF(B17="","",B17&amp;"-"&amp;TEXT(COUNTIF($B$7:B17,B17),"000"))</f>
        <v/>
      </c>
      <c r="B17" s="53" t="n"/>
      <c r="C17" s="81">
        <f>IFERROR(INDEX('QS Takeoff'!$A$3:$A$202,MATCH(B17,'QS Takeoff'!$B$3:$B$202,0)),"")</f>
        <v/>
      </c>
      <c r="D17" s="81">
        <f>IFERROR(INDEX('QS Takeoff'!$C$3:$C$202,MATCH(B17,'QS Takeoff'!$B$3:$B$202,0)),"")</f>
        <v/>
      </c>
      <c r="E17" s="81">
        <f>IFERROR(INDEX('QS Takeoff'!$E$3:$E$202,MATCH(B17,'QS Takeoff'!$B$3:$B$202,0)),"")</f>
        <v/>
      </c>
      <c r="F17" s="81">
        <f>IFERROR(INDEX('QS Takeoff'!$D$3:$D$202,MATCH(B17,'QS Takeoff'!$B$3:$B$202,0)),"")</f>
        <v/>
      </c>
      <c r="G17" s="81">
        <f>IFERROR(INDEX('QS Takeoff'!$J$3:$J$202,MATCH(B17,'QS Takeoff'!$B$3:$B$202,0)),"")</f>
        <v/>
      </c>
      <c r="H17" s="53" t="n"/>
      <c r="I17" s="60" t="n"/>
      <c r="J17" s="60" t="n"/>
      <c r="K17" s="82">
        <f>IF(OR(B17="",I17="",I17=0),"",E17/I17)</f>
        <v/>
      </c>
      <c r="L17" s="60" t="n"/>
      <c r="M17" s="82">
        <f>IF(L17&gt;0,L17,K17)</f>
        <v/>
      </c>
      <c r="N17" s="53" t="n"/>
      <c r="O17" s="53" t="n"/>
      <c r="P17" s="53" t="n"/>
      <c r="Q17" s="81">
        <f>IFERROR(INDEX('Resource Rate Library'!$C$5:$C$200,MATCH(P17,'Resource Rate Library'!$A$5:$A$200,0)),"")</f>
        <v/>
      </c>
      <c r="R17" s="53" t="n"/>
      <c r="S17" s="53" t="n"/>
      <c r="T17" s="81">
        <f>IFERROR(INDEX('Resource Rate Library'!$E$5:$E$200,MATCH(P17,'Resource Rate Library'!$A$5:$A$200,0)),"")</f>
        <v/>
      </c>
      <c r="U17" s="1441" t="n"/>
      <c r="V17" s="1441" t="n"/>
      <c r="W17" s="1442">
        <f>IFERROR(INDEX('Resource Rate Library'!$I$5:$I$200,MATCH(P17,'Resource Rate Library'!$A$5:$A$200,0)),0)</f>
        <v/>
      </c>
      <c r="X17" s="1443" t="n"/>
      <c r="Y17" s="1442">
        <f>IF(X17&gt;0,X17,W17)</f>
        <v/>
      </c>
      <c r="Z17" s="1442">
        <f>IF(B17="","",IF(N17="Time x Count",M17*R17*IF(U17="",1,U17)*Y17,IF(N17="QS Qty x Factor",E17*R17*(1+IF(V17="",0,V17))*Y17,IF(N17="Direct Qty",S17*(1+IF(V17="",0,V17))*Y17,IF(N17="Lump Sum / Quote",S17*Y17,0)))))</f>
        <v/>
      </c>
      <c r="AA17" s="81">
        <f>IFERROR(INDEX('Resource Rate Library'!$N$5:$N$200,MATCH(P17,'Resource Rate Library'!$A$5:$A$200,0)),"")</f>
        <v/>
      </c>
      <c r="AB17" s="53" t="n"/>
      <c r="AC17" s="59" t="n"/>
      <c r="AD17" s="81">
        <f>IFERROR(INDEX('Resource Rate Library'!$G$5:$G$200,MATCH(P17,'Resource Rate Library'!$A$5:$A$200,0)),"")</f>
        <v/>
      </c>
      <c r="AE17" s="81">
        <f>IFERROR(INDEX('Resource Rate Library'!$H$5:$H$200,MATCH(P17,'Resource Rate Library'!$A$5:$A$200,0)),"")</f>
        <v/>
      </c>
      <c r="AF17" s="53" t="n"/>
      <c r="AG17" s="53" t="n"/>
      <c r="AH17" s="53" t="n"/>
      <c r="AI17" s="81">
        <f>IF(B17="","",IF(AND(P17="",N17&lt;&gt;"Lump Sum / Quote"),"RESOURCE CODE",IF(Y17=0,"RATE MISSING",IF(AND(O17="Plant",AD17="Yes",COUNTIFS($B$7:$B$306,B17,$O$7:$O$306,"Labour",$Q$7:$Q$306,"*Operator*")&gt;0),"OPERATOR DOUBLE-COUNT",IF(AND(O17="Plant",AE17="Yes",COUNTIFS($B$7:$B$306,B17,$Q$7:$Q$306,"*Fuel*")&gt;0),"FUEL DOUBLE-COUNT",IF(AH17&lt;&gt;"Yes","VERIFY","OK"))))))</f>
        <v/>
      </c>
      <c r="AJ17" s="54" t="n"/>
      <c r="AK17" s="473" t="n"/>
      <c r="AL17" s="473" t="n"/>
      <c r="AM17" s="473" t="n"/>
      <c r="AN17" s="1444">
        <f>IF(AND(AK17="Yes",OR(O17="Labour",O17="Plant")),Z17,0)</f>
        <v/>
      </c>
    </row>
    <row r="18" ht="22.04999923706055" customHeight="1" s="491">
      <c r="A18" s="80">
        <f>IF(B18="","",B18&amp;"-"&amp;TEXT(COUNTIF($B$7:B18,B18),"000"))</f>
        <v/>
      </c>
      <c r="B18" s="53" t="n"/>
      <c r="C18" s="81">
        <f>IFERROR(INDEX('QS Takeoff'!$A$3:$A$202,MATCH(B18,'QS Takeoff'!$B$3:$B$202,0)),"")</f>
        <v/>
      </c>
      <c r="D18" s="81">
        <f>IFERROR(INDEX('QS Takeoff'!$C$3:$C$202,MATCH(B18,'QS Takeoff'!$B$3:$B$202,0)),"")</f>
        <v/>
      </c>
      <c r="E18" s="81">
        <f>IFERROR(INDEX('QS Takeoff'!$E$3:$E$202,MATCH(B18,'QS Takeoff'!$B$3:$B$202,0)),"")</f>
        <v/>
      </c>
      <c r="F18" s="81">
        <f>IFERROR(INDEX('QS Takeoff'!$D$3:$D$202,MATCH(B18,'QS Takeoff'!$B$3:$B$202,0)),"")</f>
        <v/>
      </c>
      <c r="G18" s="81">
        <f>IFERROR(INDEX('QS Takeoff'!$J$3:$J$202,MATCH(B18,'QS Takeoff'!$B$3:$B$202,0)),"")</f>
        <v/>
      </c>
      <c r="H18" s="53" t="n"/>
      <c r="I18" s="60" t="n"/>
      <c r="J18" s="60" t="n"/>
      <c r="K18" s="82">
        <f>IF(OR(B18="",I18="",I18=0),"",E18/I18)</f>
        <v/>
      </c>
      <c r="L18" s="60" t="n"/>
      <c r="M18" s="82">
        <f>IF(L18&gt;0,L18,K18)</f>
        <v/>
      </c>
      <c r="N18" s="53" t="n"/>
      <c r="O18" s="53" t="n"/>
      <c r="P18" s="53" t="n"/>
      <c r="Q18" s="81">
        <f>IFERROR(INDEX('Resource Rate Library'!$C$5:$C$200,MATCH(P18,'Resource Rate Library'!$A$5:$A$200,0)),"")</f>
        <v/>
      </c>
      <c r="R18" s="53" t="n"/>
      <c r="S18" s="53" t="n"/>
      <c r="T18" s="81">
        <f>IFERROR(INDEX('Resource Rate Library'!$E$5:$E$200,MATCH(P18,'Resource Rate Library'!$A$5:$A$200,0)),"")</f>
        <v/>
      </c>
      <c r="U18" s="1441" t="n"/>
      <c r="V18" s="1441" t="n"/>
      <c r="W18" s="1442">
        <f>IFERROR(INDEX('Resource Rate Library'!$I$5:$I$200,MATCH(P18,'Resource Rate Library'!$A$5:$A$200,0)),0)</f>
        <v/>
      </c>
      <c r="X18" s="1443" t="n"/>
      <c r="Y18" s="1442">
        <f>IF(X18&gt;0,X18,W18)</f>
        <v/>
      </c>
      <c r="Z18" s="1442">
        <f>IF(B18="","",IF(N18="Time x Count",M18*R18*IF(U18="",1,U18)*Y18,IF(N18="QS Qty x Factor",E18*R18*(1+IF(V18="",0,V18))*Y18,IF(N18="Direct Qty",S18*(1+IF(V18="",0,V18))*Y18,IF(N18="Lump Sum / Quote",S18*Y18,0)))))</f>
        <v/>
      </c>
      <c r="AA18" s="81">
        <f>IFERROR(INDEX('Resource Rate Library'!$N$5:$N$200,MATCH(P18,'Resource Rate Library'!$A$5:$A$200,0)),"")</f>
        <v/>
      </c>
      <c r="AB18" s="53" t="n"/>
      <c r="AC18" s="59" t="n"/>
      <c r="AD18" s="81">
        <f>IFERROR(INDEX('Resource Rate Library'!$G$5:$G$200,MATCH(P18,'Resource Rate Library'!$A$5:$A$200,0)),"")</f>
        <v/>
      </c>
      <c r="AE18" s="81">
        <f>IFERROR(INDEX('Resource Rate Library'!$H$5:$H$200,MATCH(P18,'Resource Rate Library'!$A$5:$A$200,0)),"")</f>
        <v/>
      </c>
      <c r="AF18" s="53" t="n"/>
      <c r="AG18" s="53" t="n"/>
      <c r="AH18" s="53" t="n"/>
      <c r="AI18" s="81">
        <f>IF(B18="","",IF(AND(P18="",N18&lt;&gt;"Lump Sum / Quote"),"RESOURCE CODE",IF(Y18=0,"RATE MISSING",IF(AND(O18="Plant",AD18="Yes",COUNTIFS($B$7:$B$306,B18,$O$7:$O$306,"Labour",$Q$7:$Q$306,"*Operator*")&gt;0),"OPERATOR DOUBLE-COUNT",IF(AND(O18="Plant",AE18="Yes",COUNTIFS($B$7:$B$306,B18,$Q$7:$Q$306,"*Fuel*")&gt;0),"FUEL DOUBLE-COUNT",IF(AH18&lt;&gt;"Yes","VERIFY","OK"))))))</f>
        <v/>
      </c>
      <c r="AJ18" s="54" t="n"/>
      <c r="AK18" s="473" t="n"/>
      <c r="AL18" s="473" t="n"/>
      <c r="AM18" s="473" t="n"/>
      <c r="AN18" s="1444">
        <f>IF(AND(AK18="Yes",OR(O18="Labour",O18="Plant")),Z18,0)</f>
        <v/>
      </c>
    </row>
    <row r="19" ht="22.04999923706055" customHeight="1" s="491">
      <c r="A19" s="80">
        <f>IF(B19="","",B19&amp;"-"&amp;TEXT(COUNTIF($B$7:B19,B19),"000"))</f>
        <v/>
      </c>
      <c r="B19" s="53" t="n"/>
      <c r="C19" s="81">
        <f>IFERROR(INDEX('QS Takeoff'!$A$3:$A$202,MATCH(B19,'QS Takeoff'!$B$3:$B$202,0)),"")</f>
        <v/>
      </c>
      <c r="D19" s="81">
        <f>IFERROR(INDEX('QS Takeoff'!$C$3:$C$202,MATCH(B19,'QS Takeoff'!$B$3:$B$202,0)),"")</f>
        <v/>
      </c>
      <c r="E19" s="81">
        <f>IFERROR(INDEX('QS Takeoff'!$E$3:$E$202,MATCH(B19,'QS Takeoff'!$B$3:$B$202,0)),"")</f>
        <v/>
      </c>
      <c r="F19" s="81">
        <f>IFERROR(INDEX('QS Takeoff'!$D$3:$D$202,MATCH(B19,'QS Takeoff'!$B$3:$B$202,0)),"")</f>
        <v/>
      </c>
      <c r="G19" s="81">
        <f>IFERROR(INDEX('QS Takeoff'!$J$3:$J$202,MATCH(B19,'QS Takeoff'!$B$3:$B$202,0)),"")</f>
        <v/>
      </c>
      <c r="H19" s="53" t="n"/>
      <c r="I19" s="60" t="n"/>
      <c r="J19" s="60" t="n"/>
      <c r="K19" s="82">
        <f>IF(OR(B19="",I19="",I19=0),"",E19/I19)</f>
        <v/>
      </c>
      <c r="L19" s="60" t="n"/>
      <c r="M19" s="82">
        <f>IF(L19&gt;0,L19,K19)</f>
        <v/>
      </c>
      <c r="N19" s="53" t="n"/>
      <c r="O19" s="53" t="n"/>
      <c r="P19" s="53" t="n"/>
      <c r="Q19" s="81">
        <f>IFERROR(INDEX('Resource Rate Library'!$C$5:$C$200,MATCH(P19,'Resource Rate Library'!$A$5:$A$200,0)),"")</f>
        <v/>
      </c>
      <c r="R19" s="53" t="n"/>
      <c r="S19" s="53" t="n"/>
      <c r="T19" s="81">
        <f>IFERROR(INDEX('Resource Rate Library'!$E$5:$E$200,MATCH(P19,'Resource Rate Library'!$A$5:$A$200,0)),"")</f>
        <v/>
      </c>
      <c r="U19" s="1441" t="n"/>
      <c r="V19" s="1441" t="n"/>
      <c r="W19" s="1442">
        <f>IFERROR(INDEX('Resource Rate Library'!$I$5:$I$200,MATCH(P19,'Resource Rate Library'!$A$5:$A$200,0)),0)</f>
        <v/>
      </c>
      <c r="X19" s="1443" t="n"/>
      <c r="Y19" s="1442">
        <f>IF(X19&gt;0,X19,W19)</f>
        <v/>
      </c>
      <c r="Z19" s="1442">
        <f>IF(B19="","",IF(N19="Time x Count",M19*R19*IF(U19="",1,U19)*Y19,IF(N19="QS Qty x Factor",E19*R19*(1+IF(V19="",0,V19))*Y19,IF(N19="Direct Qty",S19*(1+IF(V19="",0,V19))*Y19,IF(N19="Lump Sum / Quote",S19*Y19,0)))))</f>
        <v/>
      </c>
      <c r="AA19" s="81">
        <f>IFERROR(INDEX('Resource Rate Library'!$N$5:$N$200,MATCH(P19,'Resource Rate Library'!$A$5:$A$200,0)),"")</f>
        <v/>
      </c>
      <c r="AB19" s="53" t="n"/>
      <c r="AC19" s="59" t="n"/>
      <c r="AD19" s="81">
        <f>IFERROR(INDEX('Resource Rate Library'!$G$5:$G$200,MATCH(P19,'Resource Rate Library'!$A$5:$A$200,0)),"")</f>
        <v/>
      </c>
      <c r="AE19" s="81">
        <f>IFERROR(INDEX('Resource Rate Library'!$H$5:$H$200,MATCH(P19,'Resource Rate Library'!$A$5:$A$200,0)),"")</f>
        <v/>
      </c>
      <c r="AF19" s="53" t="n"/>
      <c r="AG19" s="53" t="n"/>
      <c r="AH19" s="53" t="n"/>
      <c r="AI19" s="81">
        <f>IF(B19="","",IF(AND(P19="",N19&lt;&gt;"Lump Sum / Quote"),"RESOURCE CODE",IF(Y19=0,"RATE MISSING",IF(AND(O19="Plant",AD19="Yes",COUNTIFS($B$7:$B$306,B19,$O$7:$O$306,"Labour",$Q$7:$Q$306,"*Operator*")&gt;0),"OPERATOR DOUBLE-COUNT",IF(AND(O19="Plant",AE19="Yes",COUNTIFS($B$7:$B$306,B19,$Q$7:$Q$306,"*Fuel*")&gt;0),"FUEL DOUBLE-COUNT",IF(AH19&lt;&gt;"Yes","VERIFY","OK"))))))</f>
        <v/>
      </c>
      <c r="AJ19" s="54" t="n"/>
      <c r="AK19" s="473" t="n"/>
      <c r="AL19" s="473" t="n"/>
      <c r="AM19" s="473" t="n"/>
      <c r="AN19" s="1444">
        <f>IF(AND(AK19="Yes",OR(O19="Labour",O19="Plant")),Z19,0)</f>
        <v/>
      </c>
    </row>
    <row r="20" ht="22.04999923706055" customHeight="1" s="491">
      <c r="A20" s="80">
        <f>IF(B20="","",B20&amp;"-"&amp;TEXT(COUNTIF($B$7:B20,B20),"000"))</f>
        <v/>
      </c>
      <c r="B20" s="53" t="n"/>
      <c r="C20" s="81">
        <f>IFERROR(INDEX('QS Takeoff'!$A$3:$A$202,MATCH(B20,'QS Takeoff'!$B$3:$B$202,0)),"")</f>
        <v/>
      </c>
      <c r="D20" s="81">
        <f>IFERROR(INDEX('QS Takeoff'!$C$3:$C$202,MATCH(B20,'QS Takeoff'!$B$3:$B$202,0)),"")</f>
        <v/>
      </c>
      <c r="E20" s="81">
        <f>IFERROR(INDEX('QS Takeoff'!$E$3:$E$202,MATCH(B20,'QS Takeoff'!$B$3:$B$202,0)),"")</f>
        <v/>
      </c>
      <c r="F20" s="81">
        <f>IFERROR(INDEX('QS Takeoff'!$D$3:$D$202,MATCH(B20,'QS Takeoff'!$B$3:$B$202,0)),"")</f>
        <v/>
      </c>
      <c r="G20" s="81">
        <f>IFERROR(INDEX('QS Takeoff'!$J$3:$J$202,MATCH(B20,'QS Takeoff'!$B$3:$B$202,0)),"")</f>
        <v/>
      </c>
      <c r="H20" s="53" t="n"/>
      <c r="I20" s="60" t="n"/>
      <c r="J20" s="60" t="n"/>
      <c r="K20" s="82">
        <f>IF(OR(B20="",I20="",I20=0),"",E20/I20)</f>
        <v/>
      </c>
      <c r="L20" s="60" t="n"/>
      <c r="M20" s="82">
        <f>IF(L20&gt;0,L20,K20)</f>
        <v/>
      </c>
      <c r="N20" s="53" t="n"/>
      <c r="O20" s="53" t="n"/>
      <c r="P20" s="53" t="n"/>
      <c r="Q20" s="81">
        <f>IFERROR(INDEX('Resource Rate Library'!$C$5:$C$200,MATCH(P20,'Resource Rate Library'!$A$5:$A$200,0)),"")</f>
        <v/>
      </c>
      <c r="R20" s="53" t="n"/>
      <c r="S20" s="53" t="n"/>
      <c r="T20" s="81">
        <f>IFERROR(INDEX('Resource Rate Library'!$E$5:$E$200,MATCH(P20,'Resource Rate Library'!$A$5:$A$200,0)),"")</f>
        <v/>
      </c>
      <c r="U20" s="1441" t="n"/>
      <c r="V20" s="1441" t="n"/>
      <c r="W20" s="1442">
        <f>IFERROR(INDEX('Resource Rate Library'!$I$5:$I$200,MATCH(P20,'Resource Rate Library'!$A$5:$A$200,0)),0)</f>
        <v/>
      </c>
      <c r="X20" s="1443" t="n"/>
      <c r="Y20" s="1442">
        <f>IF(X20&gt;0,X20,W20)</f>
        <v/>
      </c>
      <c r="Z20" s="1442">
        <f>IF(B20="","",IF(N20="Time x Count",M20*R20*IF(U20="",1,U20)*Y20,IF(N20="QS Qty x Factor",E20*R20*(1+IF(V20="",0,V20))*Y20,IF(N20="Direct Qty",S20*(1+IF(V20="",0,V20))*Y20,IF(N20="Lump Sum / Quote",S20*Y20,0)))))</f>
        <v/>
      </c>
      <c r="AA20" s="81">
        <f>IFERROR(INDEX('Resource Rate Library'!$N$5:$N$200,MATCH(P20,'Resource Rate Library'!$A$5:$A$200,0)),"")</f>
        <v/>
      </c>
      <c r="AB20" s="53" t="n"/>
      <c r="AC20" s="59" t="n"/>
      <c r="AD20" s="81">
        <f>IFERROR(INDEX('Resource Rate Library'!$G$5:$G$200,MATCH(P20,'Resource Rate Library'!$A$5:$A$200,0)),"")</f>
        <v/>
      </c>
      <c r="AE20" s="81">
        <f>IFERROR(INDEX('Resource Rate Library'!$H$5:$H$200,MATCH(P20,'Resource Rate Library'!$A$5:$A$200,0)),"")</f>
        <v/>
      </c>
      <c r="AF20" s="53" t="n"/>
      <c r="AG20" s="53" t="n"/>
      <c r="AH20" s="53" t="n"/>
      <c r="AI20" s="81">
        <f>IF(B20="","",IF(AND(P20="",N20&lt;&gt;"Lump Sum / Quote"),"RESOURCE CODE",IF(Y20=0,"RATE MISSING",IF(AND(O20="Plant",AD20="Yes",COUNTIFS($B$7:$B$306,B20,$O$7:$O$306,"Labour",$Q$7:$Q$306,"*Operator*")&gt;0),"OPERATOR DOUBLE-COUNT",IF(AND(O20="Plant",AE20="Yes",COUNTIFS($B$7:$B$306,B20,$Q$7:$Q$306,"*Fuel*")&gt;0),"FUEL DOUBLE-COUNT",IF(AH20&lt;&gt;"Yes","VERIFY","OK"))))))</f>
        <v/>
      </c>
      <c r="AJ20" s="54" t="n"/>
      <c r="AK20" s="473" t="n"/>
      <c r="AL20" s="473" t="n"/>
      <c r="AM20" s="473" t="n"/>
      <c r="AN20" s="1444">
        <f>IF(AND(AK20="Yes",OR(O20="Labour",O20="Plant")),Z20,0)</f>
        <v/>
      </c>
    </row>
    <row r="21" ht="22.04999923706055" customHeight="1" s="491">
      <c r="A21" s="80">
        <f>IF(B21="","",B21&amp;"-"&amp;TEXT(COUNTIF($B$7:B21,B21),"000"))</f>
        <v/>
      </c>
      <c r="B21" s="53" t="n"/>
      <c r="C21" s="81">
        <f>IFERROR(INDEX('QS Takeoff'!$A$3:$A$202,MATCH(B21,'QS Takeoff'!$B$3:$B$202,0)),"")</f>
        <v/>
      </c>
      <c r="D21" s="81">
        <f>IFERROR(INDEX('QS Takeoff'!$C$3:$C$202,MATCH(B21,'QS Takeoff'!$B$3:$B$202,0)),"")</f>
        <v/>
      </c>
      <c r="E21" s="81">
        <f>IFERROR(INDEX('QS Takeoff'!$E$3:$E$202,MATCH(B21,'QS Takeoff'!$B$3:$B$202,0)),"")</f>
        <v/>
      </c>
      <c r="F21" s="81">
        <f>IFERROR(INDEX('QS Takeoff'!$D$3:$D$202,MATCH(B21,'QS Takeoff'!$B$3:$B$202,0)),"")</f>
        <v/>
      </c>
      <c r="G21" s="81">
        <f>IFERROR(INDEX('QS Takeoff'!$J$3:$J$202,MATCH(B21,'QS Takeoff'!$B$3:$B$202,0)),"")</f>
        <v/>
      </c>
      <c r="H21" s="53" t="n"/>
      <c r="I21" s="60" t="n"/>
      <c r="J21" s="60" t="n"/>
      <c r="K21" s="82">
        <f>IF(OR(B21="",I21="",I21=0),"",E21/I21)</f>
        <v/>
      </c>
      <c r="L21" s="60" t="n"/>
      <c r="M21" s="82">
        <f>IF(L21&gt;0,L21,K21)</f>
        <v/>
      </c>
      <c r="N21" s="53" t="n"/>
      <c r="O21" s="53" t="n"/>
      <c r="P21" s="53" t="n"/>
      <c r="Q21" s="81">
        <f>IFERROR(INDEX('Resource Rate Library'!$C$5:$C$200,MATCH(P21,'Resource Rate Library'!$A$5:$A$200,0)),"")</f>
        <v/>
      </c>
      <c r="R21" s="53" t="n"/>
      <c r="S21" s="53" t="n"/>
      <c r="T21" s="81">
        <f>IFERROR(INDEX('Resource Rate Library'!$E$5:$E$200,MATCH(P21,'Resource Rate Library'!$A$5:$A$200,0)),"")</f>
        <v/>
      </c>
      <c r="U21" s="1441" t="n"/>
      <c r="V21" s="1441" t="n"/>
      <c r="W21" s="1442">
        <f>IFERROR(INDEX('Resource Rate Library'!$I$5:$I$200,MATCH(P21,'Resource Rate Library'!$A$5:$A$200,0)),0)</f>
        <v/>
      </c>
      <c r="X21" s="1443" t="n"/>
      <c r="Y21" s="1442">
        <f>IF(X21&gt;0,X21,W21)</f>
        <v/>
      </c>
      <c r="Z21" s="1442">
        <f>IF(B21="","",IF(N21="Time x Count",M21*R21*IF(U21="",1,U21)*Y21,IF(N21="QS Qty x Factor",E21*R21*(1+IF(V21="",0,V21))*Y21,IF(N21="Direct Qty",S21*(1+IF(V21="",0,V21))*Y21,IF(N21="Lump Sum / Quote",S21*Y21,0)))))</f>
        <v/>
      </c>
      <c r="AA21" s="81">
        <f>IFERROR(INDEX('Resource Rate Library'!$N$5:$N$200,MATCH(P21,'Resource Rate Library'!$A$5:$A$200,0)),"")</f>
        <v/>
      </c>
      <c r="AB21" s="53" t="n"/>
      <c r="AC21" s="59" t="n"/>
      <c r="AD21" s="81">
        <f>IFERROR(INDEX('Resource Rate Library'!$G$5:$G$200,MATCH(P21,'Resource Rate Library'!$A$5:$A$200,0)),"")</f>
        <v/>
      </c>
      <c r="AE21" s="81">
        <f>IFERROR(INDEX('Resource Rate Library'!$H$5:$H$200,MATCH(P21,'Resource Rate Library'!$A$5:$A$200,0)),"")</f>
        <v/>
      </c>
      <c r="AF21" s="53" t="n"/>
      <c r="AG21" s="53" t="n"/>
      <c r="AH21" s="53" t="n"/>
      <c r="AI21" s="81">
        <f>IF(B21="","",IF(AND(P21="",N21&lt;&gt;"Lump Sum / Quote"),"RESOURCE CODE",IF(Y21=0,"RATE MISSING",IF(AND(O21="Plant",AD21="Yes",COUNTIFS($B$7:$B$306,B21,$O$7:$O$306,"Labour",$Q$7:$Q$306,"*Operator*")&gt;0),"OPERATOR DOUBLE-COUNT",IF(AND(O21="Plant",AE21="Yes",COUNTIFS($B$7:$B$306,B21,$Q$7:$Q$306,"*Fuel*")&gt;0),"FUEL DOUBLE-COUNT",IF(AH21&lt;&gt;"Yes","VERIFY","OK"))))))</f>
        <v/>
      </c>
      <c r="AJ21" s="54" t="n"/>
      <c r="AK21" s="473" t="n"/>
      <c r="AL21" s="473" t="n"/>
      <c r="AM21" s="473" t="n"/>
      <c r="AN21" s="1444">
        <f>IF(AND(AK21="Yes",OR(O21="Labour",O21="Plant")),Z21,0)</f>
        <v/>
      </c>
    </row>
    <row r="22" ht="22.04999923706055" customHeight="1" s="491">
      <c r="A22" s="80">
        <f>IF(B22="","",B22&amp;"-"&amp;TEXT(COUNTIF($B$7:B22,B22),"000"))</f>
        <v/>
      </c>
      <c r="B22" s="53" t="n"/>
      <c r="C22" s="81">
        <f>IFERROR(INDEX('QS Takeoff'!$A$3:$A$202,MATCH(B22,'QS Takeoff'!$B$3:$B$202,0)),"")</f>
        <v/>
      </c>
      <c r="D22" s="81">
        <f>IFERROR(INDEX('QS Takeoff'!$C$3:$C$202,MATCH(B22,'QS Takeoff'!$B$3:$B$202,0)),"")</f>
        <v/>
      </c>
      <c r="E22" s="81">
        <f>IFERROR(INDEX('QS Takeoff'!$E$3:$E$202,MATCH(B22,'QS Takeoff'!$B$3:$B$202,0)),"")</f>
        <v/>
      </c>
      <c r="F22" s="81">
        <f>IFERROR(INDEX('QS Takeoff'!$D$3:$D$202,MATCH(B22,'QS Takeoff'!$B$3:$B$202,0)),"")</f>
        <v/>
      </c>
      <c r="G22" s="81">
        <f>IFERROR(INDEX('QS Takeoff'!$J$3:$J$202,MATCH(B22,'QS Takeoff'!$B$3:$B$202,0)),"")</f>
        <v/>
      </c>
      <c r="H22" s="53" t="n"/>
      <c r="I22" s="60" t="n"/>
      <c r="J22" s="60" t="n"/>
      <c r="K22" s="82">
        <f>IF(OR(B22="",I22="",I22=0),"",E22/I22)</f>
        <v/>
      </c>
      <c r="L22" s="60" t="n"/>
      <c r="M22" s="82">
        <f>IF(L22&gt;0,L22,K22)</f>
        <v/>
      </c>
      <c r="N22" s="53" t="n"/>
      <c r="O22" s="53" t="n"/>
      <c r="P22" s="53" t="n"/>
      <c r="Q22" s="81">
        <f>IFERROR(INDEX('Resource Rate Library'!$C$5:$C$200,MATCH(P22,'Resource Rate Library'!$A$5:$A$200,0)),"")</f>
        <v/>
      </c>
      <c r="R22" s="53" t="n"/>
      <c r="S22" s="53" t="n"/>
      <c r="T22" s="81">
        <f>IFERROR(INDEX('Resource Rate Library'!$E$5:$E$200,MATCH(P22,'Resource Rate Library'!$A$5:$A$200,0)),"")</f>
        <v/>
      </c>
      <c r="U22" s="1441" t="n"/>
      <c r="V22" s="1441" t="n"/>
      <c r="W22" s="1442">
        <f>IFERROR(INDEX('Resource Rate Library'!$I$5:$I$200,MATCH(P22,'Resource Rate Library'!$A$5:$A$200,0)),0)</f>
        <v/>
      </c>
      <c r="X22" s="1443" t="n"/>
      <c r="Y22" s="1442">
        <f>IF(X22&gt;0,X22,W22)</f>
        <v/>
      </c>
      <c r="Z22" s="1442">
        <f>IF(B22="","",IF(N22="Time x Count",M22*R22*IF(U22="",1,U22)*Y22,IF(N22="QS Qty x Factor",E22*R22*(1+IF(V22="",0,V22))*Y22,IF(N22="Direct Qty",S22*(1+IF(V22="",0,V22))*Y22,IF(N22="Lump Sum / Quote",S22*Y22,0)))))</f>
        <v/>
      </c>
      <c r="AA22" s="81">
        <f>IFERROR(INDEX('Resource Rate Library'!$N$5:$N$200,MATCH(P22,'Resource Rate Library'!$A$5:$A$200,0)),"")</f>
        <v/>
      </c>
      <c r="AB22" s="53" t="n"/>
      <c r="AC22" s="59" t="n"/>
      <c r="AD22" s="81">
        <f>IFERROR(INDEX('Resource Rate Library'!$G$5:$G$200,MATCH(P22,'Resource Rate Library'!$A$5:$A$200,0)),"")</f>
        <v/>
      </c>
      <c r="AE22" s="81">
        <f>IFERROR(INDEX('Resource Rate Library'!$H$5:$H$200,MATCH(P22,'Resource Rate Library'!$A$5:$A$200,0)),"")</f>
        <v/>
      </c>
      <c r="AF22" s="53" t="n"/>
      <c r="AG22" s="53" t="n"/>
      <c r="AH22" s="53" t="n"/>
      <c r="AI22" s="81">
        <f>IF(B22="","",IF(AND(P22="",N22&lt;&gt;"Lump Sum / Quote"),"RESOURCE CODE",IF(Y22=0,"RATE MISSING",IF(AND(O22="Plant",AD22="Yes",COUNTIFS($B$7:$B$306,B22,$O$7:$O$306,"Labour",$Q$7:$Q$306,"*Operator*")&gt;0),"OPERATOR DOUBLE-COUNT",IF(AND(O22="Plant",AE22="Yes",COUNTIFS($B$7:$B$306,B22,$Q$7:$Q$306,"*Fuel*")&gt;0),"FUEL DOUBLE-COUNT",IF(AH22&lt;&gt;"Yes","VERIFY","OK"))))))</f>
        <v/>
      </c>
      <c r="AJ22" s="54" t="n"/>
      <c r="AK22" s="473" t="n"/>
      <c r="AL22" s="473" t="n"/>
      <c r="AM22" s="473" t="n"/>
      <c r="AN22" s="1444">
        <f>IF(AND(AK22="Yes",OR(O22="Labour",O22="Plant")),Z22,0)</f>
        <v/>
      </c>
    </row>
    <row r="23" ht="22.04999923706055" customHeight="1" s="491">
      <c r="A23" s="80">
        <f>IF(B23="","",B23&amp;"-"&amp;TEXT(COUNTIF($B$7:B23,B23),"000"))</f>
        <v/>
      </c>
      <c r="B23" s="53" t="n"/>
      <c r="C23" s="81">
        <f>IFERROR(INDEX('QS Takeoff'!$A$3:$A$202,MATCH(B23,'QS Takeoff'!$B$3:$B$202,0)),"")</f>
        <v/>
      </c>
      <c r="D23" s="81">
        <f>IFERROR(INDEX('QS Takeoff'!$C$3:$C$202,MATCH(B23,'QS Takeoff'!$B$3:$B$202,0)),"")</f>
        <v/>
      </c>
      <c r="E23" s="81">
        <f>IFERROR(INDEX('QS Takeoff'!$E$3:$E$202,MATCH(B23,'QS Takeoff'!$B$3:$B$202,0)),"")</f>
        <v/>
      </c>
      <c r="F23" s="81">
        <f>IFERROR(INDEX('QS Takeoff'!$D$3:$D$202,MATCH(B23,'QS Takeoff'!$B$3:$B$202,0)),"")</f>
        <v/>
      </c>
      <c r="G23" s="81">
        <f>IFERROR(INDEX('QS Takeoff'!$J$3:$J$202,MATCH(B23,'QS Takeoff'!$B$3:$B$202,0)),"")</f>
        <v/>
      </c>
      <c r="H23" s="53" t="n"/>
      <c r="I23" s="60" t="n"/>
      <c r="J23" s="60" t="n"/>
      <c r="K23" s="82">
        <f>IF(OR(B23="",I23="",I23=0),"",E23/I23)</f>
        <v/>
      </c>
      <c r="L23" s="60" t="n"/>
      <c r="M23" s="82">
        <f>IF(L23&gt;0,L23,K23)</f>
        <v/>
      </c>
      <c r="N23" s="53" t="n"/>
      <c r="O23" s="53" t="n"/>
      <c r="P23" s="53" t="n"/>
      <c r="Q23" s="81">
        <f>IFERROR(INDEX('Resource Rate Library'!$C$5:$C$200,MATCH(P23,'Resource Rate Library'!$A$5:$A$200,0)),"")</f>
        <v/>
      </c>
      <c r="R23" s="53" t="n"/>
      <c r="S23" s="53" t="n"/>
      <c r="T23" s="81">
        <f>IFERROR(INDEX('Resource Rate Library'!$E$5:$E$200,MATCH(P23,'Resource Rate Library'!$A$5:$A$200,0)),"")</f>
        <v/>
      </c>
      <c r="U23" s="1441" t="n"/>
      <c r="V23" s="1441" t="n"/>
      <c r="W23" s="1442">
        <f>IFERROR(INDEX('Resource Rate Library'!$I$5:$I$200,MATCH(P23,'Resource Rate Library'!$A$5:$A$200,0)),0)</f>
        <v/>
      </c>
      <c r="X23" s="1443" t="n"/>
      <c r="Y23" s="1442">
        <f>IF(X23&gt;0,X23,W23)</f>
        <v/>
      </c>
      <c r="Z23" s="1442">
        <f>IF(B23="","",IF(N23="Time x Count",M23*R23*IF(U23="",1,U23)*Y23,IF(N23="QS Qty x Factor",E23*R23*(1+IF(V23="",0,V23))*Y23,IF(N23="Direct Qty",S23*(1+IF(V23="",0,V23))*Y23,IF(N23="Lump Sum / Quote",S23*Y23,0)))))</f>
        <v/>
      </c>
      <c r="AA23" s="81">
        <f>IFERROR(INDEX('Resource Rate Library'!$N$5:$N$200,MATCH(P23,'Resource Rate Library'!$A$5:$A$200,0)),"")</f>
        <v/>
      </c>
      <c r="AB23" s="53" t="n"/>
      <c r="AC23" s="59" t="n"/>
      <c r="AD23" s="81">
        <f>IFERROR(INDEX('Resource Rate Library'!$G$5:$G$200,MATCH(P23,'Resource Rate Library'!$A$5:$A$200,0)),"")</f>
        <v/>
      </c>
      <c r="AE23" s="81">
        <f>IFERROR(INDEX('Resource Rate Library'!$H$5:$H$200,MATCH(P23,'Resource Rate Library'!$A$5:$A$200,0)),"")</f>
        <v/>
      </c>
      <c r="AF23" s="53" t="n"/>
      <c r="AG23" s="53" t="n"/>
      <c r="AH23" s="53" t="n"/>
      <c r="AI23" s="81">
        <f>IF(B23="","",IF(AND(P23="",N23&lt;&gt;"Lump Sum / Quote"),"RESOURCE CODE",IF(Y23=0,"RATE MISSING",IF(AND(O23="Plant",AD23="Yes",COUNTIFS($B$7:$B$306,B23,$O$7:$O$306,"Labour",$Q$7:$Q$306,"*Operator*")&gt;0),"OPERATOR DOUBLE-COUNT",IF(AND(O23="Plant",AE23="Yes",COUNTIFS($B$7:$B$306,B23,$Q$7:$Q$306,"*Fuel*")&gt;0),"FUEL DOUBLE-COUNT",IF(AH23&lt;&gt;"Yes","VERIFY","OK"))))))</f>
        <v/>
      </c>
      <c r="AJ23" s="54" t="n"/>
      <c r="AK23" s="473" t="n"/>
      <c r="AL23" s="473" t="n"/>
      <c r="AM23" s="473" t="n"/>
      <c r="AN23" s="1444">
        <f>IF(AND(AK23="Yes",OR(O23="Labour",O23="Plant")),Z23,0)</f>
        <v/>
      </c>
    </row>
    <row r="24" ht="22.04999923706055" customHeight="1" s="491">
      <c r="A24" s="80">
        <f>IF(B24="","",B24&amp;"-"&amp;TEXT(COUNTIF($B$7:B24,B24),"000"))</f>
        <v/>
      </c>
      <c r="B24" s="53" t="n"/>
      <c r="C24" s="81">
        <f>IFERROR(INDEX('QS Takeoff'!$A$3:$A$202,MATCH(B24,'QS Takeoff'!$B$3:$B$202,0)),"")</f>
        <v/>
      </c>
      <c r="D24" s="81">
        <f>IFERROR(INDEX('QS Takeoff'!$C$3:$C$202,MATCH(B24,'QS Takeoff'!$B$3:$B$202,0)),"")</f>
        <v/>
      </c>
      <c r="E24" s="81">
        <f>IFERROR(INDEX('QS Takeoff'!$E$3:$E$202,MATCH(B24,'QS Takeoff'!$B$3:$B$202,0)),"")</f>
        <v/>
      </c>
      <c r="F24" s="81">
        <f>IFERROR(INDEX('QS Takeoff'!$D$3:$D$202,MATCH(B24,'QS Takeoff'!$B$3:$B$202,0)),"")</f>
        <v/>
      </c>
      <c r="G24" s="81">
        <f>IFERROR(INDEX('QS Takeoff'!$J$3:$J$202,MATCH(B24,'QS Takeoff'!$B$3:$B$202,0)),"")</f>
        <v/>
      </c>
      <c r="H24" s="53" t="n"/>
      <c r="I24" s="60" t="n"/>
      <c r="J24" s="60" t="n"/>
      <c r="K24" s="82">
        <f>IF(OR(B24="",I24="",I24=0),"",E24/I24)</f>
        <v/>
      </c>
      <c r="L24" s="60" t="n"/>
      <c r="M24" s="82">
        <f>IF(L24&gt;0,L24,K24)</f>
        <v/>
      </c>
      <c r="N24" s="53" t="n"/>
      <c r="O24" s="53" t="n"/>
      <c r="P24" s="53" t="n"/>
      <c r="Q24" s="81">
        <f>IFERROR(INDEX('Resource Rate Library'!$C$5:$C$200,MATCH(P24,'Resource Rate Library'!$A$5:$A$200,0)),"")</f>
        <v/>
      </c>
      <c r="R24" s="53" t="n"/>
      <c r="S24" s="53" t="n"/>
      <c r="T24" s="81">
        <f>IFERROR(INDEX('Resource Rate Library'!$E$5:$E$200,MATCH(P24,'Resource Rate Library'!$A$5:$A$200,0)),"")</f>
        <v/>
      </c>
      <c r="U24" s="1441" t="n"/>
      <c r="V24" s="1441" t="n"/>
      <c r="W24" s="1442">
        <f>IFERROR(INDEX('Resource Rate Library'!$I$5:$I$200,MATCH(P24,'Resource Rate Library'!$A$5:$A$200,0)),0)</f>
        <v/>
      </c>
      <c r="X24" s="1443" t="n"/>
      <c r="Y24" s="1442">
        <f>IF(X24&gt;0,X24,W24)</f>
        <v/>
      </c>
      <c r="Z24" s="1442">
        <f>IF(B24="","",IF(N24="Time x Count",M24*R24*IF(U24="",1,U24)*Y24,IF(N24="QS Qty x Factor",E24*R24*(1+IF(V24="",0,V24))*Y24,IF(N24="Direct Qty",S24*(1+IF(V24="",0,V24))*Y24,IF(N24="Lump Sum / Quote",S24*Y24,0)))))</f>
        <v/>
      </c>
      <c r="AA24" s="81">
        <f>IFERROR(INDEX('Resource Rate Library'!$N$5:$N$200,MATCH(P24,'Resource Rate Library'!$A$5:$A$200,0)),"")</f>
        <v/>
      </c>
      <c r="AB24" s="53" t="n"/>
      <c r="AC24" s="59" t="n"/>
      <c r="AD24" s="81">
        <f>IFERROR(INDEX('Resource Rate Library'!$G$5:$G$200,MATCH(P24,'Resource Rate Library'!$A$5:$A$200,0)),"")</f>
        <v/>
      </c>
      <c r="AE24" s="81">
        <f>IFERROR(INDEX('Resource Rate Library'!$H$5:$H$200,MATCH(P24,'Resource Rate Library'!$A$5:$A$200,0)),"")</f>
        <v/>
      </c>
      <c r="AF24" s="53" t="n"/>
      <c r="AG24" s="53" t="n"/>
      <c r="AH24" s="53" t="n"/>
      <c r="AI24" s="81">
        <f>IF(B24="","",IF(AND(P24="",N24&lt;&gt;"Lump Sum / Quote"),"RESOURCE CODE",IF(Y24=0,"RATE MISSING",IF(AND(O24="Plant",AD24="Yes",COUNTIFS($B$7:$B$306,B24,$O$7:$O$306,"Labour",$Q$7:$Q$306,"*Operator*")&gt;0),"OPERATOR DOUBLE-COUNT",IF(AND(O24="Plant",AE24="Yes",COUNTIFS($B$7:$B$306,B24,$Q$7:$Q$306,"*Fuel*")&gt;0),"FUEL DOUBLE-COUNT",IF(AH24&lt;&gt;"Yes","VERIFY","OK"))))))</f>
        <v/>
      </c>
      <c r="AJ24" s="54" t="n"/>
      <c r="AK24" s="473" t="n"/>
      <c r="AL24" s="473" t="n"/>
      <c r="AM24" s="473" t="n"/>
      <c r="AN24" s="1444">
        <f>IF(AND(AK24="Yes",OR(O24="Labour",O24="Plant")),Z24,0)</f>
        <v/>
      </c>
    </row>
    <row r="25" ht="22.04999923706055" customHeight="1" s="491">
      <c r="A25" s="80">
        <f>IF(B25="","",B25&amp;"-"&amp;TEXT(COUNTIF($B$7:B25,B25),"000"))</f>
        <v/>
      </c>
      <c r="B25" s="53" t="n"/>
      <c r="C25" s="81">
        <f>IFERROR(INDEX('QS Takeoff'!$A$3:$A$202,MATCH(B25,'QS Takeoff'!$B$3:$B$202,0)),"")</f>
        <v/>
      </c>
      <c r="D25" s="81">
        <f>IFERROR(INDEX('QS Takeoff'!$C$3:$C$202,MATCH(B25,'QS Takeoff'!$B$3:$B$202,0)),"")</f>
        <v/>
      </c>
      <c r="E25" s="81">
        <f>IFERROR(INDEX('QS Takeoff'!$E$3:$E$202,MATCH(B25,'QS Takeoff'!$B$3:$B$202,0)),"")</f>
        <v/>
      </c>
      <c r="F25" s="81">
        <f>IFERROR(INDEX('QS Takeoff'!$D$3:$D$202,MATCH(B25,'QS Takeoff'!$B$3:$B$202,0)),"")</f>
        <v/>
      </c>
      <c r="G25" s="81">
        <f>IFERROR(INDEX('QS Takeoff'!$J$3:$J$202,MATCH(B25,'QS Takeoff'!$B$3:$B$202,0)),"")</f>
        <v/>
      </c>
      <c r="H25" s="53" t="n"/>
      <c r="I25" s="60" t="n"/>
      <c r="J25" s="60" t="n"/>
      <c r="K25" s="82">
        <f>IF(OR(B25="",I25="",I25=0),"",E25/I25)</f>
        <v/>
      </c>
      <c r="L25" s="60" t="n"/>
      <c r="M25" s="82">
        <f>IF(L25&gt;0,L25,K25)</f>
        <v/>
      </c>
      <c r="N25" s="53" t="n"/>
      <c r="O25" s="53" t="n"/>
      <c r="P25" s="53" t="n"/>
      <c r="Q25" s="81">
        <f>IFERROR(INDEX('Resource Rate Library'!$C$5:$C$200,MATCH(P25,'Resource Rate Library'!$A$5:$A$200,0)),"")</f>
        <v/>
      </c>
      <c r="R25" s="53" t="n"/>
      <c r="S25" s="53" t="n"/>
      <c r="T25" s="81">
        <f>IFERROR(INDEX('Resource Rate Library'!$E$5:$E$200,MATCH(P25,'Resource Rate Library'!$A$5:$A$200,0)),"")</f>
        <v/>
      </c>
      <c r="U25" s="1441" t="n"/>
      <c r="V25" s="1441" t="n"/>
      <c r="W25" s="1442">
        <f>IFERROR(INDEX('Resource Rate Library'!$I$5:$I$200,MATCH(P25,'Resource Rate Library'!$A$5:$A$200,0)),0)</f>
        <v/>
      </c>
      <c r="X25" s="1443" t="n"/>
      <c r="Y25" s="1442">
        <f>IF(X25&gt;0,X25,W25)</f>
        <v/>
      </c>
      <c r="Z25" s="1442">
        <f>IF(B25="","",IF(N25="Time x Count",M25*R25*IF(U25="",1,U25)*Y25,IF(N25="QS Qty x Factor",E25*R25*(1+IF(V25="",0,V25))*Y25,IF(N25="Direct Qty",S25*(1+IF(V25="",0,V25))*Y25,IF(N25="Lump Sum / Quote",S25*Y25,0)))))</f>
        <v/>
      </c>
      <c r="AA25" s="81">
        <f>IFERROR(INDEX('Resource Rate Library'!$N$5:$N$200,MATCH(P25,'Resource Rate Library'!$A$5:$A$200,0)),"")</f>
        <v/>
      </c>
      <c r="AB25" s="53" t="n"/>
      <c r="AC25" s="59" t="n"/>
      <c r="AD25" s="81">
        <f>IFERROR(INDEX('Resource Rate Library'!$G$5:$G$200,MATCH(P25,'Resource Rate Library'!$A$5:$A$200,0)),"")</f>
        <v/>
      </c>
      <c r="AE25" s="81">
        <f>IFERROR(INDEX('Resource Rate Library'!$H$5:$H$200,MATCH(P25,'Resource Rate Library'!$A$5:$A$200,0)),"")</f>
        <v/>
      </c>
      <c r="AF25" s="53" t="n"/>
      <c r="AG25" s="53" t="n"/>
      <c r="AH25" s="53" t="n"/>
      <c r="AI25" s="81">
        <f>IF(B25="","",IF(AND(P25="",N25&lt;&gt;"Lump Sum / Quote"),"RESOURCE CODE",IF(Y25=0,"RATE MISSING",IF(AND(O25="Plant",AD25="Yes",COUNTIFS($B$7:$B$306,B25,$O$7:$O$306,"Labour",$Q$7:$Q$306,"*Operator*")&gt;0),"OPERATOR DOUBLE-COUNT",IF(AND(O25="Plant",AE25="Yes",COUNTIFS($B$7:$B$306,B25,$Q$7:$Q$306,"*Fuel*")&gt;0),"FUEL DOUBLE-COUNT",IF(AH25&lt;&gt;"Yes","VERIFY","OK"))))))</f>
        <v/>
      </c>
      <c r="AJ25" s="54" t="n"/>
      <c r="AK25" s="473" t="n"/>
      <c r="AL25" s="473" t="n"/>
      <c r="AM25" s="473" t="n"/>
      <c r="AN25" s="1444">
        <f>IF(AND(AK25="Yes",OR(O25="Labour",O25="Plant")),Z25,0)</f>
        <v/>
      </c>
    </row>
    <row r="26" ht="22.04999923706055" customHeight="1" s="491">
      <c r="A26" s="80">
        <f>IF(B26="","",B26&amp;"-"&amp;TEXT(COUNTIF($B$7:B26,B26),"000"))</f>
        <v/>
      </c>
      <c r="B26" s="53" t="n"/>
      <c r="C26" s="81">
        <f>IFERROR(INDEX('QS Takeoff'!$A$3:$A$202,MATCH(B26,'QS Takeoff'!$B$3:$B$202,0)),"")</f>
        <v/>
      </c>
      <c r="D26" s="81">
        <f>IFERROR(INDEX('QS Takeoff'!$C$3:$C$202,MATCH(B26,'QS Takeoff'!$B$3:$B$202,0)),"")</f>
        <v/>
      </c>
      <c r="E26" s="81">
        <f>IFERROR(INDEX('QS Takeoff'!$E$3:$E$202,MATCH(B26,'QS Takeoff'!$B$3:$B$202,0)),"")</f>
        <v/>
      </c>
      <c r="F26" s="81">
        <f>IFERROR(INDEX('QS Takeoff'!$D$3:$D$202,MATCH(B26,'QS Takeoff'!$B$3:$B$202,0)),"")</f>
        <v/>
      </c>
      <c r="G26" s="81">
        <f>IFERROR(INDEX('QS Takeoff'!$J$3:$J$202,MATCH(B26,'QS Takeoff'!$B$3:$B$202,0)),"")</f>
        <v/>
      </c>
      <c r="H26" s="53" t="n"/>
      <c r="I26" s="60" t="n"/>
      <c r="J26" s="60" t="n"/>
      <c r="K26" s="82">
        <f>IF(OR(B26="",I26="",I26=0),"",E26/I26)</f>
        <v/>
      </c>
      <c r="L26" s="60" t="n"/>
      <c r="M26" s="82">
        <f>IF(L26&gt;0,L26,K26)</f>
        <v/>
      </c>
      <c r="N26" s="53" t="n"/>
      <c r="O26" s="53" t="n"/>
      <c r="P26" s="53" t="n"/>
      <c r="Q26" s="81">
        <f>IFERROR(INDEX('Resource Rate Library'!$C$5:$C$200,MATCH(P26,'Resource Rate Library'!$A$5:$A$200,0)),"")</f>
        <v/>
      </c>
      <c r="R26" s="53" t="n"/>
      <c r="S26" s="53" t="n"/>
      <c r="T26" s="81">
        <f>IFERROR(INDEX('Resource Rate Library'!$E$5:$E$200,MATCH(P26,'Resource Rate Library'!$A$5:$A$200,0)),"")</f>
        <v/>
      </c>
      <c r="U26" s="1441" t="n"/>
      <c r="V26" s="1441" t="n"/>
      <c r="W26" s="1442">
        <f>IFERROR(INDEX('Resource Rate Library'!$I$5:$I$200,MATCH(P26,'Resource Rate Library'!$A$5:$A$200,0)),0)</f>
        <v/>
      </c>
      <c r="X26" s="1443" t="n"/>
      <c r="Y26" s="1442">
        <f>IF(X26&gt;0,X26,W26)</f>
        <v/>
      </c>
      <c r="Z26" s="1442">
        <f>IF(B26="","",IF(N26="Time x Count",M26*R26*IF(U26="",1,U26)*Y26,IF(N26="QS Qty x Factor",E26*R26*(1+IF(V26="",0,V26))*Y26,IF(N26="Direct Qty",S26*(1+IF(V26="",0,V26))*Y26,IF(N26="Lump Sum / Quote",S26*Y26,0)))))</f>
        <v/>
      </c>
      <c r="AA26" s="81">
        <f>IFERROR(INDEX('Resource Rate Library'!$N$5:$N$200,MATCH(P26,'Resource Rate Library'!$A$5:$A$200,0)),"")</f>
        <v/>
      </c>
      <c r="AB26" s="53" t="n"/>
      <c r="AC26" s="59" t="n"/>
      <c r="AD26" s="81">
        <f>IFERROR(INDEX('Resource Rate Library'!$G$5:$G$200,MATCH(P26,'Resource Rate Library'!$A$5:$A$200,0)),"")</f>
        <v/>
      </c>
      <c r="AE26" s="81">
        <f>IFERROR(INDEX('Resource Rate Library'!$H$5:$H$200,MATCH(P26,'Resource Rate Library'!$A$5:$A$200,0)),"")</f>
        <v/>
      </c>
      <c r="AF26" s="53" t="n"/>
      <c r="AG26" s="53" t="n"/>
      <c r="AH26" s="53" t="n"/>
      <c r="AI26" s="81">
        <f>IF(B26="","",IF(AND(P26="",N26&lt;&gt;"Lump Sum / Quote"),"RESOURCE CODE",IF(Y26=0,"RATE MISSING",IF(AND(O26="Plant",AD26="Yes",COUNTIFS($B$7:$B$306,B26,$O$7:$O$306,"Labour",$Q$7:$Q$306,"*Operator*")&gt;0),"OPERATOR DOUBLE-COUNT",IF(AND(O26="Plant",AE26="Yes",COUNTIFS($B$7:$B$306,B26,$Q$7:$Q$306,"*Fuel*")&gt;0),"FUEL DOUBLE-COUNT",IF(AH26&lt;&gt;"Yes","VERIFY","OK"))))))</f>
        <v/>
      </c>
      <c r="AJ26" s="54" t="n"/>
      <c r="AK26" s="473" t="n"/>
      <c r="AL26" s="473" t="n"/>
      <c r="AM26" s="473" t="n"/>
      <c r="AN26" s="1444">
        <f>IF(AND(AK26="Yes",OR(O26="Labour",O26="Plant")),Z26,0)</f>
        <v/>
      </c>
    </row>
    <row r="27" ht="22.04999923706055" customHeight="1" s="491">
      <c r="A27" s="80">
        <f>IF(B27="","",B27&amp;"-"&amp;TEXT(COUNTIF($B$7:B27,B27),"000"))</f>
        <v/>
      </c>
      <c r="B27" s="53" t="n"/>
      <c r="C27" s="81">
        <f>IFERROR(INDEX('QS Takeoff'!$A$3:$A$202,MATCH(B27,'QS Takeoff'!$B$3:$B$202,0)),"")</f>
        <v/>
      </c>
      <c r="D27" s="81">
        <f>IFERROR(INDEX('QS Takeoff'!$C$3:$C$202,MATCH(B27,'QS Takeoff'!$B$3:$B$202,0)),"")</f>
        <v/>
      </c>
      <c r="E27" s="81">
        <f>IFERROR(INDEX('QS Takeoff'!$E$3:$E$202,MATCH(B27,'QS Takeoff'!$B$3:$B$202,0)),"")</f>
        <v/>
      </c>
      <c r="F27" s="81">
        <f>IFERROR(INDEX('QS Takeoff'!$D$3:$D$202,MATCH(B27,'QS Takeoff'!$B$3:$B$202,0)),"")</f>
        <v/>
      </c>
      <c r="G27" s="81">
        <f>IFERROR(INDEX('QS Takeoff'!$J$3:$J$202,MATCH(B27,'QS Takeoff'!$B$3:$B$202,0)),"")</f>
        <v/>
      </c>
      <c r="H27" s="53" t="n"/>
      <c r="I27" s="60" t="n"/>
      <c r="J27" s="60" t="n"/>
      <c r="K27" s="82">
        <f>IF(OR(B27="",I27="",I27=0),"",E27/I27)</f>
        <v/>
      </c>
      <c r="L27" s="60" t="n"/>
      <c r="M27" s="82">
        <f>IF(L27&gt;0,L27,K27)</f>
        <v/>
      </c>
      <c r="N27" s="53" t="n"/>
      <c r="O27" s="53" t="n"/>
      <c r="P27" s="53" t="n"/>
      <c r="Q27" s="81">
        <f>IFERROR(INDEX('Resource Rate Library'!$C$5:$C$200,MATCH(P27,'Resource Rate Library'!$A$5:$A$200,0)),"")</f>
        <v/>
      </c>
      <c r="R27" s="53" t="n"/>
      <c r="S27" s="53" t="n"/>
      <c r="T27" s="81">
        <f>IFERROR(INDEX('Resource Rate Library'!$E$5:$E$200,MATCH(P27,'Resource Rate Library'!$A$5:$A$200,0)),"")</f>
        <v/>
      </c>
      <c r="U27" s="1441" t="n"/>
      <c r="V27" s="1441" t="n"/>
      <c r="W27" s="1442">
        <f>IFERROR(INDEX('Resource Rate Library'!$I$5:$I$200,MATCH(P27,'Resource Rate Library'!$A$5:$A$200,0)),0)</f>
        <v/>
      </c>
      <c r="X27" s="1443" t="n"/>
      <c r="Y27" s="1442">
        <f>IF(X27&gt;0,X27,W27)</f>
        <v/>
      </c>
      <c r="Z27" s="1442">
        <f>IF(B27="","",IF(N27="Time x Count",M27*R27*IF(U27="",1,U27)*Y27,IF(N27="QS Qty x Factor",E27*R27*(1+IF(V27="",0,V27))*Y27,IF(N27="Direct Qty",S27*(1+IF(V27="",0,V27))*Y27,IF(N27="Lump Sum / Quote",S27*Y27,0)))))</f>
        <v/>
      </c>
      <c r="AA27" s="81">
        <f>IFERROR(INDEX('Resource Rate Library'!$N$5:$N$200,MATCH(P27,'Resource Rate Library'!$A$5:$A$200,0)),"")</f>
        <v/>
      </c>
      <c r="AB27" s="53" t="n"/>
      <c r="AC27" s="59" t="n"/>
      <c r="AD27" s="81">
        <f>IFERROR(INDEX('Resource Rate Library'!$G$5:$G$200,MATCH(P27,'Resource Rate Library'!$A$5:$A$200,0)),"")</f>
        <v/>
      </c>
      <c r="AE27" s="81">
        <f>IFERROR(INDEX('Resource Rate Library'!$H$5:$H$200,MATCH(P27,'Resource Rate Library'!$A$5:$A$200,0)),"")</f>
        <v/>
      </c>
      <c r="AF27" s="53" t="n"/>
      <c r="AG27" s="53" t="n"/>
      <c r="AH27" s="53" t="n"/>
      <c r="AI27" s="81">
        <f>IF(B27="","",IF(AND(P27="",N27&lt;&gt;"Lump Sum / Quote"),"RESOURCE CODE",IF(Y27=0,"RATE MISSING",IF(AND(O27="Plant",AD27="Yes",COUNTIFS($B$7:$B$306,B27,$O$7:$O$306,"Labour",$Q$7:$Q$306,"*Operator*")&gt;0),"OPERATOR DOUBLE-COUNT",IF(AND(O27="Plant",AE27="Yes",COUNTIFS($B$7:$B$306,B27,$Q$7:$Q$306,"*Fuel*")&gt;0),"FUEL DOUBLE-COUNT",IF(AH27&lt;&gt;"Yes","VERIFY","OK"))))))</f>
        <v/>
      </c>
      <c r="AJ27" s="54" t="n"/>
      <c r="AK27" s="473" t="n"/>
      <c r="AL27" s="473" t="n"/>
      <c r="AM27" s="473" t="n"/>
      <c r="AN27" s="1444">
        <f>IF(AND(AK27="Yes",OR(O27="Labour",O27="Plant")),Z27,0)</f>
        <v/>
      </c>
    </row>
    <row r="28" ht="22.04999923706055" customHeight="1" s="491">
      <c r="A28" s="80">
        <f>IF(B28="","",B28&amp;"-"&amp;TEXT(COUNTIF($B$7:B28,B28),"000"))</f>
        <v/>
      </c>
      <c r="B28" s="53" t="n"/>
      <c r="C28" s="81">
        <f>IFERROR(INDEX('QS Takeoff'!$A$3:$A$202,MATCH(B28,'QS Takeoff'!$B$3:$B$202,0)),"")</f>
        <v/>
      </c>
      <c r="D28" s="81">
        <f>IFERROR(INDEX('QS Takeoff'!$C$3:$C$202,MATCH(B28,'QS Takeoff'!$B$3:$B$202,0)),"")</f>
        <v/>
      </c>
      <c r="E28" s="81">
        <f>IFERROR(INDEX('QS Takeoff'!$E$3:$E$202,MATCH(B28,'QS Takeoff'!$B$3:$B$202,0)),"")</f>
        <v/>
      </c>
      <c r="F28" s="81">
        <f>IFERROR(INDEX('QS Takeoff'!$D$3:$D$202,MATCH(B28,'QS Takeoff'!$B$3:$B$202,0)),"")</f>
        <v/>
      </c>
      <c r="G28" s="81">
        <f>IFERROR(INDEX('QS Takeoff'!$J$3:$J$202,MATCH(B28,'QS Takeoff'!$B$3:$B$202,0)),"")</f>
        <v/>
      </c>
      <c r="H28" s="53" t="n"/>
      <c r="I28" s="60" t="n"/>
      <c r="J28" s="60" t="n"/>
      <c r="K28" s="82">
        <f>IF(OR(B28="",I28="",I28=0),"",E28/I28)</f>
        <v/>
      </c>
      <c r="L28" s="60" t="n"/>
      <c r="M28" s="82">
        <f>IF(L28&gt;0,L28,K28)</f>
        <v/>
      </c>
      <c r="N28" s="53" t="n"/>
      <c r="O28" s="53" t="n"/>
      <c r="P28" s="53" t="n"/>
      <c r="Q28" s="81">
        <f>IFERROR(INDEX('Resource Rate Library'!$C$5:$C$200,MATCH(P28,'Resource Rate Library'!$A$5:$A$200,0)),"")</f>
        <v/>
      </c>
      <c r="R28" s="53" t="n"/>
      <c r="S28" s="53" t="n"/>
      <c r="T28" s="81">
        <f>IFERROR(INDEX('Resource Rate Library'!$E$5:$E$200,MATCH(P28,'Resource Rate Library'!$A$5:$A$200,0)),"")</f>
        <v/>
      </c>
      <c r="U28" s="1441" t="n"/>
      <c r="V28" s="1441" t="n"/>
      <c r="W28" s="1442">
        <f>IFERROR(INDEX('Resource Rate Library'!$I$5:$I$200,MATCH(P28,'Resource Rate Library'!$A$5:$A$200,0)),0)</f>
        <v/>
      </c>
      <c r="X28" s="1443" t="n"/>
      <c r="Y28" s="1442">
        <f>IF(X28&gt;0,X28,W28)</f>
        <v/>
      </c>
      <c r="Z28" s="1442">
        <f>IF(B28="","",IF(N28="Time x Count",M28*R28*IF(U28="",1,U28)*Y28,IF(N28="QS Qty x Factor",E28*R28*(1+IF(V28="",0,V28))*Y28,IF(N28="Direct Qty",S28*(1+IF(V28="",0,V28))*Y28,IF(N28="Lump Sum / Quote",S28*Y28,0)))))</f>
        <v/>
      </c>
      <c r="AA28" s="81">
        <f>IFERROR(INDEX('Resource Rate Library'!$N$5:$N$200,MATCH(P28,'Resource Rate Library'!$A$5:$A$200,0)),"")</f>
        <v/>
      </c>
      <c r="AB28" s="53" t="n"/>
      <c r="AC28" s="59" t="n"/>
      <c r="AD28" s="81">
        <f>IFERROR(INDEX('Resource Rate Library'!$G$5:$G$200,MATCH(P28,'Resource Rate Library'!$A$5:$A$200,0)),"")</f>
        <v/>
      </c>
      <c r="AE28" s="81">
        <f>IFERROR(INDEX('Resource Rate Library'!$H$5:$H$200,MATCH(P28,'Resource Rate Library'!$A$5:$A$200,0)),"")</f>
        <v/>
      </c>
      <c r="AF28" s="53" t="n"/>
      <c r="AG28" s="53" t="n"/>
      <c r="AH28" s="53" t="n"/>
      <c r="AI28" s="81">
        <f>IF(B28="","",IF(AND(P28="",N28&lt;&gt;"Lump Sum / Quote"),"RESOURCE CODE",IF(Y28=0,"RATE MISSING",IF(AND(O28="Plant",AD28="Yes",COUNTIFS($B$7:$B$306,B28,$O$7:$O$306,"Labour",$Q$7:$Q$306,"*Operator*")&gt;0),"OPERATOR DOUBLE-COUNT",IF(AND(O28="Plant",AE28="Yes",COUNTIFS($B$7:$B$306,B28,$Q$7:$Q$306,"*Fuel*")&gt;0),"FUEL DOUBLE-COUNT",IF(AH28&lt;&gt;"Yes","VERIFY","OK"))))))</f>
        <v/>
      </c>
      <c r="AJ28" s="54" t="n"/>
      <c r="AK28" s="473" t="n"/>
      <c r="AL28" s="473" t="n"/>
      <c r="AM28" s="473" t="n"/>
      <c r="AN28" s="1444">
        <f>IF(AND(AK28="Yes",OR(O28="Labour",O28="Plant")),Z28,0)</f>
        <v/>
      </c>
    </row>
    <row r="29" ht="22.04999923706055" customHeight="1" s="491">
      <c r="A29" s="80">
        <f>IF(B29="","",B29&amp;"-"&amp;TEXT(COUNTIF($B$7:B29,B29),"000"))</f>
        <v/>
      </c>
      <c r="B29" s="53" t="n"/>
      <c r="C29" s="81">
        <f>IFERROR(INDEX('QS Takeoff'!$A$3:$A$202,MATCH(B29,'QS Takeoff'!$B$3:$B$202,0)),"")</f>
        <v/>
      </c>
      <c r="D29" s="81">
        <f>IFERROR(INDEX('QS Takeoff'!$C$3:$C$202,MATCH(B29,'QS Takeoff'!$B$3:$B$202,0)),"")</f>
        <v/>
      </c>
      <c r="E29" s="81">
        <f>IFERROR(INDEX('QS Takeoff'!$E$3:$E$202,MATCH(B29,'QS Takeoff'!$B$3:$B$202,0)),"")</f>
        <v/>
      </c>
      <c r="F29" s="81">
        <f>IFERROR(INDEX('QS Takeoff'!$D$3:$D$202,MATCH(B29,'QS Takeoff'!$B$3:$B$202,0)),"")</f>
        <v/>
      </c>
      <c r="G29" s="81">
        <f>IFERROR(INDEX('QS Takeoff'!$J$3:$J$202,MATCH(B29,'QS Takeoff'!$B$3:$B$202,0)),"")</f>
        <v/>
      </c>
      <c r="H29" s="53" t="n"/>
      <c r="I29" s="60" t="n"/>
      <c r="J29" s="60" t="n"/>
      <c r="K29" s="82">
        <f>IF(OR(B29="",I29="",I29=0),"",E29/I29)</f>
        <v/>
      </c>
      <c r="L29" s="60" t="n"/>
      <c r="M29" s="82">
        <f>IF(L29&gt;0,L29,K29)</f>
        <v/>
      </c>
      <c r="N29" s="53" t="n"/>
      <c r="O29" s="53" t="n"/>
      <c r="P29" s="53" t="n"/>
      <c r="Q29" s="81">
        <f>IFERROR(INDEX('Resource Rate Library'!$C$5:$C$200,MATCH(P29,'Resource Rate Library'!$A$5:$A$200,0)),"")</f>
        <v/>
      </c>
      <c r="R29" s="53" t="n"/>
      <c r="S29" s="53" t="n"/>
      <c r="T29" s="81">
        <f>IFERROR(INDEX('Resource Rate Library'!$E$5:$E$200,MATCH(P29,'Resource Rate Library'!$A$5:$A$200,0)),"")</f>
        <v/>
      </c>
      <c r="U29" s="1441" t="n"/>
      <c r="V29" s="1441" t="n"/>
      <c r="W29" s="1442">
        <f>IFERROR(INDEX('Resource Rate Library'!$I$5:$I$200,MATCH(P29,'Resource Rate Library'!$A$5:$A$200,0)),0)</f>
        <v/>
      </c>
      <c r="X29" s="1443" t="n"/>
      <c r="Y29" s="1442">
        <f>IF(X29&gt;0,X29,W29)</f>
        <v/>
      </c>
      <c r="Z29" s="1442">
        <f>IF(B29="","",IF(N29="Time x Count",M29*R29*IF(U29="",1,U29)*Y29,IF(N29="QS Qty x Factor",E29*R29*(1+IF(V29="",0,V29))*Y29,IF(N29="Direct Qty",S29*(1+IF(V29="",0,V29))*Y29,IF(N29="Lump Sum / Quote",S29*Y29,0)))))</f>
        <v/>
      </c>
      <c r="AA29" s="81">
        <f>IFERROR(INDEX('Resource Rate Library'!$N$5:$N$200,MATCH(P29,'Resource Rate Library'!$A$5:$A$200,0)),"")</f>
        <v/>
      </c>
      <c r="AB29" s="53" t="n"/>
      <c r="AC29" s="59" t="n"/>
      <c r="AD29" s="81">
        <f>IFERROR(INDEX('Resource Rate Library'!$G$5:$G$200,MATCH(P29,'Resource Rate Library'!$A$5:$A$200,0)),"")</f>
        <v/>
      </c>
      <c r="AE29" s="81">
        <f>IFERROR(INDEX('Resource Rate Library'!$H$5:$H$200,MATCH(P29,'Resource Rate Library'!$A$5:$A$200,0)),"")</f>
        <v/>
      </c>
      <c r="AF29" s="53" t="n"/>
      <c r="AG29" s="53" t="n"/>
      <c r="AH29" s="53" t="n"/>
      <c r="AI29" s="81">
        <f>IF(B29="","",IF(AND(P29="",N29&lt;&gt;"Lump Sum / Quote"),"RESOURCE CODE",IF(Y29=0,"RATE MISSING",IF(AND(O29="Plant",AD29="Yes",COUNTIFS($B$7:$B$306,B29,$O$7:$O$306,"Labour",$Q$7:$Q$306,"*Operator*")&gt;0),"OPERATOR DOUBLE-COUNT",IF(AND(O29="Plant",AE29="Yes",COUNTIFS($B$7:$B$306,B29,$Q$7:$Q$306,"*Fuel*")&gt;0),"FUEL DOUBLE-COUNT",IF(AH29&lt;&gt;"Yes","VERIFY","OK"))))))</f>
        <v/>
      </c>
      <c r="AJ29" s="54" t="n"/>
      <c r="AK29" s="473" t="n"/>
      <c r="AL29" s="473" t="n"/>
      <c r="AM29" s="473" t="n"/>
      <c r="AN29" s="1444">
        <f>IF(AND(AK29="Yes",OR(O29="Labour",O29="Plant")),Z29,0)</f>
        <v/>
      </c>
    </row>
    <row r="30" ht="22.04999923706055" customHeight="1" s="491">
      <c r="A30" s="80">
        <f>IF(B30="","",B30&amp;"-"&amp;TEXT(COUNTIF($B$7:B30,B30),"000"))</f>
        <v/>
      </c>
      <c r="B30" s="53" t="n"/>
      <c r="C30" s="81">
        <f>IFERROR(INDEX('QS Takeoff'!$A$3:$A$202,MATCH(B30,'QS Takeoff'!$B$3:$B$202,0)),"")</f>
        <v/>
      </c>
      <c r="D30" s="81">
        <f>IFERROR(INDEX('QS Takeoff'!$C$3:$C$202,MATCH(B30,'QS Takeoff'!$B$3:$B$202,0)),"")</f>
        <v/>
      </c>
      <c r="E30" s="81">
        <f>IFERROR(INDEX('QS Takeoff'!$E$3:$E$202,MATCH(B30,'QS Takeoff'!$B$3:$B$202,0)),"")</f>
        <v/>
      </c>
      <c r="F30" s="81">
        <f>IFERROR(INDEX('QS Takeoff'!$D$3:$D$202,MATCH(B30,'QS Takeoff'!$B$3:$B$202,0)),"")</f>
        <v/>
      </c>
      <c r="G30" s="81">
        <f>IFERROR(INDEX('QS Takeoff'!$J$3:$J$202,MATCH(B30,'QS Takeoff'!$B$3:$B$202,0)),"")</f>
        <v/>
      </c>
      <c r="H30" s="53" t="n"/>
      <c r="I30" s="60" t="n"/>
      <c r="J30" s="60" t="n"/>
      <c r="K30" s="82">
        <f>IF(OR(B30="",I30="",I30=0),"",E30/I30)</f>
        <v/>
      </c>
      <c r="L30" s="60" t="n"/>
      <c r="M30" s="82">
        <f>IF(L30&gt;0,L30,K30)</f>
        <v/>
      </c>
      <c r="N30" s="53" t="n"/>
      <c r="O30" s="53" t="n"/>
      <c r="P30" s="53" t="n"/>
      <c r="Q30" s="81">
        <f>IFERROR(INDEX('Resource Rate Library'!$C$5:$C$200,MATCH(P30,'Resource Rate Library'!$A$5:$A$200,0)),"")</f>
        <v/>
      </c>
      <c r="R30" s="53" t="n"/>
      <c r="S30" s="53" t="n"/>
      <c r="T30" s="81">
        <f>IFERROR(INDEX('Resource Rate Library'!$E$5:$E$200,MATCH(P30,'Resource Rate Library'!$A$5:$A$200,0)),"")</f>
        <v/>
      </c>
      <c r="U30" s="1441" t="n"/>
      <c r="V30" s="1441" t="n"/>
      <c r="W30" s="1442">
        <f>IFERROR(INDEX('Resource Rate Library'!$I$5:$I$200,MATCH(P30,'Resource Rate Library'!$A$5:$A$200,0)),0)</f>
        <v/>
      </c>
      <c r="X30" s="1443" t="n"/>
      <c r="Y30" s="1442">
        <f>IF(X30&gt;0,X30,W30)</f>
        <v/>
      </c>
      <c r="Z30" s="1442">
        <f>IF(B30="","",IF(N30="Time x Count",M30*R30*IF(U30="",1,U30)*Y30,IF(N30="QS Qty x Factor",E30*R30*(1+IF(V30="",0,V30))*Y30,IF(N30="Direct Qty",S30*(1+IF(V30="",0,V30))*Y30,IF(N30="Lump Sum / Quote",S30*Y30,0)))))</f>
        <v/>
      </c>
      <c r="AA30" s="81">
        <f>IFERROR(INDEX('Resource Rate Library'!$N$5:$N$200,MATCH(P30,'Resource Rate Library'!$A$5:$A$200,0)),"")</f>
        <v/>
      </c>
      <c r="AB30" s="53" t="n"/>
      <c r="AC30" s="59" t="n"/>
      <c r="AD30" s="81">
        <f>IFERROR(INDEX('Resource Rate Library'!$G$5:$G$200,MATCH(P30,'Resource Rate Library'!$A$5:$A$200,0)),"")</f>
        <v/>
      </c>
      <c r="AE30" s="81">
        <f>IFERROR(INDEX('Resource Rate Library'!$H$5:$H$200,MATCH(P30,'Resource Rate Library'!$A$5:$A$200,0)),"")</f>
        <v/>
      </c>
      <c r="AF30" s="53" t="n"/>
      <c r="AG30" s="53" t="n"/>
      <c r="AH30" s="53" t="n"/>
      <c r="AI30" s="81">
        <f>IF(B30="","",IF(AND(P30="",N30&lt;&gt;"Lump Sum / Quote"),"RESOURCE CODE",IF(Y30=0,"RATE MISSING",IF(AND(O30="Plant",AD30="Yes",COUNTIFS($B$7:$B$306,B30,$O$7:$O$306,"Labour",$Q$7:$Q$306,"*Operator*")&gt;0),"OPERATOR DOUBLE-COUNT",IF(AND(O30="Plant",AE30="Yes",COUNTIFS($B$7:$B$306,B30,$Q$7:$Q$306,"*Fuel*")&gt;0),"FUEL DOUBLE-COUNT",IF(AH30&lt;&gt;"Yes","VERIFY","OK"))))))</f>
        <v/>
      </c>
      <c r="AJ30" s="54" t="n"/>
      <c r="AK30" s="473" t="n"/>
      <c r="AL30" s="473" t="n"/>
      <c r="AM30" s="473" t="n"/>
      <c r="AN30" s="1444">
        <f>IF(AND(AK30="Yes",OR(O30="Labour",O30="Plant")),Z30,0)</f>
        <v/>
      </c>
    </row>
    <row r="31" ht="22.04999923706055" customHeight="1" s="491">
      <c r="A31" s="80">
        <f>IF(B31="","",B31&amp;"-"&amp;TEXT(COUNTIF($B$7:B31,B31),"000"))</f>
        <v/>
      </c>
      <c r="B31" s="53" t="n"/>
      <c r="C31" s="81">
        <f>IFERROR(INDEX('QS Takeoff'!$A$3:$A$202,MATCH(B31,'QS Takeoff'!$B$3:$B$202,0)),"")</f>
        <v/>
      </c>
      <c r="D31" s="81">
        <f>IFERROR(INDEX('QS Takeoff'!$C$3:$C$202,MATCH(B31,'QS Takeoff'!$B$3:$B$202,0)),"")</f>
        <v/>
      </c>
      <c r="E31" s="81">
        <f>IFERROR(INDEX('QS Takeoff'!$E$3:$E$202,MATCH(B31,'QS Takeoff'!$B$3:$B$202,0)),"")</f>
        <v/>
      </c>
      <c r="F31" s="81">
        <f>IFERROR(INDEX('QS Takeoff'!$D$3:$D$202,MATCH(B31,'QS Takeoff'!$B$3:$B$202,0)),"")</f>
        <v/>
      </c>
      <c r="G31" s="81">
        <f>IFERROR(INDEX('QS Takeoff'!$J$3:$J$202,MATCH(B31,'QS Takeoff'!$B$3:$B$202,0)),"")</f>
        <v/>
      </c>
      <c r="H31" s="53" t="n"/>
      <c r="I31" s="60" t="n"/>
      <c r="J31" s="60" t="n"/>
      <c r="K31" s="82">
        <f>IF(OR(B31="",I31="",I31=0),"",E31/I31)</f>
        <v/>
      </c>
      <c r="L31" s="60" t="n"/>
      <c r="M31" s="82">
        <f>IF(L31&gt;0,L31,K31)</f>
        <v/>
      </c>
      <c r="N31" s="53" t="n"/>
      <c r="O31" s="53" t="n"/>
      <c r="P31" s="53" t="n"/>
      <c r="Q31" s="81">
        <f>IFERROR(INDEX('Resource Rate Library'!$C$5:$C$200,MATCH(P31,'Resource Rate Library'!$A$5:$A$200,0)),"")</f>
        <v/>
      </c>
      <c r="R31" s="53" t="n"/>
      <c r="S31" s="53" t="n"/>
      <c r="T31" s="81">
        <f>IFERROR(INDEX('Resource Rate Library'!$E$5:$E$200,MATCH(P31,'Resource Rate Library'!$A$5:$A$200,0)),"")</f>
        <v/>
      </c>
      <c r="U31" s="1441" t="n"/>
      <c r="V31" s="1441" t="n"/>
      <c r="W31" s="1442">
        <f>IFERROR(INDEX('Resource Rate Library'!$I$5:$I$200,MATCH(P31,'Resource Rate Library'!$A$5:$A$200,0)),0)</f>
        <v/>
      </c>
      <c r="X31" s="1443" t="n"/>
      <c r="Y31" s="1442">
        <f>IF(X31&gt;0,X31,W31)</f>
        <v/>
      </c>
      <c r="Z31" s="1442">
        <f>IF(B31="","",IF(N31="Time x Count",M31*R31*IF(U31="",1,U31)*Y31,IF(N31="QS Qty x Factor",E31*R31*(1+IF(V31="",0,V31))*Y31,IF(N31="Direct Qty",S31*(1+IF(V31="",0,V31))*Y31,IF(N31="Lump Sum / Quote",S31*Y31,0)))))</f>
        <v/>
      </c>
      <c r="AA31" s="81">
        <f>IFERROR(INDEX('Resource Rate Library'!$N$5:$N$200,MATCH(P31,'Resource Rate Library'!$A$5:$A$200,0)),"")</f>
        <v/>
      </c>
      <c r="AB31" s="53" t="n"/>
      <c r="AC31" s="59" t="n"/>
      <c r="AD31" s="81">
        <f>IFERROR(INDEX('Resource Rate Library'!$G$5:$G$200,MATCH(P31,'Resource Rate Library'!$A$5:$A$200,0)),"")</f>
        <v/>
      </c>
      <c r="AE31" s="81">
        <f>IFERROR(INDEX('Resource Rate Library'!$H$5:$H$200,MATCH(P31,'Resource Rate Library'!$A$5:$A$200,0)),"")</f>
        <v/>
      </c>
      <c r="AF31" s="53" t="n"/>
      <c r="AG31" s="53" t="n"/>
      <c r="AH31" s="53" t="n"/>
      <c r="AI31" s="81">
        <f>IF(B31="","",IF(AND(P31="",N31&lt;&gt;"Lump Sum / Quote"),"RESOURCE CODE",IF(Y31=0,"RATE MISSING",IF(AND(O31="Plant",AD31="Yes",COUNTIFS($B$7:$B$306,B31,$O$7:$O$306,"Labour",$Q$7:$Q$306,"*Operator*")&gt;0),"OPERATOR DOUBLE-COUNT",IF(AND(O31="Plant",AE31="Yes",COUNTIFS($B$7:$B$306,B31,$Q$7:$Q$306,"*Fuel*")&gt;0),"FUEL DOUBLE-COUNT",IF(AH31&lt;&gt;"Yes","VERIFY","OK"))))))</f>
        <v/>
      </c>
      <c r="AJ31" s="54" t="n"/>
      <c r="AK31" s="473" t="n"/>
      <c r="AL31" s="473" t="n"/>
      <c r="AM31" s="473" t="n"/>
      <c r="AN31" s="1444">
        <f>IF(AND(AK31="Yes",OR(O31="Labour",O31="Plant")),Z31,0)</f>
        <v/>
      </c>
    </row>
    <row r="32" ht="22.04999923706055" customHeight="1" s="491">
      <c r="A32" s="80">
        <f>IF(B32="","",B32&amp;"-"&amp;TEXT(COUNTIF($B$7:B32,B32),"000"))</f>
        <v/>
      </c>
      <c r="B32" s="53" t="n"/>
      <c r="C32" s="81">
        <f>IFERROR(INDEX('QS Takeoff'!$A$3:$A$202,MATCH(B32,'QS Takeoff'!$B$3:$B$202,0)),"")</f>
        <v/>
      </c>
      <c r="D32" s="81">
        <f>IFERROR(INDEX('QS Takeoff'!$C$3:$C$202,MATCH(B32,'QS Takeoff'!$B$3:$B$202,0)),"")</f>
        <v/>
      </c>
      <c r="E32" s="81">
        <f>IFERROR(INDEX('QS Takeoff'!$E$3:$E$202,MATCH(B32,'QS Takeoff'!$B$3:$B$202,0)),"")</f>
        <v/>
      </c>
      <c r="F32" s="81">
        <f>IFERROR(INDEX('QS Takeoff'!$D$3:$D$202,MATCH(B32,'QS Takeoff'!$B$3:$B$202,0)),"")</f>
        <v/>
      </c>
      <c r="G32" s="81">
        <f>IFERROR(INDEX('QS Takeoff'!$J$3:$J$202,MATCH(B32,'QS Takeoff'!$B$3:$B$202,0)),"")</f>
        <v/>
      </c>
      <c r="H32" s="53" t="n"/>
      <c r="I32" s="60" t="n"/>
      <c r="J32" s="60" t="n"/>
      <c r="K32" s="82">
        <f>IF(OR(B32="",I32="",I32=0),"",E32/I32)</f>
        <v/>
      </c>
      <c r="L32" s="60" t="n"/>
      <c r="M32" s="82">
        <f>IF(L32&gt;0,L32,K32)</f>
        <v/>
      </c>
      <c r="N32" s="53" t="n"/>
      <c r="O32" s="53" t="n"/>
      <c r="P32" s="53" t="n"/>
      <c r="Q32" s="81">
        <f>IFERROR(INDEX('Resource Rate Library'!$C$5:$C$200,MATCH(P32,'Resource Rate Library'!$A$5:$A$200,0)),"")</f>
        <v/>
      </c>
      <c r="R32" s="53" t="n"/>
      <c r="S32" s="53" t="n"/>
      <c r="T32" s="81">
        <f>IFERROR(INDEX('Resource Rate Library'!$E$5:$E$200,MATCH(P32,'Resource Rate Library'!$A$5:$A$200,0)),"")</f>
        <v/>
      </c>
      <c r="U32" s="1441" t="n"/>
      <c r="V32" s="1441" t="n"/>
      <c r="W32" s="1442">
        <f>IFERROR(INDEX('Resource Rate Library'!$I$5:$I$200,MATCH(P32,'Resource Rate Library'!$A$5:$A$200,0)),0)</f>
        <v/>
      </c>
      <c r="X32" s="1443" t="n"/>
      <c r="Y32" s="1442">
        <f>IF(X32&gt;0,X32,W32)</f>
        <v/>
      </c>
      <c r="Z32" s="1442">
        <f>IF(B32="","",IF(N32="Time x Count",M32*R32*IF(U32="",1,U32)*Y32,IF(N32="QS Qty x Factor",E32*R32*(1+IF(V32="",0,V32))*Y32,IF(N32="Direct Qty",S32*(1+IF(V32="",0,V32))*Y32,IF(N32="Lump Sum / Quote",S32*Y32,0)))))</f>
        <v/>
      </c>
      <c r="AA32" s="81">
        <f>IFERROR(INDEX('Resource Rate Library'!$N$5:$N$200,MATCH(P32,'Resource Rate Library'!$A$5:$A$200,0)),"")</f>
        <v/>
      </c>
      <c r="AB32" s="53" t="n"/>
      <c r="AC32" s="59" t="n"/>
      <c r="AD32" s="81">
        <f>IFERROR(INDEX('Resource Rate Library'!$G$5:$G$200,MATCH(P32,'Resource Rate Library'!$A$5:$A$200,0)),"")</f>
        <v/>
      </c>
      <c r="AE32" s="81">
        <f>IFERROR(INDEX('Resource Rate Library'!$H$5:$H$200,MATCH(P32,'Resource Rate Library'!$A$5:$A$200,0)),"")</f>
        <v/>
      </c>
      <c r="AF32" s="53" t="n"/>
      <c r="AG32" s="53" t="n"/>
      <c r="AH32" s="53" t="n"/>
      <c r="AI32" s="81">
        <f>IF(B32="","",IF(AND(P32="",N32&lt;&gt;"Lump Sum / Quote"),"RESOURCE CODE",IF(Y32=0,"RATE MISSING",IF(AND(O32="Plant",AD32="Yes",COUNTIFS($B$7:$B$306,B32,$O$7:$O$306,"Labour",$Q$7:$Q$306,"*Operator*")&gt;0),"OPERATOR DOUBLE-COUNT",IF(AND(O32="Plant",AE32="Yes",COUNTIFS($B$7:$B$306,B32,$Q$7:$Q$306,"*Fuel*")&gt;0),"FUEL DOUBLE-COUNT",IF(AH32&lt;&gt;"Yes","VERIFY","OK"))))))</f>
        <v/>
      </c>
      <c r="AJ32" s="54" t="n"/>
      <c r="AK32" s="473" t="n"/>
      <c r="AL32" s="473" t="n"/>
      <c r="AM32" s="473" t="n"/>
      <c r="AN32" s="1444">
        <f>IF(AND(AK32="Yes",OR(O32="Labour",O32="Plant")),Z32,0)</f>
        <v/>
      </c>
    </row>
    <row r="33" ht="22.04999923706055" customHeight="1" s="491">
      <c r="A33" s="80">
        <f>IF(B33="","",B33&amp;"-"&amp;TEXT(COUNTIF($B$7:B33,B33),"000"))</f>
        <v/>
      </c>
      <c r="B33" s="53" t="n"/>
      <c r="C33" s="81">
        <f>IFERROR(INDEX('QS Takeoff'!$A$3:$A$202,MATCH(B33,'QS Takeoff'!$B$3:$B$202,0)),"")</f>
        <v/>
      </c>
      <c r="D33" s="81">
        <f>IFERROR(INDEX('QS Takeoff'!$C$3:$C$202,MATCH(B33,'QS Takeoff'!$B$3:$B$202,0)),"")</f>
        <v/>
      </c>
      <c r="E33" s="81">
        <f>IFERROR(INDEX('QS Takeoff'!$E$3:$E$202,MATCH(B33,'QS Takeoff'!$B$3:$B$202,0)),"")</f>
        <v/>
      </c>
      <c r="F33" s="81">
        <f>IFERROR(INDEX('QS Takeoff'!$D$3:$D$202,MATCH(B33,'QS Takeoff'!$B$3:$B$202,0)),"")</f>
        <v/>
      </c>
      <c r="G33" s="81">
        <f>IFERROR(INDEX('QS Takeoff'!$J$3:$J$202,MATCH(B33,'QS Takeoff'!$B$3:$B$202,0)),"")</f>
        <v/>
      </c>
      <c r="H33" s="53" t="n"/>
      <c r="I33" s="60" t="n"/>
      <c r="J33" s="60" t="n"/>
      <c r="K33" s="82">
        <f>IF(OR(B33="",I33="",I33=0),"",E33/I33)</f>
        <v/>
      </c>
      <c r="L33" s="60" t="n"/>
      <c r="M33" s="82">
        <f>IF(L33&gt;0,L33,K33)</f>
        <v/>
      </c>
      <c r="N33" s="53" t="n"/>
      <c r="O33" s="53" t="n"/>
      <c r="P33" s="53" t="n"/>
      <c r="Q33" s="81">
        <f>IFERROR(INDEX('Resource Rate Library'!$C$5:$C$200,MATCH(P33,'Resource Rate Library'!$A$5:$A$200,0)),"")</f>
        <v/>
      </c>
      <c r="R33" s="53" t="n"/>
      <c r="S33" s="53" t="n"/>
      <c r="T33" s="81">
        <f>IFERROR(INDEX('Resource Rate Library'!$E$5:$E$200,MATCH(P33,'Resource Rate Library'!$A$5:$A$200,0)),"")</f>
        <v/>
      </c>
      <c r="U33" s="1441" t="n"/>
      <c r="V33" s="1441" t="n"/>
      <c r="W33" s="1442">
        <f>IFERROR(INDEX('Resource Rate Library'!$I$5:$I$200,MATCH(P33,'Resource Rate Library'!$A$5:$A$200,0)),0)</f>
        <v/>
      </c>
      <c r="X33" s="1443" t="n"/>
      <c r="Y33" s="1442">
        <f>IF(X33&gt;0,X33,W33)</f>
        <v/>
      </c>
      <c r="Z33" s="1442">
        <f>IF(B33="","",IF(N33="Time x Count",M33*R33*IF(U33="",1,U33)*Y33,IF(N33="QS Qty x Factor",E33*R33*(1+IF(V33="",0,V33))*Y33,IF(N33="Direct Qty",S33*(1+IF(V33="",0,V33))*Y33,IF(N33="Lump Sum / Quote",S33*Y33,0)))))</f>
        <v/>
      </c>
      <c r="AA33" s="81">
        <f>IFERROR(INDEX('Resource Rate Library'!$N$5:$N$200,MATCH(P33,'Resource Rate Library'!$A$5:$A$200,0)),"")</f>
        <v/>
      </c>
      <c r="AB33" s="53" t="n"/>
      <c r="AC33" s="59" t="n"/>
      <c r="AD33" s="81">
        <f>IFERROR(INDEX('Resource Rate Library'!$G$5:$G$200,MATCH(P33,'Resource Rate Library'!$A$5:$A$200,0)),"")</f>
        <v/>
      </c>
      <c r="AE33" s="81">
        <f>IFERROR(INDEX('Resource Rate Library'!$H$5:$H$200,MATCH(P33,'Resource Rate Library'!$A$5:$A$200,0)),"")</f>
        <v/>
      </c>
      <c r="AF33" s="53" t="n"/>
      <c r="AG33" s="53" t="n"/>
      <c r="AH33" s="53" t="n"/>
      <c r="AI33" s="81">
        <f>IF(B33="","",IF(AND(P33="",N33&lt;&gt;"Lump Sum / Quote"),"RESOURCE CODE",IF(Y33=0,"RATE MISSING",IF(AND(O33="Plant",AD33="Yes",COUNTIFS($B$7:$B$306,B33,$O$7:$O$306,"Labour",$Q$7:$Q$306,"*Operator*")&gt;0),"OPERATOR DOUBLE-COUNT",IF(AND(O33="Plant",AE33="Yes",COUNTIFS($B$7:$B$306,B33,$Q$7:$Q$306,"*Fuel*")&gt;0),"FUEL DOUBLE-COUNT",IF(AH33&lt;&gt;"Yes","VERIFY","OK"))))))</f>
        <v/>
      </c>
      <c r="AJ33" s="54" t="n"/>
      <c r="AK33" s="473" t="n"/>
      <c r="AL33" s="473" t="n"/>
      <c r="AM33" s="473" t="n"/>
      <c r="AN33" s="1444">
        <f>IF(AND(AK33="Yes",OR(O33="Labour",O33="Plant")),Z33,0)</f>
        <v/>
      </c>
    </row>
    <row r="34" ht="22.04999923706055" customHeight="1" s="491">
      <c r="A34" s="80">
        <f>IF(B34="","",B34&amp;"-"&amp;TEXT(COUNTIF($B$7:B34,B34),"000"))</f>
        <v/>
      </c>
      <c r="B34" s="53" t="n"/>
      <c r="C34" s="81">
        <f>IFERROR(INDEX('QS Takeoff'!$A$3:$A$202,MATCH(B34,'QS Takeoff'!$B$3:$B$202,0)),"")</f>
        <v/>
      </c>
      <c r="D34" s="81">
        <f>IFERROR(INDEX('QS Takeoff'!$C$3:$C$202,MATCH(B34,'QS Takeoff'!$B$3:$B$202,0)),"")</f>
        <v/>
      </c>
      <c r="E34" s="81">
        <f>IFERROR(INDEX('QS Takeoff'!$E$3:$E$202,MATCH(B34,'QS Takeoff'!$B$3:$B$202,0)),"")</f>
        <v/>
      </c>
      <c r="F34" s="81">
        <f>IFERROR(INDEX('QS Takeoff'!$D$3:$D$202,MATCH(B34,'QS Takeoff'!$B$3:$B$202,0)),"")</f>
        <v/>
      </c>
      <c r="G34" s="81">
        <f>IFERROR(INDEX('QS Takeoff'!$J$3:$J$202,MATCH(B34,'QS Takeoff'!$B$3:$B$202,0)),"")</f>
        <v/>
      </c>
      <c r="H34" s="53" t="n"/>
      <c r="I34" s="60" t="n"/>
      <c r="J34" s="60" t="n"/>
      <c r="K34" s="82">
        <f>IF(OR(B34="",I34="",I34=0),"",E34/I34)</f>
        <v/>
      </c>
      <c r="L34" s="60" t="n"/>
      <c r="M34" s="82">
        <f>IF(L34&gt;0,L34,K34)</f>
        <v/>
      </c>
      <c r="N34" s="53" t="n"/>
      <c r="O34" s="53" t="n"/>
      <c r="P34" s="53" t="n"/>
      <c r="Q34" s="81">
        <f>IFERROR(INDEX('Resource Rate Library'!$C$5:$C$200,MATCH(P34,'Resource Rate Library'!$A$5:$A$200,0)),"")</f>
        <v/>
      </c>
      <c r="R34" s="53" t="n"/>
      <c r="S34" s="53" t="n"/>
      <c r="T34" s="81">
        <f>IFERROR(INDEX('Resource Rate Library'!$E$5:$E$200,MATCH(P34,'Resource Rate Library'!$A$5:$A$200,0)),"")</f>
        <v/>
      </c>
      <c r="U34" s="1441" t="n"/>
      <c r="V34" s="1441" t="n"/>
      <c r="W34" s="1442">
        <f>IFERROR(INDEX('Resource Rate Library'!$I$5:$I$200,MATCH(P34,'Resource Rate Library'!$A$5:$A$200,0)),0)</f>
        <v/>
      </c>
      <c r="X34" s="1443" t="n"/>
      <c r="Y34" s="1442">
        <f>IF(X34&gt;0,X34,W34)</f>
        <v/>
      </c>
      <c r="Z34" s="1442">
        <f>IF(B34="","",IF(N34="Time x Count",M34*R34*IF(U34="",1,U34)*Y34,IF(N34="QS Qty x Factor",E34*R34*(1+IF(V34="",0,V34))*Y34,IF(N34="Direct Qty",S34*(1+IF(V34="",0,V34))*Y34,IF(N34="Lump Sum / Quote",S34*Y34,0)))))</f>
        <v/>
      </c>
      <c r="AA34" s="81">
        <f>IFERROR(INDEX('Resource Rate Library'!$N$5:$N$200,MATCH(P34,'Resource Rate Library'!$A$5:$A$200,0)),"")</f>
        <v/>
      </c>
      <c r="AB34" s="53" t="n"/>
      <c r="AC34" s="59" t="n"/>
      <c r="AD34" s="81">
        <f>IFERROR(INDEX('Resource Rate Library'!$G$5:$G$200,MATCH(P34,'Resource Rate Library'!$A$5:$A$200,0)),"")</f>
        <v/>
      </c>
      <c r="AE34" s="81">
        <f>IFERROR(INDEX('Resource Rate Library'!$H$5:$H$200,MATCH(P34,'Resource Rate Library'!$A$5:$A$200,0)),"")</f>
        <v/>
      </c>
      <c r="AF34" s="53" t="n"/>
      <c r="AG34" s="53" t="n"/>
      <c r="AH34" s="53" t="n"/>
      <c r="AI34" s="81">
        <f>IF(B34="","",IF(AND(P34="",N34&lt;&gt;"Lump Sum / Quote"),"RESOURCE CODE",IF(Y34=0,"RATE MISSING",IF(AND(O34="Plant",AD34="Yes",COUNTIFS($B$7:$B$306,B34,$O$7:$O$306,"Labour",$Q$7:$Q$306,"*Operator*")&gt;0),"OPERATOR DOUBLE-COUNT",IF(AND(O34="Plant",AE34="Yes",COUNTIFS($B$7:$B$306,B34,$Q$7:$Q$306,"*Fuel*")&gt;0),"FUEL DOUBLE-COUNT",IF(AH34&lt;&gt;"Yes","VERIFY","OK"))))))</f>
        <v/>
      </c>
      <c r="AJ34" s="54" t="n"/>
      <c r="AK34" s="473" t="n"/>
      <c r="AL34" s="473" t="n"/>
      <c r="AM34" s="473" t="n"/>
      <c r="AN34" s="1444">
        <f>IF(AND(AK34="Yes",OR(O34="Labour",O34="Plant")),Z34,0)</f>
        <v/>
      </c>
    </row>
    <row r="35" ht="22.04999923706055" customHeight="1" s="491">
      <c r="A35" s="80">
        <f>IF(B35="","",B35&amp;"-"&amp;TEXT(COUNTIF($B$7:B35,B35),"000"))</f>
        <v/>
      </c>
      <c r="B35" s="53" t="n"/>
      <c r="C35" s="81">
        <f>IFERROR(INDEX('QS Takeoff'!$A$3:$A$202,MATCH(B35,'QS Takeoff'!$B$3:$B$202,0)),"")</f>
        <v/>
      </c>
      <c r="D35" s="81">
        <f>IFERROR(INDEX('QS Takeoff'!$C$3:$C$202,MATCH(B35,'QS Takeoff'!$B$3:$B$202,0)),"")</f>
        <v/>
      </c>
      <c r="E35" s="81">
        <f>IFERROR(INDEX('QS Takeoff'!$E$3:$E$202,MATCH(B35,'QS Takeoff'!$B$3:$B$202,0)),"")</f>
        <v/>
      </c>
      <c r="F35" s="81">
        <f>IFERROR(INDEX('QS Takeoff'!$D$3:$D$202,MATCH(B35,'QS Takeoff'!$B$3:$B$202,0)),"")</f>
        <v/>
      </c>
      <c r="G35" s="81">
        <f>IFERROR(INDEX('QS Takeoff'!$J$3:$J$202,MATCH(B35,'QS Takeoff'!$B$3:$B$202,0)),"")</f>
        <v/>
      </c>
      <c r="H35" s="53" t="n"/>
      <c r="I35" s="60" t="n"/>
      <c r="J35" s="60" t="n"/>
      <c r="K35" s="82">
        <f>IF(OR(B35="",I35="",I35=0),"",E35/I35)</f>
        <v/>
      </c>
      <c r="L35" s="60" t="n"/>
      <c r="M35" s="82">
        <f>IF(L35&gt;0,L35,K35)</f>
        <v/>
      </c>
      <c r="N35" s="53" t="n"/>
      <c r="O35" s="53" t="n"/>
      <c r="P35" s="53" t="n"/>
      <c r="Q35" s="81">
        <f>IFERROR(INDEX('Resource Rate Library'!$C$5:$C$200,MATCH(P35,'Resource Rate Library'!$A$5:$A$200,0)),"")</f>
        <v/>
      </c>
      <c r="R35" s="53" t="n"/>
      <c r="S35" s="53" t="n"/>
      <c r="T35" s="81">
        <f>IFERROR(INDEX('Resource Rate Library'!$E$5:$E$200,MATCH(P35,'Resource Rate Library'!$A$5:$A$200,0)),"")</f>
        <v/>
      </c>
      <c r="U35" s="1441" t="n"/>
      <c r="V35" s="1441" t="n"/>
      <c r="W35" s="1442">
        <f>IFERROR(INDEX('Resource Rate Library'!$I$5:$I$200,MATCH(P35,'Resource Rate Library'!$A$5:$A$200,0)),0)</f>
        <v/>
      </c>
      <c r="X35" s="1443" t="n"/>
      <c r="Y35" s="1442">
        <f>IF(X35&gt;0,X35,W35)</f>
        <v/>
      </c>
      <c r="Z35" s="1442">
        <f>IF(B35="","",IF(N35="Time x Count",M35*R35*IF(U35="",1,U35)*Y35,IF(N35="QS Qty x Factor",E35*R35*(1+IF(V35="",0,V35))*Y35,IF(N35="Direct Qty",S35*(1+IF(V35="",0,V35))*Y35,IF(N35="Lump Sum / Quote",S35*Y35,0)))))</f>
        <v/>
      </c>
      <c r="AA35" s="81">
        <f>IFERROR(INDEX('Resource Rate Library'!$N$5:$N$200,MATCH(P35,'Resource Rate Library'!$A$5:$A$200,0)),"")</f>
        <v/>
      </c>
      <c r="AB35" s="53" t="n"/>
      <c r="AC35" s="59" t="n"/>
      <c r="AD35" s="81">
        <f>IFERROR(INDEX('Resource Rate Library'!$G$5:$G$200,MATCH(P35,'Resource Rate Library'!$A$5:$A$200,0)),"")</f>
        <v/>
      </c>
      <c r="AE35" s="81">
        <f>IFERROR(INDEX('Resource Rate Library'!$H$5:$H$200,MATCH(P35,'Resource Rate Library'!$A$5:$A$200,0)),"")</f>
        <v/>
      </c>
      <c r="AF35" s="53" t="n"/>
      <c r="AG35" s="53" t="n"/>
      <c r="AH35" s="53" t="n"/>
      <c r="AI35" s="81">
        <f>IF(B35="","",IF(AND(P35="",N35&lt;&gt;"Lump Sum / Quote"),"RESOURCE CODE",IF(Y35=0,"RATE MISSING",IF(AND(O35="Plant",AD35="Yes",COUNTIFS($B$7:$B$306,B35,$O$7:$O$306,"Labour",$Q$7:$Q$306,"*Operator*")&gt;0),"OPERATOR DOUBLE-COUNT",IF(AND(O35="Plant",AE35="Yes",COUNTIFS($B$7:$B$306,B35,$Q$7:$Q$306,"*Fuel*")&gt;0),"FUEL DOUBLE-COUNT",IF(AH35&lt;&gt;"Yes","VERIFY","OK"))))))</f>
        <v/>
      </c>
      <c r="AJ35" s="54" t="n"/>
      <c r="AK35" s="473" t="n"/>
      <c r="AL35" s="473" t="n"/>
      <c r="AM35" s="473" t="n"/>
      <c r="AN35" s="1444">
        <f>IF(AND(AK35="Yes",OR(O35="Labour",O35="Plant")),Z35,0)</f>
        <v/>
      </c>
    </row>
    <row r="36" ht="22.04999923706055" customHeight="1" s="491">
      <c r="A36" s="80">
        <f>IF(B36="","",B36&amp;"-"&amp;TEXT(COUNTIF($B$7:B36,B36),"000"))</f>
        <v/>
      </c>
      <c r="B36" s="53" t="n"/>
      <c r="C36" s="81">
        <f>IFERROR(INDEX('QS Takeoff'!$A$3:$A$202,MATCH(B36,'QS Takeoff'!$B$3:$B$202,0)),"")</f>
        <v/>
      </c>
      <c r="D36" s="81">
        <f>IFERROR(INDEX('QS Takeoff'!$C$3:$C$202,MATCH(B36,'QS Takeoff'!$B$3:$B$202,0)),"")</f>
        <v/>
      </c>
      <c r="E36" s="81">
        <f>IFERROR(INDEX('QS Takeoff'!$E$3:$E$202,MATCH(B36,'QS Takeoff'!$B$3:$B$202,0)),"")</f>
        <v/>
      </c>
      <c r="F36" s="81">
        <f>IFERROR(INDEX('QS Takeoff'!$D$3:$D$202,MATCH(B36,'QS Takeoff'!$B$3:$B$202,0)),"")</f>
        <v/>
      </c>
      <c r="G36" s="81">
        <f>IFERROR(INDEX('QS Takeoff'!$J$3:$J$202,MATCH(B36,'QS Takeoff'!$B$3:$B$202,0)),"")</f>
        <v/>
      </c>
      <c r="H36" s="53" t="n"/>
      <c r="I36" s="60" t="n"/>
      <c r="J36" s="60" t="n"/>
      <c r="K36" s="82">
        <f>IF(OR(B36="",I36="",I36=0),"",E36/I36)</f>
        <v/>
      </c>
      <c r="L36" s="60" t="n"/>
      <c r="M36" s="82">
        <f>IF(L36&gt;0,L36,K36)</f>
        <v/>
      </c>
      <c r="N36" s="53" t="n"/>
      <c r="O36" s="53" t="n"/>
      <c r="P36" s="53" t="n"/>
      <c r="Q36" s="81">
        <f>IFERROR(INDEX('Resource Rate Library'!$C$5:$C$200,MATCH(P36,'Resource Rate Library'!$A$5:$A$200,0)),"")</f>
        <v/>
      </c>
      <c r="R36" s="53" t="n"/>
      <c r="S36" s="53" t="n"/>
      <c r="T36" s="81">
        <f>IFERROR(INDEX('Resource Rate Library'!$E$5:$E$200,MATCH(P36,'Resource Rate Library'!$A$5:$A$200,0)),"")</f>
        <v/>
      </c>
      <c r="U36" s="1441" t="n"/>
      <c r="V36" s="1441" t="n"/>
      <c r="W36" s="1442">
        <f>IFERROR(INDEX('Resource Rate Library'!$I$5:$I$200,MATCH(P36,'Resource Rate Library'!$A$5:$A$200,0)),0)</f>
        <v/>
      </c>
      <c r="X36" s="1443" t="n"/>
      <c r="Y36" s="1442">
        <f>IF(X36&gt;0,X36,W36)</f>
        <v/>
      </c>
      <c r="Z36" s="1442">
        <f>IF(B36="","",IF(N36="Time x Count",M36*R36*IF(U36="",1,U36)*Y36,IF(N36="QS Qty x Factor",E36*R36*(1+IF(V36="",0,V36))*Y36,IF(N36="Direct Qty",S36*(1+IF(V36="",0,V36))*Y36,IF(N36="Lump Sum / Quote",S36*Y36,0)))))</f>
        <v/>
      </c>
      <c r="AA36" s="81">
        <f>IFERROR(INDEX('Resource Rate Library'!$N$5:$N$200,MATCH(P36,'Resource Rate Library'!$A$5:$A$200,0)),"")</f>
        <v/>
      </c>
      <c r="AB36" s="53" t="n"/>
      <c r="AC36" s="59" t="n"/>
      <c r="AD36" s="81">
        <f>IFERROR(INDEX('Resource Rate Library'!$G$5:$G$200,MATCH(P36,'Resource Rate Library'!$A$5:$A$200,0)),"")</f>
        <v/>
      </c>
      <c r="AE36" s="81">
        <f>IFERROR(INDEX('Resource Rate Library'!$H$5:$H$200,MATCH(P36,'Resource Rate Library'!$A$5:$A$200,0)),"")</f>
        <v/>
      </c>
      <c r="AF36" s="53" t="n"/>
      <c r="AG36" s="53" t="n"/>
      <c r="AH36" s="53" t="n"/>
      <c r="AI36" s="81">
        <f>IF(B36="","",IF(AND(P36="",N36&lt;&gt;"Lump Sum / Quote"),"RESOURCE CODE",IF(Y36=0,"RATE MISSING",IF(AND(O36="Plant",AD36="Yes",COUNTIFS($B$7:$B$306,B36,$O$7:$O$306,"Labour",$Q$7:$Q$306,"*Operator*")&gt;0),"OPERATOR DOUBLE-COUNT",IF(AND(O36="Plant",AE36="Yes",COUNTIFS($B$7:$B$306,B36,$Q$7:$Q$306,"*Fuel*")&gt;0),"FUEL DOUBLE-COUNT",IF(AH36&lt;&gt;"Yes","VERIFY","OK"))))))</f>
        <v/>
      </c>
      <c r="AJ36" s="54" t="n"/>
      <c r="AK36" s="473" t="n"/>
      <c r="AL36" s="473" t="n"/>
      <c r="AM36" s="473" t="n"/>
      <c r="AN36" s="1444">
        <f>IF(AND(AK36="Yes",OR(O36="Labour",O36="Plant")),Z36,0)</f>
        <v/>
      </c>
    </row>
    <row r="37" ht="22.04999923706055" customHeight="1" s="491">
      <c r="A37" s="80">
        <f>IF(B37="","",B37&amp;"-"&amp;TEXT(COUNTIF($B$7:B37,B37),"000"))</f>
        <v/>
      </c>
      <c r="B37" s="53" t="n"/>
      <c r="C37" s="81">
        <f>IFERROR(INDEX('QS Takeoff'!$A$3:$A$202,MATCH(B37,'QS Takeoff'!$B$3:$B$202,0)),"")</f>
        <v/>
      </c>
      <c r="D37" s="81">
        <f>IFERROR(INDEX('QS Takeoff'!$C$3:$C$202,MATCH(B37,'QS Takeoff'!$B$3:$B$202,0)),"")</f>
        <v/>
      </c>
      <c r="E37" s="81">
        <f>IFERROR(INDEX('QS Takeoff'!$E$3:$E$202,MATCH(B37,'QS Takeoff'!$B$3:$B$202,0)),"")</f>
        <v/>
      </c>
      <c r="F37" s="81">
        <f>IFERROR(INDEX('QS Takeoff'!$D$3:$D$202,MATCH(B37,'QS Takeoff'!$B$3:$B$202,0)),"")</f>
        <v/>
      </c>
      <c r="G37" s="81">
        <f>IFERROR(INDEX('QS Takeoff'!$J$3:$J$202,MATCH(B37,'QS Takeoff'!$B$3:$B$202,0)),"")</f>
        <v/>
      </c>
      <c r="H37" s="53" t="n"/>
      <c r="I37" s="60" t="n"/>
      <c r="J37" s="60" t="n"/>
      <c r="K37" s="82">
        <f>IF(OR(B37="",I37="",I37=0),"",E37/I37)</f>
        <v/>
      </c>
      <c r="L37" s="60" t="n"/>
      <c r="M37" s="82">
        <f>IF(L37&gt;0,L37,K37)</f>
        <v/>
      </c>
      <c r="N37" s="53" t="n"/>
      <c r="O37" s="53" t="n"/>
      <c r="P37" s="53" t="n"/>
      <c r="Q37" s="81">
        <f>IFERROR(INDEX('Resource Rate Library'!$C$5:$C$200,MATCH(P37,'Resource Rate Library'!$A$5:$A$200,0)),"")</f>
        <v/>
      </c>
      <c r="R37" s="53" t="n"/>
      <c r="S37" s="53" t="n"/>
      <c r="T37" s="81">
        <f>IFERROR(INDEX('Resource Rate Library'!$E$5:$E$200,MATCH(P37,'Resource Rate Library'!$A$5:$A$200,0)),"")</f>
        <v/>
      </c>
      <c r="U37" s="1441" t="n"/>
      <c r="V37" s="1441" t="n"/>
      <c r="W37" s="1442">
        <f>IFERROR(INDEX('Resource Rate Library'!$I$5:$I$200,MATCH(P37,'Resource Rate Library'!$A$5:$A$200,0)),0)</f>
        <v/>
      </c>
      <c r="X37" s="1443" t="n"/>
      <c r="Y37" s="1442">
        <f>IF(X37&gt;0,X37,W37)</f>
        <v/>
      </c>
      <c r="Z37" s="1442">
        <f>IF(B37="","",IF(N37="Time x Count",M37*R37*IF(U37="",1,U37)*Y37,IF(N37="QS Qty x Factor",E37*R37*(1+IF(V37="",0,V37))*Y37,IF(N37="Direct Qty",S37*(1+IF(V37="",0,V37))*Y37,IF(N37="Lump Sum / Quote",S37*Y37,0)))))</f>
        <v/>
      </c>
      <c r="AA37" s="81">
        <f>IFERROR(INDEX('Resource Rate Library'!$N$5:$N$200,MATCH(P37,'Resource Rate Library'!$A$5:$A$200,0)),"")</f>
        <v/>
      </c>
      <c r="AB37" s="53" t="n"/>
      <c r="AC37" s="59" t="n"/>
      <c r="AD37" s="81">
        <f>IFERROR(INDEX('Resource Rate Library'!$G$5:$G$200,MATCH(P37,'Resource Rate Library'!$A$5:$A$200,0)),"")</f>
        <v/>
      </c>
      <c r="AE37" s="81">
        <f>IFERROR(INDEX('Resource Rate Library'!$H$5:$H$200,MATCH(P37,'Resource Rate Library'!$A$5:$A$200,0)),"")</f>
        <v/>
      </c>
      <c r="AF37" s="53" t="n"/>
      <c r="AG37" s="53" t="n"/>
      <c r="AH37" s="53" t="n"/>
      <c r="AI37" s="81">
        <f>IF(B37="","",IF(AND(P37="",N37&lt;&gt;"Lump Sum / Quote"),"RESOURCE CODE",IF(Y37=0,"RATE MISSING",IF(AND(O37="Plant",AD37="Yes",COUNTIFS($B$7:$B$306,B37,$O$7:$O$306,"Labour",$Q$7:$Q$306,"*Operator*")&gt;0),"OPERATOR DOUBLE-COUNT",IF(AND(O37="Plant",AE37="Yes",COUNTIFS($B$7:$B$306,B37,$Q$7:$Q$306,"*Fuel*")&gt;0),"FUEL DOUBLE-COUNT",IF(AH37&lt;&gt;"Yes","VERIFY","OK"))))))</f>
        <v/>
      </c>
      <c r="AJ37" s="54" t="n"/>
      <c r="AK37" s="473" t="n"/>
      <c r="AL37" s="473" t="n"/>
      <c r="AM37" s="473" t="n"/>
      <c r="AN37" s="1444">
        <f>IF(AND(AK37="Yes",OR(O37="Labour",O37="Plant")),Z37,0)</f>
        <v/>
      </c>
    </row>
    <row r="38" ht="22.04999923706055" customHeight="1" s="491">
      <c r="A38" s="80">
        <f>IF(B38="","",B38&amp;"-"&amp;TEXT(COUNTIF($B$7:B38,B38),"000"))</f>
        <v/>
      </c>
      <c r="B38" s="53" t="n"/>
      <c r="C38" s="81">
        <f>IFERROR(INDEX('QS Takeoff'!$A$3:$A$202,MATCH(B38,'QS Takeoff'!$B$3:$B$202,0)),"")</f>
        <v/>
      </c>
      <c r="D38" s="81">
        <f>IFERROR(INDEX('QS Takeoff'!$C$3:$C$202,MATCH(B38,'QS Takeoff'!$B$3:$B$202,0)),"")</f>
        <v/>
      </c>
      <c r="E38" s="81">
        <f>IFERROR(INDEX('QS Takeoff'!$E$3:$E$202,MATCH(B38,'QS Takeoff'!$B$3:$B$202,0)),"")</f>
        <v/>
      </c>
      <c r="F38" s="81">
        <f>IFERROR(INDEX('QS Takeoff'!$D$3:$D$202,MATCH(B38,'QS Takeoff'!$B$3:$B$202,0)),"")</f>
        <v/>
      </c>
      <c r="G38" s="81">
        <f>IFERROR(INDEX('QS Takeoff'!$J$3:$J$202,MATCH(B38,'QS Takeoff'!$B$3:$B$202,0)),"")</f>
        <v/>
      </c>
      <c r="H38" s="53" t="n"/>
      <c r="I38" s="60" t="n"/>
      <c r="J38" s="60" t="n"/>
      <c r="K38" s="82">
        <f>IF(OR(B38="",I38="",I38=0),"",E38/I38)</f>
        <v/>
      </c>
      <c r="L38" s="60" t="n"/>
      <c r="M38" s="82">
        <f>IF(L38&gt;0,L38,K38)</f>
        <v/>
      </c>
      <c r="N38" s="53" t="n"/>
      <c r="O38" s="53" t="n"/>
      <c r="P38" s="53" t="n"/>
      <c r="Q38" s="81">
        <f>IFERROR(INDEX('Resource Rate Library'!$C$5:$C$200,MATCH(P38,'Resource Rate Library'!$A$5:$A$200,0)),"")</f>
        <v/>
      </c>
      <c r="R38" s="53" t="n"/>
      <c r="S38" s="53" t="n"/>
      <c r="T38" s="81">
        <f>IFERROR(INDEX('Resource Rate Library'!$E$5:$E$200,MATCH(P38,'Resource Rate Library'!$A$5:$A$200,0)),"")</f>
        <v/>
      </c>
      <c r="U38" s="1441" t="n"/>
      <c r="V38" s="1441" t="n"/>
      <c r="W38" s="1442">
        <f>IFERROR(INDEX('Resource Rate Library'!$I$5:$I$200,MATCH(P38,'Resource Rate Library'!$A$5:$A$200,0)),0)</f>
        <v/>
      </c>
      <c r="X38" s="1443" t="n"/>
      <c r="Y38" s="1442">
        <f>IF(X38&gt;0,X38,W38)</f>
        <v/>
      </c>
      <c r="Z38" s="1442">
        <f>IF(B38="","",IF(N38="Time x Count",M38*R38*IF(U38="",1,U38)*Y38,IF(N38="QS Qty x Factor",E38*R38*(1+IF(V38="",0,V38))*Y38,IF(N38="Direct Qty",S38*(1+IF(V38="",0,V38))*Y38,IF(N38="Lump Sum / Quote",S38*Y38,0)))))</f>
        <v/>
      </c>
      <c r="AA38" s="81">
        <f>IFERROR(INDEX('Resource Rate Library'!$N$5:$N$200,MATCH(P38,'Resource Rate Library'!$A$5:$A$200,0)),"")</f>
        <v/>
      </c>
      <c r="AB38" s="53" t="n"/>
      <c r="AC38" s="59" t="n"/>
      <c r="AD38" s="81">
        <f>IFERROR(INDEX('Resource Rate Library'!$G$5:$G$200,MATCH(P38,'Resource Rate Library'!$A$5:$A$200,0)),"")</f>
        <v/>
      </c>
      <c r="AE38" s="81">
        <f>IFERROR(INDEX('Resource Rate Library'!$H$5:$H$200,MATCH(P38,'Resource Rate Library'!$A$5:$A$200,0)),"")</f>
        <v/>
      </c>
      <c r="AF38" s="53" t="n"/>
      <c r="AG38" s="53" t="n"/>
      <c r="AH38" s="53" t="n"/>
      <c r="AI38" s="81">
        <f>IF(B38="","",IF(AND(P38="",N38&lt;&gt;"Lump Sum / Quote"),"RESOURCE CODE",IF(Y38=0,"RATE MISSING",IF(AND(O38="Plant",AD38="Yes",COUNTIFS($B$7:$B$306,B38,$O$7:$O$306,"Labour",$Q$7:$Q$306,"*Operator*")&gt;0),"OPERATOR DOUBLE-COUNT",IF(AND(O38="Plant",AE38="Yes",COUNTIFS($B$7:$B$306,B38,$Q$7:$Q$306,"*Fuel*")&gt;0),"FUEL DOUBLE-COUNT",IF(AH38&lt;&gt;"Yes","VERIFY","OK"))))))</f>
        <v/>
      </c>
      <c r="AJ38" s="54" t="n"/>
      <c r="AK38" s="473" t="n"/>
      <c r="AL38" s="473" t="n"/>
      <c r="AM38" s="473" t="n"/>
      <c r="AN38" s="1444">
        <f>IF(AND(AK38="Yes",OR(O38="Labour",O38="Plant")),Z38,0)</f>
        <v/>
      </c>
    </row>
    <row r="39" ht="22.04999923706055" customHeight="1" s="491">
      <c r="A39" s="80">
        <f>IF(B39="","",B39&amp;"-"&amp;TEXT(COUNTIF($B$7:B39,B39),"000"))</f>
        <v/>
      </c>
      <c r="B39" s="53" t="n"/>
      <c r="C39" s="81">
        <f>IFERROR(INDEX('QS Takeoff'!$A$3:$A$202,MATCH(B39,'QS Takeoff'!$B$3:$B$202,0)),"")</f>
        <v/>
      </c>
      <c r="D39" s="81">
        <f>IFERROR(INDEX('QS Takeoff'!$C$3:$C$202,MATCH(B39,'QS Takeoff'!$B$3:$B$202,0)),"")</f>
        <v/>
      </c>
      <c r="E39" s="81">
        <f>IFERROR(INDEX('QS Takeoff'!$E$3:$E$202,MATCH(B39,'QS Takeoff'!$B$3:$B$202,0)),"")</f>
        <v/>
      </c>
      <c r="F39" s="81">
        <f>IFERROR(INDEX('QS Takeoff'!$D$3:$D$202,MATCH(B39,'QS Takeoff'!$B$3:$B$202,0)),"")</f>
        <v/>
      </c>
      <c r="G39" s="81">
        <f>IFERROR(INDEX('QS Takeoff'!$J$3:$J$202,MATCH(B39,'QS Takeoff'!$B$3:$B$202,0)),"")</f>
        <v/>
      </c>
      <c r="H39" s="53" t="n"/>
      <c r="I39" s="60" t="n"/>
      <c r="J39" s="60" t="n"/>
      <c r="K39" s="82">
        <f>IF(OR(B39="",I39="",I39=0),"",E39/I39)</f>
        <v/>
      </c>
      <c r="L39" s="60" t="n"/>
      <c r="M39" s="82">
        <f>IF(L39&gt;0,L39,K39)</f>
        <v/>
      </c>
      <c r="N39" s="53" t="n"/>
      <c r="O39" s="53" t="n"/>
      <c r="P39" s="53" t="n"/>
      <c r="Q39" s="81">
        <f>IFERROR(INDEX('Resource Rate Library'!$C$5:$C$200,MATCH(P39,'Resource Rate Library'!$A$5:$A$200,0)),"")</f>
        <v/>
      </c>
      <c r="R39" s="53" t="n"/>
      <c r="S39" s="53" t="n"/>
      <c r="T39" s="81">
        <f>IFERROR(INDEX('Resource Rate Library'!$E$5:$E$200,MATCH(P39,'Resource Rate Library'!$A$5:$A$200,0)),"")</f>
        <v/>
      </c>
      <c r="U39" s="1441" t="n"/>
      <c r="V39" s="1441" t="n"/>
      <c r="W39" s="1442">
        <f>IFERROR(INDEX('Resource Rate Library'!$I$5:$I$200,MATCH(P39,'Resource Rate Library'!$A$5:$A$200,0)),0)</f>
        <v/>
      </c>
      <c r="X39" s="1443" t="n"/>
      <c r="Y39" s="1442">
        <f>IF(X39&gt;0,X39,W39)</f>
        <v/>
      </c>
      <c r="Z39" s="1442">
        <f>IF(B39="","",IF(N39="Time x Count",M39*R39*IF(U39="",1,U39)*Y39,IF(N39="QS Qty x Factor",E39*R39*(1+IF(V39="",0,V39))*Y39,IF(N39="Direct Qty",S39*(1+IF(V39="",0,V39))*Y39,IF(N39="Lump Sum / Quote",S39*Y39,0)))))</f>
        <v/>
      </c>
      <c r="AA39" s="81">
        <f>IFERROR(INDEX('Resource Rate Library'!$N$5:$N$200,MATCH(P39,'Resource Rate Library'!$A$5:$A$200,0)),"")</f>
        <v/>
      </c>
      <c r="AB39" s="53" t="n"/>
      <c r="AC39" s="59" t="n"/>
      <c r="AD39" s="81">
        <f>IFERROR(INDEX('Resource Rate Library'!$G$5:$G$200,MATCH(P39,'Resource Rate Library'!$A$5:$A$200,0)),"")</f>
        <v/>
      </c>
      <c r="AE39" s="81">
        <f>IFERROR(INDEX('Resource Rate Library'!$H$5:$H$200,MATCH(P39,'Resource Rate Library'!$A$5:$A$200,0)),"")</f>
        <v/>
      </c>
      <c r="AF39" s="53" t="n"/>
      <c r="AG39" s="53" t="n"/>
      <c r="AH39" s="53" t="n"/>
      <c r="AI39" s="81">
        <f>IF(B39="","",IF(AND(P39="",N39&lt;&gt;"Lump Sum / Quote"),"RESOURCE CODE",IF(Y39=0,"RATE MISSING",IF(AND(O39="Plant",AD39="Yes",COUNTIFS($B$7:$B$306,B39,$O$7:$O$306,"Labour",$Q$7:$Q$306,"*Operator*")&gt;0),"OPERATOR DOUBLE-COUNT",IF(AND(O39="Plant",AE39="Yes",COUNTIFS($B$7:$B$306,B39,$Q$7:$Q$306,"*Fuel*")&gt;0),"FUEL DOUBLE-COUNT",IF(AH39&lt;&gt;"Yes","VERIFY","OK"))))))</f>
        <v/>
      </c>
      <c r="AJ39" s="54" t="n"/>
      <c r="AK39" s="473" t="n"/>
      <c r="AL39" s="473" t="n"/>
      <c r="AM39" s="473" t="n"/>
      <c r="AN39" s="1444">
        <f>IF(AND(AK39="Yes",OR(O39="Labour",O39="Plant")),Z39,0)</f>
        <v/>
      </c>
    </row>
    <row r="40" ht="22.04999923706055" customHeight="1" s="491">
      <c r="A40" s="80">
        <f>IF(B40="","",B40&amp;"-"&amp;TEXT(COUNTIF($B$7:B40,B40),"000"))</f>
        <v/>
      </c>
      <c r="B40" s="53" t="n"/>
      <c r="C40" s="81">
        <f>IFERROR(INDEX('QS Takeoff'!$A$3:$A$202,MATCH(B40,'QS Takeoff'!$B$3:$B$202,0)),"")</f>
        <v/>
      </c>
      <c r="D40" s="81">
        <f>IFERROR(INDEX('QS Takeoff'!$C$3:$C$202,MATCH(B40,'QS Takeoff'!$B$3:$B$202,0)),"")</f>
        <v/>
      </c>
      <c r="E40" s="81">
        <f>IFERROR(INDEX('QS Takeoff'!$E$3:$E$202,MATCH(B40,'QS Takeoff'!$B$3:$B$202,0)),"")</f>
        <v/>
      </c>
      <c r="F40" s="81">
        <f>IFERROR(INDEX('QS Takeoff'!$D$3:$D$202,MATCH(B40,'QS Takeoff'!$B$3:$B$202,0)),"")</f>
        <v/>
      </c>
      <c r="G40" s="81">
        <f>IFERROR(INDEX('QS Takeoff'!$J$3:$J$202,MATCH(B40,'QS Takeoff'!$B$3:$B$202,0)),"")</f>
        <v/>
      </c>
      <c r="H40" s="53" t="n"/>
      <c r="I40" s="60" t="n"/>
      <c r="J40" s="60" t="n"/>
      <c r="K40" s="82">
        <f>IF(OR(B40="",I40="",I40=0),"",E40/I40)</f>
        <v/>
      </c>
      <c r="L40" s="60" t="n"/>
      <c r="M40" s="82">
        <f>IF(L40&gt;0,L40,K40)</f>
        <v/>
      </c>
      <c r="N40" s="53" t="n"/>
      <c r="O40" s="53" t="n"/>
      <c r="P40" s="53" t="n"/>
      <c r="Q40" s="81">
        <f>IFERROR(INDEX('Resource Rate Library'!$C$5:$C$200,MATCH(P40,'Resource Rate Library'!$A$5:$A$200,0)),"")</f>
        <v/>
      </c>
      <c r="R40" s="53" t="n"/>
      <c r="S40" s="53" t="n"/>
      <c r="T40" s="81">
        <f>IFERROR(INDEX('Resource Rate Library'!$E$5:$E$200,MATCH(P40,'Resource Rate Library'!$A$5:$A$200,0)),"")</f>
        <v/>
      </c>
      <c r="U40" s="1441" t="n"/>
      <c r="V40" s="1441" t="n"/>
      <c r="W40" s="1442">
        <f>IFERROR(INDEX('Resource Rate Library'!$I$5:$I$200,MATCH(P40,'Resource Rate Library'!$A$5:$A$200,0)),0)</f>
        <v/>
      </c>
      <c r="X40" s="1443" t="n"/>
      <c r="Y40" s="1442">
        <f>IF(X40&gt;0,X40,W40)</f>
        <v/>
      </c>
      <c r="Z40" s="1442">
        <f>IF(B40="","",IF(N40="Time x Count",M40*R40*IF(U40="",1,U40)*Y40,IF(N40="QS Qty x Factor",E40*R40*(1+IF(V40="",0,V40))*Y40,IF(N40="Direct Qty",S40*(1+IF(V40="",0,V40))*Y40,IF(N40="Lump Sum / Quote",S40*Y40,0)))))</f>
        <v/>
      </c>
      <c r="AA40" s="81">
        <f>IFERROR(INDEX('Resource Rate Library'!$N$5:$N$200,MATCH(P40,'Resource Rate Library'!$A$5:$A$200,0)),"")</f>
        <v/>
      </c>
      <c r="AB40" s="53" t="n"/>
      <c r="AC40" s="59" t="n"/>
      <c r="AD40" s="81">
        <f>IFERROR(INDEX('Resource Rate Library'!$G$5:$G$200,MATCH(P40,'Resource Rate Library'!$A$5:$A$200,0)),"")</f>
        <v/>
      </c>
      <c r="AE40" s="81">
        <f>IFERROR(INDEX('Resource Rate Library'!$H$5:$H$200,MATCH(P40,'Resource Rate Library'!$A$5:$A$200,0)),"")</f>
        <v/>
      </c>
      <c r="AF40" s="53" t="n"/>
      <c r="AG40" s="53" t="n"/>
      <c r="AH40" s="53" t="n"/>
      <c r="AI40" s="81">
        <f>IF(B40="","",IF(AND(P40="",N40&lt;&gt;"Lump Sum / Quote"),"RESOURCE CODE",IF(Y40=0,"RATE MISSING",IF(AND(O40="Plant",AD40="Yes",COUNTIFS($B$7:$B$306,B40,$O$7:$O$306,"Labour",$Q$7:$Q$306,"*Operator*")&gt;0),"OPERATOR DOUBLE-COUNT",IF(AND(O40="Plant",AE40="Yes",COUNTIFS($B$7:$B$306,B40,$Q$7:$Q$306,"*Fuel*")&gt;0),"FUEL DOUBLE-COUNT",IF(AH40&lt;&gt;"Yes","VERIFY","OK"))))))</f>
        <v/>
      </c>
      <c r="AJ40" s="54" t="n"/>
      <c r="AK40" s="473" t="n"/>
      <c r="AL40" s="473" t="n"/>
      <c r="AM40" s="473" t="n"/>
      <c r="AN40" s="1444">
        <f>IF(AND(AK40="Yes",OR(O40="Labour",O40="Plant")),Z40,0)</f>
        <v/>
      </c>
    </row>
    <row r="41" ht="22.04999923706055" customHeight="1" s="491">
      <c r="A41" s="80">
        <f>IF(B41="","",B41&amp;"-"&amp;TEXT(COUNTIF($B$7:B41,B41),"000"))</f>
        <v/>
      </c>
      <c r="B41" s="53" t="n"/>
      <c r="C41" s="81">
        <f>IFERROR(INDEX('QS Takeoff'!$A$3:$A$202,MATCH(B41,'QS Takeoff'!$B$3:$B$202,0)),"")</f>
        <v/>
      </c>
      <c r="D41" s="81">
        <f>IFERROR(INDEX('QS Takeoff'!$C$3:$C$202,MATCH(B41,'QS Takeoff'!$B$3:$B$202,0)),"")</f>
        <v/>
      </c>
      <c r="E41" s="81">
        <f>IFERROR(INDEX('QS Takeoff'!$E$3:$E$202,MATCH(B41,'QS Takeoff'!$B$3:$B$202,0)),"")</f>
        <v/>
      </c>
      <c r="F41" s="81">
        <f>IFERROR(INDEX('QS Takeoff'!$D$3:$D$202,MATCH(B41,'QS Takeoff'!$B$3:$B$202,0)),"")</f>
        <v/>
      </c>
      <c r="G41" s="81">
        <f>IFERROR(INDEX('QS Takeoff'!$J$3:$J$202,MATCH(B41,'QS Takeoff'!$B$3:$B$202,0)),"")</f>
        <v/>
      </c>
      <c r="H41" s="53" t="n"/>
      <c r="I41" s="60" t="n"/>
      <c r="J41" s="60" t="n"/>
      <c r="K41" s="82">
        <f>IF(OR(B41="",I41="",I41=0),"",E41/I41)</f>
        <v/>
      </c>
      <c r="L41" s="60" t="n"/>
      <c r="M41" s="82">
        <f>IF(L41&gt;0,L41,K41)</f>
        <v/>
      </c>
      <c r="N41" s="53" t="n"/>
      <c r="O41" s="53" t="n"/>
      <c r="P41" s="53" t="n"/>
      <c r="Q41" s="81">
        <f>IFERROR(INDEX('Resource Rate Library'!$C$5:$C$200,MATCH(P41,'Resource Rate Library'!$A$5:$A$200,0)),"")</f>
        <v/>
      </c>
      <c r="R41" s="53" t="n"/>
      <c r="S41" s="53" t="n"/>
      <c r="T41" s="81">
        <f>IFERROR(INDEX('Resource Rate Library'!$E$5:$E$200,MATCH(P41,'Resource Rate Library'!$A$5:$A$200,0)),"")</f>
        <v/>
      </c>
      <c r="U41" s="1441" t="n"/>
      <c r="V41" s="1441" t="n"/>
      <c r="W41" s="1442">
        <f>IFERROR(INDEX('Resource Rate Library'!$I$5:$I$200,MATCH(P41,'Resource Rate Library'!$A$5:$A$200,0)),0)</f>
        <v/>
      </c>
      <c r="X41" s="1443" t="n"/>
      <c r="Y41" s="1442">
        <f>IF(X41&gt;0,X41,W41)</f>
        <v/>
      </c>
      <c r="Z41" s="1442">
        <f>IF(B41="","",IF(N41="Time x Count",M41*R41*IF(U41="",1,U41)*Y41,IF(N41="QS Qty x Factor",E41*R41*(1+IF(V41="",0,V41))*Y41,IF(N41="Direct Qty",S41*(1+IF(V41="",0,V41))*Y41,IF(N41="Lump Sum / Quote",S41*Y41,0)))))</f>
        <v/>
      </c>
      <c r="AA41" s="81">
        <f>IFERROR(INDEX('Resource Rate Library'!$N$5:$N$200,MATCH(P41,'Resource Rate Library'!$A$5:$A$200,0)),"")</f>
        <v/>
      </c>
      <c r="AB41" s="53" t="n"/>
      <c r="AC41" s="59" t="n"/>
      <c r="AD41" s="81">
        <f>IFERROR(INDEX('Resource Rate Library'!$G$5:$G$200,MATCH(P41,'Resource Rate Library'!$A$5:$A$200,0)),"")</f>
        <v/>
      </c>
      <c r="AE41" s="81">
        <f>IFERROR(INDEX('Resource Rate Library'!$H$5:$H$200,MATCH(P41,'Resource Rate Library'!$A$5:$A$200,0)),"")</f>
        <v/>
      </c>
      <c r="AF41" s="53" t="n"/>
      <c r="AG41" s="53" t="n"/>
      <c r="AH41" s="53" t="n"/>
      <c r="AI41" s="81">
        <f>IF(B41="","",IF(AND(P41="",N41&lt;&gt;"Lump Sum / Quote"),"RESOURCE CODE",IF(Y41=0,"RATE MISSING",IF(AND(O41="Plant",AD41="Yes",COUNTIFS($B$7:$B$306,B41,$O$7:$O$306,"Labour",$Q$7:$Q$306,"*Operator*")&gt;0),"OPERATOR DOUBLE-COUNT",IF(AND(O41="Plant",AE41="Yes",COUNTIFS($B$7:$B$306,B41,$Q$7:$Q$306,"*Fuel*")&gt;0),"FUEL DOUBLE-COUNT",IF(AH41&lt;&gt;"Yes","VERIFY","OK"))))))</f>
        <v/>
      </c>
      <c r="AJ41" s="54" t="n"/>
      <c r="AK41" s="473" t="n"/>
      <c r="AL41" s="473" t="n"/>
      <c r="AM41" s="473" t="n"/>
      <c r="AN41" s="1444">
        <f>IF(AND(AK41="Yes",OR(O41="Labour",O41="Plant")),Z41,0)</f>
        <v/>
      </c>
    </row>
    <row r="42" ht="22.04999923706055" customHeight="1" s="491">
      <c r="A42" s="80">
        <f>IF(B42="","",B42&amp;"-"&amp;TEXT(COUNTIF($B$7:B42,B42),"000"))</f>
        <v/>
      </c>
      <c r="B42" s="53" t="n"/>
      <c r="C42" s="81">
        <f>IFERROR(INDEX('QS Takeoff'!$A$3:$A$202,MATCH(B42,'QS Takeoff'!$B$3:$B$202,0)),"")</f>
        <v/>
      </c>
      <c r="D42" s="81">
        <f>IFERROR(INDEX('QS Takeoff'!$C$3:$C$202,MATCH(B42,'QS Takeoff'!$B$3:$B$202,0)),"")</f>
        <v/>
      </c>
      <c r="E42" s="81">
        <f>IFERROR(INDEX('QS Takeoff'!$E$3:$E$202,MATCH(B42,'QS Takeoff'!$B$3:$B$202,0)),"")</f>
        <v/>
      </c>
      <c r="F42" s="81">
        <f>IFERROR(INDEX('QS Takeoff'!$D$3:$D$202,MATCH(B42,'QS Takeoff'!$B$3:$B$202,0)),"")</f>
        <v/>
      </c>
      <c r="G42" s="81">
        <f>IFERROR(INDEX('QS Takeoff'!$J$3:$J$202,MATCH(B42,'QS Takeoff'!$B$3:$B$202,0)),"")</f>
        <v/>
      </c>
      <c r="H42" s="53" t="n"/>
      <c r="I42" s="60" t="n"/>
      <c r="J42" s="60" t="n"/>
      <c r="K42" s="82">
        <f>IF(OR(B42="",I42="",I42=0),"",E42/I42)</f>
        <v/>
      </c>
      <c r="L42" s="60" t="n"/>
      <c r="M42" s="82">
        <f>IF(L42&gt;0,L42,K42)</f>
        <v/>
      </c>
      <c r="N42" s="53" t="n"/>
      <c r="O42" s="53" t="n"/>
      <c r="P42" s="53" t="n"/>
      <c r="Q42" s="81">
        <f>IFERROR(INDEX('Resource Rate Library'!$C$5:$C$200,MATCH(P42,'Resource Rate Library'!$A$5:$A$200,0)),"")</f>
        <v/>
      </c>
      <c r="R42" s="53" t="n"/>
      <c r="S42" s="53" t="n"/>
      <c r="T42" s="81">
        <f>IFERROR(INDEX('Resource Rate Library'!$E$5:$E$200,MATCH(P42,'Resource Rate Library'!$A$5:$A$200,0)),"")</f>
        <v/>
      </c>
      <c r="U42" s="1441" t="n"/>
      <c r="V42" s="1441" t="n"/>
      <c r="W42" s="1442">
        <f>IFERROR(INDEX('Resource Rate Library'!$I$5:$I$200,MATCH(P42,'Resource Rate Library'!$A$5:$A$200,0)),0)</f>
        <v/>
      </c>
      <c r="X42" s="1443" t="n"/>
      <c r="Y42" s="1442">
        <f>IF(X42&gt;0,X42,W42)</f>
        <v/>
      </c>
      <c r="Z42" s="1442">
        <f>IF(B42="","",IF(N42="Time x Count",M42*R42*IF(U42="",1,U42)*Y42,IF(N42="QS Qty x Factor",E42*R42*(1+IF(V42="",0,V42))*Y42,IF(N42="Direct Qty",S42*(1+IF(V42="",0,V42))*Y42,IF(N42="Lump Sum / Quote",S42*Y42,0)))))</f>
        <v/>
      </c>
      <c r="AA42" s="81">
        <f>IFERROR(INDEX('Resource Rate Library'!$N$5:$N$200,MATCH(P42,'Resource Rate Library'!$A$5:$A$200,0)),"")</f>
        <v/>
      </c>
      <c r="AB42" s="53" t="n"/>
      <c r="AC42" s="59" t="n"/>
      <c r="AD42" s="81">
        <f>IFERROR(INDEX('Resource Rate Library'!$G$5:$G$200,MATCH(P42,'Resource Rate Library'!$A$5:$A$200,0)),"")</f>
        <v/>
      </c>
      <c r="AE42" s="81">
        <f>IFERROR(INDEX('Resource Rate Library'!$H$5:$H$200,MATCH(P42,'Resource Rate Library'!$A$5:$A$200,0)),"")</f>
        <v/>
      </c>
      <c r="AF42" s="53" t="n"/>
      <c r="AG42" s="53" t="n"/>
      <c r="AH42" s="53" t="n"/>
      <c r="AI42" s="81">
        <f>IF(B42="","",IF(AND(P42="",N42&lt;&gt;"Lump Sum / Quote"),"RESOURCE CODE",IF(Y42=0,"RATE MISSING",IF(AND(O42="Plant",AD42="Yes",COUNTIFS($B$7:$B$306,B42,$O$7:$O$306,"Labour",$Q$7:$Q$306,"*Operator*")&gt;0),"OPERATOR DOUBLE-COUNT",IF(AND(O42="Plant",AE42="Yes",COUNTIFS($B$7:$B$306,B42,$Q$7:$Q$306,"*Fuel*")&gt;0),"FUEL DOUBLE-COUNT",IF(AH42&lt;&gt;"Yes","VERIFY","OK"))))))</f>
        <v/>
      </c>
      <c r="AJ42" s="54" t="n"/>
      <c r="AK42" s="473" t="n"/>
      <c r="AL42" s="473" t="n"/>
      <c r="AM42" s="473" t="n"/>
      <c r="AN42" s="1444">
        <f>IF(AND(AK42="Yes",OR(O42="Labour",O42="Plant")),Z42,0)</f>
        <v/>
      </c>
    </row>
    <row r="43" ht="22.04999923706055" customHeight="1" s="491">
      <c r="A43" s="80">
        <f>IF(B43="","",B43&amp;"-"&amp;TEXT(COUNTIF($B$7:B43,B43),"000"))</f>
        <v/>
      </c>
      <c r="B43" s="53" t="n"/>
      <c r="C43" s="81">
        <f>IFERROR(INDEX('QS Takeoff'!$A$3:$A$202,MATCH(B43,'QS Takeoff'!$B$3:$B$202,0)),"")</f>
        <v/>
      </c>
      <c r="D43" s="81">
        <f>IFERROR(INDEX('QS Takeoff'!$C$3:$C$202,MATCH(B43,'QS Takeoff'!$B$3:$B$202,0)),"")</f>
        <v/>
      </c>
      <c r="E43" s="81">
        <f>IFERROR(INDEX('QS Takeoff'!$E$3:$E$202,MATCH(B43,'QS Takeoff'!$B$3:$B$202,0)),"")</f>
        <v/>
      </c>
      <c r="F43" s="81">
        <f>IFERROR(INDEX('QS Takeoff'!$D$3:$D$202,MATCH(B43,'QS Takeoff'!$B$3:$B$202,0)),"")</f>
        <v/>
      </c>
      <c r="G43" s="81">
        <f>IFERROR(INDEX('QS Takeoff'!$J$3:$J$202,MATCH(B43,'QS Takeoff'!$B$3:$B$202,0)),"")</f>
        <v/>
      </c>
      <c r="H43" s="53" t="n"/>
      <c r="I43" s="60" t="n"/>
      <c r="J43" s="60" t="n"/>
      <c r="K43" s="82">
        <f>IF(OR(B43="",I43="",I43=0),"",E43/I43)</f>
        <v/>
      </c>
      <c r="L43" s="60" t="n"/>
      <c r="M43" s="82">
        <f>IF(L43&gt;0,L43,K43)</f>
        <v/>
      </c>
      <c r="N43" s="53" t="n"/>
      <c r="O43" s="53" t="n"/>
      <c r="P43" s="53" t="n"/>
      <c r="Q43" s="81">
        <f>IFERROR(INDEX('Resource Rate Library'!$C$5:$C$200,MATCH(P43,'Resource Rate Library'!$A$5:$A$200,0)),"")</f>
        <v/>
      </c>
      <c r="R43" s="53" t="n"/>
      <c r="S43" s="53" t="n"/>
      <c r="T43" s="81">
        <f>IFERROR(INDEX('Resource Rate Library'!$E$5:$E$200,MATCH(P43,'Resource Rate Library'!$A$5:$A$200,0)),"")</f>
        <v/>
      </c>
      <c r="U43" s="1441" t="n"/>
      <c r="V43" s="1441" t="n"/>
      <c r="W43" s="1442">
        <f>IFERROR(INDEX('Resource Rate Library'!$I$5:$I$200,MATCH(P43,'Resource Rate Library'!$A$5:$A$200,0)),0)</f>
        <v/>
      </c>
      <c r="X43" s="1443" t="n"/>
      <c r="Y43" s="1442">
        <f>IF(X43&gt;0,X43,W43)</f>
        <v/>
      </c>
      <c r="Z43" s="1442">
        <f>IF(B43="","",IF(N43="Time x Count",M43*R43*IF(U43="",1,U43)*Y43,IF(N43="QS Qty x Factor",E43*R43*(1+IF(V43="",0,V43))*Y43,IF(N43="Direct Qty",S43*(1+IF(V43="",0,V43))*Y43,IF(N43="Lump Sum / Quote",S43*Y43,0)))))</f>
        <v/>
      </c>
      <c r="AA43" s="81">
        <f>IFERROR(INDEX('Resource Rate Library'!$N$5:$N$200,MATCH(P43,'Resource Rate Library'!$A$5:$A$200,0)),"")</f>
        <v/>
      </c>
      <c r="AB43" s="53" t="n"/>
      <c r="AC43" s="59" t="n"/>
      <c r="AD43" s="81">
        <f>IFERROR(INDEX('Resource Rate Library'!$G$5:$G$200,MATCH(P43,'Resource Rate Library'!$A$5:$A$200,0)),"")</f>
        <v/>
      </c>
      <c r="AE43" s="81">
        <f>IFERROR(INDEX('Resource Rate Library'!$H$5:$H$200,MATCH(P43,'Resource Rate Library'!$A$5:$A$200,0)),"")</f>
        <v/>
      </c>
      <c r="AF43" s="53" t="n"/>
      <c r="AG43" s="53" t="n"/>
      <c r="AH43" s="53" t="n"/>
      <c r="AI43" s="81">
        <f>IF(B43="","",IF(AND(P43="",N43&lt;&gt;"Lump Sum / Quote"),"RESOURCE CODE",IF(Y43=0,"RATE MISSING",IF(AND(O43="Plant",AD43="Yes",COUNTIFS($B$7:$B$306,B43,$O$7:$O$306,"Labour",$Q$7:$Q$306,"*Operator*")&gt;0),"OPERATOR DOUBLE-COUNT",IF(AND(O43="Plant",AE43="Yes",COUNTIFS($B$7:$B$306,B43,$Q$7:$Q$306,"*Fuel*")&gt;0),"FUEL DOUBLE-COUNT",IF(AH43&lt;&gt;"Yes","VERIFY","OK"))))))</f>
        <v/>
      </c>
      <c r="AJ43" s="54" t="n"/>
      <c r="AK43" s="473" t="n"/>
      <c r="AL43" s="473" t="n"/>
      <c r="AM43" s="473" t="n"/>
      <c r="AN43" s="1444">
        <f>IF(AND(AK43="Yes",OR(O43="Labour",O43="Plant")),Z43,0)</f>
        <v/>
      </c>
    </row>
    <row r="44" ht="22.04999923706055" customHeight="1" s="491">
      <c r="A44" s="80">
        <f>IF(B44="","",B44&amp;"-"&amp;TEXT(COUNTIF($B$7:B44,B44),"000"))</f>
        <v/>
      </c>
      <c r="B44" s="53" t="n"/>
      <c r="C44" s="81">
        <f>IFERROR(INDEX('QS Takeoff'!$A$3:$A$202,MATCH(B44,'QS Takeoff'!$B$3:$B$202,0)),"")</f>
        <v/>
      </c>
      <c r="D44" s="81">
        <f>IFERROR(INDEX('QS Takeoff'!$C$3:$C$202,MATCH(B44,'QS Takeoff'!$B$3:$B$202,0)),"")</f>
        <v/>
      </c>
      <c r="E44" s="81">
        <f>IFERROR(INDEX('QS Takeoff'!$E$3:$E$202,MATCH(B44,'QS Takeoff'!$B$3:$B$202,0)),"")</f>
        <v/>
      </c>
      <c r="F44" s="81">
        <f>IFERROR(INDEX('QS Takeoff'!$D$3:$D$202,MATCH(B44,'QS Takeoff'!$B$3:$B$202,0)),"")</f>
        <v/>
      </c>
      <c r="G44" s="81">
        <f>IFERROR(INDEX('QS Takeoff'!$J$3:$J$202,MATCH(B44,'QS Takeoff'!$B$3:$B$202,0)),"")</f>
        <v/>
      </c>
      <c r="H44" s="53" t="n"/>
      <c r="I44" s="60" t="n"/>
      <c r="J44" s="60" t="n"/>
      <c r="K44" s="82">
        <f>IF(OR(B44="",I44="",I44=0),"",E44/I44)</f>
        <v/>
      </c>
      <c r="L44" s="60" t="n"/>
      <c r="M44" s="82">
        <f>IF(L44&gt;0,L44,K44)</f>
        <v/>
      </c>
      <c r="N44" s="53" t="n"/>
      <c r="O44" s="53" t="n"/>
      <c r="P44" s="53" t="n"/>
      <c r="Q44" s="81">
        <f>IFERROR(INDEX('Resource Rate Library'!$C$5:$C$200,MATCH(P44,'Resource Rate Library'!$A$5:$A$200,0)),"")</f>
        <v/>
      </c>
      <c r="R44" s="53" t="n"/>
      <c r="S44" s="53" t="n"/>
      <c r="T44" s="81">
        <f>IFERROR(INDEX('Resource Rate Library'!$E$5:$E$200,MATCH(P44,'Resource Rate Library'!$A$5:$A$200,0)),"")</f>
        <v/>
      </c>
      <c r="U44" s="1441" t="n"/>
      <c r="V44" s="1441" t="n"/>
      <c r="W44" s="1442">
        <f>IFERROR(INDEX('Resource Rate Library'!$I$5:$I$200,MATCH(P44,'Resource Rate Library'!$A$5:$A$200,0)),0)</f>
        <v/>
      </c>
      <c r="X44" s="1443" t="n"/>
      <c r="Y44" s="1442">
        <f>IF(X44&gt;0,X44,W44)</f>
        <v/>
      </c>
      <c r="Z44" s="1442">
        <f>IF(B44="","",IF(N44="Time x Count",M44*R44*IF(U44="",1,U44)*Y44,IF(N44="QS Qty x Factor",E44*R44*(1+IF(V44="",0,V44))*Y44,IF(N44="Direct Qty",S44*(1+IF(V44="",0,V44))*Y44,IF(N44="Lump Sum / Quote",S44*Y44,0)))))</f>
        <v/>
      </c>
      <c r="AA44" s="81">
        <f>IFERROR(INDEX('Resource Rate Library'!$N$5:$N$200,MATCH(P44,'Resource Rate Library'!$A$5:$A$200,0)),"")</f>
        <v/>
      </c>
      <c r="AB44" s="53" t="n"/>
      <c r="AC44" s="59" t="n"/>
      <c r="AD44" s="81">
        <f>IFERROR(INDEX('Resource Rate Library'!$G$5:$G$200,MATCH(P44,'Resource Rate Library'!$A$5:$A$200,0)),"")</f>
        <v/>
      </c>
      <c r="AE44" s="81">
        <f>IFERROR(INDEX('Resource Rate Library'!$H$5:$H$200,MATCH(P44,'Resource Rate Library'!$A$5:$A$200,0)),"")</f>
        <v/>
      </c>
      <c r="AF44" s="53" t="n"/>
      <c r="AG44" s="53" t="n"/>
      <c r="AH44" s="53" t="n"/>
      <c r="AI44" s="81">
        <f>IF(B44="","",IF(AND(P44="",N44&lt;&gt;"Lump Sum / Quote"),"RESOURCE CODE",IF(Y44=0,"RATE MISSING",IF(AND(O44="Plant",AD44="Yes",COUNTIFS($B$7:$B$306,B44,$O$7:$O$306,"Labour",$Q$7:$Q$306,"*Operator*")&gt;0),"OPERATOR DOUBLE-COUNT",IF(AND(O44="Plant",AE44="Yes",COUNTIFS($B$7:$B$306,B44,$Q$7:$Q$306,"*Fuel*")&gt;0),"FUEL DOUBLE-COUNT",IF(AH44&lt;&gt;"Yes","VERIFY","OK"))))))</f>
        <v/>
      </c>
      <c r="AJ44" s="54" t="n"/>
      <c r="AK44" s="473" t="n"/>
      <c r="AL44" s="473" t="n"/>
      <c r="AM44" s="473" t="n"/>
      <c r="AN44" s="1444">
        <f>IF(AND(AK44="Yes",OR(O44="Labour",O44="Plant")),Z44,0)</f>
        <v/>
      </c>
    </row>
    <row r="45" ht="22.04999923706055" customHeight="1" s="491">
      <c r="A45" s="80">
        <f>IF(B45="","",B45&amp;"-"&amp;TEXT(COUNTIF($B$7:B45,B45),"000"))</f>
        <v/>
      </c>
      <c r="B45" s="53" t="n"/>
      <c r="C45" s="81">
        <f>IFERROR(INDEX('QS Takeoff'!$A$3:$A$202,MATCH(B45,'QS Takeoff'!$B$3:$B$202,0)),"")</f>
        <v/>
      </c>
      <c r="D45" s="81">
        <f>IFERROR(INDEX('QS Takeoff'!$C$3:$C$202,MATCH(B45,'QS Takeoff'!$B$3:$B$202,0)),"")</f>
        <v/>
      </c>
      <c r="E45" s="81">
        <f>IFERROR(INDEX('QS Takeoff'!$E$3:$E$202,MATCH(B45,'QS Takeoff'!$B$3:$B$202,0)),"")</f>
        <v/>
      </c>
      <c r="F45" s="81">
        <f>IFERROR(INDEX('QS Takeoff'!$D$3:$D$202,MATCH(B45,'QS Takeoff'!$B$3:$B$202,0)),"")</f>
        <v/>
      </c>
      <c r="G45" s="81">
        <f>IFERROR(INDEX('QS Takeoff'!$J$3:$J$202,MATCH(B45,'QS Takeoff'!$B$3:$B$202,0)),"")</f>
        <v/>
      </c>
      <c r="H45" s="53" t="n"/>
      <c r="I45" s="60" t="n"/>
      <c r="J45" s="60" t="n"/>
      <c r="K45" s="82">
        <f>IF(OR(B45="",I45="",I45=0),"",E45/I45)</f>
        <v/>
      </c>
      <c r="L45" s="60" t="n"/>
      <c r="M45" s="82">
        <f>IF(L45&gt;0,L45,K45)</f>
        <v/>
      </c>
      <c r="N45" s="53" t="n"/>
      <c r="O45" s="53" t="n"/>
      <c r="P45" s="53" t="n"/>
      <c r="Q45" s="81">
        <f>IFERROR(INDEX('Resource Rate Library'!$C$5:$C$200,MATCH(P45,'Resource Rate Library'!$A$5:$A$200,0)),"")</f>
        <v/>
      </c>
      <c r="R45" s="53" t="n"/>
      <c r="S45" s="53" t="n"/>
      <c r="T45" s="81">
        <f>IFERROR(INDEX('Resource Rate Library'!$E$5:$E$200,MATCH(P45,'Resource Rate Library'!$A$5:$A$200,0)),"")</f>
        <v/>
      </c>
      <c r="U45" s="1441" t="n"/>
      <c r="V45" s="1441" t="n"/>
      <c r="W45" s="1442">
        <f>IFERROR(INDEX('Resource Rate Library'!$I$5:$I$200,MATCH(P45,'Resource Rate Library'!$A$5:$A$200,0)),0)</f>
        <v/>
      </c>
      <c r="X45" s="1443" t="n"/>
      <c r="Y45" s="1442">
        <f>IF(X45&gt;0,X45,W45)</f>
        <v/>
      </c>
      <c r="Z45" s="1442">
        <f>IF(B45="","",IF(N45="Time x Count",M45*R45*IF(U45="",1,U45)*Y45,IF(N45="QS Qty x Factor",E45*R45*(1+IF(V45="",0,V45))*Y45,IF(N45="Direct Qty",S45*(1+IF(V45="",0,V45))*Y45,IF(N45="Lump Sum / Quote",S45*Y45,0)))))</f>
        <v/>
      </c>
      <c r="AA45" s="81">
        <f>IFERROR(INDEX('Resource Rate Library'!$N$5:$N$200,MATCH(P45,'Resource Rate Library'!$A$5:$A$200,0)),"")</f>
        <v/>
      </c>
      <c r="AB45" s="53" t="n"/>
      <c r="AC45" s="59" t="n"/>
      <c r="AD45" s="81">
        <f>IFERROR(INDEX('Resource Rate Library'!$G$5:$G$200,MATCH(P45,'Resource Rate Library'!$A$5:$A$200,0)),"")</f>
        <v/>
      </c>
      <c r="AE45" s="81">
        <f>IFERROR(INDEX('Resource Rate Library'!$H$5:$H$200,MATCH(P45,'Resource Rate Library'!$A$5:$A$200,0)),"")</f>
        <v/>
      </c>
      <c r="AF45" s="53" t="n"/>
      <c r="AG45" s="53" t="n"/>
      <c r="AH45" s="53" t="n"/>
      <c r="AI45" s="81">
        <f>IF(B45="","",IF(AND(P45="",N45&lt;&gt;"Lump Sum / Quote"),"RESOURCE CODE",IF(Y45=0,"RATE MISSING",IF(AND(O45="Plant",AD45="Yes",COUNTIFS($B$7:$B$306,B45,$O$7:$O$306,"Labour",$Q$7:$Q$306,"*Operator*")&gt;0),"OPERATOR DOUBLE-COUNT",IF(AND(O45="Plant",AE45="Yes",COUNTIFS($B$7:$B$306,B45,$Q$7:$Q$306,"*Fuel*")&gt;0),"FUEL DOUBLE-COUNT",IF(AH45&lt;&gt;"Yes","VERIFY","OK"))))))</f>
        <v/>
      </c>
      <c r="AJ45" s="54" t="n"/>
      <c r="AK45" s="473" t="n"/>
      <c r="AL45" s="473" t="n"/>
      <c r="AM45" s="473" t="n"/>
      <c r="AN45" s="1444">
        <f>IF(AND(AK45="Yes",OR(O45="Labour",O45="Plant")),Z45,0)</f>
        <v/>
      </c>
    </row>
    <row r="46" ht="22.04999923706055" customHeight="1" s="491">
      <c r="A46" s="80">
        <f>IF(B46="","",B46&amp;"-"&amp;TEXT(COUNTIF($B$7:B46,B46),"000"))</f>
        <v/>
      </c>
      <c r="B46" s="53" t="n"/>
      <c r="C46" s="81">
        <f>IFERROR(INDEX('QS Takeoff'!$A$3:$A$202,MATCH(B46,'QS Takeoff'!$B$3:$B$202,0)),"")</f>
        <v/>
      </c>
      <c r="D46" s="81">
        <f>IFERROR(INDEX('QS Takeoff'!$C$3:$C$202,MATCH(B46,'QS Takeoff'!$B$3:$B$202,0)),"")</f>
        <v/>
      </c>
      <c r="E46" s="81">
        <f>IFERROR(INDEX('QS Takeoff'!$E$3:$E$202,MATCH(B46,'QS Takeoff'!$B$3:$B$202,0)),"")</f>
        <v/>
      </c>
      <c r="F46" s="81">
        <f>IFERROR(INDEX('QS Takeoff'!$D$3:$D$202,MATCH(B46,'QS Takeoff'!$B$3:$B$202,0)),"")</f>
        <v/>
      </c>
      <c r="G46" s="81">
        <f>IFERROR(INDEX('QS Takeoff'!$J$3:$J$202,MATCH(B46,'QS Takeoff'!$B$3:$B$202,0)),"")</f>
        <v/>
      </c>
      <c r="H46" s="53" t="n"/>
      <c r="I46" s="60" t="n"/>
      <c r="J46" s="60" t="n"/>
      <c r="K46" s="82">
        <f>IF(OR(B46="",I46="",I46=0),"",E46/I46)</f>
        <v/>
      </c>
      <c r="L46" s="60" t="n"/>
      <c r="M46" s="82">
        <f>IF(L46&gt;0,L46,K46)</f>
        <v/>
      </c>
      <c r="N46" s="53" t="n"/>
      <c r="O46" s="53" t="n"/>
      <c r="P46" s="53" t="n"/>
      <c r="Q46" s="81">
        <f>IFERROR(INDEX('Resource Rate Library'!$C$5:$C$200,MATCH(P46,'Resource Rate Library'!$A$5:$A$200,0)),"")</f>
        <v/>
      </c>
      <c r="R46" s="53" t="n"/>
      <c r="S46" s="53" t="n"/>
      <c r="T46" s="81">
        <f>IFERROR(INDEX('Resource Rate Library'!$E$5:$E$200,MATCH(P46,'Resource Rate Library'!$A$5:$A$200,0)),"")</f>
        <v/>
      </c>
      <c r="U46" s="1441" t="n"/>
      <c r="V46" s="1441" t="n"/>
      <c r="W46" s="1442">
        <f>IFERROR(INDEX('Resource Rate Library'!$I$5:$I$200,MATCH(P46,'Resource Rate Library'!$A$5:$A$200,0)),0)</f>
        <v/>
      </c>
      <c r="X46" s="1443" t="n"/>
      <c r="Y46" s="1442">
        <f>IF(X46&gt;0,X46,W46)</f>
        <v/>
      </c>
      <c r="Z46" s="1442">
        <f>IF(B46="","",IF(N46="Time x Count",M46*R46*IF(U46="",1,U46)*Y46,IF(N46="QS Qty x Factor",E46*R46*(1+IF(V46="",0,V46))*Y46,IF(N46="Direct Qty",S46*(1+IF(V46="",0,V46))*Y46,IF(N46="Lump Sum / Quote",S46*Y46,0)))))</f>
        <v/>
      </c>
      <c r="AA46" s="81">
        <f>IFERROR(INDEX('Resource Rate Library'!$N$5:$N$200,MATCH(P46,'Resource Rate Library'!$A$5:$A$200,0)),"")</f>
        <v/>
      </c>
      <c r="AB46" s="53" t="n"/>
      <c r="AC46" s="59" t="n"/>
      <c r="AD46" s="81">
        <f>IFERROR(INDEX('Resource Rate Library'!$G$5:$G$200,MATCH(P46,'Resource Rate Library'!$A$5:$A$200,0)),"")</f>
        <v/>
      </c>
      <c r="AE46" s="81">
        <f>IFERROR(INDEX('Resource Rate Library'!$H$5:$H$200,MATCH(P46,'Resource Rate Library'!$A$5:$A$200,0)),"")</f>
        <v/>
      </c>
      <c r="AF46" s="53" t="n"/>
      <c r="AG46" s="53" t="n"/>
      <c r="AH46" s="53" t="n"/>
      <c r="AI46" s="81">
        <f>IF(B46="","",IF(AND(P46="",N46&lt;&gt;"Lump Sum / Quote"),"RESOURCE CODE",IF(Y46=0,"RATE MISSING",IF(AND(O46="Plant",AD46="Yes",COUNTIFS($B$7:$B$306,B46,$O$7:$O$306,"Labour",$Q$7:$Q$306,"*Operator*")&gt;0),"OPERATOR DOUBLE-COUNT",IF(AND(O46="Plant",AE46="Yes",COUNTIFS($B$7:$B$306,B46,$Q$7:$Q$306,"*Fuel*")&gt;0),"FUEL DOUBLE-COUNT",IF(AH46&lt;&gt;"Yes","VERIFY","OK"))))))</f>
        <v/>
      </c>
      <c r="AJ46" s="54" t="n"/>
      <c r="AK46" s="473" t="n"/>
      <c r="AL46" s="473" t="n"/>
      <c r="AM46" s="473" t="n"/>
      <c r="AN46" s="1444">
        <f>IF(AND(AK46="Yes",OR(O46="Labour",O46="Plant")),Z46,0)</f>
        <v/>
      </c>
    </row>
    <row r="47" ht="22.04999923706055" customHeight="1" s="491">
      <c r="A47" s="80">
        <f>IF(B47="","",B47&amp;"-"&amp;TEXT(COUNTIF($B$7:B47,B47),"000"))</f>
        <v/>
      </c>
      <c r="B47" s="53" t="n"/>
      <c r="C47" s="81">
        <f>IFERROR(INDEX('QS Takeoff'!$A$3:$A$202,MATCH(B47,'QS Takeoff'!$B$3:$B$202,0)),"")</f>
        <v/>
      </c>
      <c r="D47" s="81">
        <f>IFERROR(INDEX('QS Takeoff'!$C$3:$C$202,MATCH(B47,'QS Takeoff'!$B$3:$B$202,0)),"")</f>
        <v/>
      </c>
      <c r="E47" s="81">
        <f>IFERROR(INDEX('QS Takeoff'!$E$3:$E$202,MATCH(B47,'QS Takeoff'!$B$3:$B$202,0)),"")</f>
        <v/>
      </c>
      <c r="F47" s="81">
        <f>IFERROR(INDEX('QS Takeoff'!$D$3:$D$202,MATCH(B47,'QS Takeoff'!$B$3:$B$202,0)),"")</f>
        <v/>
      </c>
      <c r="G47" s="81">
        <f>IFERROR(INDEX('QS Takeoff'!$J$3:$J$202,MATCH(B47,'QS Takeoff'!$B$3:$B$202,0)),"")</f>
        <v/>
      </c>
      <c r="H47" s="53" t="n"/>
      <c r="I47" s="60" t="n"/>
      <c r="J47" s="60" t="n"/>
      <c r="K47" s="82">
        <f>IF(OR(B47="",I47="",I47=0),"",E47/I47)</f>
        <v/>
      </c>
      <c r="L47" s="60" t="n"/>
      <c r="M47" s="82">
        <f>IF(L47&gt;0,L47,K47)</f>
        <v/>
      </c>
      <c r="N47" s="53" t="n"/>
      <c r="O47" s="53" t="n"/>
      <c r="P47" s="53" t="n"/>
      <c r="Q47" s="81">
        <f>IFERROR(INDEX('Resource Rate Library'!$C$5:$C$200,MATCH(P47,'Resource Rate Library'!$A$5:$A$200,0)),"")</f>
        <v/>
      </c>
      <c r="R47" s="53" t="n"/>
      <c r="S47" s="53" t="n"/>
      <c r="T47" s="81">
        <f>IFERROR(INDEX('Resource Rate Library'!$E$5:$E$200,MATCH(P47,'Resource Rate Library'!$A$5:$A$200,0)),"")</f>
        <v/>
      </c>
      <c r="U47" s="1441" t="n"/>
      <c r="V47" s="1441" t="n"/>
      <c r="W47" s="1442">
        <f>IFERROR(INDEX('Resource Rate Library'!$I$5:$I$200,MATCH(P47,'Resource Rate Library'!$A$5:$A$200,0)),0)</f>
        <v/>
      </c>
      <c r="X47" s="1443" t="n"/>
      <c r="Y47" s="1442">
        <f>IF(X47&gt;0,X47,W47)</f>
        <v/>
      </c>
      <c r="Z47" s="1442">
        <f>IF(B47="","",IF(N47="Time x Count",M47*R47*IF(U47="",1,U47)*Y47,IF(N47="QS Qty x Factor",E47*R47*(1+IF(V47="",0,V47))*Y47,IF(N47="Direct Qty",S47*(1+IF(V47="",0,V47))*Y47,IF(N47="Lump Sum / Quote",S47*Y47,0)))))</f>
        <v/>
      </c>
      <c r="AA47" s="81">
        <f>IFERROR(INDEX('Resource Rate Library'!$N$5:$N$200,MATCH(P47,'Resource Rate Library'!$A$5:$A$200,0)),"")</f>
        <v/>
      </c>
      <c r="AB47" s="53" t="n"/>
      <c r="AC47" s="59" t="n"/>
      <c r="AD47" s="81">
        <f>IFERROR(INDEX('Resource Rate Library'!$G$5:$G$200,MATCH(P47,'Resource Rate Library'!$A$5:$A$200,0)),"")</f>
        <v/>
      </c>
      <c r="AE47" s="81">
        <f>IFERROR(INDEX('Resource Rate Library'!$H$5:$H$200,MATCH(P47,'Resource Rate Library'!$A$5:$A$200,0)),"")</f>
        <v/>
      </c>
      <c r="AF47" s="53" t="n"/>
      <c r="AG47" s="53" t="n"/>
      <c r="AH47" s="53" t="n"/>
      <c r="AI47" s="81">
        <f>IF(B47="","",IF(AND(P47="",N47&lt;&gt;"Lump Sum / Quote"),"RESOURCE CODE",IF(Y47=0,"RATE MISSING",IF(AND(O47="Plant",AD47="Yes",COUNTIFS($B$7:$B$306,B47,$O$7:$O$306,"Labour",$Q$7:$Q$306,"*Operator*")&gt;0),"OPERATOR DOUBLE-COUNT",IF(AND(O47="Plant",AE47="Yes",COUNTIFS($B$7:$B$306,B47,$Q$7:$Q$306,"*Fuel*")&gt;0),"FUEL DOUBLE-COUNT",IF(AH47&lt;&gt;"Yes","VERIFY","OK"))))))</f>
        <v/>
      </c>
      <c r="AJ47" s="54" t="n"/>
      <c r="AK47" s="473" t="n"/>
      <c r="AL47" s="473" t="n"/>
      <c r="AM47" s="473" t="n"/>
      <c r="AN47" s="1444">
        <f>IF(AND(AK47="Yes",OR(O47="Labour",O47="Plant")),Z47,0)</f>
        <v/>
      </c>
    </row>
    <row r="48" ht="22.04999923706055" customHeight="1" s="491">
      <c r="A48" s="80">
        <f>IF(B48="","",B48&amp;"-"&amp;TEXT(COUNTIF($B$7:B48,B48),"000"))</f>
        <v/>
      </c>
      <c r="B48" s="53" t="n"/>
      <c r="C48" s="81">
        <f>IFERROR(INDEX('QS Takeoff'!$A$3:$A$202,MATCH(B48,'QS Takeoff'!$B$3:$B$202,0)),"")</f>
        <v/>
      </c>
      <c r="D48" s="81">
        <f>IFERROR(INDEX('QS Takeoff'!$C$3:$C$202,MATCH(B48,'QS Takeoff'!$B$3:$B$202,0)),"")</f>
        <v/>
      </c>
      <c r="E48" s="81">
        <f>IFERROR(INDEX('QS Takeoff'!$E$3:$E$202,MATCH(B48,'QS Takeoff'!$B$3:$B$202,0)),"")</f>
        <v/>
      </c>
      <c r="F48" s="81">
        <f>IFERROR(INDEX('QS Takeoff'!$D$3:$D$202,MATCH(B48,'QS Takeoff'!$B$3:$B$202,0)),"")</f>
        <v/>
      </c>
      <c r="G48" s="81">
        <f>IFERROR(INDEX('QS Takeoff'!$J$3:$J$202,MATCH(B48,'QS Takeoff'!$B$3:$B$202,0)),"")</f>
        <v/>
      </c>
      <c r="H48" s="53" t="n"/>
      <c r="I48" s="60" t="n"/>
      <c r="J48" s="60" t="n"/>
      <c r="K48" s="82">
        <f>IF(OR(B48="",I48="",I48=0),"",E48/I48)</f>
        <v/>
      </c>
      <c r="L48" s="60" t="n"/>
      <c r="M48" s="82">
        <f>IF(L48&gt;0,L48,K48)</f>
        <v/>
      </c>
      <c r="N48" s="53" t="n"/>
      <c r="O48" s="53" t="n"/>
      <c r="P48" s="53" t="n"/>
      <c r="Q48" s="81">
        <f>IFERROR(INDEX('Resource Rate Library'!$C$5:$C$200,MATCH(P48,'Resource Rate Library'!$A$5:$A$200,0)),"")</f>
        <v/>
      </c>
      <c r="R48" s="53" t="n"/>
      <c r="S48" s="53" t="n"/>
      <c r="T48" s="81">
        <f>IFERROR(INDEX('Resource Rate Library'!$E$5:$E$200,MATCH(P48,'Resource Rate Library'!$A$5:$A$200,0)),"")</f>
        <v/>
      </c>
      <c r="U48" s="1441" t="n"/>
      <c r="V48" s="1441" t="n"/>
      <c r="W48" s="1442">
        <f>IFERROR(INDEX('Resource Rate Library'!$I$5:$I$200,MATCH(P48,'Resource Rate Library'!$A$5:$A$200,0)),0)</f>
        <v/>
      </c>
      <c r="X48" s="1443" t="n"/>
      <c r="Y48" s="1442">
        <f>IF(X48&gt;0,X48,W48)</f>
        <v/>
      </c>
      <c r="Z48" s="1442">
        <f>IF(B48="","",IF(N48="Time x Count",M48*R48*IF(U48="",1,U48)*Y48,IF(N48="QS Qty x Factor",E48*R48*(1+IF(V48="",0,V48))*Y48,IF(N48="Direct Qty",S48*(1+IF(V48="",0,V48))*Y48,IF(N48="Lump Sum / Quote",S48*Y48,0)))))</f>
        <v/>
      </c>
      <c r="AA48" s="81">
        <f>IFERROR(INDEX('Resource Rate Library'!$N$5:$N$200,MATCH(P48,'Resource Rate Library'!$A$5:$A$200,0)),"")</f>
        <v/>
      </c>
      <c r="AB48" s="53" t="n"/>
      <c r="AC48" s="59" t="n"/>
      <c r="AD48" s="81">
        <f>IFERROR(INDEX('Resource Rate Library'!$G$5:$G$200,MATCH(P48,'Resource Rate Library'!$A$5:$A$200,0)),"")</f>
        <v/>
      </c>
      <c r="AE48" s="81">
        <f>IFERROR(INDEX('Resource Rate Library'!$H$5:$H$200,MATCH(P48,'Resource Rate Library'!$A$5:$A$200,0)),"")</f>
        <v/>
      </c>
      <c r="AF48" s="53" t="n"/>
      <c r="AG48" s="53" t="n"/>
      <c r="AH48" s="53" t="n"/>
      <c r="AI48" s="81">
        <f>IF(B48="","",IF(AND(P48="",N48&lt;&gt;"Lump Sum / Quote"),"RESOURCE CODE",IF(Y48=0,"RATE MISSING",IF(AND(O48="Plant",AD48="Yes",COUNTIFS($B$7:$B$306,B48,$O$7:$O$306,"Labour",$Q$7:$Q$306,"*Operator*")&gt;0),"OPERATOR DOUBLE-COUNT",IF(AND(O48="Plant",AE48="Yes",COUNTIFS($B$7:$B$306,B48,$Q$7:$Q$306,"*Fuel*")&gt;0),"FUEL DOUBLE-COUNT",IF(AH48&lt;&gt;"Yes","VERIFY","OK"))))))</f>
        <v/>
      </c>
      <c r="AJ48" s="54" t="n"/>
      <c r="AK48" s="473" t="n"/>
      <c r="AL48" s="473" t="n"/>
      <c r="AM48" s="473" t="n"/>
      <c r="AN48" s="1444">
        <f>IF(AND(AK48="Yes",OR(O48="Labour",O48="Plant")),Z48,0)</f>
        <v/>
      </c>
    </row>
    <row r="49" ht="22.04999923706055" customHeight="1" s="491">
      <c r="A49" s="80">
        <f>IF(B49="","",B49&amp;"-"&amp;TEXT(COUNTIF($B$7:B49,B49),"000"))</f>
        <v/>
      </c>
      <c r="B49" s="53" t="n"/>
      <c r="C49" s="81">
        <f>IFERROR(INDEX('QS Takeoff'!$A$3:$A$202,MATCH(B49,'QS Takeoff'!$B$3:$B$202,0)),"")</f>
        <v/>
      </c>
      <c r="D49" s="81">
        <f>IFERROR(INDEX('QS Takeoff'!$C$3:$C$202,MATCH(B49,'QS Takeoff'!$B$3:$B$202,0)),"")</f>
        <v/>
      </c>
      <c r="E49" s="81">
        <f>IFERROR(INDEX('QS Takeoff'!$E$3:$E$202,MATCH(B49,'QS Takeoff'!$B$3:$B$202,0)),"")</f>
        <v/>
      </c>
      <c r="F49" s="81">
        <f>IFERROR(INDEX('QS Takeoff'!$D$3:$D$202,MATCH(B49,'QS Takeoff'!$B$3:$B$202,0)),"")</f>
        <v/>
      </c>
      <c r="G49" s="81">
        <f>IFERROR(INDEX('QS Takeoff'!$J$3:$J$202,MATCH(B49,'QS Takeoff'!$B$3:$B$202,0)),"")</f>
        <v/>
      </c>
      <c r="H49" s="53" t="n"/>
      <c r="I49" s="60" t="n"/>
      <c r="J49" s="60" t="n"/>
      <c r="K49" s="82">
        <f>IF(OR(B49="",I49="",I49=0),"",E49/I49)</f>
        <v/>
      </c>
      <c r="L49" s="60" t="n"/>
      <c r="M49" s="82">
        <f>IF(L49&gt;0,L49,K49)</f>
        <v/>
      </c>
      <c r="N49" s="53" t="n"/>
      <c r="O49" s="53" t="n"/>
      <c r="P49" s="53" t="n"/>
      <c r="Q49" s="81">
        <f>IFERROR(INDEX('Resource Rate Library'!$C$5:$C$200,MATCH(P49,'Resource Rate Library'!$A$5:$A$200,0)),"")</f>
        <v/>
      </c>
      <c r="R49" s="53" t="n"/>
      <c r="S49" s="53" t="n"/>
      <c r="T49" s="81">
        <f>IFERROR(INDEX('Resource Rate Library'!$E$5:$E$200,MATCH(P49,'Resource Rate Library'!$A$5:$A$200,0)),"")</f>
        <v/>
      </c>
      <c r="U49" s="1441" t="n"/>
      <c r="V49" s="1441" t="n"/>
      <c r="W49" s="1442">
        <f>IFERROR(INDEX('Resource Rate Library'!$I$5:$I$200,MATCH(P49,'Resource Rate Library'!$A$5:$A$200,0)),0)</f>
        <v/>
      </c>
      <c r="X49" s="1443" t="n"/>
      <c r="Y49" s="1442">
        <f>IF(X49&gt;0,X49,W49)</f>
        <v/>
      </c>
      <c r="Z49" s="1442">
        <f>IF(B49="","",IF(N49="Time x Count",M49*R49*IF(U49="",1,U49)*Y49,IF(N49="QS Qty x Factor",E49*R49*(1+IF(V49="",0,V49))*Y49,IF(N49="Direct Qty",S49*(1+IF(V49="",0,V49))*Y49,IF(N49="Lump Sum / Quote",S49*Y49,0)))))</f>
        <v/>
      </c>
      <c r="AA49" s="81">
        <f>IFERROR(INDEX('Resource Rate Library'!$N$5:$N$200,MATCH(P49,'Resource Rate Library'!$A$5:$A$200,0)),"")</f>
        <v/>
      </c>
      <c r="AB49" s="53" t="n"/>
      <c r="AC49" s="59" t="n"/>
      <c r="AD49" s="81">
        <f>IFERROR(INDEX('Resource Rate Library'!$G$5:$G$200,MATCH(P49,'Resource Rate Library'!$A$5:$A$200,0)),"")</f>
        <v/>
      </c>
      <c r="AE49" s="81">
        <f>IFERROR(INDEX('Resource Rate Library'!$H$5:$H$200,MATCH(P49,'Resource Rate Library'!$A$5:$A$200,0)),"")</f>
        <v/>
      </c>
      <c r="AF49" s="53" t="n"/>
      <c r="AG49" s="53" t="n"/>
      <c r="AH49" s="53" t="n"/>
      <c r="AI49" s="81">
        <f>IF(B49="","",IF(AND(P49="",N49&lt;&gt;"Lump Sum / Quote"),"RESOURCE CODE",IF(Y49=0,"RATE MISSING",IF(AND(O49="Plant",AD49="Yes",COUNTIFS($B$7:$B$306,B49,$O$7:$O$306,"Labour",$Q$7:$Q$306,"*Operator*")&gt;0),"OPERATOR DOUBLE-COUNT",IF(AND(O49="Plant",AE49="Yes",COUNTIFS($B$7:$B$306,B49,$Q$7:$Q$306,"*Fuel*")&gt;0),"FUEL DOUBLE-COUNT",IF(AH49&lt;&gt;"Yes","VERIFY","OK"))))))</f>
        <v/>
      </c>
      <c r="AJ49" s="54" t="n"/>
      <c r="AK49" s="473" t="n"/>
      <c r="AL49" s="473" t="n"/>
      <c r="AM49" s="473" t="n"/>
      <c r="AN49" s="1444">
        <f>IF(AND(AK49="Yes",OR(O49="Labour",O49="Plant")),Z49,0)</f>
        <v/>
      </c>
    </row>
    <row r="50" ht="22.04999923706055" customHeight="1" s="491">
      <c r="A50" s="80">
        <f>IF(B50="","",B50&amp;"-"&amp;TEXT(COUNTIF($B$7:B50,B50),"000"))</f>
        <v/>
      </c>
      <c r="B50" s="53" t="n"/>
      <c r="C50" s="81">
        <f>IFERROR(INDEX('QS Takeoff'!$A$3:$A$202,MATCH(B50,'QS Takeoff'!$B$3:$B$202,0)),"")</f>
        <v/>
      </c>
      <c r="D50" s="81">
        <f>IFERROR(INDEX('QS Takeoff'!$C$3:$C$202,MATCH(B50,'QS Takeoff'!$B$3:$B$202,0)),"")</f>
        <v/>
      </c>
      <c r="E50" s="81">
        <f>IFERROR(INDEX('QS Takeoff'!$E$3:$E$202,MATCH(B50,'QS Takeoff'!$B$3:$B$202,0)),"")</f>
        <v/>
      </c>
      <c r="F50" s="81">
        <f>IFERROR(INDEX('QS Takeoff'!$D$3:$D$202,MATCH(B50,'QS Takeoff'!$B$3:$B$202,0)),"")</f>
        <v/>
      </c>
      <c r="G50" s="81">
        <f>IFERROR(INDEX('QS Takeoff'!$J$3:$J$202,MATCH(B50,'QS Takeoff'!$B$3:$B$202,0)),"")</f>
        <v/>
      </c>
      <c r="H50" s="53" t="n"/>
      <c r="I50" s="60" t="n"/>
      <c r="J50" s="60" t="n"/>
      <c r="K50" s="82">
        <f>IF(OR(B50="",I50="",I50=0),"",E50/I50)</f>
        <v/>
      </c>
      <c r="L50" s="60" t="n"/>
      <c r="M50" s="82">
        <f>IF(L50&gt;0,L50,K50)</f>
        <v/>
      </c>
      <c r="N50" s="53" t="n"/>
      <c r="O50" s="53" t="n"/>
      <c r="P50" s="53" t="n"/>
      <c r="Q50" s="81">
        <f>IFERROR(INDEX('Resource Rate Library'!$C$5:$C$200,MATCH(P50,'Resource Rate Library'!$A$5:$A$200,0)),"")</f>
        <v/>
      </c>
      <c r="R50" s="53" t="n"/>
      <c r="S50" s="53" t="n"/>
      <c r="T50" s="81">
        <f>IFERROR(INDEX('Resource Rate Library'!$E$5:$E$200,MATCH(P50,'Resource Rate Library'!$A$5:$A$200,0)),"")</f>
        <v/>
      </c>
      <c r="U50" s="1441" t="n"/>
      <c r="V50" s="1441" t="n"/>
      <c r="W50" s="1442">
        <f>IFERROR(INDEX('Resource Rate Library'!$I$5:$I$200,MATCH(P50,'Resource Rate Library'!$A$5:$A$200,0)),0)</f>
        <v/>
      </c>
      <c r="X50" s="1443" t="n"/>
      <c r="Y50" s="1442">
        <f>IF(X50&gt;0,X50,W50)</f>
        <v/>
      </c>
      <c r="Z50" s="1442">
        <f>IF(B50="","",IF(N50="Time x Count",M50*R50*IF(U50="",1,U50)*Y50,IF(N50="QS Qty x Factor",E50*R50*(1+IF(V50="",0,V50))*Y50,IF(N50="Direct Qty",S50*(1+IF(V50="",0,V50))*Y50,IF(N50="Lump Sum / Quote",S50*Y50,0)))))</f>
        <v/>
      </c>
      <c r="AA50" s="81">
        <f>IFERROR(INDEX('Resource Rate Library'!$N$5:$N$200,MATCH(P50,'Resource Rate Library'!$A$5:$A$200,0)),"")</f>
        <v/>
      </c>
      <c r="AB50" s="53" t="n"/>
      <c r="AC50" s="59" t="n"/>
      <c r="AD50" s="81">
        <f>IFERROR(INDEX('Resource Rate Library'!$G$5:$G$200,MATCH(P50,'Resource Rate Library'!$A$5:$A$200,0)),"")</f>
        <v/>
      </c>
      <c r="AE50" s="81">
        <f>IFERROR(INDEX('Resource Rate Library'!$H$5:$H$200,MATCH(P50,'Resource Rate Library'!$A$5:$A$200,0)),"")</f>
        <v/>
      </c>
      <c r="AF50" s="53" t="n"/>
      <c r="AG50" s="53" t="n"/>
      <c r="AH50" s="53" t="n"/>
      <c r="AI50" s="81">
        <f>IF(B50="","",IF(AND(P50="",N50&lt;&gt;"Lump Sum / Quote"),"RESOURCE CODE",IF(Y50=0,"RATE MISSING",IF(AND(O50="Plant",AD50="Yes",COUNTIFS($B$7:$B$306,B50,$O$7:$O$306,"Labour",$Q$7:$Q$306,"*Operator*")&gt;0),"OPERATOR DOUBLE-COUNT",IF(AND(O50="Plant",AE50="Yes",COUNTIFS($B$7:$B$306,B50,$Q$7:$Q$306,"*Fuel*")&gt;0),"FUEL DOUBLE-COUNT",IF(AH50&lt;&gt;"Yes","VERIFY","OK"))))))</f>
        <v/>
      </c>
      <c r="AJ50" s="54" t="n"/>
      <c r="AK50" s="473" t="n"/>
      <c r="AL50" s="473" t="n"/>
      <c r="AM50" s="473" t="n"/>
      <c r="AN50" s="1444">
        <f>IF(AND(AK50="Yes",OR(O50="Labour",O50="Plant")),Z50,0)</f>
        <v/>
      </c>
    </row>
    <row r="51" ht="22.04999923706055" customHeight="1" s="491">
      <c r="A51" s="80">
        <f>IF(B51="","",B51&amp;"-"&amp;TEXT(COUNTIF($B$7:B51,B51),"000"))</f>
        <v/>
      </c>
      <c r="B51" s="53" t="n"/>
      <c r="C51" s="81">
        <f>IFERROR(INDEX('QS Takeoff'!$A$3:$A$202,MATCH(B51,'QS Takeoff'!$B$3:$B$202,0)),"")</f>
        <v/>
      </c>
      <c r="D51" s="81">
        <f>IFERROR(INDEX('QS Takeoff'!$C$3:$C$202,MATCH(B51,'QS Takeoff'!$B$3:$B$202,0)),"")</f>
        <v/>
      </c>
      <c r="E51" s="81">
        <f>IFERROR(INDEX('QS Takeoff'!$E$3:$E$202,MATCH(B51,'QS Takeoff'!$B$3:$B$202,0)),"")</f>
        <v/>
      </c>
      <c r="F51" s="81">
        <f>IFERROR(INDEX('QS Takeoff'!$D$3:$D$202,MATCH(B51,'QS Takeoff'!$B$3:$B$202,0)),"")</f>
        <v/>
      </c>
      <c r="G51" s="81">
        <f>IFERROR(INDEX('QS Takeoff'!$J$3:$J$202,MATCH(B51,'QS Takeoff'!$B$3:$B$202,0)),"")</f>
        <v/>
      </c>
      <c r="H51" s="53" t="n"/>
      <c r="I51" s="60" t="n"/>
      <c r="J51" s="60" t="n"/>
      <c r="K51" s="82">
        <f>IF(OR(B51="",I51="",I51=0),"",E51/I51)</f>
        <v/>
      </c>
      <c r="L51" s="60" t="n"/>
      <c r="M51" s="82">
        <f>IF(L51&gt;0,L51,K51)</f>
        <v/>
      </c>
      <c r="N51" s="53" t="n"/>
      <c r="O51" s="53" t="n"/>
      <c r="P51" s="53" t="n"/>
      <c r="Q51" s="81">
        <f>IFERROR(INDEX('Resource Rate Library'!$C$5:$C$200,MATCH(P51,'Resource Rate Library'!$A$5:$A$200,0)),"")</f>
        <v/>
      </c>
      <c r="R51" s="53" t="n"/>
      <c r="S51" s="53" t="n"/>
      <c r="T51" s="81">
        <f>IFERROR(INDEX('Resource Rate Library'!$E$5:$E$200,MATCH(P51,'Resource Rate Library'!$A$5:$A$200,0)),"")</f>
        <v/>
      </c>
      <c r="U51" s="1441" t="n"/>
      <c r="V51" s="1441" t="n"/>
      <c r="W51" s="1442">
        <f>IFERROR(INDEX('Resource Rate Library'!$I$5:$I$200,MATCH(P51,'Resource Rate Library'!$A$5:$A$200,0)),0)</f>
        <v/>
      </c>
      <c r="X51" s="1443" t="n"/>
      <c r="Y51" s="1442">
        <f>IF(X51&gt;0,X51,W51)</f>
        <v/>
      </c>
      <c r="Z51" s="1442">
        <f>IF(B51="","",IF(N51="Time x Count",M51*R51*IF(U51="",1,U51)*Y51,IF(N51="QS Qty x Factor",E51*R51*(1+IF(V51="",0,V51))*Y51,IF(N51="Direct Qty",S51*(1+IF(V51="",0,V51))*Y51,IF(N51="Lump Sum / Quote",S51*Y51,0)))))</f>
        <v/>
      </c>
      <c r="AA51" s="81">
        <f>IFERROR(INDEX('Resource Rate Library'!$N$5:$N$200,MATCH(P51,'Resource Rate Library'!$A$5:$A$200,0)),"")</f>
        <v/>
      </c>
      <c r="AB51" s="53" t="n"/>
      <c r="AC51" s="59" t="n"/>
      <c r="AD51" s="81">
        <f>IFERROR(INDEX('Resource Rate Library'!$G$5:$G$200,MATCH(P51,'Resource Rate Library'!$A$5:$A$200,0)),"")</f>
        <v/>
      </c>
      <c r="AE51" s="81">
        <f>IFERROR(INDEX('Resource Rate Library'!$H$5:$H$200,MATCH(P51,'Resource Rate Library'!$A$5:$A$200,0)),"")</f>
        <v/>
      </c>
      <c r="AF51" s="53" t="n"/>
      <c r="AG51" s="53" t="n"/>
      <c r="AH51" s="53" t="n"/>
      <c r="AI51" s="81">
        <f>IF(B51="","",IF(AND(P51="",N51&lt;&gt;"Lump Sum / Quote"),"RESOURCE CODE",IF(Y51=0,"RATE MISSING",IF(AND(O51="Plant",AD51="Yes",COUNTIFS($B$7:$B$306,B51,$O$7:$O$306,"Labour",$Q$7:$Q$306,"*Operator*")&gt;0),"OPERATOR DOUBLE-COUNT",IF(AND(O51="Plant",AE51="Yes",COUNTIFS($B$7:$B$306,B51,$Q$7:$Q$306,"*Fuel*")&gt;0),"FUEL DOUBLE-COUNT",IF(AH51&lt;&gt;"Yes","VERIFY","OK"))))))</f>
        <v/>
      </c>
      <c r="AJ51" s="54" t="n"/>
      <c r="AK51" s="473" t="n"/>
      <c r="AL51" s="473" t="n"/>
      <c r="AM51" s="473" t="n"/>
      <c r="AN51" s="1444">
        <f>IF(AND(AK51="Yes",OR(O51="Labour",O51="Plant")),Z51,0)</f>
        <v/>
      </c>
    </row>
    <row r="52" ht="22.04999923706055" customHeight="1" s="491">
      <c r="A52" s="80">
        <f>IF(B52="","",B52&amp;"-"&amp;TEXT(COUNTIF($B$7:B52,B52),"000"))</f>
        <v/>
      </c>
      <c r="B52" s="53" t="n"/>
      <c r="C52" s="81">
        <f>IFERROR(INDEX('QS Takeoff'!$A$3:$A$202,MATCH(B52,'QS Takeoff'!$B$3:$B$202,0)),"")</f>
        <v/>
      </c>
      <c r="D52" s="81">
        <f>IFERROR(INDEX('QS Takeoff'!$C$3:$C$202,MATCH(B52,'QS Takeoff'!$B$3:$B$202,0)),"")</f>
        <v/>
      </c>
      <c r="E52" s="81">
        <f>IFERROR(INDEX('QS Takeoff'!$E$3:$E$202,MATCH(B52,'QS Takeoff'!$B$3:$B$202,0)),"")</f>
        <v/>
      </c>
      <c r="F52" s="81">
        <f>IFERROR(INDEX('QS Takeoff'!$D$3:$D$202,MATCH(B52,'QS Takeoff'!$B$3:$B$202,0)),"")</f>
        <v/>
      </c>
      <c r="G52" s="81">
        <f>IFERROR(INDEX('QS Takeoff'!$J$3:$J$202,MATCH(B52,'QS Takeoff'!$B$3:$B$202,0)),"")</f>
        <v/>
      </c>
      <c r="H52" s="53" t="n"/>
      <c r="I52" s="60" t="n"/>
      <c r="J52" s="60" t="n"/>
      <c r="K52" s="82">
        <f>IF(OR(B52="",I52="",I52=0),"",E52/I52)</f>
        <v/>
      </c>
      <c r="L52" s="60" t="n"/>
      <c r="M52" s="82">
        <f>IF(L52&gt;0,L52,K52)</f>
        <v/>
      </c>
      <c r="N52" s="53" t="n"/>
      <c r="O52" s="53" t="n"/>
      <c r="P52" s="53" t="n"/>
      <c r="Q52" s="81">
        <f>IFERROR(INDEX('Resource Rate Library'!$C$5:$C$200,MATCH(P52,'Resource Rate Library'!$A$5:$A$200,0)),"")</f>
        <v/>
      </c>
      <c r="R52" s="53" t="n"/>
      <c r="S52" s="53" t="n"/>
      <c r="T52" s="81">
        <f>IFERROR(INDEX('Resource Rate Library'!$E$5:$E$200,MATCH(P52,'Resource Rate Library'!$A$5:$A$200,0)),"")</f>
        <v/>
      </c>
      <c r="U52" s="1441" t="n"/>
      <c r="V52" s="1441" t="n"/>
      <c r="W52" s="1442">
        <f>IFERROR(INDEX('Resource Rate Library'!$I$5:$I$200,MATCH(P52,'Resource Rate Library'!$A$5:$A$200,0)),0)</f>
        <v/>
      </c>
      <c r="X52" s="1443" t="n"/>
      <c r="Y52" s="1442">
        <f>IF(X52&gt;0,X52,W52)</f>
        <v/>
      </c>
      <c r="Z52" s="1442">
        <f>IF(B52="","",IF(N52="Time x Count",M52*R52*IF(U52="",1,U52)*Y52,IF(N52="QS Qty x Factor",E52*R52*(1+IF(V52="",0,V52))*Y52,IF(N52="Direct Qty",S52*(1+IF(V52="",0,V52))*Y52,IF(N52="Lump Sum / Quote",S52*Y52,0)))))</f>
        <v/>
      </c>
      <c r="AA52" s="81">
        <f>IFERROR(INDEX('Resource Rate Library'!$N$5:$N$200,MATCH(P52,'Resource Rate Library'!$A$5:$A$200,0)),"")</f>
        <v/>
      </c>
      <c r="AB52" s="53" t="n"/>
      <c r="AC52" s="59" t="n"/>
      <c r="AD52" s="81">
        <f>IFERROR(INDEX('Resource Rate Library'!$G$5:$G$200,MATCH(P52,'Resource Rate Library'!$A$5:$A$200,0)),"")</f>
        <v/>
      </c>
      <c r="AE52" s="81">
        <f>IFERROR(INDEX('Resource Rate Library'!$H$5:$H$200,MATCH(P52,'Resource Rate Library'!$A$5:$A$200,0)),"")</f>
        <v/>
      </c>
      <c r="AF52" s="53" t="n"/>
      <c r="AG52" s="53" t="n"/>
      <c r="AH52" s="53" t="n"/>
      <c r="AI52" s="81">
        <f>IF(B52="","",IF(AND(P52="",N52&lt;&gt;"Lump Sum / Quote"),"RESOURCE CODE",IF(Y52=0,"RATE MISSING",IF(AND(O52="Plant",AD52="Yes",COUNTIFS($B$7:$B$306,B52,$O$7:$O$306,"Labour",$Q$7:$Q$306,"*Operator*")&gt;0),"OPERATOR DOUBLE-COUNT",IF(AND(O52="Plant",AE52="Yes",COUNTIFS($B$7:$B$306,B52,$Q$7:$Q$306,"*Fuel*")&gt;0),"FUEL DOUBLE-COUNT",IF(AH52&lt;&gt;"Yes","VERIFY","OK"))))))</f>
        <v/>
      </c>
      <c r="AJ52" s="54" t="n"/>
      <c r="AK52" s="473" t="n"/>
      <c r="AL52" s="473" t="n"/>
      <c r="AM52" s="473" t="n"/>
      <c r="AN52" s="1444">
        <f>IF(AND(AK52="Yes",OR(O52="Labour",O52="Plant")),Z52,0)</f>
        <v/>
      </c>
    </row>
    <row r="53" ht="22.04999923706055" customHeight="1" s="491">
      <c r="A53" s="80">
        <f>IF(B53="","",B53&amp;"-"&amp;TEXT(COUNTIF($B$7:B53,B53),"000"))</f>
        <v/>
      </c>
      <c r="B53" s="53" t="n"/>
      <c r="C53" s="81">
        <f>IFERROR(INDEX('QS Takeoff'!$A$3:$A$202,MATCH(B53,'QS Takeoff'!$B$3:$B$202,0)),"")</f>
        <v/>
      </c>
      <c r="D53" s="81">
        <f>IFERROR(INDEX('QS Takeoff'!$C$3:$C$202,MATCH(B53,'QS Takeoff'!$B$3:$B$202,0)),"")</f>
        <v/>
      </c>
      <c r="E53" s="81">
        <f>IFERROR(INDEX('QS Takeoff'!$E$3:$E$202,MATCH(B53,'QS Takeoff'!$B$3:$B$202,0)),"")</f>
        <v/>
      </c>
      <c r="F53" s="81">
        <f>IFERROR(INDEX('QS Takeoff'!$D$3:$D$202,MATCH(B53,'QS Takeoff'!$B$3:$B$202,0)),"")</f>
        <v/>
      </c>
      <c r="G53" s="81">
        <f>IFERROR(INDEX('QS Takeoff'!$J$3:$J$202,MATCH(B53,'QS Takeoff'!$B$3:$B$202,0)),"")</f>
        <v/>
      </c>
      <c r="H53" s="53" t="n"/>
      <c r="I53" s="60" t="n"/>
      <c r="J53" s="60" t="n"/>
      <c r="K53" s="82">
        <f>IF(OR(B53="",I53="",I53=0),"",E53/I53)</f>
        <v/>
      </c>
      <c r="L53" s="60" t="n"/>
      <c r="M53" s="82">
        <f>IF(L53&gt;0,L53,K53)</f>
        <v/>
      </c>
      <c r="N53" s="53" t="n"/>
      <c r="O53" s="53" t="n"/>
      <c r="P53" s="53" t="n"/>
      <c r="Q53" s="81">
        <f>IFERROR(INDEX('Resource Rate Library'!$C$5:$C$200,MATCH(P53,'Resource Rate Library'!$A$5:$A$200,0)),"")</f>
        <v/>
      </c>
      <c r="R53" s="53" t="n"/>
      <c r="S53" s="53" t="n"/>
      <c r="T53" s="81">
        <f>IFERROR(INDEX('Resource Rate Library'!$E$5:$E$200,MATCH(P53,'Resource Rate Library'!$A$5:$A$200,0)),"")</f>
        <v/>
      </c>
      <c r="U53" s="1441" t="n"/>
      <c r="V53" s="1441" t="n"/>
      <c r="W53" s="1442">
        <f>IFERROR(INDEX('Resource Rate Library'!$I$5:$I$200,MATCH(P53,'Resource Rate Library'!$A$5:$A$200,0)),0)</f>
        <v/>
      </c>
      <c r="X53" s="1443" t="n"/>
      <c r="Y53" s="1442">
        <f>IF(X53&gt;0,X53,W53)</f>
        <v/>
      </c>
      <c r="Z53" s="1442">
        <f>IF(B53="","",IF(N53="Time x Count",M53*R53*IF(U53="",1,U53)*Y53,IF(N53="QS Qty x Factor",E53*R53*(1+IF(V53="",0,V53))*Y53,IF(N53="Direct Qty",S53*(1+IF(V53="",0,V53))*Y53,IF(N53="Lump Sum / Quote",S53*Y53,0)))))</f>
        <v/>
      </c>
      <c r="AA53" s="81">
        <f>IFERROR(INDEX('Resource Rate Library'!$N$5:$N$200,MATCH(P53,'Resource Rate Library'!$A$5:$A$200,0)),"")</f>
        <v/>
      </c>
      <c r="AB53" s="53" t="n"/>
      <c r="AC53" s="59" t="n"/>
      <c r="AD53" s="81">
        <f>IFERROR(INDEX('Resource Rate Library'!$G$5:$G$200,MATCH(P53,'Resource Rate Library'!$A$5:$A$200,0)),"")</f>
        <v/>
      </c>
      <c r="AE53" s="81">
        <f>IFERROR(INDEX('Resource Rate Library'!$H$5:$H$200,MATCH(P53,'Resource Rate Library'!$A$5:$A$200,0)),"")</f>
        <v/>
      </c>
      <c r="AF53" s="53" t="n"/>
      <c r="AG53" s="53" t="n"/>
      <c r="AH53" s="53" t="n"/>
      <c r="AI53" s="81">
        <f>IF(B53="","",IF(AND(P53="",N53&lt;&gt;"Lump Sum / Quote"),"RESOURCE CODE",IF(Y53=0,"RATE MISSING",IF(AND(O53="Plant",AD53="Yes",COUNTIFS($B$7:$B$306,B53,$O$7:$O$306,"Labour",$Q$7:$Q$306,"*Operator*")&gt;0),"OPERATOR DOUBLE-COUNT",IF(AND(O53="Plant",AE53="Yes",COUNTIFS($B$7:$B$306,B53,$Q$7:$Q$306,"*Fuel*")&gt;0),"FUEL DOUBLE-COUNT",IF(AH53&lt;&gt;"Yes","VERIFY","OK"))))))</f>
        <v/>
      </c>
      <c r="AJ53" s="54" t="n"/>
      <c r="AK53" s="473" t="n"/>
      <c r="AL53" s="473" t="n"/>
      <c r="AM53" s="473" t="n"/>
      <c r="AN53" s="1444">
        <f>IF(AND(AK53="Yes",OR(O53="Labour",O53="Plant")),Z53,0)</f>
        <v/>
      </c>
    </row>
    <row r="54" ht="22.04999923706055" customHeight="1" s="491">
      <c r="A54" s="80">
        <f>IF(B54="","",B54&amp;"-"&amp;TEXT(COUNTIF($B$7:B54,B54),"000"))</f>
        <v/>
      </c>
      <c r="B54" s="53" t="n"/>
      <c r="C54" s="81">
        <f>IFERROR(INDEX('QS Takeoff'!$A$3:$A$202,MATCH(B54,'QS Takeoff'!$B$3:$B$202,0)),"")</f>
        <v/>
      </c>
      <c r="D54" s="81">
        <f>IFERROR(INDEX('QS Takeoff'!$C$3:$C$202,MATCH(B54,'QS Takeoff'!$B$3:$B$202,0)),"")</f>
        <v/>
      </c>
      <c r="E54" s="81">
        <f>IFERROR(INDEX('QS Takeoff'!$E$3:$E$202,MATCH(B54,'QS Takeoff'!$B$3:$B$202,0)),"")</f>
        <v/>
      </c>
      <c r="F54" s="81">
        <f>IFERROR(INDEX('QS Takeoff'!$D$3:$D$202,MATCH(B54,'QS Takeoff'!$B$3:$B$202,0)),"")</f>
        <v/>
      </c>
      <c r="G54" s="81">
        <f>IFERROR(INDEX('QS Takeoff'!$J$3:$J$202,MATCH(B54,'QS Takeoff'!$B$3:$B$202,0)),"")</f>
        <v/>
      </c>
      <c r="H54" s="53" t="n"/>
      <c r="I54" s="60" t="n"/>
      <c r="J54" s="60" t="n"/>
      <c r="K54" s="82">
        <f>IF(OR(B54="",I54="",I54=0),"",E54/I54)</f>
        <v/>
      </c>
      <c r="L54" s="60" t="n"/>
      <c r="M54" s="82">
        <f>IF(L54&gt;0,L54,K54)</f>
        <v/>
      </c>
      <c r="N54" s="53" t="n"/>
      <c r="O54" s="53" t="n"/>
      <c r="P54" s="53" t="n"/>
      <c r="Q54" s="81">
        <f>IFERROR(INDEX('Resource Rate Library'!$C$5:$C$200,MATCH(P54,'Resource Rate Library'!$A$5:$A$200,0)),"")</f>
        <v/>
      </c>
      <c r="R54" s="53" t="n"/>
      <c r="S54" s="53" t="n"/>
      <c r="T54" s="81">
        <f>IFERROR(INDEX('Resource Rate Library'!$E$5:$E$200,MATCH(P54,'Resource Rate Library'!$A$5:$A$200,0)),"")</f>
        <v/>
      </c>
      <c r="U54" s="1441" t="n"/>
      <c r="V54" s="1441" t="n"/>
      <c r="W54" s="1442">
        <f>IFERROR(INDEX('Resource Rate Library'!$I$5:$I$200,MATCH(P54,'Resource Rate Library'!$A$5:$A$200,0)),0)</f>
        <v/>
      </c>
      <c r="X54" s="1443" t="n"/>
      <c r="Y54" s="1442">
        <f>IF(X54&gt;0,X54,W54)</f>
        <v/>
      </c>
      <c r="Z54" s="1442">
        <f>IF(B54="","",IF(N54="Time x Count",M54*R54*IF(U54="",1,U54)*Y54,IF(N54="QS Qty x Factor",E54*R54*(1+IF(V54="",0,V54))*Y54,IF(N54="Direct Qty",S54*(1+IF(V54="",0,V54))*Y54,IF(N54="Lump Sum / Quote",S54*Y54,0)))))</f>
        <v/>
      </c>
      <c r="AA54" s="81">
        <f>IFERROR(INDEX('Resource Rate Library'!$N$5:$N$200,MATCH(P54,'Resource Rate Library'!$A$5:$A$200,0)),"")</f>
        <v/>
      </c>
      <c r="AB54" s="53" t="n"/>
      <c r="AC54" s="59" t="n"/>
      <c r="AD54" s="81">
        <f>IFERROR(INDEX('Resource Rate Library'!$G$5:$G$200,MATCH(P54,'Resource Rate Library'!$A$5:$A$200,0)),"")</f>
        <v/>
      </c>
      <c r="AE54" s="81">
        <f>IFERROR(INDEX('Resource Rate Library'!$H$5:$H$200,MATCH(P54,'Resource Rate Library'!$A$5:$A$200,0)),"")</f>
        <v/>
      </c>
      <c r="AF54" s="53" t="n"/>
      <c r="AG54" s="53" t="n"/>
      <c r="AH54" s="53" t="n"/>
      <c r="AI54" s="81">
        <f>IF(B54="","",IF(AND(P54="",N54&lt;&gt;"Lump Sum / Quote"),"RESOURCE CODE",IF(Y54=0,"RATE MISSING",IF(AND(O54="Plant",AD54="Yes",COUNTIFS($B$7:$B$306,B54,$O$7:$O$306,"Labour",$Q$7:$Q$306,"*Operator*")&gt;0),"OPERATOR DOUBLE-COUNT",IF(AND(O54="Plant",AE54="Yes",COUNTIFS($B$7:$B$306,B54,$Q$7:$Q$306,"*Fuel*")&gt;0),"FUEL DOUBLE-COUNT",IF(AH54&lt;&gt;"Yes","VERIFY","OK"))))))</f>
        <v/>
      </c>
      <c r="AJ54" s="54" t="n"/>
      <c r="AK54" s="473" t="n"/>
      <c r="AL54" s="473" t="n"/>
      <c r="AM54" s="473" t="n"/>
      <c r="AN54" s="1444">
        <f>IF(AND(AK54="Yes",OR(O54="Labour",O54="Plant")),Z54,0)</f>
        <v/>
      </c>
    </row>
    <row r="55" ht="22.04999923706055" customHeight="1" s="491">
      <c r="A55" s="80">
        <f>IF(B55="","",B55&amp;"-"&amp;TEXT(COUNTIF($B$7:B55,B55),"000"))</f>
        <v/>
      </c>
      <c r="B55" s="53" t="n"/>
      <c r="C55" s="81">
        <f>IFERROR(INDEX('QS Takeoff'!$A$3:$A$202,MATCH(B55,'QS Takeoff'!$B$3:$B$202,0)),"")</f>
        <v/>
      </c>
      <c r="D55" s="81">
        <f>IFERROR(INDEX('QS Takeoff'!$C$3:$C$202,MATCH(B55,'QS Takeoff'!$B$3:$B$202,0)),"")</f>
        <v/>
      </c>
      <c r="E55" s="81">
        <f>IFERROR(INDEX('QS Takeoff'!$E$3:$E$202,MATCH(B55,'QS Takeoff'!$B$3:$B$202,0)),"")</f>
        <v/>
      </c>
      <c r="F55" s="81">
        <f>IFERROR(INDEX('QS Takeoff'!$D$3:$D$202,MATCH(B55,'QS Takeoff'!$B$3:$B$202,0)),"")</f>
        <v/>
      </c>
      <c r="G55" s="81">
        <f>IFERROR(INDEX('QS Takeoff'!$J$3:$J$202,MATCH(B55,'QS Takeoff'!$B$3:$B$202,0)),"")</f>
        <v/>
      </c>
      <c r="H55" s="53" t="n"/>
      <c r="I55" s="60" t="n"/>
      <c r="J55" s="60" t="n"/>
      <c r="K55" s="82">
        <f>IF(OR(B55="",I55="",I55=0),"",E55/I55)</f>
        <v/>
      </c>
      <c r="L55" s="60" t="n"/>
      <c r="M55" s="82">
        <f>IF(L55&gt;0,L55,K55)</f>
        <v/>
      </c>
      <c r="N55" s="53" t="n"/>
      <c r="O55" s="53" t="n"/>
      <c r="P55" s="53" t="n"/>
      <c r="Q55" s="81">
        <f>IFERROR(INDEX('Resource Rate Library'!$C$5:$C$200,MATCH(P55,'Resource Rate Library'!$A$5:$A$200,0)),"")</f>
        <v/>
      </c>
      <c r="R55" s="53" t="n"/>
      <c r="S55" s="53" t="n"/>
      <c r="T55" s="81">
        <f>IFERROR(INDEX('Resource Rate Library'!$E$5:$E$200,MATCH(P55,'Resource Rate Library'!$A$5:$A$200,0)),"")</f>
        <v/>
      </c>
      <c r="U55" s="1441" t="n"/>
      <c r="V55" s="1441" t="n"/>
      <c r="W55" s="1442">
        <f>IFERROR(INDEX('Resource Rate Library'!$I$5:$I$200,MATCH(P55,'Resource Rate Library'!$A$5:$A$200,0)),0)</f>
        <v/>
      </c>
      <c r="X55" s="1443" t="n"/>
      <c r="Y55" s="1442">
        <f>IF(X55&gt;0,X55,W55)</f>
        <v/>
      </c>
      <c r="Z55" s="1442">
        <f>IF(B55="","",IF(N55="Time x Count",M55*R55*IF(U55="",1,U55)*Y55,IF(N55="QS Qty x Factor",E55*R55*(1+IF(V55="",0,V55))*Y55,IF(N55="Direct Qty",S55*(1+IF(V55="",0,V55))*Y55,IF(N55="Lump Sum / Quote",S55*Y55,0)))))</f>
        <v/>
      </c>
      <c r="AA55" s="81">
        <f>IFERROR(INDEX('Resource Rate Library'!$N$5:$N$200,MATCH(P55,'Resource Rate Library'!$A$5:$A$200,0)),"")</f>
        <v/>
      </c>
      <c r="AB55" s="53" t="n"/>
      <c r="AC55" s="59" t="n"/>
      <c r="AD55" s="81">
        <f>IFERROR(INDEX('Resource Rate Library'!$G$5:$G$200,MATCH(P55,'Resource Rate Library'!$A$5:$A$200,0)),"")</f>
        <v/>
      </c>
      <c r="AE55" s="81">
        <f>IFERROR(INDEX('Resource Rate Library'!$H$5:$H$200,MATCH(P55,'Resource Rate Library'!$A$5:$A$200,0)),"")</f>
        <v/>
      </c>
      <c r="AF55" s="53" t="n"/>
      <c r="AG55" s="53" t="n"/>
      <c r="AH55" s="53" t="n"/>
      <c r="AI55" s="81">
        <f>IF(B55="","",IF(AND(P55="",N55&lt;&gt;"Lump Sum / Quote"),"RESOURCE CODE",IF(Y55=0,"RATE MISSING",IF(AND(O55="Plant",AD55="Yes",COUNTIFS($B$7:$B$306,B55,$O$7:$O$306,"Labour",$Q$7:$Q$306,"*Operator*")&gt;0),"OPERATOR DOUBLE-COUNT",IF(AND(O55="Plant",AE55="Yes",COUNTIFS($B$7:$B$306,B55,$Q$7:$Q$306,"*Fuel*")&gt;0),"FUEL DOUBLE-COUNT",IF(AH55&lt;&gt;"Yes","VERIFY","OK"))))))</f>
        <v/>
      </c>
      <c r="AJ55" s="54" t="n"/>
      <c r="AK55" s="473" t="n"/>
      <c r="AL55" s="473" t="n"/>
      <c r="AM55" s="473" t="n"/>
      <c r="AN55" s="1444">
        <f>IF(AND(AK55="Yes",OR(O55="Labour",O55="Plant")),Z55,0)</f>
        <v/>
      </c>
    </row>
    <row r="56" ht="22.04999923706055" customHeight="1" s="491">
      <c r="A56" s="80">
        <f>IF(B56="","",B56&amp;"-"&amp;TEXT(COUNTIF($B$7:B56,B56),"000"))</f>
        <v/>
      </c>
      <c r="B56" s="53" t="n"/>
      <c r="C56" s="81">
        <f>IFERROR(INDEX('QS Takeoff'!$A$3:$A$202,MATCH(B56,'QS Takeoff'!$B$3:$B$202,0)),"")</f>
        <v/>
      </c>
      <c r="D56" s="81">
        <f>IFERROR(INDEX('QS Takeoff'!$C$3:$C$202,MATCH(B56,'QS Takeoff'!$B$3:$B$202,0)),"")</f>
        <v/>
      </c>
      <c r="E56" s="81">
        <f>IFERROR(INDEX('QS Takeoff'!$E$3:$E$202,MATCH(B56,'QS Takeoff'!$B$3:$B$202,0)),"")</f>
        <v/>
      </c>
      <c r="F56" s="81">
        <f>IFERROR(INDEX('QS Takeoff'!$D$3:$D$202,MATCH(B56,'QS Takeoff'!$B$3:$B$202,0)),"")</f>
        <v/>
      </c>
      <c r="G56" s="81">
        <f>IFERROR(INDEX('QS Takeoff'!$J$3:$J$202,MATCH(B56,'QS Takeoff'!$B$3:$B$202,0)),"")</f>
        <v/>
      </c>
      <c r="H56" s="53" t="n"/>
      <c r="I56" s="60" t="n"/>
      <c r="J56" s="60" t="n"/>
      <c r="K56" s="82">
        <f>IF(OR(B56="",I56="",I56=0),"",E56/I56)</f>
        <v/>
      </c>
      <c r="L56" s="60" t="n"/>
      <c r="M56" s="82">
        <f>IF(L56&gt;0,L56,K56)</f>
        <v/>
      </c>
      <c r="N56" s="53" t="n"/>
      <c r="O56" s="53" t="n"/>
      <c r="P56" s="53" t="n"/>
      <c r="Q56" s="81">
        <f>IFERROR(INDEX('Resource Rate Library'!$C$5:$C$200,MATCH(P56,'Resource Rate Library'!$A$5:$A$200,0)),"")</f>
        <v/>
      </c>
      <c r="R56" s="53" t="n"/>
      <c r="S56" s="53" t="n"/>
      <c r="T56" s="81">
        <f>IFERROR(INDEX('Resource Rate Library'!$E$5:$E$200,MATCH(P56,'Resource Rate Library'!$A$5:$A$200,0)),"")</f>
        <v/>
      </c>
      <c r="U56" s="1441" t="n"/>
      <c r="V56" s="1441" t="n"/>
      <c r="W56" s="1442">
        <f>IFERROR(INDEX('Resource Rate Library'!$I$5:$I$200,MATCH(P56,'Resource Rate Library'!$A$5:$A$200,0)),0)</f>
        <v/>
      </c>
      <c r="X56" s="1443" t="n"/>
      <c r="Y56" s="1442">
        <f>IF(X56&gt;0,X56,W56)</f>
        <v/>
      </c>
      <c r="Z56" s="1442">
        <f>IF(B56="","",IF(N56="Time x Count",M56*R56*IF(U56="",1,U56)*Y56,IF(N56="QS Qty x Factor",E56*R56*(1+IF(V56="",0,V56))*Y56,IF(N56="Direct Qty",S56*(1+IF(V56="",0,V56))*Y56,IF(N56="Lump Sum / Quote",S56*Y56,0)))))</f>
        <v/>
      </c>
      <c r="AA56" s="81">
        <f>IFERROR(INDEX('Resource Rate Library'!$N$5:$N$200,MATCH(P56,'Resource Rate Library'!$A$5:$A$200,0)),"")</f>
        <v/>
      </c>
      <c r="AB56" s="53" t="n"/>
      <c r="AC56" s="59" t="n"/>
      <c r="AD56" s="81">
        <f>IFERROR(INDEX('Resource Rate Library'!$G$5:$G$200,MATCH(P56,'Resource Rate Library'!$A$5:$A$200,0)),"")</f>
        <v/>
      </c>
      <c r="AE56" s="81">
        <f>IFERROR(INDEX('Resource Rate Library'!$H$5:$H$200,MATCH(P56,'Resource Rate Library'!$A$5:$A$200,0)),"")</f>
        <v/>
      </c>
      <c r="AF56" s="53" t="n"/>
      <c r="AG56" s="53" t="n"/>
      <c r="AH56" s="53" t="n"/>
      <c r="AI56" s="81">
        <f>IF(B56="","",IF(AND(P56="",N56&lt;&gt;"Lump Sum / Quote"),"RESOURCE CODE",IF(Y56=0,"RATE MISSING",IF(AND(O56="Plant",AD56="Yes",COUNTIFS($B$7:$B$306,B56,$O$7:$O$306,"Labour",$Q$7:$Q$306,"*Operator*")&gt;0),"OPERATOR DOUBLE-COUNT",IF(AND(O56="Plant",AE56="Yes",COUNTIFS($B$7:$B$306,B56,$Q$7:$Q$306,"*Fuel*")&gt;0),"FUEL DOUBLE-COUNT",IF(AH56&lt;&gt;"Yes","VERIFY","OK"))))))</f>
        <v/>
      </c>
      <c r="AJ56" s="54" t="n"/>
      <c r="AK56" s="473" t="n"/>
      <c r="AL56" s="473" t="n"/>
      <c r="AM56" s="473" t="n"/>
      <c r="AN56" s="1444">
        <f>IF(AND(AK56="Yes",OR(O56="Labour",O56="Plant")),Z56,0)</f>
        <v/>
      </c>
    </row>
    <row r="57" ht="22.04999923706055" customHeight="1" s="491">
      <c r="A57" s="80">
        <f>IF(B57="","",B57&amp;"-"&amp;TEXT(COUNTIF($B$7:B57,B57),"000"))</f>
        <v/>
      </c>
      <c r="B57" s="53" t="n"/>
      <c r="C57" s="81">
        <f>IFERROR(INDEX('QS Takeoff'!$A$3:$A$202,MATCH(B57,'QS Takeoff'!$B$3:$B$202,0)),"")</f>
        <v/>
      </c>
      <c r="D57" s="81">
        <f>IFERROR(INDEX('QS Takeoff'!$C$3:$C$202,MATCH(B57,'QS Takeoff'!$B$3:$B$202,0)),"")</f>
        <v/>
      </c>
      <c r="E57" s="81">
        <f>IFERROR(INDEX('QS Takeoff'!$E$3:$E$202,MATCH(B57,'QS Takeoff'!$B$3:$B$202,0)),"")</f>
        <v/>
      </c>
      <c r="F57" s="81">
        <f>IFERROR(INDEX('QS Takeoff'!$D$3:$D$202,MATCH(B57,'QS Takeoff'!$B$3:$B$202,0)),"")</f>
        <v/>
      </c>
      <c r="G57" s="81">
        <f>IFERROR(INDEX('QS Takeoff'!$J$3:$J$202,MATCH(B57,'QS Takeoff'!$B$3:$B$202,0)),"")</f>
        <v/>
      </c>
      <c r="H57" s="53" t="n"/>
      <c r="I57" s="60" t="n"/>
      <c r="J57" s="60" t="n"/>
      <c r="K57" s="82">
        <f>IF(OR(B57="",I57="",I57=0),"",E57/I57)</f>
        <v/>
      </c>
      <c r="L57" s="60" t="n"/>
      <c r="M57" s="82">
        <f>IF(L57&gt;0,L57,K57)</f>
        <v/>
      </c>
      <c r="N57" s="53" t="n"/>
      <c r="O57" s="53" t="n"/>
      <c r="P57" s="53" t="n"/>
      <c r="Q57" s="81">
        <f>IFERROR(INDEX('Resource Rate Library'!$C$5:$C$200,MATCH(P57,'Resource Rate Library'!$A$5:$A$200,0)),"")</f>
        <v/>
      </c>
      <c r="R57" s="53" t="n"/>
      <c r="S57" s="53" t="n"/>
      <c r="T57" s="81">
        <f>IFERROR(INDEX('Resource Rate Library'!$E$5:$E$200,MATCH(P57,'Resource Rate Library'!$A$5:$A$200,0)),"")</f>
        <v/>
      </c>
      <c r="U57" s="1441" t="n"/>
      <c r="V57" s="1441" t="n"/>
      <c r="W57" s="1442">
        <f>IFERROR(INDEX('Resource Rate Library'!$I$5:$I$200,MATCH(P57,'Resource Rate Library'!$A$5:$A$200,0)),0)</f>
        <v/>
      </c>
      <c r="X57" s="1443" t="n"/>
      <c r="Y57" s="1442">
        <f>IF(X57&gt;0,X57,W57)</f>
        <v/>
      </c>
      <c r="Z57" s="1442">
        <f>IF(B57="","",IF(N57="Time x Count",M57*R57*IF(U57="",1,U57)*Y57,IF(N57="QS Qty x Factor",E57*R57*(1+IF(V57="",0,V57))*Y57,IF(N57="Direct Qty",S57*(1+IF(V57="",0,V57))*Y57,IF(N57="Lump Sum / Quote",S57*Y57,0)))))</f>
        <v/>
      </c>
      <c r="AA57" s="81">
        <f>IFERROR(INDEX('Resource Rate Library'!$N$5:$N$200,MATCH(P57,'Resource Rate Library'!$A$5:$A$200,0)),"")</f>
        <v/>
      </c>
      <c r="AB57" s="53" t="n"/>
      <c r="AC57" s="59" t="n"/>
      <c r="AD57" s="81">
        <f>IFERROR(INDEX('Resource Rate Library'!$G$5:$G$200,MATCH(P57,'Resource Rate Library'!$A$5:$A$200,0)),"")</f>
        <v/>
      </c>
      <c r="AE57" s="81">
        <f>IFERROR(INDEX('Resource Rate Library'!$H$5:$H$200,MATCH(P57,'Resource Rate Library'!$A$5:$A$200,0)),"")</f>
        <v/>
      </c>
      <c r="AF57" s="53" t="n"/>
      <c r="AG57" s="53" t="n"/>
      <c r="AH57" s="53" t="n"/>
      <c r="AI57" s="81">
        <f>IF(B57="","",IF(AND(P57="",N57&lt;&gt;"Lump Sum / Quote"),"RESOURCE CODE",IF(Y57=0,"RATE MISSING",IF(AND(O57="Plant",AD57="Yes",COUNTIFS($B$7:$B$306,B57,$O$7:$O$306,"Labour",$Q$7:$Q$306,"*Operator*")&gt;0),"OPERATOR DOUBLE-COUNT",IF(AND(O57="Plant",AE57="Yes",COUNTIFS($B$7:$B$306,B57,$Q$7:$Q$306,"*Fuel*")&gt;0),"FUEL DOUBLE-COUNT",IF(AH57&lt;&gt;"Yes","VERIFY","OK"))))))</f>
        <v/>
      </c>
      <c r="AJ57" s="54" t="n"/>
      <c r="AK57" s="473" t="n"/>
      <c r="AL57" s="473" t="n"/>
      <c r="AM57" s="473" t="n"/>
      <c r="AN57" s="1444">
        <f>IF(AND(AK57="Yes",OR(O57="Labour",O57="Plant")),Z57,0)</f>
        <v/>
      </c>
    </row>
    <row r="58" ht="22.04999923706055" customHeight="1" s="491">
      <c r="A58" s="80">
        <f>IF(B58="","",B58&amp;"-"&amp;TEXT(COUNTIF($B$7:B58,B58),"000"))</f>
        <v/>
      </c>
      <c r="B58" s="53" t="n"/>
      <c r="C58" s="81">
        <f>IFERROR(INDEX('QS Takeoff'!$A$3:$A$202,MATCH(B58,'QS Takeoff'!$B$3:$B$202,0)),"")</f>
        <v/>
      </c>
      <c r="D58" s="81">
        <f>IFERROR(INDEX('QS Takeoff'!$C$3:$C$202,MATCH(B58,'QS Takeoff'!$B$3:$B$202,0)),"")</f>
        <v/>
      </c>
      <c r="E58" s="81">
        <f>IFERROR(INDEX('QS Takeoff'!$E$3:$E$202,MATCH(B58,'QS Takeoff'!$B$3:$B$202,0)),"")</f>
        <v/>
      </c>
      <c r="F58" s="81">
        <f>IFERROR(INDEX('QS Takeoff'!$D$3:$D$202,MATCH(B58,'QS Takeoff'!$B$3:$B$202,0)),"")</f>
        <v/>
      </c>
      <c r="G58" s="81">
        <f>IFERROR(INDEX('QS Takeoff'!$J$3:$J$202,MATCH(B58,'QS Takeoff'!$B$3:$B$202,0)),"")</f>
        <v/>
      </c>
      <c r="H58" s="53" t="n"/>
      <c r="I58" s="60" t="n"/>
      <c r="J58" s="60" t="n"/>
      <c r="K58" s="82">
        <f>IF(OR(B58="",I58="",I58=0),"",E58/I58)</f>
        <v/>
      </c>
      <c r="L58" s="60" t="n"/>
      <c r="M58" s="82">
        <f>IF(L58&gt;0,L58,K58)</f>
        <v/>
      </c>
      <c r="N58" s="53" t="n"/>
      <c r="O58" s="53" t="n"/>
      <c r="P58" s="53" t="n"/>
      <c r="Q58" s="81">
        <f>IFERROR(INDEX('Resource Rate Library'!$C$5:$C$200,MATCH(P58,'Resource Rate Library'!$A$5:$A$200,0)),"")</f>
        <v/>
      </c>
      <c r="R58" s="53" t="n"/>
      <c r="S58" s="53" t="n"/>
      <c r="T58" s="81">
        <f>IFERROR(INDEX('Resource Rate Library'!$E$5:$E$200,MATCH(P58,'Resource Rate Library'!$A$5:$A$200,0)),"")</f>
        <v/>
      </c>
      <c r="U58" s="1441" t="n"/>
      <c r="V58" s="1441" t="n"/>
      <c r="W58" s="1442">
        <f>IFERROR(INDEX('Resource Rate Library'!$I$5:$I$200,MATCH(P58,'Resource Rate Library'!$A$5:$A$200,0)),0)</f>
        <v/>
      </c>
      <c r="X58" s="1443" t="n"/>
      <c r="Y58" s="1442">
        <f>IF(X58&gt;0,X58,W58)</f>
        <v/>
      </c>
      <c r="Z58" s="1442">
        <f>IF(B58="","",IF(N58="Time x Count",M58*R58*IF(U58="",1,U58)*Y58,IF(N58="QS Qty x Factor",E58*R58*(1+IF(V58="",0,V58))*Y58,IF(N58="Direct Qty",S58*(1+IF(V58="",0,V58))*Y58,IF(N58="Lump Sum / Quote",S58*Y58,0)))))</f>
        <v/>
      </c>
      <c r="AA58" s="81">
        <f>IFERROR(INDEX('Resource Rate Library'!$N$5:$N$200,MATCH(P58,'Resource Rate Library'!$A$5:$A$200,0)),"")</f>
        <v/>
      </c>
      <c r="AB58" s="53" t="n"/>
      <c r="AC58" s="59" t="n"/>
      <c r="AD58" s="81">
        <f>IFERROR(INDEX('Resource Rate Library'!$G$5:$G$200,MATCH(P58,'Resource Rate Library'!$A$5:$A$200,0)),"")</f>
        <v/>
      </c>
      <c r="AE58" s="81">
        <f>IFERROR(INDEX('Resource Rate Library'!$H$5:$H$200,MATCH(P58,'Resource Rate Library'!$A$5:$A$200,0)),"")</f>
        <v/>
      </c>
      <c r="AF58" s="53" t="n"/>
      <c r="AG58" s="53" t="n"/>
      <c r="AH58" s="53" t="n"/>
      <c r="AI58" s="81">
        <f>IF(B58="","",IF(AND(P58="",N58&lt;&gt;"Lump Sum / Quote"),"RESOURCE CODE",IF(Y58=0,"RATE MISSING",IF(AND(O58="Plant",AD58="Yes",COUNTIFS($B$7:$B$306,B58,$O$7:$O$306,"Labour",$Q$7:$Q$306,"*Operator*")&gt;0),"OPERATOR DOUBLE-COUNT",IF(AND(O58="Plant",AE58="Yes",COUNTIFS($B$7:$B$306,B58,$Q$7:$Q$306,"*Fuel*")&gt;0),"FUEL DOUBLE-COUNT",IF(AH58&lt;&gt;"Yes","VERIFY","OK"))))))</f>
        <v/>
      </c>
      <c r="AJ58" s="54" t="n"/>
      <c r="AK58" s="473" t="n"/>
      <c r="AL58" s="473" t="n"/>
      <c r="AM58" s="473" t="n"/>
      <c r="AN58" s="1444">
        <f>IF(AND(AK58="Yes",OR(O58="Labour",O58="Plant")),Z58,0)</f>
        <v/>
      </c>
    </row>
    <row r="59" ht="22.04999923706055" customHeight="1" s="491">
      <c r="A59" s="80">
        <f>IF(B59="","",B59&amp;"-"&amp;TEXT(COUNTIF($B$7:B59,B59),"000"))</f>
        <v/>
      </c>
      <c r="B59" s="53" t="n"/>
      <c r="C59" s="81">
        <f>IFERROR(INDEX('QS Takeoff'!$A$3:$A$202,MATCH(B59,'QS Takeoff'!$B$3:$B$202,0)),"")</f>
        <v/>
      </c>
      <c r="D59" s="81">
        <f>IFERROR(INDEX('QS Takeoff'!$C$3:$C$202,MATCH(B59,'QS Takeoff'!$B$3:$B$202,0)),"")</f>
        <v/>
      </c>
      <c r="E59" s="81">
        <f>IFERROR(INDEX('QS Takeoff'!$E$3:$E$202,MATCH(B59,'QS Takeoff'!$B$3:$B$202,0)),"")</f>
        <v/>
      </c>
      <c r="F59" s="81">
        <f>IFERROR(INDEX('QS Takeoff'!$D$3:$D$202,MATCH(B59,'QS Takeoff'!$B$3:$B$202,0)),"")</f>
        <v/>
      </c>
      <c r="G59" s="81">
        <f>IFERROR(INDEX('QS Takeoff'!$J$3:$J$202,MATCH(B59,'QS Takeoff'!$B$3:$B$202,0)),"")</f>
        <v/>
      </c>
      <c r="H59" s="53" t="n"/>
      <c r="I59" s="60" t="n"/>
      <c r="J59" s="60" t="n"/>
      <c r="K59" s="82">
        <f>IF(OR(B59="",I59="",I59=0),"",E59/I59)</f>
        <v/>
      </c>
      <c r="L59" s="60" t="n"/>
      <c r="M59" s="82">
        <f>IF(L59&gt;0,L59,K59)</f>
        <v/>
      </c>
      <c r="N59" s="53" t="n"/>
      <c r="O59" s="53" t="n"/>
      <c r="P59" s="53" t="n"/>
      <c r="Q59" s="81">
        <f>IFERROR(INDEX('Resource Rate Library'!$C$5:$C$200,MATCH(P59,'Resource Rate Library'!$A$5:$A$200,0)),"")</f>
        <v/>
      </c>
      <c r="R59" s="53" t="n"/>
      <c r="S59" s="53" t="n"/>
      <c r="T59" s="81">
        <f>IFERROR(INDEX('Resource Rate Library'!$E$5:$E$200,MATCH(P59,'Resource Rate Library'!$A$5:$A$200,0)),"")</f>
        <v/>
      </c>
      <c r="U59" s="1441" t="n"/>
      <c r="V59" s="1441" t="n"/>
      <c r="W59" s="1442">
        <f>IFERROR(INDEX('Resource Rate Library'!$I$5:$I$200,MATCH(P59,'Resource Rate Library'!$A$5:$A$200,0)),0)</f>
        <v/>
      </c>
      <c r="X59" s="1443" t="n"/>
      <c r="Y59" s="1442">
        <f>IF(X59&gt;0,X59,W59)</f>
        <v/>
      </c>
      <c r="Z59" s="1442">
        <f>IF(B59="","",IF(N59="Time x Count",M59*R59*IF(U59="",1,U59)*Y59,IF(N59="QS Qty x Factor",E59*R59*(1+IF(V59="",0,V59))*Y59,IF(N59="Direct Qty",S59*(1+IF(V59="",0,V59))*Y59,IF(N59="Lump Sum / Quote",S59*Y59,0)))))</f>
        <v/>
      </c>
      <c r="AA59" s="81">
        <f>IFERROR(INDEX('Resource Rate Library'!$N$5:$N$200,MATCH(P59,'Resource Rate Library'!$A$5:$A$200,0)),"")</f>
        <v/>
      </c>
      <c r="AB59" s="53" t="n"/>
      <c r="AC59" s="59" t="n"/>
      <c r="AD59" s="81">
        <f>IFERROR(INDEX('Resource Rate Library'!$G$5:$G$200,MATCH(P59,'Resource Rate Library'!$A$5:$A$200,0)),"")</f>
        <v/>
      </c>
      <c r="AE59" s="81">
        <f>IFERROR(INDEX('Resource Rate Library'!$H$5:$H$200,MATCH(P59,'Resource Rate Library'!$A$5:$A$200,0)),"")</f>
        <v/>
      </c>
      <c r="AF59" s="53" t="n"/>
      <c r="AG59" s="53" t="n"/>
      <c r="AH59" s="53" t="n"/>
      <c r="AI59" s="81">
        <f>IF(B59="","",IF(AND(P59="",N59&lt;&gt;"Lump Sum / Quote"),"RESOURCE CODE",IF(Y59=0,"RATE MISSING",IF(AND(O59="Plant",AD59="Yes",COUNTIFS($B$7:$B$306,B59,$O$7:$O$306,"Labour",$Q$7:$Q$306,"*Operator*")&gt;0),"OPERATOR DOUBLE-COUNT",IF(AND(O59="Plant",AE59="Yes",COUNTIFS($B$7:$B$306,B59,$Q$7:$Q$306,"*Fuel*")&gt;0),"FUEL DOUBLE-COUNT",IF(AH59&lt;&gt;"Yes","VERIFY","OK"))))))</f>
        <v/>
      </c>
      <c r="AJ59" s="54" t="n"/>
      <c r="AK59" s="473" t="n"/>
      <c r="AL59" s="473" t="n"/>
      <c r="AM59" s="473" t="n"/>
      <c r="AN59" s="1444">
        <f>IF(AND(AK59="Yes",OR(O59="Labour",O59="Plant")),Z59,0)</f>
        <v/>
      </c>
    </row>
    <row r="60" ht="22.04999923706055" customHeight="1" s="491">
      <c r="A60" s="80">
        <f>IF(B60="","",B60&amp;"-"&amp;TEXT(COUNTIF($B$7:B60,B60),"000"))</f>
        <v/>
      </c>
      <c r="B60" s="53" t="n"/>
      <c r="C60" s="81">
        <f>IFERROR(INDEX('QS Takeoff'!$A$3:$A$202,MATCH(B60,'QS Takeoff'!$B$3:$B$202,0)),"")</f>
        <v/>
      </c>
      <c r="D60" s="81">
        <f>IFERROR(INDEX('QS Takeoff'!$C$3:$C$202,MATCH(B60,'QS Takeoff'!$B$3:$B$202,0)),"")</f>
        <v/>
      </c>
      <c r="E60" s="81">
        <f>IFERROR(INDEX('QS Takeoff'!$E$3:$E$202,MATCH(B60,'QS Takeoff'!$B$3:$B$202,0)),"")</f>
        <v/>
      </c>
      <c r="F60" s="81">
        <f>IFERROR(INDEX('QS Takeoff'!$D$3:$D$202,MATCH(B60,'QS Takeoff'!$B$3:$B$202,0)),"")</f>
        <v/>
      </c>
      <c r="G60" s="81">
        <f>IFERROR(INDEX('QS Takeoff'!$J$3:$J$202,MATCH(B60,'QS Takeoff'!$B$3:$B$202,0)),"")</f>
        <v/>
      </c>
      <c r="H60" s="53" t="n"/>
      <c r="I60" s="60" t="n"/>
      <c r="J60" s="60" t="n"/>
      <c r="K60" s="82">
        <f>IF(OR(B60="",I60="",I60=0),"",E60/I60)</f>
        <v/>
      </c>
      <c r="L60" s="60" t="n"/>
      <c r="M60" s="82">
        <f>IF(L60&gt;0,L60,K60)</f>
        <v/>
      </c>
      <c r="N60" s="53" t="n"/>
      <c r="O60" s="53" t="n"/>
      <c r="P60" s="53" t="n"/>
      <c r="Q60" s="81">
        <f>IFERROR(INDEX('Resource Rate Library'!$C$5:$C$200,MATCH(P60,'Resource Rate Library'!$A$5:$A$200,0)),"")</f>
        <v/>
      </c>
      <c r="R60" s="53" t="n"/>
      <c r="S60" s="53" t="n"/>
      <c r="T60" s="81">
        <f>IFERROR(INDEX('Resource Rate Library'!$E$5:$E$200,MATCH(P60,'Resource Rate Library'!$A$5:$A$200,0)),"")</f>
        <v/>
      </c>
      <c r="U60" s="1441" t="n"/>
      <c r="V60" s="1441" t="n"/>
      <c r="W60" s="1442">
        <f>IFERROR(INDEX('Resource Rate Library'!$I$5:$I$200,MATCH(P60,'Resource Rate Library'!$A$5:$A$200,0)),0)</f>
        <v/>
      </c>
      <c r="X60" s="1443" t="n"/>
      <c r="Y60" s="1442">
        <f>IF(X60&gt;0,X60,W60)</f>
        <v/>
      </c>
      <c r="Z60" s="1442">
        <f>IF(B60="","",IF(N60="Time x Count",M60*R60*IF(U60="",1,U60)*Y60,IF(N60="QS Qty x Factor",E60*R60*(1+IF(V60="",0,V60))*Y60,IF(N60="Direct Qty",S60*(1+IF(V60="",0,V60))*Y60,IF(N60="Lump Sum / Quote",S60*Y60,0)))))</f>
        <v/>
      </c>
      <c r="AA60" s="81">
        <f>IFERROR(INDEX('Resource Rate Library'!$N$5:$N$200,MATCH(P60,'Resource Rate Library'!$A$5:$A$200,0)),"")</f>
        <v/>
      </c>
      <c r="AB60" s="53" t="n"/>
      <c r="AC60" s="59" t="n"/>
      <c r="AD60" s="81">
        <f>IFERROR(INDEX('Resource Rate Library'!$G$5:$G$200,MATCH(P60,'Resource Rate Library'!$A$5:$A$200,0)),"")</f>
        <v/>
      </c>
      <c r="AE60" s="81">
        <f>IFERROR(INDEX('Resource Rate Library'!$H$5:$H$200,MATCH(P60,'Resource Rate Library'!$A$5:$A$200,0)),"")</f>
        <v/>
      </c>
      <c r="AF60" s="53" t="n"/>
      <c r="AG60" s="53" t="n"/>
      <c r="AH60" s="53" t="n"/>
      <c r="AI60" s="81">
        <f>IF(B60="","",IF(AND(P60="",N60&lt;&gt;"Lump Sum / Quote"),"RESOURCE CODE",IF(Y60=0,"RATE MISSING",IF(AND(O60="Plant",AD60="Yes",COUNTIFS($B$7:$B$306,B60,$O$7:$O$306,"Labour",$Q$7:$Q$306,"*Operator*")&gt;0),"OPERATOR DOUBLE-COUNT",IF(AND(O60="Plant",AE60="Yes",COUNTIFS($B$7:$B$306,B60,$Q$7:$Q$306,"*Fuel*")&gt;0),"FUEL DOUBLE-COUNT",IF(AH60&lt;&gt;"Yes","VERIFY","OK"))))))</f>
        <v/>
      </c>
      <c r="AJ60" s="54" t="n"/>
      <c r="AK60" s="473" t="n"/>
      <c r="AL60" s="473" t="n"/>
      <c r="AM60" s="473" t="n"/>
      <c r="AN60" s="1444">
        <f>IF(AND(AK60="Yes",OR(O60="Labour",O60="Plant")),Z60,0)</f>
        <v/>
      </c>
    </row>
    <row r="61" ht="22.04999923706055" customHeight="1" s="491">
      <c r="A61" s="80">
        <f>IF(B61="","",B61&amp;"-"&amp;TEXT(COUNTIF($B$7:B61,B61),"000"))</f>
        <v/>
      </c>
      <c r="B61" s="53" t="n"/>
      <c r="C61" s="81">
        <f>IFERROR(INDEX('QS Takeoff'!$A$3:$A$202,MATCH(B61,'QS Takeoff'!$B$3:$B$202,0)),"")</f>
        <v/>
      </c>
      <c r="D61" s="81">
        <f>IFERROR(INDEX('QS Takeoff'!$C$3:$C$202,MATCH(B61,'QS Takeoff'!$B$3:$B$202,0)),"")</f>
        <v/>
      </c>
      <c r="E61" s="81">
        <f>IFERROR(INDEX('QS Takeoff'!$E$3:$E$202,MATCH(B61,'QS Takeoff'!$B$3:$B$202,0)),"")</f>
        <v/>
      </c>
      <c r="F61" s="81">
        <f>IFERROR(INDEX('QS Takeoff'!$D$3:$D$202,MATCH(B61,'QS Takeoff'!$B$3:$B$202,0)),"")</f>
        <v/>
      </c>
      <c r="G61" s="81">
        <f>IFERROR(INDEX('QS Takeoff'!$J$3:$J$202,MATCH(B61,'QS Takeoff'!$B$3:$B$202,0)),"")</f>
        <v/>
      </c>
      <c r="H61" s="53" t="n"/>
      <c r="I61" s="60" t="n"/>
      <c r="J61" s="60" t="n"/>
      <c r="K61" s="82">
        <f>IF(OR(B61="",I61="",I61=0),"",E61/I61)</f>
        <v/>
      </c>
      <c r="L61" s="60" t="n"/>
      <c r="M61" s="82">
        <f>IF(L61&gt;0,L61,K61)</f>
        <v/>
      </c>
      <c r="N61" s="53" t="n"/>
      <c r="O61" s="53" t="n"/>
      <c r="P61" s="53" t="n"/>
      <c r="Q61" s="81">
        <f>IFERROR(INDEX('Resource Rate Library'!$C$5:$C$200,MATCH(P61,'Resource Rate Library'!$A$5:$A$200,0)),"")</f>
        <v/>
      </c>
      <c r="R61" s="53" t="n"/>
      <c r="S61" s="53" t="n"/>
      <c r="T61" s="81">
        <f>IFERROR(INDEX('Resource Rate Library'!$E$5:$E$200,MATCH(P61,'Resource Rate Library'!$A$5:$A$200,0)),"")</f>
        <v/>
      </c>
      <c r="U61" s="1441" t="n"/>
      <c r="V61" s="1441" t="n"/>
      <c r="W61" s="1442">
        <f>IFERROR(INDEX('Resource Rate Library'!$I$5:$I$200,MATCH(P61,'Resource Rate Library'!$A$5:$A$200,0)),0)</f>
        <v/>
      </c>
      <c r="X61" s="1443" t="n"/>
      <c r="Y61" s="1442">
        <f>IF(X61&gt;0,X61,W61)</f>
        <v/>
      </c>
      <c r="Z61" s="1442">
        <f>IF(B61="","",IF(N61="Time x Count",M61*R61*IF(U61="",1,U61)*Y61,IF(N61="QS Qty x Factor",E61*R61*(1+IF(V61="",0,V61))*Y61,IF(N61="Direct Qty",S61*(1+IF(V61="",0,V61))*Y61,IF(N61="Lump Sum / Quote",S61*Y61,0)))))</f>
        <v/>
      </c>
      <c r="AA61" s="81">
        <f>IFERROR(INDEX('Resource Rate Library'!$N$5:$N$200,MATCH(P61,'Resource Rate Library'!$A$5:$A$200,0)),"")</f>
        <v/>
      </c>
      <c r="AB61" s="53" t="n"/>
      <c r="AC61" s="59" t="n"/>
      <c r="AD61" s="81">
        <f>IFERROR(INDEX('Resource Rate Library'!$G$5:$G$200,MATCH(P61,'Resource Rate Library'!$A$5:$A$200,0)),"")</f>
        <v/>
      </c>
      <c r="AE61" s="81">
        <f>IFERROR(INDEX('Resource Rate Library'!$H$5:$H$200,MATCH(P61,'Resource Rate Library'!$A$5:$A$200,0)),"")</f>
        <v/>
      </c>
      <c r="AF61" s="53" t="n"/>
      <c r="AG61" s="53" t="n"/>
      <c r="AH61" s="53" t="n"/>
      <c r="AI61" s="81">
        <f>IF(B61="","",IF(AND(P61="",N61&lt;&gt;"Lump Sum / Quote"),"RESOURCE CODE",IF(Y61=0,"RATE MISSING",IF(AND(O61="Plant",AD61="Yes",COUNTIFS($B$7:$B$306,B61,$O$7:$O$306,"Labour",$Q$7:$Q$306,"*Operator*")&gt;0),"OPERATOR DOUBLE-COUNT",IF(AND(O61="Plant",AE61="Yes",COUNTIFS($B$7:$B$306,B61,$Q$7:$Q$306,"*Fuel*")&gt;0),"FUEL DOUBLE-COUNT",IF(AH61&lt;&gt;"Yes","VERIFY","OK"))))))</f>
        <v/>
      </c>
      <c r="AJ61" s="54" t="n"/>
      <c r="AK61" s="473" t="n"/>
      <c r="AL61" s="473" t="n"/>
      <c r="AM61" s="473" t="n"/>
      <c r="AN61" s="1444">
        <f>IF(AND(AK61="Yes",OR(O61="Labour",O61="Plant")),Z61,0)</f>
        <v/>
      </c>
    </row>
    <row r="62" ht="22.04999923706055" customHeight="1" s="491">
      <c r="A62" s="80">
        <f>IF(B62="","",B62&amp;"-"&amp;TEXT(COUNTIF($B$7:B62,B62),"000"))</f>
        <v/>
      </c>
      <c r="B62" s="53" t="n"/>
      <c r="C62" s="81">
        <f>IFERROR(INDEX('QS Takeoff'!$A$3:$A$202,MATCH(B62,'QS Takeoff'!$B$3:$B$202,0)),"")</f>
        <v/>
      </c>
      <c r="D62" s="81">
        <f>IFERROR(INDEX('QS Takeoff'!$C$3:$C$202,MATCH(B62,'QS Takeoff'!$B$3:$B$202,0)),"")</f>
        <v/>
      </c>
      <c r="E62" s="81">
        <f>IFERROR(INDEX('QS Takeoff'!$E$3:$E$202,MATCH(B62,'QS Takeoff'!$B$3:$B$202,0)),"")</f>
        <v/>
      </c>
      <c r="F62" s="81">
        <f>IFERROR(INDEX('QS Takeoff'!$D$3:$D$202,MATCH(B62,'QS Takeoff'!$B$3:$B$202,0)),"")</f>
        <v/>
      </c>
      <c r="G62" s="81">
        <f>IFERROR(INDEX('QS Takeoff'!$J$3:$J$202,MATCH(B62,'QS Takeoff'!$B$3:$B$202,0)),"")</f>
        <v/>
      </c>
      <c r="H62" s="53" t="n"/>
      <c r="I62" s="60" t="n"/>
      <c r="J62" s="60" t="n"/>
      <c r="K62" s="82">
        <f>IF(OR(B62="",I62="",I62=0),"",E62/I62)</f>
        <v/>
      </c>
      <c r="L62" s="60" t="n"/>
      <c r="M62" s="82">
        <f>IF(L62&gt;0,L62,K62)</f>
        <v/>
      </c>
      <c r="N62" s="53" t="n"/>
      <c r="O62" s="53" t="n"/>
      <c r="P62" s="53" t="n"/>
      <c r="Q62" s="81">
        <f>IFERROR(INDEX('Resource Rate Library'!$C$5:$C$200,MATCH(P62,'Resource Rate Library'!$A$5:$A$200,0)),"")</f>
        <v/>
      </c>
      <c r="R62" s="53" t="n"/>
      <c r="S62" s="53" t="n"/>
      <c r="T62" s="81">
        <f>IFERROR(INDEX('Resource Rate Library'!$E$5:$E$200,MATCH(P62,'Resource Rate Library'!$A$5:$A$200,0)),"")</f>
        <v/>
      </c>
      <c r="U62" s="1441" t="n"/>
      <c r="V62" s="1441" t="n"/>
      <c r="W62" s="1442">
        <f>IFERROR(INDEX('Resource Rate Library'!$I$5:$I$200,MATCH(P62,'Resource Rate Library'!$A$5:$A$200,0)),0)</f>
        <v/>
      </c>
      <c r="X62" s="1443" t="n"/>
      <c r="Y62" s="1442">
        <f>IF(X62&gt;0,X62,W62)</f>
        <v/>
      </c>
      <c r="Z62" s="1442">
        <f>IF(B62="","",IF(N62="Time x Count",M62*R62*IF(U62="",1,U62)*Y62,IF(N62="QS Qty x Factor",E62*R62*(1+IF(V62="",0,V62))*Y62,IF(N62="Direct Qty",S62*(1+IF(V62="",0,V62))*Y62,IF(N62="Lump Sum / Quote",S62*Y62,0)))))</f>
        <v/>
      </c>
      <c r="AA62" s="81">
        <f>IFERROR(INDEX('Resource Rate Library'!$N$5:$N$200,MATCH(P62,'Resource Rate Library'!$A$5:$A$200,0)),"")</f>
        <v/>
      </c>
      <c r="AB62" s="53" t="n"/>
      <c r="AC62" s="59" t="n"/>
      <c r="AD62" s="81">
        <f>IFERROR(INDEX('Resource Rate Library'!$G$5:$G$200,MATCH(P62,'Resource Rate Library'!$A$5:$A$200,0)),"")</f>
        <v/>
      </c>
      <c r="AE62" s="81">
        <f>IFERROR(INDEX('Resource Rate Library'!$H$5:$H$200,MATCH(P62,'Resource Rate Library'!$A$5:$A$200,0)),"")</f>
        <v/>
      </c>
      <c r="AF62" s="53" t="n"/>
      <c r="AG62" s="53" t="n"/>
      <c r="AH62" s="53" t="n"/>
      <c r="AI62" s="81">
        <f>IF(B62="","",IF(AND(P62="",N62&lt;&gt;"Lump Sum / Quote"),"RESOURCE CODE",IF(Y62=0,"RATE MISSING",IF(AND(O62="Plant",AD62="Yes",COUNTIFS($B$7:$B$306,B62,$O$7:$O$306,"Labour",$Q$7:$Q$306,"*Operator*")&gt;0),"OPERATOR DOUBLE-COUNT",IF(AND(O62="Plant",AE62="Yes",COUNTIFS($B$7:$B$306,B62,$Q$7:$Q$306,"*Fuel*")&gt;0),"FUEL DOUBLE-COUNT",IF(AH62&lt;&gt;"Yes","VERIFY","OK"))))))</f>
        <v/>
      </c>
      <c r="AJ62" s="54" t="n"/>
      <c r="AK62" s="473" t="n"/>
      <c r="AL62" s="473" t="n"/>
      <c r="AM62" s="473" t="n"/>
      <c r="AN62" s="1444">
        <f>IF(AND(AK62="Yes",OR(O62="Labour",O62="Plant")),Z62,0)</f>
        <v/>
      </c>
    </row>
    <row r="63" ht="22.04999923706055" customHeight="1" s="491">
      <c r="A63" s="80">
        <f>IF(B63="","",B63&amp;"-"&amp;TEXT(COUNTIF($B$7:B63,B63),"000"))</f>
        <v/>
      </c>
      <c r="B63" s="53" t="n"/>
      <c r="C63" s="81">
        <f>IFERROR(INDEX('QS Takeoff'!$A$3:$A$202,MATCH(B63,'QS Takeoff'!$B$3:$B$202,0)),"")</f>
        <v/>
      </c>
      <c r="D63" s="81">
        <f>IFERROR(INDEX('QS Takeoff'!$C$3:$C$202,MATCH(B63,'QS Takeoff'!$B$3:$B$202,0)),"")</f>
        <v/>
      </c>
      <c r="E63" s="81">
        <f>IFERROR(INDEX('QS Takeoff'!$E$3:$E$202,MATCH(B63,'QS Takeoff'!$B$3:$B$202,0)),"")</f>
        <v/>
      </c>
      <c r="F63" s="81">
        <f>IFERROR(INDEX('QS Takeoff'!$D$3:$D$202,MATCH(B63,'QS Takeoff'!$B$3:$B$202,0)),"")</f>
        <v/>
      </c>
      <c r="G63" s="81">
        <f>IFERROR(INDEX('QS Takeoff'!$J$3:$J$202,MATCH(B63,'QS Takeoff'!$B$3:$B$202,0)),"")</f>
        <v/>
      </c>
      <c r="H63" s="53" t="n"/>
      <c r="I63" s="60" t="n"/>
      <c r="J63" s="60" t="n"/>
      <c r="K63" s="82">
        <f>IF(OR(B63="",I63="",I63=0),"",E63/I63)</f>
        <v/>
      </c>
      <c r="L63" s="60" t="n"/>
      <c r="M63" s="82">
        <f>IF(L63&gt;0,L63,K63)</f>
        <v/>
      </c>
      <c r="N63" s="53" t="n"/>
      <c r="O63" s="53" t="n"/>
      <c r="P63" s="53" t="n"/>
      <c r="Q63" s="81">
        <f>IFERROR(INDEX('Resource Rate Library'!$C$5:$C$200,MATCH(P63,'Resource Rate Library'!$A$5:$A$200,0)),"")</f>
        <v/>
      </c>
      <c r="R63" s="53" t="n"/>
      <c r="S63" s="53" t="n"/>
      <c r="T63" s="81">
        <f>IFERROR(INDEX('Resource Rate Library'!$E$5:$E$200,MATCH(P63,'Resource Rate Library'!$A$5:$A$200,0)),"")</f>
        <v/>
      </c>
      <c r="U63" s="1441" t="n"/>
      <c r="V63" s="1441" t="n"/>
      <c r="W63" s="1442">
        <f>IFERROR(INDEX('Resource Rate Library'!$I$5:$I$200,MATCH(P63,'Resource Rate Library'!$A$5:$A$200,0)),0)</f>
        <v/>
      </c>
      <c r="X63" s="1443" t="n"/>
      <c r="Y63" s="1442">
        <f>IF(X63&gt;0,X63,W63)</f>
        <v/>
      </c>
      <c r="Z63" s="1442">
        <f>IF(B63="","",IF(N63="Time x Count",M63*R63*IF(U63="",1,U63)*Y63,IF(N63="QS Qty x Factor",E63*R63*(1+IF(V63="",0,V63))*Y63,IF(N63="Direct Qty",S63*(1+IF(V63="",0,V63))*Y63,IF(N63="Lump Sum / Quote",S63*Y63,0)))))</f>
        <v/>
      </c>
      <c r="AA63" s="81">
        <f>IFERROR(INDEX('Resource Rate Library'!$N$5:$N$200,MATCH(P63,'Resource Rate Library'!$A$5:$A$200,0)),"")</f>
        <v/>
      </c>
      <c r="AB63" s="53" t="n"/>
      <c r="AC63" s="59" t="n"/>
      <c r="AD63" s="81">
        <f>IFERROR(INDEX('Resource Rate Library'!$G$5:$G$200,MATCH(P63,'Resource Rate Library'!$A$5:$A$200,0)),"")</f>
        <v/>
      </c>
      <c r="AE63" s="81">
        <f>IFERROR(INDEX('Resource Rate Library'!$H$5:$H$200,MATCH(P63,'Resource Rate Library'!$A$5:$A$200,0)),"")</f>
        <v/>
      </c>
      <c r="AF63" s="53" t="n"/>
      <c r="AG63" s="53" t="n"/>
      <c r="AH63" s="53" t="n"/>
      <c r="AI63" s="81">
        <f>IF(B63="","",IF(AND(P63="",N63&lt;&gt;"Lump Sum / Quote"),"RESOURCE CODE",IF(Y63=0,"RATE MISSING",IF(AND(O63="Plant",AD63="Yes",COUNTIFS($B$7:$B$306,B63,$O$7:$O$306,"Labour",$Q$7:$Q$306,"*Operator*")&gt;0),"OPERATOR DOUBLE-COUNT",IF(AND(O63="Plant",AE63="Yes",COUNTIFS($B$7:$B$306,B63,$Q$7:$Q$306,"*Fuel*")&gt;0),"FUEL DOUBLE-COUNT",IF(AH63&lt;&gt;"Yes","VERIFY","OK"))))))</f>
        <v/>
      </c>
      <c r="AJ63" s="54" t="n"/>
      <c r="AK63" s="473" t="n"/>
      <c r="AL63" s="473" t="n"/>
      <c r="AM63" s="473" t="n"/>
      <c r="AN63" s="1444">
        <f>IF(AND(AK63="Yes",OR(O63="Labour",O63="Plant")),Z63,0)</f>
        <v/>
      </c>
    </row>
    <row r="64" ht="22.04999923706055" customHeight="1" s="491">
      <c r="A64" s="80">
        <f>IF(B64="","",B64&amp;"-"&amp;TEXT(COUNTIF($B$7:B64,B64),"000"))</f>
        <v/>
      </c>
      <c r="B64" s="53" t="n"/>
      <c r="C64" s="81">
        <f>IFERROR(INDEX('QS Takeoff'!$A$3:$A$202,MATCH(B64,'QS Takeoff'!$B$3:$B$202,0)),"")</f>
        <v/>
      </c>
      <c r="D64" s="81">
        <f>IFERROR(INDEX('QS Takeoff'!$C$3:$C$202,MATCH(B64,'QS Takeoff'!$B$3:$B$202,0)),"")</f>
        <v/>
      </c>
      <c r="E64" s="81">
        <f>IFERROR(INDEX('QS Takeoff'!$E$3:$E$202,MATCH(B64,'QS Takeoff'!$B$3:$B$202,0)),"")</f>
        <v/>
      </c>
      <c r="F64" s="81">
        <f>IFERROR(INDEX('QS Takeoff'!$D$3:$D$202,MATCH(B64,'QS Takeoff'!$B$3:$B$202,0)),"")</f>
        <v/>
      </c>
      <c r="G64" s="81">
        <f>IFERROR(INDEX('QS Takeoff'!$J$3:$J$202,MATCH(B64,'QS Takeoff'!$B$3:$B$202,0)),"")</f>
        <v/>
      </c>
      <c r="H64" s="53" t="n"/>
      <c r="I64" s="60" t="n"/>
      <c r="J64" s="60" t="n"/>
      <c r="K64" s="82">
        <f>IF(OR(B64="",I64="",I64=0),"",E64/I64)</f>
        <v/>
      </c>
      <c r="L64" s="60" t="n"/>
      <c r="M64" s="82">
        <f>IF(L64&gt;0,L64,K64)</f>
        <v/>
      </c>
      <c r="N64" s="53" t="n"/>
      <c r="O64" s="53" t="n"/>
      <c r="P64" s="53" t="n"/>
      <c r="Q64" s="81">
        <f>IFERROR(INDEX('Resource Rate Library'!$C$5:$C$200,MATCH(P64,'Resource Rate Library'!$A$5:$A$200,0)),"")</f>
        <v/>
      </c>
      <c r="R64" s="53" t="n"/>
      <c r="S64" s="53" t="n"/>
      <c r="T64" s="81">
        <f>IFERROR(INDEX('Resource Rate Library'!$E$5:$E$200,MATCH(P64,'Resource Rate Library'!$A$5:$A$200,0)),"")</f>
        <v/>
      </c>
      <c r="U64" s="1441" t="n"/>
      <c r="V64" s="1441" t="n"/>
      <c r="W64" s="1442">
        <f>IFERROR(INDEX('Resource Rate Library'!$I$5:$I$200,MATCH(P64,'Resource Rate Library'!$A$5:$A$200,0)),0)</f>
        <v/>
      </c>
      <c r="X64" s="1443" t="n"/>
      <c r="Y64" s="1442">
        <f>IF(X64&gt;0,X64,W64)</f>
        <v/>
      </c>
      <c r="Z64" s="1442">
        <f>IF(B64="","",IF(N64="Time x Count",M64*R64*IF(U64="",1,U64)*Y64,IF(N64="QS Qty x Factor",E64*R64*(1+IF(V64="",0,V64))*Y64,IF(N64="Direct Qty",S64*(1+IF(V64="",0,V64))*Y64,IF(N64="Lump Sum / Quote",S64*Y64,0)))))</f>
        <v/>
      </c>
      <c r="AA64" s="81">
        <f>IFERROR(INDEX('Resource Rate Library'!$N$5:$N$200,MATCH(P64,'Resource Rate Library'!$A$5:$A$200,0)),"")</f>
        <v/>
      </c>
      <c r="AB64" s="53" t="n"/>
      <c r="AC64" s="59" t="n"/>
      <c r="AD64" s="81">
        <f>IFERROR(INDEX('Resource Rate Library'!$G$5:$G$200,MATCH(P64,'Resource Rate Library'!$A$5:$A$200,0)),"")</f>
        <v/>
      </c>
      <c r="AE64" s="81">
        <f>IFERROR(INDEX('Resource Rate Library'!$H$5:$H$200,MATCH(P64,'Resource Rate Library'!$A$5:$A$200,0)),"")</f>
        <v/>
      </c>
      <c r="AF64" s="53" t="n"/>
      <c r="AG64" s="53" t="n"/>
      <c r="AH64" s="53" t="n"/>
      <c r="AI64" s="81">
        <f>IF(B64="","",IF(AND(P64="",N64&lt;&gt;"Lump Sum / Quote"),"RESOURCE CODE",IF(Y64=0,"RATE MISSING",IF(AND(O64="Plant",AD64="Yes",COUNTIFS($B$7:$B$306,B64,$O$7:$O$306,"Labour",$Q$7:$Q$306,"*Operator*")&gt;0),"OPERATOR DOUBLE-COUNT",IF(AND(O64="Plant",AE64="Yes",COUNTIFS($B$7:$B$306,B64,$Q$7:$Q$306,"*Fuel*")&gt;0),"FUEL DOUBLE-COUNT",IF(AH64&lt;&gt;"Yes","VERIFY","OK"))))))</f>
        <v/>
      </c>
      <c r="AJ64" s="54" t="n"/>
      <c r="AK64" s="473" t="n"/>
      <c r="AL64" s="473" t="n"/>
      <c r="AM64" s="473" t="n"/>
      <c r="AN64" s="1444">
        <f>IF(AND(AK64="Yes",OR(O64="Labour",O64="Plant")),Z64,0)</f>
        <v/>
      </c>
    </row>
    <row r="65" ht="22.04999923706055" customHeight="1" s="491">
      <c r="A65" s="80">
        <f>IF(B65="","",B65&amp;"-"&amp;TEXT(COUNTIF($B$7:B65,B65),"000"))</f>
        <v/>
      </c>
      <c r="B65" s="53" t="n"/>
      <c r="C65" s="81">
        <f>IFERROR(INDEX('QS Takeoff'!$A$3:$A$202,MATCH(B65,'QS Takeoff'!$B$3:$B$202,0)),"")</f>
        <v/>
      </c>
      <c r="D65" s="81">
        <f>IFERROR(INDEX('QS Takeoff'!$C$3:$C$202,MATCH(B65,'QS Takeoff'!$B$3:$B$202,0)),"")</f>
        <v/>
      </c>
      <c r="E65" s="81">
        <f>IFERROR(INDEX('QS Takeoff'!$E$3:$E$202,MATCH(B65,'QS Takeoff'!$B$3:$B$202,0)),"")</f>
        <v/>
      </c>
      <c r="F65" s="81">
        <f>IFERROR(INDEX('QS Takeoff'!$D$3:$D$202,MATCH(B65,'QS Takeoff'!$B$3:$B$202,0)),"")</f>
        <v/>
      </c>
      <c r="G65" s="81">
        <f>IFERROR(INDEX('QS Takeoff'!$J$3:$J$202,MATCH(B65,'QS Takeoff'!$B$3:$B$202,0)),"")</f>
        <v/>
      </c>
      <c r="H65" s="53" t="n"/>
      <c r="I65" s="60" t="n"/>
      <c r="J65" s="60" t="n"/>
      <c r="K65" s="82">
        <f>IF(OR(B65="",I65="",I65=0),"",E65/I65)</f>
        <v/>
      </c>
      <c r="L65" s="60" t="n"/>
      <c r="M65" s="82">
        <f>IF(L65&gt;0,L65,K65)</f>
        <v/>
      </c>
      <c r="N65" s="53" t="n"/>
      <c r="O65" s="53" t="n"/>
      <c r="P65" s="53" t="n"/>
      <c r="Q65" s="81">
        <f>IFERROR(INDEX('Resource Rate Library'!$C$5:$C$200,MATCH(P65,'Resource Rate Library'!$A$5:$A$200,0)),"")</f>
        <v/>
      </c>
      <c r="R65" s="53" t="n"/>
      <c r="S65" s="53" t="n"/>
      <c r="T65" s="81">
        <f>IFERROR(INDEX('Resource Rate Library'!$E$5:$E$200,MATCH(P65,'Resource Rate Library'!$A$5:$A$200,0)),"")</f>
        <v/>
      </c>
      <c r="U65" s="1441" t="n"/>
      <c r="V65" s="1441" t="n"/>
      <c r="W65" s="1442">
        <f>IFERROR(INDEX('Resource Rate Library'!$I$5:$I$200,MATCH(P65,'Resource Rate Library'!$A$5:$A$200,0)),0)</f>
        <v/>
      </c>
      <c r="X65" s="1443" t="n"/>
      <c r="Y65" s="1442">
        <f>IF(X65&gt;0,X65,W65)</f>
        <v/>
      </c>
      <c r="Z65" s="1442">
        <f>IF(B65="","",IF(N65="Time x Count",M65*R65*IF(U65="",1,U65)*Y65,IF(N65="QS Qty x Factor",E65*R65*(1+IF(V65="",0,V65))*Y65,IF(N65="Direct Qty",S65*(1+IF(V65="",0,V65))*Y65,IF(N65="Lump Sum / Quote",S65*Y65,0)))))</f>
        <v/>
      </c>
      <c r="AA65" s="81">
        <f>IFERROR(INDEX('Resource Rate Library'!$N$5:$N$200,MATCH(P65,'Resource Rate Library'!$A$5:$A$200,0)),"")</f>
        <v/>
      </c>
      <c r="AB65" s="53" t="n"/>
      <c r="AC65" s="59" t="n"/>
      <c r="AD65" s="81">
        <f>IFERROR(INDEX('Resource Rate Library'!$G$5:$G$200,MATCH(P65,'Resource Rate Library'!$A$5:$A$200,0)),"")</f>
        <v/>
      </c>
      <c r="AE65" s="81">
        <f>IFERROR(INDEX('Resource Rate Library'!$H$5:$H$200,MATCH(P65,'Resource Rate Library'!$A$5:$A$200,0)),"")</f>
        <v/>
      </c>
      <c r="AF65" s="53" t="n"/>
      <c r="AG65" s="53" t="n"/>
      <c r="AH65" s="53" t="n"/>
      <c r="AI65" s="81">
        <f>IF(B65="","",IF(AND(P65="",N65&lt;&gt;"Lump Sum / Quote"),"RESOURCE CODE",IF(Y65=0,"RATE MISSING",IF(AND(O65="Plant",AD65="Yes",COUNTIFS($B$7:$B$306,B65,$O$7:$O$306,"Labour",$Q$7:$Q$306,"*Operator*")&gt;0),"OPERATOR DOUBLE-COUNT",IF(AND(O65="Plant",AE65="Yes",COUNTIFS($B$7:$B$306,B65,$Q$7:$Q$306,"*Fuel*")&gt;0),"FUEL DOUBLE-COUNT",IF(AH65&lt;&gt;"Yes","VERIFY","OK"))))))</f>
        <v/>
      </c>
      <c r="AJ65" s="54" t="n"/>
      <c r="AK65" s="473" t="n"/>
      <c r="AL65" s="473" t="n"/>
      <c r="AM65" s="473" t="n"/>
      <c r="AN65" s="1444">
        <f>IF(AND(AK65="Yes",OR(O65="Labour",O65="Plant")),Z65,0)</f>
        <v/>
      </c>
    </row>
    <row r="66" ht="22.04999923706055" customHeight="1" s="491">
      <c r="A66" s="80">
        <f>IF(B66="","",B66&amp;"-"&amp;TEXT(COUNTIF($B$7:B66,B66),"000"))</f>
        <v/>
      </c>
      <c r="B66" s="53" t="n"/>
      <c r="C66" s="81">
        <f>IFERROR(INDEX('QS Takeoff'!$A$3:$A$202,MATCH(B66,'QS Takeoff'!$B$3:$B$202,0)),"")</f>
        <v/>
      </c>
      <c r="D66" s="81">
        <f>IFERROR(INDEX('QS Takeoff'!$C$3:$C$202,MATCH(B66,'QS Takeoff'!$B$3:$B$202,0)),"")</f>
        <v/>
      </c>
      <c r="E66" s="81">
        <f>IFERROR(INDEX('QS Takeoff'!$E$3:$E$202,MATCH(B66,'QS Takeoff'!$B$3:$B$202,0)),"")</f>
        <v/>
      </c>
      <c r="F66" s="81">
        <f>IFERROR(INDEX('QS Takeoff'!$D$3:$D$202,MATCH(B66,'QS Takeoff'!$B$3:$B$202,0)),"")</f>
        <v/>
      </c>
      <c r="G66" s="81">
        <f>IFERROR(INDEX('QS Takeoff'!$J$3:$J$202,MATCH(B66,'QS Takeoff'!$B$3:$B$202,0)),"")</f>
        <v/>
      </c>
      <c r="H66" s="53" t="n"/>
      <c r="I66" s="60" t="n"/>
      <c r="J66" s="60" t="n"/>
      <c r="K66" s="82">
        <f>IF(OR(B66="",I66="",I66=0),"",E66/I66)</f>
        <v/>
      </c>
      <c r="L66" s="60" t="n"/>
      <c r="M66" s="82">
        <f>IF(L66&gt;0,L66,K66)</f>
        <v/>
      </c>
      <c r="N66" s="53" t="n"/>
      <c r="O66" s="53" t="n"/>
      <c r="P66" s="53" t="n"/>
      <c r="Q66" s="81">
        <f>IFERROR(INDEX('Resource Rate Library'!$C$5:$C$200,MATCH(P66,'Resource Rate Library'!$A$5:$A$200,0)),"")</f>
        <v/>
      </c>
      <c r="R66" s="53" t="n"/>
      <c r="S66" s="53" t="n"/>
      <c r="T66" s="81">
        <f>IFERROR(INDEX('Resource Rate Library'!$E$5:$E$200,MATCH(P66,'Resource Rate Library'!$A$5:$A$200,0)),"")</f>
        <v/>
      </c>
      <c r="U66" s="1441" t="n"/>
      <c r="V66" s="1441" t="n"/>
      <c r="W66" s="1442">
        <f>IFERROR(INDEX('Resource Rate Library'!$I$5:$I$200,MATCH(P66,'Resource Rate Library'!$A$5:$A$200,0)),0)</f>
        <v/>
      </c>
      <c r="X66" s="1443" t="n"/>
      <c r="Y66" s="1442">
        <f>IF(X66&gt;0,X66,W66)</f>
        <v/>
      </c>
      <c r="Z66" s="1442">
        <f>IF(B66="","",IF(N66="Time x Count",M66*R66*IF(U66="",1,U66)*Y66,IF(N66="QS Qty x Factor",E66*R66*(1+IF(V66="",0,V66))*Y66,IF(N66="Direct Qty",S66*(1+IF(V66="",0,V66))*Y66,IF(N66="Lump Sum / Quote",S66*Y66,0)))))</f>
        <v/>
      </c>
      <c r="AA66" s="81">
        <f>IFERROR(INDEX('Resource Rate Library'!$N$5:$N$200,MATCH(P66,'Resource Rate Library'!$A$5:$A$200,0)),"")</f>
        <v/>
      </c>
      <c r="AB66" s="53" t="n"/>
      <c r="AC66" s="59" t="n"/>
      <c r="AD66" s="81">
        <f>IFERROR(INDEX('Resource Rate Library'!$G$5:$G$200,MATCH(P66,'Resource Rate Library'!$A$5:$A$200,0)),"")</f>
        <v/>
      </c>
      <c r="AE66" s="81">
        <f>IFERROR(INDEX('Resource Rate Library'!$H$5:$H$200,MATCH(P66,'Resource Rate Library'!$A$5:$A$200,0)),"")</f>
        <v/>
      </c>
      <c r="AF66" s="53" t="n"/>
      <c r="AG66" s="53" t="n"/>
      <c r="AH66" s="53" t="n"/>
      <c r="AI66" s="81">
        <f>IF(B66="","",IF(AND(P66="",N66&lt;&gt;"Lump Sum / Quote"),"RESOURCE CODE",IF(Y66=0,"RATE MISSING",IF(AND(O66="Plant",AD66="Yes",COUNTIFS($B$7:$B$306,B66,$O$7:$O$306,"Labour",$Q$7:$Q$306,"*Operator*")&gt;0),"OPERATOR DOUBLE-COUNT",IF(AND(O66="Plant",AE66="Yes",COUNTIFS($B$7:$B$306,B66,$Q$7:$Q$306,"*Fuel*")&gt;0),"FUEL DOUBLE-COUNT",IF(AH66&lt;&gt;"Yes","VERIFY","OK"))))))</f>
        <v/>
      </c>
      <c r="AJ66" s="54" t="n"/>
      <c r="AK66" s="473" t="n"/>
      <c r="AL66" s="473" t="n"/>
      <c r="AM66" s="473" t="n"/>
      <c r="AN66" s="1444">
        <f>IF(AND(AK66="Yes",OR(O66="Labour",O66="Plant")),Z66,0)</f>
        <v/>
      </c>
    </row>
    <row r="67" ht="22.04999923706055" customHeight="1" s="491">
      <c r="A67" s="80">
        <f>IF(B67="","",B67&amp;"-"&amp;TEXT(COUNTIF($B$7:B67,B67),"000"))</f>
        <v/>
      </c>
      <c r="B67" s="53" t="n"/>
      <c r="C67" s="81">
        <f>IFERROR(INDEX('QS Takeoff'!$A$3:$A$202,MATCH(B67,'QS Takeoff'!$B$3:$B$202,0)),"")</f>
        <v/>
      </c>
      <c r="D67" s="81">
        <f>IFERROR(INDEX('QS Takeoff'!$C$3:$C$202,MATCH(B67,'QS Takeoff'!$B$3:$B$202,0)),"")</f>
        <v/>
      </c>
      <c r="E67" s="81">
        <f>IFERROR(INDEX('QS Takeoff'!$E$3:$E$202,MATCH(B67,'QS Takeoff'!$B$3:$B$202,0)),"")</f>
        <v/>
      </c>
      <c r="F67" s="81">
        <f>IFERROR(INDEX('QS Takeoff'!$D$3:$D$202,MATCH(B67,'QS Takeoff'!$B$3:$B$202,0)),"")</f>
        <v/>
      </c>
      <c r="G67" s="81">
        <f>IFERROR(INDEX('QS Takeoff'!$J$3:$J$202,MATCH(B67,'QS Takeoff'!$B$3:$B$202,0)),"")</f>
        <v/>
      </c>
      <c r="H67" s="53" t="n"/>
      <c r="I67" s="60" t="n"/>
      <c r="J67" s="60" t="n"/>
      <c r="K67" s="82">
        <f>IF(OR(B67="",I67="",I67=0),"",E67/I67)</f>
        <v/>
      </c>
      <c r="L67" s="60" t="n"/>
      <c r="M67" s="82">
        <f>IF(L67&gt;0,L67,K67)</f>
        <v/>
      </c>
      <c r="N67" s="53" t="n"/>
      <c r="O67" s="53" t="n"/>
      <c r="P67" s="53" t="n"/>
      <c r="Q67" s="81">
        <f>IFERROR(INDEX('Resource Rate Library'!$C$5:$C$200,MATCH(P67,'Resource Rate Library'!$A$5:$A$200,0)),"")</f>
        <v/>
      </c>
      <c r="R67" s="53" t="n"/>
      <c r="S67" s="53" t="n"/>
      <c r="T67" s="81">
        <f>IFERROR(INDEX('Resource Rate Library'!$E$5:$E$200,MATCH(P67,'Resource Rate Library'!$A$5:$A$200,0)),"")</f>
        <v/>
      </c>
      <c r="U67" s="1441" t="n"/>
      <c r="V67" s="1441" t="n"/>
      <c r="W67" s="1442">
        <f>IFERROR(INDEX('Resource Rate Library'!$I$5:$I$200,MATCH(P67,'Resource Rate Library'!$A$5:$A$200,0)),0)</f>
        <v/>
      </c>
      <c r="X67" s="1443" t="n"/>
      <c r="Y67" s="1442">
        <f>IF(X67&gt;0,X67,W67)</f>
        <v/>
      </c>
      <c r="Z67" s="1442">
        <f>IF(B67="","",IF(N67="Time x Count",M67*R67*IF(U67="",1,U67)*Y67,IF(N67="QS Qty x Factor",E67*R67*(1+IF(V67="",0,V67))*Y67,IF(N67="Direct Qty",S67*(1+IF(V67="",0,V67))*Y67,IF(N67="Lump Sum / Quote",S67*Y67,0)))))</f>
        <v/>
      </c>
      <c r="AA67" s="81">
        <f>IFERROR(INDEX('Resource Rate Library'!$N$5:$N$200,MATCH(P67,'Resource Rate Library'!$A$5:$A$200,0)),"")</f>
        <v/>
      </c>
      <c r="AB67" s="53" t="n"/>
      <c r="AC67" s="59" t="n"/>
      <c r="AD67" s="81">
        <f>IFERROR(INDEX('Resource Rate Library'!$G$5:$G$200,MATCH(P67,'Resource Rate Library'!$A$5:$A$200,0)),"")</f>
        <v/>
      </c>
      <c r="AE67" s="81">
        <f>IFERROR(INDEX('Resource Rate Library'!$H$5:$H$200,MATCH(P67,'Resource Rate Library'!$A$5:$A$200,0)),"")</f>
        <v/>
      </c>
      <c r="AF67" s="53" t="n"/>
      <c r="AG67" s="53" t="n"/>
      <c r="AH67" s="53" t="n"/>
      <c r="AI67" s="81">
        <f>IF(B67="","",IF(AND(P67="",N67&lt;&gt;"Lump Sum / Quote"),"RESOURCE CODE",IF(Y67=0,"RATE MISSING",IF(AND(O67="Plant",AD67="Yes",COUNTIFS($B$7:$B$306,B67,$O$7:$O$306,"Labour",$Q$7:$Q$306,"*Operator*")&gt;0),"OPERATOR DOUBLE-COUNT",IF(AND(O67="Plant",AE67="Yes",COUNTIFS($B$7:$B$306,B67,$Q$7:$Q$306,"*Fuel*")&gt;0),"FUEL DOUBLE-COUNT",IF(AH67&lt;&gt;"Yes","VERIFY","OK"))))))</f>
        <v/>
      </c>
      <c r="AJ67" s="54" t="n"/>
      <c r="AK67" s="473" t="n"/>
      <c r="AL67" s="473" t="n"/>
      <c r="AM67" s="473" t="n"/>
      <c r="AN67" s="1444">
        <f>IF(AND(AK67="Yes",OR(O67="Labour",O67="Plant")),Z67,0)</f>
        <v/>
      </c>
    </row>
    <row r="68" ht="22.04999923706055" customHeight="1" s="491">
      <c r="A68" s="80">
        <f>IF(B68="","",B68&amp;"-"&amp;TEXT(COUNTIF($B$7:B68,B68),"000"))</f>
        <v/>
      </c>
      <c r="B68" s="53" t="n"/>
      <c r="C68" s="81">
        <f>IFERROR(INDEX('QS Takeoff'!$A$3:$A$202,MATCH(B68,'QS Takeoff'!$B$3:$B$202,0)),"")</f>
        <v/>
      </c>
      <c r="D68" s="81">
        <f>IFERROR(INDEX('QS Takeoff'!$C$3:$C$202,MATCH(B68,'QS Takeoff'!$B$3:$B$202,0)),"")</f>
        <v/>
      </c>
      <c r="E68" s="81">
        <f>IFERROR(INDEX('QS Takeoff'!$E$3:$E$202,MATCH(B68,'QS Takeoff'!$B$3:$B$202,0)),"")</f>
        <v/>
      </c>
      <c r="F68" s="81">
        <f>IFERROR(INDEX('QS Takeoff'!$D$3:$D$202,MATCH(B68,'QS Takeoff'!$B$3:$B$202,0)),"")</f>
        <v/>
      </c>
      <c r="G68" s="81">
        <f>IFERROR(INDEX('QS Takeoff'!$J$3:$J$202,MATCH(B68,'QS Takeoff'!$B$3:$B$202,0)),"")</f>
        <v/>
      </c>
      <c r="H68" s="53" t="n"/>
      <c r="I68" s="60" t="n"/>
      <c r="J68" s="60" t="n"/>
      <c r="K68" s="82">
        <f>IF(OR(B68="",I68="",I68=0),"",E68/I68)</f>
        <v/>
      </c>
      <c r="L68" s="60" t="n"/>
      <c r="M68" s="82">
        <f>IF(L68&gt;0,L68,K68)</f>
        <v/>
      </c>
      <c r="N68" s="53" t="n"/>
      <c r="O68" s="53" t="n"/>
      <c r="P68" s="53" t="n"/>
      <c r="Q68" s="81">
        <f>IFERROR(INDEX('Resource Rate Library'!$C$5:$C$200,MATCH(P68,'Resource Rate Library'!$A$5:$A$200,0)),"")</f>
        <v/>
      </c>
      <c r="R68" s="53" t="n"/>
      <c r="S68" s="53" t="n"/>
      <c r="T68" s="81">
        <f>IFERROR(INDEX('Resource Rate Library'!$E$5:$E$200,MATCH(P68,'Resource Rate Library'!$A$5:$A$200,0)),"")</f>
        <v/>
      </c>
      <c r="U68" s="1441" t="n"/>
      <c r="V68" s="1441" t="n"/>
      <c r="W68" s="1442">
        <f>IFERROR(INDEX('Resource Rate Library'!$I$5:$I$200,MATCH(P68,'Resource Rate Library'!$A$5:$A$200,0)),0)</f>
        <v/>
      </c>
      <c r="X68" s="1443" t="n"/>
      <c r="Y68" s="1442">
        <f>IF(X68&gt;0,X68,W68)</f>
        <v/>
      </c>
      <c r="Z68" s="1442">
        <f>IF(B68="","",IF(N68="Time x Count",M68*R68*IF(U68="",1,U68)*Y68,IF(N68="QS Qty x Factor",E68*R68*(1+IF(V68="",0,V68))*Y68,IF(N68="Direct Qty",S68*(1+IF(V68="",0,V68))*Y68,IF(N68="Lump Sum / Quote",S68*Y68,0)))))</f>
        <v/>
      </c>
      <c r="AA68" s="81">
        <f>IFERROR(INDEX('Resource Rate Library'!$N$5:$N$200,MATCH(P68,'Resource Rate Library'!$A$5:$A$200,0)),"")</f>
        <v/>
      </c>
      <c r="AB68" s="53" t="n"/>
      <c r="AC68" s="59" t="n"/>
      <c r="AD68" s="81">
        <f>IFERROR(INDEX('Resource Rate Library'!$G$5:$G$200,MATCH(P68,'Resource Rate Library'!$A$5:$A$200,0)),"")</f>
        <v/>
      </c>
      <c r="AE68" s="81">
        <f>IFERROR(INDEX('Resource Rate Library'!$H$5:$H$200,MATCH(P68,'Resource Rate Library'!$A$5:$A$200,0)),"")</f>
        <v/>
      </c>
      <c r="AF68" s="53" t="n"/>
      <c r="AG68" s="53" t="n"/>
      <c r="AH68" s="53" t="n"/>
      <c r="AI68" s="81">
        <f>IF(B68="","",IF(AND(P68="",N68&lt;&gt;"Lump Sum / Quote"),"RESOURCE CODE",IF(Y68=0,"RATE MISSING",IF(AND(O68="Plant",AD68="Yes",COUNTIFS($B$7:$B$306,B68,$O$7:$O$306,"Labour",$Q$7:$Q$306,"*Operator*")&gt;0),"OPERATOR DOUBLE-COUNT",IF(AND(O68="Plant",AE68="Yes",COUNTIFS($B$7:$B$306,B68,$Q$7:$Q$306,"*Fuel*")&gt;0),"FUEL DOUBLE-COUNT",IF(AH68&lt;&gt;"Yes","VERIFY","OK"))))))</f>
        <v/>
      </c>
      <c r="AJ68" s="54" t="n"/>
      <c r="AK68" s="473" t="n"/>
      <c r="AL68" s="473" t="n"/>
      <c r="AM68" s="473" t="n"/>
      <c r="AN68" s="1444">
        <f>IF(AND(AK68="Yes",OR(O68="Labour",O68="Plant")),Z68,0)</f>
        <v/>
      </c>
    </row>
    <row r="69" ht="22.04999923706055" customHeight="1" s="491">
      <c r="A69" s="80">
        <f>IF(B69="","",B69&amp;"-"&amp;TEXT(COUNTIF($B$7:B69,B69),"000"))</f>
        <v/>
      </c>
      <c r="B69" s="53" t="n"/>
      <c r="C69" s="81">
        <f>IFERROR(INDEX('QS Takeoff'!$A$3:$A$202,MATCH(B69,'QS Takeoff'!$B$3:$B$202,0)),"")</f>
        <v/>
      </c>
      <c r="D69" s="81">
        <f>IFERROR(INDEX('QS Takeoff'!$C$3:$C$202,MATCH(B69,'QS Takeoff'!$B$3:$B$202,0)),"")</f>
        <v/>
      </c>
      <c r="E69" s="81">
        <f>IFERROR(INDEX('QS Takeoff'!$E$3:$E$202,MATCH(B69,'QS Takeoff'!$B$3:$B$202,0)),"")</f>
        <v/>
      </c>
      <c r="F69" s="81">
        <f>IFERROR(INDEX('QS Takeoff'!$D$3:$D$202,MATCH(B69,'QS Takeoff'!$B$3:$B$202,0)),"")</f>
        <v/>
      </c>
      <c r="G69" s="81">
        <f>IFERROR(INDEX('QS Takeoff'!$J$3:$J$202,MATCH(B69,'QS Takeoff'!$B$3:$B$202,0)),"")</f>
        <v/>
      </c>
      <c r="H69" s="53" t="n"/>
      <c r="I69" s="60" t="n"/>
      <c r="J69" s="60" t="n"/>
      <c r="K69" s="82">
        <f>IF(OR(B69="",I69="",I69=0),"",E69/I69)</f>
        <v/>
      </c>
      <c r="L69" s="60" t="n"/>
      <c r="M69" s="82">
        <f>IF(L69&gt;0,L69,K69)</f>
        <v/>
      </c>
      <c r="N69" s="53" t="n"/>
      <c r="O69" s="53" t="n"/>
      <c r="P69" s="53" t="n"/>
      <c r="Q69" s="81">
        <f>IFERROR(INDEX('Resource Rate Library'!$C$5:$C$200,MATCH(P69,'Resource Rate Library'!$A$5:$A$200,0)),"")</f>
        <v/>
      </c>
      <c r="R69" s="53" t="n"/>
      <c r="S69" s="53" t="n"/>
      <c r="T69" s="81">
        <f>IFERROR(INDEX('Resource Rate Library'!$E$5:$E$200,MATCH(P69,'Resource Rate Library'!$A$5:$A$200,0)),"")</f>
        <v/>
      </c>
      <c r="U69" s="1441" t="n"/>
      <c r="V69" s="1441" t="n"/>
      <c r="W69" s="1442">
        <f>IFERROR(INDEX('Resource Rate Library'!$I$5:$I$200,MATCH(P69,'Resource Rate Library'!$A$5:$A$200,0)),0)</f>
        <v/>
      </c>
      <c r="X69" s="1443" t="n"/>
      <c r="Y69" s="1442">
        <f>IF(X69&gt;0,X69,W69)</f>
        <v/>
      </c>
      <c r="Z69" s="1442">
        <f>IF(B69="","",IF(N69="Time x Count",M69*R69*IF(U69="",1,U69)*Y69,IF(N69="QS Qty x Factor",E69*R69*(1+IF(V69="",0,V69))*Y69,IF(N69="Direct Qty",S69*(1+IF(V69="",0,V69))*Y69,IF(N69="Lump Sum / Quote",S69*Y69,0)))))</f>
        <v/>
      </c>
      <c r="AA69" s="81">
        <f>IFERROR(INDEX('Resource Rate Library'!$N$5:$N$200,MATCH(P69,'Resource Rate Library'!$A$5:$A$200,0)),"")</f>
        <v/>
      </c>
      <c r="AB69" s="53" t="n"/>
      <c r="AC69" s="59" t="n"/>
      <c r="AD69" s="81">
        <f>IFERROR(INDEX('Resource Rate Library'!$G$5:$G$200,MATCH(P69,'Resource Rate Library'!$A$5:$A$200,0)),"")</f>
        <v/>
      </c>
      <c r="AE69" s="81">
        <f>IFERROR(INDEX('Resource Rate Library'!$H$5:$H$200,MATCH(P69,'Resource Rate Library'!$A$5:$A$200,0)),"")</f>
        <v/>
      </c>
      <c r="AF69" s="53" t="n"/>
      <c r="AG69" s="53" t="n"/>
      <c r="AH69" s="53" t="n"/>
      <c r="AI69" s="81">
        <f>IF(B69="","",IF(AND(P69="",N69&lt;&gt;"Lump Sum / Quote"),"RESOURCE CODE",IF(Y69=0,"RATE MISSING",IF(AND(O69="Plant",AD69="Yes",COUNTIFS($B$7:$B$306,B69,$O$7:$O$306,"Labour",$Q$7:$Q$306,"*Operator*")&gt;0),"OPERATOR DOUBLE-COUNT",IF(AND(O69="Plant",AE69="Yes",COUNTIFS($B$7:$B$306,B69,$Q$7:$Q$306,"*Fuel*")&gt;0),"FUEL DOUBLE-COUNT",IF(AH69&lt;&gt;"Yes","VERIFY","OK"))))))</f>
        <v/>
      </c>
      <c r="AJ69" s="54" t="n"/>
      <c r="AK69" s="473" t="n"/>
      <c r="AL69" s="473" t="n"/>
      <c r="AM69" s="473" t="n"/>
      <c r="AN69" s="1444">
        <f>IF(AND(AK69="Yes",OR(O69="Labour",O69="Plant")),Z69,0)</f>
        <v/>
      </c>
    </row>
    <row r="70" ht="22.04999923706055" customHeight="1" s="491">
      <c r="A70" s="80">
        <f>IF(B70="","",B70&amp;"-"&amp;TEXT(COUNTIF($B$7:B70,B70),"000"))</f>
        <v/>
      </c>
      <c r="B70" s="53" t="n"/>
      <c r="C70" s="81">
        <f>IFERROR(INDEX('QS Takeoff'!$A$3:$A$202,MATCH(B70,'QS Takeoff'!$B$3:$B$202,0)),"")</f>
        <v/>
      </c>
      <c r="D70" s="81">
        <f>IFERROR(INDEX('QS Takeoff'!$C$3:$C$202,MATCH(B70,'QS Takeoff'!$B$3:$B$202,0)),"")</f>
        <v/>
      </c>
      <c r="E70" s="81">
        <f>IFERROR(INDEX('QS Takeoff'!$E$3:$E$202,MATCH(B70,'QS Takeoff'!$B$3:$B$202,0)),"")</f>
        <v/>
      </c>
      <c r="F70" s="81">
        <f>IFERROR(INDEX('QS Takeoff'!$D$3:$D$202,MATCH(B70,'QS Takeoff'!$B$3:$B$202,0)),"")</f>
        <v/>
      </c>
      <c r="G70" s="81">
        <f>IFERROR(INDEX('QS Takeoff'!$J$3:$J$202,MATCH(B70,'QS Takeoff'!$B$3:$B$202,0)),"")</f>
        <v/>
      </c>
      <c r="H70" s="53" t="n"/>
      <c r="I70" s="60" t="n"/>
      <c r="J70" s="60" t="n"/>
      <c r="K70" s="82">
        <f>IF(OR(B70="",I70="",I70=0),"",E70/I70)</f>
        <v/>
      </c>
      <c r="L70" s="60" t="n"/>
      <c r="M70" s="82">
        <f>IF(L70&gt;0,L70,K70)</f>
        <v/>
      </c>
      <c r="N70" s="53" t="n"/>
      <c r="O70" s="53" t="n"/>
      <c r="P70" s="53" t="n"/>
      <c r="Q70" s="81">
        <f>IFERROR(INDEX('Resource Rate Library'!$C$5:$C$200,MATCH(P70,'Resource Rate Library'!$A$5:$A$200,0)),"")</f>
        <v/>
      </c>
      <c r="R70" s="53" t="n"/>
      <c r="S70" s="53" t="n"/>
      <c r="T70" s="81">
        <f>IFERROR(INDEX('Resource Rate Library'!$E$5:$E$200,MATCH(P70,'Resource Rate Library'!$A$5:$A$200,0)),"")</f>
        <v/>
      </c>
      <c r="U70" s="1441" t="n"/>
      <c r="V70" s="1441" t="n"/>
      <c r="W70" s="1442">
        <f>IFERROR(INDEX('Resource Rate Library'!$I$5:$I$200,MATCH(P70,'Resource Rate Library'!$A$5:$A$200,0)),0)</f>
        <v/>
      </c>
      <c r="X70" s="1443" t="n"/>
      <c r="Y70" s="1442">
        <f>IF(X70&gt;0,X70,W70)</f>
        <v/>
      </c>
      <c r="Z70" s="1442">
        <f>IF(B70="","",IF(N70="Time x Count",M70*R70*IF(U70="",1,U70)*Y70,IF(N70="QS Qty x Factor",E70*R70*(1+IF(V70="",0,V70))*Y70,IF(N70="Direct Qty",S70*(1+IF(V70="",0,V70))*Y70,IF(N70="Lump Sum / Quote",S70*Y70,0)))))</f>
        <v/>
      </c>
      <c r="AA70" s="81">
        <f>IFERROR(INDEX('Resource Rate Library'!$N$5:$N$200,MATCH(P70,'Resource Rate Library'!$A$5:$A$200,0)),"")</f>
        <v/>
      </c>
      <c r="AB70" s="53" t="n"/>
      <c r="AC70" s="59" t="n"/>
      <c r="AD70" s="81">
        <f>IFERROR(INDEX('Resource Rate Library'!$G$5:$G$200,MATCH(P70,'Resource Rate Library'!$A$5:$A$200,0)),"")</f>
        <v/>
      </c>
      <c r="AE70" s="81">
        <f>IFERROR(INDEX('Resource Rate Library'!$H$5:$H$200,MATCH(P70,'Resource Rate Library'!$A$5:$A$200,0)),"")</f>
        <v/>
      </c>
      <c r="AF70" s="53" t="n"/>
      <c r="AG70" s="53" t="n"/>
      <c r="AH70" s="53" t="n"/>
      <c r="AI70" s="81">
        <f>IF(B70="","",IF(AND(P70="",N70&lt;&gt;"Lump Sum / Quote"),"RESOURCE CODE",IF(Y70=0,"RATE MISSING",IF(AND(O70="Plant",AD70="Yes",COUNTIFS($B$7:$B$306,B70,$O$7:$O$306,"Labour",$Q$7:$Q$306,"*Operator*")&gt;0),"OPERATOR DOUBLE-COUNT",IF(AND(O70="Plant",AE70="Yes",COUNTIFS($B$7:$B$306,B70,$Q$7:$Q$306,"*Fuel*")&gt;0),"FUEL DOUBLE-COUNT",IF(AH70&lt;&gt;"Yes","VERIFY","OK"))))))</f>
        <v/>
      </c>
      <c r="AJ70" s="54" t="n"/>
      <c r="AK70" s="473" t="n"/>
      <c r="AL70" s="473" t="n"/>
      <c r="AM70" s="473" t="n"/>
      <c r="AN70" s="1444">
        <f>IF(AND(AK70="Yes",OR(O70="Labour",O70="Plant")),Z70,0)</f>
        <v/>
      </c>
    </row>
    <row r="71" ht="22.04999923706055" customHeight="1" s="491">
      <c r="A71" s="80">
        <f>IF(B71="","",B71&amp;"-"&amp;TEXT(COUNTIF($B$7:B71,B71),"000"))</f>
        <v/>
      </c>
      <c r="B71" s="53" t="n"/>
      <c r="C71" s="81">
        <f>IFERROR(INDEX('QS Takeoff'!$A$3:$A$202,MATCH(B71,'QS Takeoff'!$B$3:$B$202,0)),"")</f>
        <v/>
      </c>
      <c r="D71" s="81">
        <f>IFERROR(INDEX('QS Takeoff'!$C$3:$C$202,MATCH(B71,'QS Takeoff'!$B$3:$B$202,0)),"")</f>
        <v/>
      </c>
      <c r="E71" s="81">
        <f>IFERROR(INDEX('QS Takeoff'!$E$3:$E$202,MATCH(B71,'QS Takeoff'!$B$3:$B$202,0)),"")</f>
        <v/>
      </c>
      <c r="F71" s="81">
        <f>IFERROR(INDEX('QS Takeoff'!$D$3:$D$202,MATCH(B71,'QS Takeoff'!$B$3:$B$202,0)),"")</f>
        <v/>
      </c>
      <c r="G71" s="81">
        <f>IFERROR(INDEX('QS Takeoff'!$J$3:$J$202,MATCH(B71,'QS Takeoff'!$B$3:$B$202,0)),"")</f>
        <v/>
      </c>
      <c r="H71" s="53" t="n"/>
      <c r="I71" s="60" t="n"/>
      <c r="J71" s="60" t="n"/>
      <c r="K71" s="82">
        <f>IF(OR(B71="",I71="",I71=0),"",E71/I71)</f>
        <v/>
      </c>
      <c r="L71" s="60" t="n"/>
      <c r="M71" s="82">
        <f>IF(L71&gt;0,L71,K71)</f>
        <v/>
      </c>
      <c r="N71" s="53" t="n"/>
      <c r="O71" s="53" t="n"/>
      <c r="P71" s="53" t="n"/>
      <c r="Q71" s="81">
        <f>IFERROR(INDEX('Resource Rate Library'!$C$5:$C$200,MATCH(P71,'Resource Rate Library'!$A$5:$A$200,0)),"")</f>
        <v/>
      </c>
      <c r="R71" s="53" t="n"/>
      <c r="S71" s="53" t="n"/>
      <c r="T71" s="81">
        <f>IFERROR(INDEX('Resource Rate Library'!$E$5:$E$200,MATCH(P71,'Resource Rate Library'!$A$5:$A$200,0)),"")</f>
        <v/>
      </c>
      <c r="U71" s="1441" t="n"/>
      <c r="V71" s="1441" t="n"/>
      <c r="W71" s="1442">
        <f>IFERROR(INDEX('Resource Rate Library'!$I$5:$I$200,MATCH(P71,'Resource Rate Library'!$A$5:$A$200,0)),0)</f>
        <v/>
      </c>
      <c r="X71" s="1443" t="n"/>
      <c r="Y71" s="1442">
        <f>IF(X71&gt;0,X71,W71)</f>
        <v/>
      </c>
      <c r="Z71" s="1442">
        <f>IF(B71="","",IF(N71="Time x Count",M71*R71*IF(U71="",1,U71)*Y71,IF(N71="QS Qty x Factor",E71*R71*(1+IF(V71="",0,V71))*Y71,IF(N71="Direct Qty",S71*(1+IF(V71="",0,V71))*Y71,IF(N71="Lump Sum / Quote",S71*Y71,0)))))</f>
        <v/>
      </c>
      <c r="AA71" s="81">
        <f>IFERROR(INDEX('Resource Rate Library'!$N$5:$N$200,MATCH(P71,'Resource Rate Library'!$A$5:$A$200,0)),"")</f>
        <v/>
      </c>
      <c r="AB71" s="53" t="n"/>
      <c r="AC71" s="59" t="n"/>
      <c r="AD71" s="81">
        <f>IFERROR(INDEX('Resource Rate Library'!$G$5:$G$200,MATCH(P71,'Resource Rate Library'!$A$5:$A$200,0)),"")</f>
        <v/>
      </c>
      <c r="AE71" s="81">
        <f>IFERROR(INDEX('Resource Rate Library'!$H$5:$H$200,MATCH(P71,'Resource Rate Library'!$A$5:$A$200,0)),"")</f>
        <v/>
      </c>
      <c r="AF71" s="53" t="n"/>
      <c r="AG71" s="53" t="n"/>
      <c r="AH71" s="53" t="n"/>
      <c r="AI71" s="81">
        <f>IF(B71="","",IF(AND(P71="",N71&lt;&gt;"Lump Sum / Quote"),"RESOURCE CODE",IF(Y71=0,"RATE MISSING",IF(AND(O71="Plant",AD71="Yes",COUNTIFS($B$7:$B$306,B71,$O$7:$O$306,"Labour",$Q$7:$Q$306,"*Operator*")&gt;0),"OPERATOR DOUBLE-COUNT",IF(AND(O71="Plant",AE71="Yes",COUNTIFS($B$7:$B$306,B71,$Q$7:$Q$306,"*Fuel*")&gt;0),"FUEL DOUBLE-COUNT",IF(AH71&lt;&gt;"Yes","VERIFY","OK"))))))</f>
        <v/>
      </c>
      <c r="AJ71" s="54" t="n"/>
      <c r="AK71" s="473" t="n"/>
      <c r="AL71" s="473" t="n"/>
      <c r="AM71" s="473" t="n"/>
      <c r="AN71" s="1444">
        <f>IF(AND(AK71="Yes",OR(O71="Labour",O71="Plant")),Z71,0)</f>
        <v/>
      </c>
    </row>
    <row r="72" ht="22.04999923706055" customHeight="1" s="491">
      <c r="A72" s="80">
        <f>IF(B72="","",B72&amp;"-"&amp;TEXT(COUNTIF($B$7:B72,B72),"000"))</f>
        <v/>
      </c>
      <c r="B72" s="53" t="n"/>
      <c r="C72" s="81">
        <f>IFERROR(INDEX('QS Takeoff'!$A$3:$A$202,MATCH(B72,'QS Takeoff'!$B$3:$B$202,0)),"")</f>
        <v/>
      </c>
      <c r="D72" s="81">
        <f>IFERROR(INDEX('QS Takeoff'!$C$3:$C$202,MATCH(B72,'QS Takeoff'!$B$3:$B$202,0)),"")</f>
        <v/>
      </c>
      <c r="E72" s="81">
        <f>IFERROR(INDEX('QS Takeoff'!$E$3:$E$202,MATCH(B72,'QS Takeoff'!$B$3:$B$202,0)),"")</f>
        <v/>
      </c>
      <c r="F72" s="81">
        <f>IFERROR(INDEX('QS Takeoff'!$D$3:$D$202,MATCH(B72,'QS Takeoff'!$B$3:$B$202,0)),"")</f>
        <v/>
      </c>
      <c r="G72" s="81">
        <f>IFERROR(INDEX('QS Takeoff'!$J$3:$J$202,MATCH(B72,'QS Takeoff'!$B$3:$B$202,0)),"")</f>
        <v/>
      </c>
      <c r="H72" s="53" t="n"/>
      <c r="I72" s="60" t="n"/>
      <c r="J72" s="60" t="n"/>
      <c r="K72" s="82">
        <f>IF(OR(B72="",I72="",I72=0),"",E72/I72)</f>
        <v/>
      </c>
      <c r="L72" s="60" t="n"/>
      <c r="M72" s="82">
        <f>IF(L72&gt;0,L72,K72)</f>
        <v/>
      </c>
      <c r="N72" s="53" t="n"/>
      <c r="O72" s="53" t="n"/>
      <c r="P72" s="53" t="n"/>
      <c r="Q72" s="81">
        <f>IFERROR(INDEX('Resource Rate Library'!$C$5:$C$200,MATCH(P72,'Resource Rate Library'!$A$5:$A$200,0)),"")</f>
        <v/>
      </c>
      <c r="R72" s="53" t="n"/>
      <c r="S72" s="53" t="n"/>
      <c r="T72" s="81">
        <f>IFERROR(INDEX('Resource Rate Library'!$E$5:$E$200,MATCH(P72,'Resource Rate Library'!$A$5:$A$200,0)),"")</f>
        <v/>
      </c>
      <c r="U72" s="1441" t="n"/>
      <c r="V72" s="1441" t="n"/>
      <c r="W72" s="1442">
        <f>IFERROR(INDEX('Resource Rate Library'!$I$5:$I$200,MATCH(P72,'Resource Rate Library'!$A$5:$A$200,0)),0)</f>
        <v/>
      </c>
      <c r="X72" s="1443" t="n"/>
      <c r="Y72" s="1442">
        <f>IF(X72&gt;0,X72,W72)</f>
        <v/>
      </c>
      <c r="Z72" s="1442">
        <f>IF(B72="","",IF(N72="Time x Count",M72*R72*IF(U72="",1,U72)*Y72,IF(N72="QS Qty x Factor",E72*R72*(1+IF(V72="",0,V72))*Y72,IF(N72="Direct Qty",S72*(1+IF(V72="",0,V72))*Y72,IF(N72="Lump Sum / Quote",S72*Y72,0)))))</f>
        <v/>
      </c>
      <c r="AA72" s="81">
        <f>IFERROR(INDEX('Resource Rate Library'!$N$5:$N$200,MATCH(P72,'Resource Rate Library'!$A$5:$A$200,0)),"")</f>
        <v/>
      </c>
      <c r="AB72" s="53" t="n"/>
      <c r="AC72" s="59" t="n"/>
      <c r="AD72" s="81">
        <f>IFERROR(INDEX('Resource Rate Library'!$G$5:$G$200,MATCH(P72,'Resource Rate Library'!$A$5:$A$200,0)),"")</f>
        <v/>
      </c>
      <c r="AE72" s="81">
        <f>IFERROR(INDEX('Resource Rate Library'!$H$5:$H$200,MATCH(P72,'Resource Rate Library'!$A$5:$A$200,0)),"")</f>
        <v/>
      </c>
      <c r="AF72" s="53" t="n"/>
      <c r="AG72" s="53" t="n"/>
      <c r="AH72" s="53" t="n"/>
      <c r="AI72" s="81">
        <f>IF(B72="","",IF(AND(P72="",N72&lt;&gt;"Lump Sum / Quote"),"RESOURCE CODE",IF(Y72=0,"RATE MISSING",IF(AND(O72="Plant",AD72="Yes",COUNTIFS($B$7:$B$306,B72,$O$7:$O$306,"Labour",$Q$7:$Q$306,"*Operator*")&gt;0),"OPERATOR DOUBLE-COUNT",IF(AND(O72="Plant",AE72="Yes",COUNTIFS($B$7:$B$306,B72,$Q$7:$Q$306,"*Fuel*")&gt;0),"FUEL DOUBLE-COUNT",IF(AH72&lt;&gt;"Yes","VERIFY","OK"))))))</f>
        <v/>
      </c>
      <c r="AJ72" s="54" t="n"/>
      <c r="AK72" s="473" t="n"/>
      <c r="AL72" s="473" t="n"/>
      <c r="AM72" s="473" t="n"/>
      <c r="AN72" s="1444">
        <f>IF(AND(AK72="Yes",OR(O72="Labour",O72="Plant")),Z72,0)</f>
        <v/>
      </c>
    </row>
    <row r="73" ht="22.04999923706055" customHeight="1" s="491">
      <c r="A73" s="80">
        <f>IF(B73="","",B73&amp;"-"&amp;TEXT(COUNTIF($B$7:B73,B73),"000"))</f>
        <v/>
      </c>
      <c r="B73" s="53" t="n"/>
      <c r="C73" s="81">
        <f>IFERROR(INDEX('QS Takeoff'!$A$3:$A$202,MATCH(B73,'QS Takeoff'!$B$3:$B$202,0)),"")</f>
        <v/>
      </c>
      <c r="D73" s="81">
        <f>IFERROR(INDEX('QS Takeoff'!$C$3:$C$202,MATCH(B73,'QS Takeoff'!$B$3:$B$202,0)),"")</f>
        <v/>
      </c>
      <c r="E73" s="81">
        <f>IFERROR(INDEX('QS Takeoff'!$E$3:$E$202,MATCH(B73,'QS Takeoff'!$B$3:$B$202,0)),"")</f>
        <v/>
      </c>
      <c r="F73" s="81">
        <f>IFERROR(INDEX('QS Takeoff'!$D$3:$D$202,MATCH(B73,'QS Takeoff'!$B$3:$B$202,0)),"")</f>
        <v/>
      </c>
      <c r="G73" s="81">
        <f>IFERROR(INDEX('QS Takeoff'!$J$3:$J$202,MATCH(B73,'QS Takeoff'!$B$3:$B$202,0)),"")</f>
        <v/>
      </c>
      <c r="H73" s="53" t="n"/>
      <c r="I73" s="60" t="n"/>
      <c r="J73" s="60" t="n"/>
      <c r="K73" s="82">
        <f>IF(OR(B73="",I73="",I73=0),"",E73/I73)</f>
        <v/>
      </c>
      <c r="L73" s="60" t="n"/>
      <c r="M73" s="82">
        <f>IF(L73&gt;0,L73,K73)</f>
        <v/>
      </c>
      <c r="N73" s="53" t="n"/>
      <c r="O73" s="53" t="n"/>
      <c r="P73" s="53" t="n"/>
      <c r="Q73" s="81">
        <f>IFERROR(INDEX('Resource Rate Library'!$C$5:$C$200,MATCH(P73,'Resource Rate Library'!$A$5:$A$200,0)),"")</f>
        <v/>
      </c>
      <c r="R73" s="53" t="n"/>
      <c r="S73" s="53" t="n"/>
      <c r="T73" s="81">
        <f>IFERROR(INDEX('Resource Rate Library'!$E$5:$E$200,MATCH(P73,'Resource Rate Library'!$A$5:$A$200,0)),"")</f>
        <v/>
      </c>
      <c r="U73" s="1441" t="n"/>
      <c r="V73" s="1441" t="n"/>
      <c r="W73" s="1442">
        <f>IFERROR(INDEX('Resource Rate Library'!$I$5:$I$200,MATCH(P73,'Resource Rate Library'!$A$5:$A$200,0)),0)</f>
        <v/>
      </c>
      <c r="X73" s="1443" t="n"/>
      <c r="Y73" s="1442">
        <f>IF(X73&gt;0,X73,W73)</f>
        <v/>
      </c>
      <c r="Z73" s="1442">
        <f>IF(B73="","",IF(N73="Time x Count",M73*R73*IF(U73="",1,U73)*Y73,IF(N73="QS Qty x Factor",E73*R73*(1+IF(V73="",0,V73))*Y73,IF(N73="Direct Qty",S73*(1+IF(V73="",0,V73))*Y73,IF(N73="Lump Sum / Quote",S73*Y73,0)))))</f>
        <v/>
      </c>
      <c r="AA73" s="81">
        <f>IFERROR(INDEX('Resource Rate Library'!$N$5:$N$200,MATCH(P73,'Resource Rate Library'!$A$5:$A$200,0)),"")</f>
        <v/>
      </c>
      <c r="AB73" s="53" t="n"/>
      <c r="AC73" s="59" t="n"/>
      <c r="AD73" s="81">
        <f>IFERROR(INDEX('Resource Rate Library'!$G$5:$G$200,MATCH(P73,'Resource Rate Library'!$A$5:$A$200,0)),"")</f>
        <v/>
      </c>
      <c r="AE73" s="81">
        <f>IFERROR(INDEX('Resource Rate Library'!$H$5:$H$200,MATCH(P73,'Resource Rate Library'!$A$5:$A$200,0)),"")</f>
        <v/>
      </c>
      <c r="AF73" s="53" t="n"/>
      <c r="AG73" s="53" t="n"/>
      <c r="AH73" s="53" t="n"/>
      <c r="AI73" s="81">
        <f>IF(B73="","",IF(AND(P73="",N73&lt;&gt;"Lump Sum / Quote"),"RESOURCE CODE",IF(Y73=0,"RATE MISSING",IF(AND(O73="Plant",AD73="Yes",COUNTIFS($B$7:$B$306,B73,$O$7:$O$306,"Labour",$Q$7:$Q$306,"*Operator*")&gt;0),"OPERATOR DOUBLE-COUNT",IF(AND(O73="Plant",AE73="Yes",COUNTIFS($B$7:$B$306,B73,$Q$7:$Q$306,"*Fuel*")&gt;0),"FUEL DOUBLE-COUNT",IF(AH73&lt;&gt;"Yes","VERIFY","OK"))))))</f>
        <v/>
      </c>
      <c r="AJ73" s="54" t="n"/>
      <c r="AK73" s="473" t="n"/>
      <c r="AL73" s="473" t="n"/>
      <c r="AM73" s="473" t="n"/>
      <c r="AN73" s="1444">
        <f>IF(AND(AK73="Yes",OR(O73="Labour",O73="Plant")),Z73,0)</f>
        <v/>
      </c>
    </row>
    <row r="74" ht="22.04999923706055" customHeight="1" s="491">
      <c r="A74" s="80">
        <f>IF(B74="","",B74&amp;"-"&amp;TEXT(COUNTIF($B$7:B74,B74),"000"))</f>
        <v/>
      </c>
      <c r="B74" s="53" t="n"/>
      <c r="C74" s="81">
        <f>IFERROR(INDEX('QS Takeoff'!$A$3:$A$202,MATCH(B74,'QS Takeoff'!$B$3:$B$202,0)),"")</f>
        <v/>
      </c>
      <c r="D74" s="81">
        <f>IFERROR(INDEX('QS Takeoff'!$C$3:$C$202,MATCH(B74,'QS Takeoff'!$B$3:$B$202,0)),"")</f>
        <v/>
      </c>
      <c r="E74" s="81">
        <f>IFERROR(INDEX('QS Takeoff'!$E$3:$E$202,MATCH(B74,'QS Takeoff'!$B$3:$B$202,0)),"")</f>
        <v/>
      </c>
      <c r="F74" s="81">
        <f>IFERROR(INDEX('QS Takeoff'!$D$3:$D$202,MATCH(B74,'QS Takeoff'!$B$3:$B$202,0)),"")</f>
        <v/>
      </c>
      <c r="G74" s="81">
        <f>IFERROR(INDEX('QS Takeoff'!$J$3:$J$202,MATCH(B74,'QS Takeoff'!$B$3:$B$202,0)),"")</f>
        <v/>
      </c>
      <c r="H74" s="53" t="n"/>
      <c r="I74" s="60" t="n"/>
      <c r="J74" s="60" t="n"/>
      <c r="K74" s="82">
        <f>IF(OR(B74="",I74="",I74=0),"",E74/I74)</f>
        <v/>
      </c>
      <c r="L74" s="60" t="n"/>
      <c r="M74" s="82">
        <f>IF(L74&gt;0,L74,K74)</f>
        <v/>
      </c>
      <c r="N74" s="53" t="n"/>
      <c r="O74" s="53" t="n"/>
      <c r="P74" s="53" t="n"/>
      <c r="Q74" s="81">
        <f>IFERROR(INDEX('Resource Rate Library'!$C$5:$C$200,MATCH(P74,'Resource Rate Library'!$A$5:$A$200,0)),"")</f>
        <v/>
      </c>
      <c r="R74" s="53" t="n"/>
      <c r="S74" s="53" t="n"/>
      <c r="T74" s="81">
        <f>IFERROR(INDEX('Resource Rate Library'!$E$5:$E$200,MATCH(P74,'Resource Rate Library'!$A$5:$A$200,0)),"")</f>
        <v/>
      </c>
      <c r="U74" s="1441" t="n"/>
      <c r="V74" s="1441" t="n"/>
      <c r="W74" s="1442">
        <f>IFERROR(INDEX('Resource Rate Library'!$I$5:$I$200,MATCH(P74,'Resource Rate Library'!$A$5:$A$200,0)),0)</f>
        <v/>
      </c>
      <c r="X74" s="1443" t="n"/>
      <c r="Y74" s="1442">
        <f>IF(X74&gt;0,X74,W74)</f>
        <v/>
      </c>
      <c r="Z74" s="1442">
        <f>IF(B74="","",IF(N74="Time x Count",M74*R74*IF(U74="",1,U74)*Y74,IF(N74="QS Qty x Factor",E74*R74*(1+IF(V74="",0,V74))*Y74,IF(N74="Direct Qty",S74*(1+IF(V74="",0,V74))*Y74,IF(N74="Lump Sum / Quote",S74*Y74,0)))))</f>
        <v/>
      </c>
      <c r="AA74" s="81">
        <f>IFERROR(INDEX('Resource Rate Library'!$N$5:$N$200,MATCH(P74,'Resource Rate Library'!$A$5:$A$200,0)),"")</f>
        <v/>
      </c>
      <c r="AB74" s="53" t="n"/>
      <c r="AC74" s="59" t="n"/>
      <c r="AD74" s="81">
        <f>IFERROR(INDEX('Resource Rate Library'!$G$5:$G$200,MATCH(P74,'Resource Rate Library'!$A$5:$A$200,0)),"")</f>
        <v/>
      </c>
      <c r="AE74" s="81">
        <f>IFERROR(INDEX('Resource Rate Library'!$H$5:$H$200,MATCH(P74,'Resource Rate Library'!$A$5:$A$200,0)),"")</f>
        <v/>
      </c>
      <c r="AF74" s="53" t="n"/>
      <c r="AG74" s="53" t="n"/>
      <c r="AH74" s="53" t="n"/>
      <c r="AI74" s="81">
        <f>IF(B74="","",IF(AND(P74="",N74&lt;&gt;"Lump Sum / Quote"),"RESOURCE CODE",IF(Y74=0,"RATE MISSING",IF(AND(O74="Plant",AD74="Yes",COUNTIFS($B$7:$B$306,B74,$O$7:$O$306,"Labour",$Q$7:$Q$306,"*Operator*")&gt;0),"OPERATOR DOUBLE-COUNT",IF(AND(O74="Plant",AE74="Yes",COUNTIFS($B$7:$B$306,B74,$Q$7:$Q$306,"*Fuel*")&gt;0),"FUEL DOUBLE-COUNT",IF(AH74&lt;&gt;"Yes","VERIFY","OK"))))))</f>
        <v/>
      </c>
      <c r="AJ74" s="54" t="n"/>
      <c r="AK74" s="473" t="n"/>
      <c r="AL74" s="473" t="n"/>
      <c r="AM74" s="473" t="n"/>
      <c r="AN74" s="1444">
        <f>IF(AND(AK74="Yes",OR(O74="Labour",O74="Plant")),Z74,0)</f>
        <v/>
      </c>
    </row>
    <row r="75" ht="22.04999923706055" customHeight="1" s="491">
      <c r="A75" s="80">
        <f>IF(B75="","",B75&amp;"-"&amp;TEXT(COUNTIF($B$7:B75,B75),"000"))</f>
        <v/>
      </c>
      <c r="B75" s="53" t="n"/>
      <c r="C75" s="81">
        <f>IFERROR(INDEX('QS Takeoff'!$A$3:$A$202,MATCH(B75,'QS Takeoff'!$B$3:$B$202,0)),"")</f>
        <v/>
      </c>
      <c r="D75" s="81">
        <f>IFERROR(INDEX('QS Takeoff'!$C$3:$C$202,MATCH(B75,'QS Takeoff'!$B$3:$B$202,0)),"")</f>
        <v/>
      </c>
      <c r="E75" s="81">
        <f>IFERROR(INDEX('QS Takeoff'!$E$3:$E$202,MATCH(B75,'QS Takeoff'!$B$3:$B$202,0)),"")</f>
        <v/>
      </c>
      <c r="F75" s="81">
        <f>IFERROR(INDEX('QS Takeoff'!$D$3:$D$202,MATCH(B75,'QS Takeoff'!$B$3:$B$202,0)),"")</f>
        <v/>
      </c>
      <c r="G75" s="81">
        <f>IFERROR(INDEX('QS Takeoff'!$J$3:$J$202,MATCH(B75,'QS Takeoff'!$B$3:$B$202,0)),"")</f>
        <v/>
      </c>
      <c r="H75" s="53" t="n"/>
      <c r="I75" s="60" t="n"/>
      <c r="J75" s="60" t="n"/>
      <c r="K75" s="82">
        <f>IF(OR(B75="",I75="",I75=0),"",E75/I75)</f>
        <v/>
      </c>
      <c r="L75" s="60" t="n"/>
      <c r="M75" s="82">
        <f>IF(L75&gt;0,L75,K75)</f>
        <v/>
      </c>
      <c r="N75" s="53" t="n"/>
      <c r="O75" s="53" t="n"/>
      <c r="P75" s="53" t="n"/>
      <c r="Q75" s="81">
        <f>IFERROR(INDEX('Resource Rate Library'!$C$5:$C$200,MATCH(P75,'Resource Rate Library'!$A$5:$A$200,0)),"")</f>
        <v/>
      </c>
      <c r="R75" s="53" t="n"/>
      <c r="S75" s="53" t="n"/>
      <c r="T75" s="81">
        <f>IFERROR(INDEX('Resource Rate Library'!$E$5:$E$200,MATCH(P75,'Resource Rate Library'!$A$5:$A$200,0)),"")</f>
        <v/>
      </c>
      <c r="U75" s="1441" t="n"/>
      <c r="V75" s="1441" t="n"/>
      <c r="W75" s="1442">
        <f>IFERROR(INDEX('Resource Rate Library'!$I$5:$I$200,MATCH(P75,'Resource Rate Library'!$A$5:$A$200,0)),0)</f>
        <v/>
      </c>
      <c r="X75" s="1443" t="n"/>
      <c r="Y75" s="1442">
        <f>IF(X75&gt;0,X75,W75)</f>
        <v/>
      </c>
      <c r="Z75" s="1442">
        <f>IF(B75="","",IF(N75="Time x Count",M75*R75*IF(U75="",1,U75)*Y75,IF(N75="QS Qty x Factor",E75*R75*(1+IF(V75="",0,V75))*Y75,IF(N75="Direct Qty",S75*(1+IF(V75="",0,V75))*Y75,IF(N75="Lump Sum / Quote",S75*Y75,0)))))</f>
        <v/>
      </c>
      <c r="AA75" s="81">
        <f>IFERROR(INDEX('Resource Rate Library'!$N$5:$N$200,MATCH(P75,'Resource Rate Library'!$A$5:$A$200,0)),"")</f>
        <v/>
      </c>
      <c r="AB75" s="53" t="n"/>
      <c r="AC75" s="59" t="n"/>
      <c r="AD75" s="81">
        <f>IFERROR(INDEX('Resource Rate Library'!$G$5:$G$200,MATCH(P75,'Resource Rate Library'!$A$5:$A$200,0)),"")</f>
        <v/>
      </c>
      <c r="AE75" s="81">
        <f>IFERROR(INDEX('Resource Rate Library'!$H$5:$H$200,MATCH(P75,'Resource Rate Library'!$A$5:$A$200,0)),"")</f>
        <v/>
      </c>
      <c r="AF75" s="53" t="n"/>
      <c r="AG75" s="53" t="n"/>
      <c r="AH75" s="53" t="n"/>
      <c r="AI75" s="81">
        <f>IF(B75="","",IF(AND(P75="",N75&lt;&gt;"Lump Sum / Quote"),"RESOURCE CODE",IF(Y75=0,"RATE MISSING",IF(AND(O75="Plant",AD75="Yes",COUNTIFS($B$7:$B$306,B75,$O$7:$O$306,"Labour",$Q$7:$Q$306,"*Operator*")&gt;0),"OPERATOR DOUBLE-COUNT",IF(AND(O75="Plant",AE75="Yes",COUNTIFS($B$7:$B$306,B75,$Q$7:$Q$306,"*Fuel*")&gt;0),"FUEL DOUBLE-COUNT",IF(AH75&lt;&gt;"Yes","VERIFY","OK"))))))</f>
        <v/>
      </c>
      <c r="AJ75" s="54" t="n"/>
      <c r="AK75" s="473" t="n"/>
      <c r="AL75" s="473" t="n"/>
      <c r="AM75" s="473" t="n"/>
      <c r="AN75" s="1444">
        <f>IF(AND(AK75="Yes",OR(O75="Labour",O75="Plant")),Z75,0)</f>
        <v/>
      </c>
    </row>
    <row r="76" ht="22.04999923706055" customHeight="1" s="491">
      <c r="A76" s="80">
        <f>IF(B76="","",B76&amp;"-"&amp;TEXT(COUNTIF($B$7:B76,B76),"000"))</f>
        <v/>
      </c>
      <c r="B76" s="53" t="n"/>
      <c r="C76" s="81">
        <f>IFERROR(INDEX('QS Takeoff'!$A$3:$A$202,MATCH(B76,'QS Takeoff'!$B$3:$B$202,0)),"")</f>
        <v/>
      </c>
      <c r="D76" s="81">
        <f>IFERROR(INDEX('QS Takeoff'!$C$3:$C$202,MATCH(B76,'QS Takeoff'!$B$3:$B$202,0)),"")</f>
        <v/>
      </c>
      <c r="E76" s="81">
        <f>IFERROR(INDEX('QS Takeoff'!$E$3:$E$202,MATCH(B76,'QS Takeoff'!$B$3:$B$202,0)),"")</f>
        <v/>
      </c>
      <c r="F76" s="81">
        <f>IFERROR(INDEX('QS Takeoff'!$D$3:$D$202,MATCH(B76,'QS Takeoff'!$B$3:$B$202,0)),"")</f>
        <v/>
      </c>
      <c r="G76" s="81">
        <f>IFERROR(INDEX('QS Takeoff'!$J$3:$J$202,MATCH(B76,'QS Takeoff'!$B$3:$B$202,0)),"")</f>
        <v/>
      </c>
      <c r="H76" s="53" t="n"/>
      <c r="I76" s="60" t="n"/>
      <c r="J76" s="60" t="n"/>
      <c r="K76" s="82">
        <f>IF(OR(B76="",I76="",I76=0),"",E76/I76)</f>
        <v/>
      </c>
      <c r="L76" s="60" t="n"/>
      <c r="M76" s="82">
        <f>IF(L76&gt;0,L76,K76)</f>
        <v/>
      </c>
      <c r="N76" s="53" t="n"/>
      <c r="O76" s="53" t="n"/>
      <c r="P76" s="53" t="n"/>
      <c r="Q76" s="81">
        <f>IFERROR(INDEX('Resource Rate Library'!$C$5:$C$200,MATCH(P76,'Resource Rate Library'!$A$5:$A$200,0)),"")</f>
        <v/>
      </c>
      <c r="R76" s="53" t="n"/>
      <c r="S76" s="53" t="n"/>
      <c r="T76" s="81">
        <f>IFERROR(INDEX('Resource Rate Library'!$E$5:$E$200,MATCH(P76,'Resource Rate Library'!$A$5:$A$200,0)),"")</f>
        <v/>
      </c>
      <c r="U76" s="1441" t="n"/>
      <c r="V76" s="1441" t="n"/>
      <c r="W76" s="1442">
        <f>IFERROR(INDEX('Resource Rate Library'!$I$5:$I$200,MATCH(P76,'Resource Rate Library'!$A$5:$A$200,0)),0)</f>
        <v/>
      </c>
      <c r="X76" s="1443" t="n"/>
      <c r="Y76" s="1442">
        <f>IF(X76&gt;0,X76,W76)</f>
        <v/>
      </c>
      <c r="Z76" s="1442">
        <f>IF(B76="","",IF(N76="Time x Count",M76*R76*IF(U76="",1,U76)*Y76,IF(N76="QS Qty x Factor",E76*R76*(1+IF(V76="",0,V76))*Y76,IF(N76="Direct Qty",S76*(1+IF(V76="",0,V76))*Y76,IF(N76="Lump Sum / Quote",S76*Y76,0)))))</f>
        <v/>
      </c>
      <c r="AA76" s="81">
        <f>IFERROR(INDEX('Resource Rate Library'!$N$5:$N$200,MATCH(P76,'Resource Rate Library'!$A$5:$A$200,0)),"")</f>
        <v/>
      </c>
      <c r="AB76" s="53" t="n"/>
      <c r="AC76" s="59" t="n"/>
      <c r="AD76" s="81">
        <f>IFERROR(INDEX('Resource Rate Library'!$G$5:$G$200,MATCH(P76,'Resource Rate Library'!$A$5:$A$200,0)),"")</f>
        <v/>
      </c>
      <c r="AE76" s="81">
        <f>IFERROR(INDEX('Resource Rate Library'!$H$5:$H$200,MATCH(P76,'Resource Rate Library'!$A$5:$A$200,0)),"")</f>
        <v/>
      </c>
      <c r="AF76" s="53" t="n"/>
      <c r="AG76" s="53" t="n"/>
      <c r="AH76" s="53" t="n"/>
      <c r="AI76" s="81">
        <f>IF(B76="","",IF(AND(P76="",N76&lt;&gt;"Lump Sum / Quote"),"RESOURCE CODE",IF(Y76=0,"RATE MISSING",IF(AND(O76="Plant",AD76="Yes",COUNTIFS($B$7:$B$306,B76,$O$7:$O$306,"Labour",$Q$7:$Q$306,"*Operator*")&gt;0),"OPERATOR DOUBLE-COUNT",IF(AND(O76="Plant",AE76="Yes",COUNTIFS($B$7:$B$306,B76,$Q$7:$Q$306,"*Fuel*")&gt;0),"FUEL DOUBLE-COUNT",IF(AH76&lt;&gt;"Yes","VERIFY","OK"))))))</f>
        <v/>
      </c>
      <c r="AJ76" s="54" t="n"/>
      <c r="AK76" s="473" t="n"/>
      <c r="AL76" s="473" t="n"/>
      <c r="AM76" s="473" t="n"/>
      <c r="AN76" s="1444">
        <f>IF(AND(AK76="Yes",OR(O76="Labour",O76="Plant")),Z76,0)</f>
        <v/>
      </c>
    </row>
    <row r="77" ht="22.04999923706055" customHeight="1" s="491">
      <c r="A77" s="80">
        <f>IF(B77="","",B77&amp;"-"&amp;TEXT(COUNTIF($B$7:B77,B77),"000"))</f>
        <v/>
      </c>
      <c r="B77" s="53" t="n"/>
      <c r="C77" s="81">
        <f>IFERROR(INDEX('QS Takeoff'!$A$3:$A$202,MATCH(B77,'QS Takeoff'!$B$3:$B$202,0)),"")</f>
        <v/>
      </c>
      <c r="D77" s="81">
        <f>IFERROR(INDEX('QS Takeoff'!$C$3:$C$202,MATCH(B77,'QS Takeoff'!$B$3:$B$202,0)),"")</f>
        <v/>
      </c>
      <c r="E77" s="81">
        <f>IFERROR(INDEX('QS Takeoff'!$E$3:$E$202,MATCH(B77,'QS Takeoff'!$B$3:$B$202,0)),"")</f>
        <v/>
      </c>
      <c r="F77" s="81">
        <f>IFERROR(INDEX('QS Takeoff'!$D$3:$D$202,MATCH(B77,'QS Takeoff'!$B$3:$B$202,0)),"")</f>
        <v/>
      </c>
      <c r="G77" s="81">
        <f>IFERROR(INDEX('QS Takeoff'!$J$3:$J$202,MATCH(B77,'QS Takeoff'!$B$3:$B$202,0)),"")</f>
        <v/>
      </c>
      <c r="H77" s="53" t="n"/>
      <c r="I77" s="60" t="n"/>
      <c r="J77" s="60" t="n"/>
      <c r="K77" s="82">
        <f>IF(OR(B77="",I77="",I77=0),"",E77/I77)</f>
        <v/>
      </c>
      <c r="L77" s="60" t="n"/>
      <c r="M77" s="82">
        <f>IF(L77&gt;0,L77,K77)</f>
        <v/>
      </c>
      <c r="N77" s="53" t="n"/>
      <c r="O77" s="53" t="n"/>
      <c r="P77" s="53" t="n"/>
      <c r="Q77" s="81">
        <f>IFERROR(INDEX('Resource Rate Library'!$C$5:$C$200,MATCH(P77,'Resource Rate Library'!$A$5:$A$200,0)),"")</f>
        <v/>
      </c>
      <c r="R77" s="53" t="n"/>
      <c r="S77" s="53" t="n"/>
      <c r="T77" s="81">
        <f>IFERROR(INDEX('Resource Rate Library'!$E$5:$E$200,MATCH(P77,'Resource Rate Library'!$A$5:$A$200,0)),"")</f>
        <v/>
      </c>
      <c r="U77" s="1441" t="n"/>
      <c r="V77" s="1441" t="n"/>
      <c r="W77" s="1442">
        <f>IFERROR(INDEX('Resource Rate Library'!$I$5:$I$200,MATCH(P77,'Resource Rate Library'!$A$5:$A$200,0)),0)</f>
        <v/>
      </c>
      <c r="X77" s="1443" t="n"/>
      <c r="Y77" s="1442">
        <f>IF(X77&gt;0,X77,W77)</f>
        <v/>
      </c>
      <c r="Z77" s="1442">
        <f>IF(B77="","",IF(N77="Time x Count",M77*R77*IF(U77="",1,U77)*Y77,IF(N77="QS Qty x Factor",E77*R77*(1+IF(V77="",0,V77))*Y77,IF(N77="Direct Qty",S77*(1+IF(V77="",0,V77))*Y77,IF(N77="Lump Sum / Quote",S77*Y77,0)))))</f>
        <v/>
      </c>
      <c r="AA77" s="81">
        <f>IFERROR(INDEX('Resource Rate Library'!$N$5:$N$200,MATCH(P77,'Resource Rate Library'!$A$5:$A$200,0)),"")</f>
        <v/>
      </c>
      <c r="AB77" s="53" t="n"/>
      <c r="AC77" s="59" t="n"/>
      <c r="AD77" s="81">
        <f>IFERROR(INDEX('Resource Rate Library'!$G$5:$G$200,MATCH(P77,'Resource Rate Library'!$A$5:$A$200,0)),"")</f>
        <v/>
      </c>
      <c r="AE77" s="81">
        <f>IFERROR(INDEX('Resource Rate Library'!$H$5:$H$200,MATCH(P77,'Resource Rate Library'!$A$5:$A$200,0)),"")</f>
        <v/>
      </c>
      <c r="AF77" s="53" t="n"/>
      <c r="AG77" s="53" t="n"/>
      <c r="AH77" s="53" t="n"/>
      <c r="AI77" s="81">
        <f>IF(B77="","",IF(AND(P77="",N77&lt;&gt;"Lump Sum / Quote"),"RESOURCE CODE",IF(Y77=0,"RATE MISSING",IF(AND(O77="Plant",AD77="Yes",COUNTIFS($B$7:$B$306,B77,$O$7:$O$306,"Labour",$Q$7:$Q$306,"*Operator*")&gt;0),"OPERATOR DOUBLE-COUNT",IF(AND(O77="Plant",AE77="Yes",COUNTIFS($B$7:$B$306,B77,$Q$7:$Q$306,"*Fuel*")&gt;0),"FUEL DOUBLE-COUNT",IF(AH77&lt;&gt;"Yes","VERIFY","OK"))))))</f>
        <v/>
      </c>
      <c r="AJ77" s="54" t="n"/>
      <c r="AK77" s="473" t="n"/>
      <c r="AL77" s="473" t="n"/>
      <c r="AM77" s="473" t="n"/>
      <c r="AN77" s="1444">
        <f>IF(AND(AK77="Yes",OR(O77="Labour",O77="Plant")),Z77,0)</f>
        <v/>
      </c>
    </row>
    <row r="78" ht="22.04999923706055" customHeight="1" s="491">
      <c r="A78" s="80">
        <f>IF(B78="","",B78&amp;"-"&amp;TEXT(COUNTIF($B$7:B78,B78),"000"))</f>
        <v/>
      </c>
      <c r="B78" s="53" t="n"/>
      <c r="C78" s="81">
        <f>IFERROR(INDEX('QS Takeoff'!$A$3:$A$202,MATCH(B78,'QS Takeoff'!$B$3:$B$202,0)),"")</f>
        <v/>
      </c>
      <c r="D78" s="81">
        <f>IFERROR(INDEX('QS Takeoff'!$C$3:$C$202,MATCH(B78,'QS Takeoff'!$B$3:$B$202,0)),"")</f>
        <v/>
      </c>
      <c r="E78" s="81">
        <f>IFERROR(INDEX('QS Takeoff'!$E$3:$E$202,MATCH(B78,'QS Takeoff'!$B$3:$B$202,0)),"")</f>
        <v/>
      </c>
      <c r="F78" s="81">
        <f>IFERROR(INDEX('QS Takeoff'!$D$3:$D$202,MATCH(B78,'QS Takeoff'!$B$3:$B$202,0)),"")</f>
        <v/>
      </c>
      <c r="G78" s="81">
        <f>IFERROR(INDEX('QS Takeoff'!$J$3:$J$202,MATCH(B78,'QS Takeoff'!$B$3:$B$202,0)),"")</f>
        <v/>
      </c>
      <c r="H78" s="53" t="n"/>
      <c r="I78" s="60" t="n"/>
      <c r="J78" s="60" t="n"/>
      <c r="K78" s="82">
        <f>IF(OR(B78="",I78="",I78=0),"",E78/I78)</f>
        <v/>
      </c>
      <c r="L78" s="60" t="n"/>
      <c r="M78" s="82">
        <f>IF(L78&gt;0,L78,K78)</f>
        <v/>
      </c>
      <c r="N78" s="53" t="n"/>
      <c r="O78" s="53" t="n"/>
      <c r="P78" s="53" t="n"/>
      <c r="Q78" s="81">
        <f>IFERROR(INDEX('Resource Rate Library'!$C$5:$C$200,MATCH(P78,'Resource Rate Library'!$A$5:$A$200,0)),"")</f>
        <v/>
      </c>
      <c r="R78" s="53" t="n"/>
      <c r="S78" s="53" t="n"/>
      <c r="T78" s="81">
        <f>IFERROR(INDEX('Resource Rate Library'!$E$5:$E$200,MATCH(P78,'Resource Rate Library'!$A$5:$A$200,0)),"")</f>
        <v/>
      </c>
      <c r="U78" s="1441" t="n"/>
      <c r="V78" s="1441" t="n"/>
      <c r="W78" s="1442">
        <f>IFERROR(INDEX('Resource Rate Library'!$I$5:$I$200,MATCH(P78,'Resource Rate Library'!$A$5:$A$200,0)),0)</f>
        <v/>
      </c>
      <c r="X78" s="1443" t="n"/>
      <c r="Y78" s="1442">
        <f>IF(X78&gt;0,X78,W78)</f>
        <v/>
      </c>
      <c r="Z78" s="1442">
        <f>IF(B78="","",IF(N78="Time x Count",M78*R78*IF(U78="",1,U78)*Y78,IF(N78="QS Qty x Factor",E78*R78*(1+IF(V78="",0,V78))*Y78,IF(N78="Direct Qty",S78*(1+IF(V78="",0,V78))*Y78,IF(N78="Lump Sum / Quote",S78*Y78,0)))))</f>
        <v/>
      </c>
      <c r="AA78" s="81">
        <f>IFERROR(INDEX('Resource Rate Library'!$N$5:$N$200,MATCH(P78,'Resource Rate Library'!$A$5:$A$200,0)),"")</f>
        <v/>
      </c>
      <c r="AB78" s="53" t="n"/>
      <c r="AC78" s="59" t="n"/>
      <c r="AD78" s="81">
        <f>IFERROR(INDEX('Resource Rate Library'!$G$5:$G$200,MATCH(P78,'Resource Rate Library'!$A$5:$A$200,0)),"")</f>
        <v/>
      </c>
      <c r="AE78" s="81">
        <f>IFERROR(INDEX('Resource Rate Library'!$H$5:$H$200,MATCH(P78,'Resource Rate Library'!$A$5:$A$200,0)),"")</f>
        <v/>
      </c>
      <c r="AF78" s="53" t="n"/>
      <c r="AG78" s="53" t="n"/>
      <c r="AH78" s="53" t="n"/>
      <c r="AI78" s="81">
        <f>IF(B78="","",IF(AND(P78="",N78&lt;&gt;"Lump Sum / Quote"),"RESOURCE CODE",IF(Y78=0,"RATE MISSING",IF(AND(O78="Plant",AD78="Yes",COUNTIFS($B$7:$B$306,B78,$O$7:$O$306,"Labour",$Q$7:$Q$306,"*Operator*")&gt;0),"OPERATOR DOUBLE-COUNT",IF(AND(O78="Plant",AE78="Yes",COUNTIFS($B$7:$B$306,B78,$Q$7:$Q$306,"*Fuel*")&gt;0),"FUEL DOUBLE-COUNT",IF(AH78&lt;&gt;"Yes","VERIFY","OK"))))))</f>
        <v/>
      </c>
      <c r="AJ78" s="54" t="n"/>
      <c r="AK78" s="473" t="n"/>
      <c r="AL78" s="473" t="n"/>
      <c r="AM78" s="473" t="n"/>
      <c r="AN78" s="1444">
        <f>IF(AND(AK78="Yes",OR(O78="Labour",O78="Plant")),Z78,0)</f>
        <v/>
      </c>
    </row>
    <row r="79" ht="22.04999923706055" customHeight="1" s="491">
      <c r="A79" s="80">
        <f>IF(B79="","",B79&amp;"-"&amp;TEXT(COUNTIF($B$7:B79,B79),"000"))</f>
        <v/>
      </c>
      <c r="B79" s="53" t="n"/>
      <c r="C79" s="81">
        <f>IFERROR(INDEX('QS Takeoff'!$A$3:$A$202,MATCH(B79,'QS Takeoff'!$B$3:$B$202,0)),"")</f>
        <v/>
      </c>
      <c r="D79" s="81">
        <f>IFERROR(INDEX('QS Takeoff'!$C$3:$C$202,MATCH(B79,'QS Takeoff'!$B$3:$B$202,0)),"")</f>
        <v/>
      </c>
      <c r="E79" s="81">
        <f>IFERROR(INDEX('QS Takeoff'!$E$3:$E$202,MATCH(B79,'QS Takeoff'!$B$3:$B$202,0)),"")</f>
        <v/>
      </c>
      <c r="F79" s="81">
        <f>IFERROR(INDEX('QS Takeoff'!$D$3:$D$202,MATCH(B79,'QS Takeoff'!$B$3:$B$202,0)),"")</f>
        <v/>
      </c>
      <c r="G79" s="81">
        <f>IFERROR(INDEX('QS Takeoff'!$J$3:$J$202,MATCH(B79,'QS Takeoff'!$B$3:$B$202,0)),"")</f>
        <v/>
      </c>
      <c r="H79" s="53" t="n"/>
      <c r="I79" s="60" t="n"/>
      <c r="J79" s="60" t="n"/>
      <c r="K79" s="82">
        <f>IF(OR(B79="",I79="",I79=0),"",E79/I79)</f>
        <v/>
      </c>
      <c r="L79" s="60" t="n"/>
      <c r="M79" s="82">
        <f>IF(L79&gt;0,L79,K79)</f>
        <v/>
      </c>
      <c r="N79" s="53" t="n"/>
      <c r="O79" s="53" t="n"/>
      <c r="P79" s="53" t="n"/>
      <c r="Q79" s="81">
        <f>IFERROR(INDEX('Resource Rate Library'!$C$5:$C$200,MATCH(P79,'Resource Rate Library'!$A$5:$A$200,0)),"")</f>
        <v/>
      </c>
      <c r="R79" s="53" t="n"/>
      <c r="S79" s="53" t="n"/>
      <c r="T79" s="81">
        <f>IFERROR(INDEX('Resource Rate Library'!$E$5:$E$200,MATCH(P79,'Resource Rate Library'!$A$5:$A$200,0)),"")</f>
        <v/>
      </c>
      <c r="U79" s="1441" t="n"/>
      <c r="V79" s="1441" t="n"/>
      <c r="W79" s="1442">
        <f>IFERROR(INDEX('Resource Rate Library'!$I$5:$I$200,MATCH(P79,'Resource Rate Library'!$A$5:$A$200,0)),0)</f>
        <v/>
      </c>
      <c r="X79" s="1443" t="n"/>
      <c r="Y79" s="1442">
        <f>IF(X79&gt;0,X79,W79)</f>
        <v/>
      </c>
      <c r="Z79" s="1442">
        <f>IF(B79="","",IF(N79="Time x Count",M79*R79*IF(U79="",1,U79)*Y79,IF(N79="QS Qty x Factor",E79*R79*(1+IF(V79="",0,V79))*Y79,IF(N79="Direct Qty",S79*(1+IF(V79="",0,V79))*Y79,IF(N79="Lump Sum / Quote",S79*Y79,0)))))</f>
        <v/>
      </c>
      <c r="AA79" s="81">
        <f>IFERROR(INDEX('Resource Rate Library'!$N$5:$N$200,MATCH(P79,'Resource Rate Library'!$A$5:$A$200,0)),"")</f>
        <v/>
      </c>
      <c r="AB79" s="53" t="n"/>
      <c r="AC79" s="59" t="n"/>
      <c r="AD79" s="81">
        <f>IFERROR(INDEX('Resource Rate Library'!$G$5:$G$200,MATCH(P79,'Resource Rate Library'!$A$5:$A$200,0)),"")</f>
        <v/>
      </c>
      <c r="AE79" s="81">
        <f>IFERROR(INDEX('Resource Rate Library'!$H$5:$H$200,MATCH(P79,'Resource Rate Library'!$A$5:$A$200,0)),"")</f>
        <v/>
      </c>
      <c r="AF79" s="53" t="n"/>
      <c r="AG79" s="53" t="n"/>
      <c r="AH79" s="53" t="n"/>
      <c r="AI79" s="81">
        <f>IF(B79="","",IF(AND(P79="",N79&lt;&gt;"Lump Sum / Quote"),"RESOURCE CODE",IF(Y79=0,"RATE MISSING",IF(AND(O79="Plant",AD79="Yes",COUNTIFS($B$7:$B$306,B79,$O$7:$O$306,"Labour",$Q$7:$Q$306,"*Operator*")&gt;0),"OPERATOR DOUBLE-COUNT",IF(AND(O79="Plant",AE79="Yes",COUNTIFS($B$7:$B$306,B79,$Q$7:$Q$306,"*Fuel*")&gt;0),"FUEL DOUBLE-COUNT",IF(AH79&lt;&gt;"Yes","VERIFY","OK"))))))</f>
        <v/>
      </c>
      <c r="AJ79" s="54" t="n"/>
      <c r="AK79" s="473" t="n"/>
      <c r="AL79" s="473" t="n"/>
      <c r="AM79" s="473" t="n"/>
      <c r="AN79" s="1444">
        <f>IF(AND(AK79="Yes",OR(O79="Labour",O79="Plant")),Z79,0)</f>
        <v/>
      </c>
    </row>
    <row r="80" ht="22.04999923706055" customHeight="1" s="491">
      <c r="A80" s="80">
        <f>IF(B80="","",B80&amp;"-"&amp;TEXT(COUNTIF($B$7:B80,B80),"000"))</f>
        <v/>
      </c>
      <c r="B80" s="53" t="n"/>
      <c r="C80" s="81">
        <f>IFERROR(INDEX('QS Takeoff'!$A$3:$A$202,MATCH(B80,'QS Takeoff'!$B$3:$B$202,0)),"")</f>
        <v/>
      </c>
      <c r="D80" s="81">
        <f>IFERROR(INDEX('QS Takeoff'!$C$3:$C$202,MATCH(B80,'QS Takeoff'!$B$3:$B$202,0)),"")</f>
        <v/>
      </c>
      <c r="E80" s="81">
        <f>IFERROR(INDEX('QS Takeoff'!$E$3:$E$202,MATCH(B80,'QS Takeoff'!$B$3:$B$202,0)),"")</f>
        <v/>
      </c>
      <c r="F80" s="81">
        <f>IFERROR(INDEX('QS Takeoff'!$D$3:$D$202,MATCH(B80,'QS Takeoff'!$B$3:$B$202,0)),"")</f>
        <v/>
      </c>
      <c r="G80" s="81">
        <f>IFERROR(INDEX('QS Takeoff'!$J$3:$J$202,MATCH(B80,'QS Takeoff'!$B$3:$B$202,0)),"")</f>
        <v/>
      </c>
      <c r="H80" s="53" t="n"/>
      <c r="I80" s="60" t="n"/>
      <c r="J80" s="60" t="n"/>
      <c r="K80" s="82">
        <f>IF(OR(B80="",I80="",I80=0),"",E80/I80)</f>
        <v/>
      </c>
      <c r="L80" s="60" t="n"/>
      <c r="M80" s="82">
        <f>IF(L80&gt;0,L80,K80)</f>
        <v/>
      </c>
      <c r="N80" s="53" t="n"/>
      <c r="O80" s="53" t="n"/>
      <c r="P80" s="53" t="n"/>
      <c r="Q80" s="81">
        <f>IFERROR(INDEX('Resource Rate Library'!$C$5:$C$200,MATCH(P80,'Resource Rate Library'!$A$5:$A$200,0)),"")</f>
        <v/>
      </c>
      <c r="R80" s="53" t="n"/>
      <c r="S80" s="53" t="n"/>
      <c r="T80" s="81">
        <f>IFERROR(INDEX('Resource Rate Library'!$E$5:$E$200,MATCH(P80,'Resource Rate Library'!$A$5:$A$200,0)),"")</f>
        <v/>
      </c>
      <c r="U80" s="1441" t="n"/>
      <c r="V80" s="1441" t="n"/>
      <c r="W80" s="1442">
        <f>IFERROR(INDEX('Resource Rate Library'!$I$5:$I$200,MATCH(P80,'Resource Rate Library'!$A$5:$A$200,0)),0)</f>
        <v/>
      </c>
      <c r="X80" s="1443" t="n"/>
      <c r="Y80" s="1442">
        <f>IF(X80&gt;0,X80,W80)</f>
        <v/>
      </c>
      <c r="Z80" s="1442">
        <f>IF(B80="","",IF(N80="Time x Count",M80*R80*IF(U80="",1,U80)*Y80,IF(N80="QS Qty x Factor",E80*R80*(1+IF(V80="",0,V80))*Y80,IF(N80="Direct Qty",S80*(1+IF(V80="",0,V80))*Y80,IF(N80="Lump Sum / Quote",S80*Y80,0)))))</f>
        <v/>
      </c>
      <c r="AA80" s="81">
        <f>IFERROR(INDEX('Resource Rate Library'!$N$5:$N$200,MATCH(P80,'Resource Rate Library'!$A$5:$A$200,0)),"")</f>
        <v/>
      </c>
      <c r="AB80" s="53" t="n"/>
      <c r="AC80" s="59" t="n"/>
      <c r="AD80" s="81">
        <f>IFERROR(INDEX('Resource Rate Library'!$G$5:$G$200,MATCH(P80,'Resource Rate Library'!$A$5:$A$200,0)),"")</f>
        <v/>
      </c>
      <c r="AE80" s="81">
        <f>IFERROR(INDEX('Resource Rate Library'!$H$5:$H$200,MATCH(P80,'Resource Rate Library'!$A$5:$A$200,0)),"")</f>
        <v/>
      </c>
      <c r="AF80" s="53" t="n"/>
      <c r="AG80" s="53" t="n"/>
      <c r="AH80" s="53" t="n"/>
      <c r="AI80" s="81">
        <f>IF(B80="","",IF(AND(P80="",N80&lt;&gt;"Lump Sum / Quote"),"RESOURCE CODE",IF(Y80=0,"RATE MISSING",IF(AND(O80="Plant",AD80="Yes",COUNTIFS($B$7:$B$306,B80,$O$7:$O$306,"Labour",$Q$7:$Q$306,"*Operator*")&gt;0),"OPERATOR DOUBLE-COUNT",IF(AND(O80="Plant",AE80="Yes",COUNTIFS($B$7:$B$306,B80,$Q$7:$Q$306,"*Fuel*")&gt;0),"FUEL DOUBLE-COUNT",IF(AH80&lt;&gt;"Yes","VERIFY","OK"))))))</f>
        <v/>
      </c>
      <c r="AJ80" s="54" t="n"/>
      <c r="AK80" s="473" t="n"/>
      <c r="AL80" s="473" t="n"/>
      <c r="AM80" s="473" t="n"/>
      <c r="AN80" s="1444">
        <f>IF(AND(AK80="Yes",OR(O80="Labour",O80="Plant")),Z80,0)</f>
        <v/>
      </c>
    </row>
    <row r="81" ht="22.04999923706055" customHeight="1" s="491">
      <c r="A81" s="80">
        <f>IF(B81="","",B81&amp;"-"&amp;TEXT(COUNTIF($B$7:B81,B81),"000"))</f>
        <v/>
      </c>
      <c r="B81" s="53" t="n"/>
      <c r="C81" s="81">
        <f>IFERROR(INDEX('QS Takeoff'!$A$3:$A$202,MATCH(B81,'QS Takeoff'!$B$3:$B$202,0)),"")</f>
        <v/>
      </c>
      <c r="D81" s="81">
        <f>IFERROR(INDEX('QS Takeoff'!$C$3:$C$202,MATCH(B81,'QS Takeoff'!$B$3:$B$202,0)),"")</f>
        <v/>
      </c>
      <c r="E81" s="81">
        <f>IFERROR(INDEX('QS Takeoff'!$E$3:$E$202,MATCH(B81,'QS Takeoff'!$B$3:$B$202,0)),"")</f>
        <v/>
      </c>
      <c r="F81" s="81">
        <f>IFERROR(INDEX('QS Takeoff'!$D$3:$D$202,MATCH(B81,'QS Takeoff'!$B$3:$B$202,0)),"")</f>
        <v/>
      </c>
      <c r="G81" s="81">
        <f>IFERROR(INDEX('QS Takeoff'!$J$3:$J$202,MATCH(B81,'QS Takeoff'!$B$3:$B$202,0)),"")</f>
        <v/>
      </c>
      <c r="H81" s="53" t="n"/>
      <c r="I81" s="60" t="n"/>
      <c r="J81" s="60" t="n"/>
      <c r="K81" s="82">
        <f>IF(OR(B81="",I81="",I81=0),"",E81/I81)</f>
        <v/>
      </c>
      <c r="L81" s="60" t="n"/>
      <c r="M81" s="82">
        <f>IF(L81&gt;0,L81,K81)</f>
        <v/>
      </c>
      <c r="N81" s="53" t="n"/>
      <c r="O81" s="53" t="n"/>
      <c r="P81" s="53" t="n"/>
      <c r="Q81" s="81">
        <f>IFERROR(INDEX('Resource Rate Library'!$C$5:$C$200,MATCH(P81,'Resource Rate Library'!$A$5:$A$200,0)),"")</f>
        <v/>
      </c>
      <c r="R81" s="53" t="n"/>
      <c r="S81" s="53" t="n"/>
      <c r="T81" s="81">
        <f>IFERROR(INDEX('Resource Rate Library'!$E$5:$E$200,MATCH(P81,'Resource Rate Library'!$A$5:$A$200,0)),"")</f>
        <v/>
      </c>
      <c r="U81" s="1441" t="n"/>
      <c r="V81" s="1441" t="n"/>
      <c r="W81" s="1442">
        <f>IFERROR(INDEX('Resource Rate Library'!$I$5:$I$200,MATCH(P81,'Resource Rate Library'!$A$5:$A$200,0)),0)</f>
        <v/>
      </c>
      <c r="X81" s="1445" t="n"/>
      <c r="Y81" s="1446">
        <f>IF(X81&gt;0,X81,W81)</f>
        <v/>
      </c>
      <c r="Z81" s="1446">
        <f>IF(B81="","",IF(N81="Time x Count",M81*R81*IF(U81="",1,U81)*Y81,IF(N81="QS Qty x Factor",E81*R81*(1+IF(V81="",0,V81))*Y81,IF(N81="Direct Qty",S81*(1+IF(V81="",0,V81))*Y81,IF(N81="Lump Sum / Quote",S81*Y81,0)))))</f>
        <v/>
      </c>
      <c r="AA81" s="81">
        <f>IFERROR(INDEX('Resource Rate Library'!$N$5:$N$200,MATCH(P81,'Resource Rate Library'!$A$5:$A$200,0)),"")</f>
        <v/>
      </c>
      <c r="AB81" s="53" t="n"/>
      <c r="AC81" s="59" t="n"/>
      <c r="AD81" s="81">
        <f>IFERROR(INDEX('Resource Rate Library'!$G$5:$G$200,MATCH(P81,'Resource Rate Library'!$A$5:$A$200,0)),"")</f>
        <v/>
      </c>
      <c r="AE81" s="81">
        <f>IFERROR(INDEX('Resource Rate Library'!$H$5:$H$200,MATCH(P81,'Resource Rate Library'!$A$5:$A$200,0)),"")</f>
        <v/>
      </c>
      <c r="AF81" s="53" t="n"/>
      <c r="AG81" s="53" t="n"/>
      <c r="AH81" s="53" t="n"/>
      <c r="AI81" s="81">
        <f>IF(B81="","",IF(AND(P81="",N81&lt;&gt;"Lump Sum / Quote"),"RESOURCE CODE",IF(Y81=0,"RATE MISSING",IF(AND(O81="Plant",AD81="Yes",COUNTIFS($B$7:$B$306,B81,$O$7:$O$306,"Labour",$Q$7:$Q$306,"*Operator*")&gt;0),"OPERATOR DOUBLE-COUNT",IF(AND(O81="Plant",AE81="Yes",COUNTIFS($B$7:$B$306,B81,$Q$7:$Q$306,"*Fuel*")&gt;0),"FUEL DOUBLE-COUNT",IF(AH81&lt;&gt;"Yes","VERIFY","OK"))))))</f>
        <v/>
      </c>
      <c r="AJ81" s="54" t="n"/>
      <c r="AK81" s="473" t="n"/>
      <c r="AL81" s="473" t="n"/>
      <c r="AM81" s="473" t="n"/>
      <c r="AN81" s="1444">
        <f>IF(AND(AK81="Yes",OR(O81="Labour",O81="Plant")),Z81,0)</f>
        <v/>
      </c>
    </row>
    <row r="82" ht="22.04999923706055" customHeight="1" s="491">
      <c r="A82" s="80">
        <f>IF(B82="","",B82&amp;"-"&amp;TEXT(COUNTIF($B$7:B82,B82),"000"))</f>
        <v/>
      </c>
      <c r="B82" s="53" t="n"/>
      <c r="C82" s="81">
        <f>IFERROR(INDEX('QS Takeoff'!$A$3:$A$202,MATCH(B82,'QS Takeoff'!$B$3:$B$202,0)),"")</f>
        <v/>
      </c>
      <c r="D82" s="81">
        <f>IFERROR(INDEX('QS Takeoff'!$C$3:$C$202,MATCH(B82,'QS Takeoff'!$B$3:$B$202,0)),"")</f>
        <v/>
      </c>
      <c r="E82" s="81">
        <f>IFERROR(INDEX('QS Takeoff'!$E$3:$E$202,MATCH(B82,'QS Takeoff'!$B$3:$B$202,0)),"")</f>
        <v/>
      </c>
      <c r="F82" s="81">
        <f>IFERROR(INDEX('QS Takeoff'!$D$3:$D$202,MATCH(B82,'QS Takeoff'!$B$3:$B$202,0)),"")</f>
        <v/>
      </c>
      <c r="G82" s="81">
        <f>IFERROR(INDEX('QS Takeoff'!$J$3:$J$202,MATCH(B82,'QS Takeoff'!$B$3:$B$202,0)),"")</f>
        <v/>
      </c>
      <c r="H82" s="53" t="n"/>
      <c r="I82" s="60" t="n"/>
      <c r="J82" s="60" t="n"/>
      <c r="K82" s="82">
        <f>IF(OR(B82="",I82="",I82=0),"",E82/I82)</f>
        <v/>
      </c>
      <c r="L82" s="60" t="n"/>
      <c r="M82" s="82">
        <f>IF(L82&gt;0,L82,K82)</f>
        <v/>
      </c>
      <c r="N82" s="53" t="n"/>
      <c r="O82" s="53" t="n"/>
      <c r="P82" s="53" t="n"/>
      <c r="Q82" s="81">
        <f>IFERROR(INDEX('Resource Rate Library'!$C$5:$C$200,MATCH(P82,'Resource Rate Library'!$A$5:$A$200,0)),"")</f>
        <v/>
      </c>
      <c r="R82" s="53" t="n"/>
      <c r="S82" s="53" t="n"/>
      <c r="T82" s="81">
        <f>IFERROR(INDEX('Resource Rate Library'!$E$5:$E$200,MATCH(P82,'Resource Rate Library'!$A$5:$A$200,0)),"")</f>
        <v/>
      </c>
      <c r="U82" s="1441" t="n"/>
      <c r="V82" s="1441" t="n"/>
      <c r="W82" s="1442">
        <f>IFERROR(INDEX('Resource Rate Library'!$I$5:$I$200,MATCH(P82,'Resource Rate Library'!$A$5:$A$200,0)),0)</f>
        <v/>
      </c>
      <c r="X82" s="1443" t="n"/>
      <c r="Y82" s="1442">
        <f>IF(X82&gt;0,X82,W82)</f>
        <v/>
      </c>
      <c r="Z82" s="1442">
        <f>IF(B82="","",IF(N82="Time x Count",M82*R82*IF(U82="",1,U82)*Y82,IF(N82="QS Qty x Factor",E82*R82*(1+IF(V82="",0,V82))*Y82,IF(N82="Direct Qty",S82*(1+IF(V82="",0,V82))*Y82,IF(N82="Lump Sum / Quote",S82*Y82,0)))))</f>
        <v/>
      </c>
      <c r="AA82" s="81">
        <f>IFERROR(INDEX('Resource Rate Library'!$N$5:$N$200,MATCH(P82,'Resource Rate Library'!$A$5:$A$200,0)),"")</f>
        <v/>
      </c>
      <c r="AB82" s="53" t="n"/>
      <c r="AC82" s="59" t="n"/>
      <c r="AD82" s="81">
        <f>IFERROR(INDEX('Resource Rate Library'!$G$5:$G$200,MATCH(P82,'Resource Rate Library'!$A$5:$A$200,0)),"")</f>
        <v/>
      </c>
      <c r="AE82" s="81">
        <f>IFERROR(INDEX('Resource Rate Library'!$H$5:$H$200,MATCH(P82,'Resource Rate Library'!$A$5:$A$200,0)),"")</f>
        <v/>
      </c>
      <c r="AF82" s="53" t="n"/>
      <c r="AG82" s="53" t="n"/>
      <c r="AH82" s="53" t="n"/>
      <c r="AI82" s="81">
        <f>IF(B82="","",IF(AND(P82="",N82&lt;&gt;"Lump Sum / Quote"),"RESOURCE CODE",IF(Y82=0,"RATE MISSING",IF(AND(O82="Plant",AD82="Yes",COUNTIFS($B$7:$B$306,B82,$O$7:$O$306,"Labour",$Q$7:$Q$306,"*Operator*")&gt;0),"OPERATOR DOUBLE-COUNT",IF(AND(O82="Plant",AE82="Yes",COUNTIFS($B$7:$B$306,B82,$Q$7:$Q$306,"*Fuel*")&gt;0),"FUEL DOUBLE-COUNT",IF(AH82&lt;&gt;"Yes","VERIFY","OK"))))))</f>
        <v/>
      </c>
      <c r="AJ82" s="54" t="n"/>
      <c r="AK82" s="473" t="n"/>
      <c r="AL82" s="473" t="n"/>
      <c r="AM82" s="473" t="n"/>
      <c r="AN82" s="1444">
        <f>IF(AND(AK82="Yes",OR(O82="Labour",O82="Plant")),Z82,0)</f>
        <v/>
      </c>
    </row>
    <row r="83" ht="22.04999923706055" customHeight="1" s="491">
      <c r="A83" s="80">
        <f>IF(B83="","",B83&amp;"-"&amp;TEXT(COUNTIF($B$7:B83,B83),"000"))</f>
        <v/>
      </c>
      <c r="B83" s="53" t="n"/>
      <c r="C83" s="81">
        <f>IFERROR(INDEX('QS Takeoff'!$A$3:$A$202,MATCH(B83,'QS Takeoff'!$B$3:$B$202,0)),"")</f>
        <v/>
      </c>
      <c r="D83" s="81">
        <f>IFERROR(INDEX('QS Takeoff'!$C$3:$C$202,MATCH(B83,'QS Takeoff'!$B$3:$B$202,0)),"")</f>
        <v/>
      </c>
      <c r="E83" s="81">
        <f>IFERROR(INDEX('QS Takeoff'!$E$3:$E$202,MATCH(B83,'QS Takeoff'!$B$3:$B$202,0)),"")</f>
        <v/>
      </c>
      <c r="F83" s="81">
        <f>IFERROR(INDEX('QS Takeoff'!$D$3:$D$202,MATCH(B83,'QS Takeoff'!$B$3:$B$202,0)),"")</f>
        <v/>
      </c>
      <c r="G83" s="81">
        <f>IFERROR(INDEX('QS Takeoff'!$J$3:$J$202,MATCH(B83,'QS Takeoff'!$B$3:$B$202,0)),"")</f>
        <v/>
      </c>
      <c r="H83" s="53" t="n"/>
      <c r="I83" s="60" t="n"/>
      <c r="J83" s="60" t="n"/>
      <c r="K83" s="82">
        <f>IF(OR(B83="",I83="",I83=0),"",E83/I83)</f>
        <v/>
      </c>
      <c r="L83" s="60" t="n"/>
      <c r="M83" s="82">
        <f>IF(L83&gt;0,L83,K83)</f>
        <v/>
      </c>
      <c r="N83" s="53" t="n"/>
      <c r="O83" s="53" t="n"/>
      <c r="P83" s="53" t="n"/>
      <c r="Q83" s="81">
        <f>IFERROR(INDEX('Resource Rate Library'!$C$5:$C$200,MATCH(P83,'Resource Rate Library'!$A$5:$A$200,0)),"")</f>
        <v/>
      </c>
      <c r="R83" s="53" t="n"/>
      <c r="S83" s="53" t="n"/>
      <c r="T83" s="81">
        <f>IFERROR(INDEX('Resource Rate Library'!$E$5:$E$200,MATCH(P83,'Resource Rate Library'!$A$5:$A$200,0)),"")</f>
        <v/>
      </c>
      <c r="U83" s="1441" t="n"/>
      <c r="V83" s="1441" t="n"/>
      <c r="W83" s="1442">
        <f>IFERROR(INDEX('Resource Rate Library'!$I$5:$I$200,MATCH(P83,'Resource Rate Library'!$A$5:$A$200,0)),0)</f>
        <v/>
      </c>
      <c r="X83" s="1443" t="n"/>
      <c r="Y83" s="1442">
        <f>IF(X83&gt;0,X83,W83)</f>
        <v/>
      </c>
      <c r="Z83" s="1442">
        <f>IF(B83="","",IF(N83="Time x Count",M83*R83*IF(U83="",1,U83)*Y83,IF(N83="QS Qty x Factor",E83*R83*(1+IF(V83="",0,V83))*Y83,IF(N83="Direct Qty",S83*(1+IF(V83="",0,V83))*Y83,IF(N83="Lump Sum / Quote",S83*Y83,0)))))</f>
        <v/>
      </c>
      <c r="AA83" s="81">
        <f>IFERROR(INDEX('Resource Rate Library'!$N$5:$N$200,MATCH(P83,'Resource Rate Library'!$A$5:$A$200,0)),"")</f>
        <v/>
      </c>
      <c r="AB83" s="53" t="n"/>
      <c r="AC83" s="59" t="n"/>
      <c r="AD83" s="81">
        <f>IFERROR(INDEX('Resource Rate Library'!$G$5:$G$200,MATCH(P83,'Resource Rate Library'!$A$5:$A$200,0)),"")</f>
        <v/>
      </c>
      <c r="AE83" s="81">
        <f>IFERROR(INDEX('Resource Rate Library'!$H$5:$H$200,MATCH(P83,'Resource Rate Library'!$A$5:$A$200,0)),"")</f>
        <v/>
      </c>
      <c r="AF83" s="53" t="n"/>
      <c r="AG83" s="53" t="n"/>
      <c r="AH83" s="53" t="n"/>
      <c r="AI83" s="81">
        <f>IF(B83="","",IF(AND(P83="",N83&lt;&gt;"Lump Sum / Quote"),"RESOURCE CODE",IF(Y83=0,"RATE MISSING",IF(AND(O83="Plant",AD83="Yes",COUNTIFS($B$7:$B$306,B83,$O$7:$O$306,"Labour",$Q$7:$Q$306,"*Operator*")&gt;0),"OPERATOR DOUBLE-COUNT",IF(AND(O83="Plant",AE83="Yes",COUNTIFS($B$7:$B$306,B83,$Q$7:$Q$306,"*Fuel*")&gt;0),"FUEL DOUBLE-COUNT",IF(AH83&lt;&gt;"Yes","VERIFY","OK"))))))</f>
        <v/>
      </c>
      <c r="AJ83" s="54" t="n"/>
      <c r="AK83" s="473" t="n"/>
      <c r="AL83" s="473" t="n"/>
      <c r="AM83" s="473" t="n"/>
      <c r="AN83" s="1444">
        <f>IF(AND(AK83="Yes",OR(O83="Labour",O83="Plant")),Z83,0)</f>
        <v/>
      </c>
    </row>
    <row r="84" ht="22.04999923706055" customHeight="1" s="491">
      <c r="A84" s="80">
        <f>IF(B84="","",B84&amp;"-"&amp;TEXT(COUNTIF($B$7:B84,B84),"000"))</f>
        <v/>
      </c>
      <c r="B84" s="53" t="n"/>
      <c r="C84" s="81">
        <f>IFERROR(INDEX('QS Takeoff'!$A$3:$A$202,MATCH(B84,'QS Takeoff'!$B$3:$B$202,0)),"")</f>
        <v/>
      </c>
      <c r="D84" s="81">
        <f>IFERROR(INDEX('QS Takeoff'!$C$3:$C$202,MATCH(B84,'QS Takeoff'!$B$3:$B$202,0)),"")</f>
        <v/>
      </c>
      <c r="E84" s="81">
        <f>IFERROR(INDEX('QS Takeoff'!$E$3:$E$202,MATCH(B84,'QS Takeoff'!$B$3:$B$202,0)),"")</f>
        <v/>
      </c>
      <c r="F84" s="81">
        <f>IFERROR(INDEX('QS Takeoff'!$D$3:$D$202,MATCH(B84,'QS Takeoff'!$B$3:$B$202,0)),"")</f>
        <v/>
      </c>
      <c r="G84" s="81">
        <f>IFERROR(INDEX('QS Takeoff'!$J$3:$J$202,MATCH(B84,'QS Takeoff'!$B$3:$B$202,0)),"")</f>
        <v/>
      </c>
      <c r="H84" s="53" t="n"/>
      <c r="I84" s="60" t="n"/>
      <c r="J84" s="60" t="n"/>
      <c r="K84" s="82">
        <f>IF(OR(B84="",I84="",I84=0),"",E84/I84)</f>
        <v/>
      </c>
      <c r="L84" s="60" t="n"/>
      <c r="M84" s="82">
        <f>IF(L84&gt;0,L84,K84)</f>
        <v/>
      </c>
      <c r="N84" s="53" t="n"/>
      <c r="O84" s="53" t="n"/>
      <c r="P84" s="53" t="n"/>
      <c r="Q84" s="81">
        <f>IFERROR(INDEX('Resource Rate Library'!$C$5:$C$200,MATCH(P84,'Resource Rate Library'!$A$5:$A$200,0)),"")</f>
        <v/>
      </c>
      <c r="R84" s="53" t="n"/>
      <c r="S84" s="53" t="n"/>
      <c r="T84" s="81">
        <f>IFERROR(INDEX('Resource Rate Library'!$E$5:$E$200,MATCH(P84,'Resource Rate Library'!$A$5:$A$200,0)),"")</f>
        <v/>
      </c>
      <c r="U84" s="1441" t="n"/>
      <c r="V84" s="1441" t="n"/>
      <c r="W84" s="1442">
        <f>IFERROR(INDEX('Resource Rate Library'!$I$5:$I$200,MATCH(P84,'Resource Rate Library'!$A$5:$A$200,0)),0)</f>
        <v/>
      </c>
      <c r="X84" s="1443" t="n"/>
      <c r="Y84" s="1442">
        <f>IF(X84&gt;0,X84,W84)</f>
        <v/>
      </c>
      <c r="Z84" s="1442">
        <f>IF(B84="","",IF(N84="Time x Count",M84*R84*IF(U84="",1,U84)*Y84,IF(N84="QS Qty x Factor",E84*R84*(1+IF(V84="",0,V84))*Y84,IF(N84="Direct Qty",S84*(1+IF(V84="",0,V84))*Y84,IF(N84="Lump Sum / Quote",S84*Y84,0)))))</f>
        <v/>
      </c>
      <c r="AA84" s="81">
        <f>IFERROR(INDEX('Resource Rate Library'!$N$5:$N$200,MATCH(P84,'Resource Rate Library'!$A$5:$A$200,0)),"")</f>
        <v/>
      </c>
      <c r="AB84" s="53" t="n"/>
      <c r="AC84" s="59" t="n"/>
      <c r="AD84" s="81">
        <f>IFERROR(INDEX('Resource Rate Library'!$G$5:$G$200,MATCH(P84,'Resource Rate Library'!$A$5:$A$200,0)),"")</f>
        <v/>
      </c>
      <c r="AE84" s="81">
        <f>IFERROR(INDEX('Resource Rate Library'!$H$5:$H$200,MATCH(P84,'Resource Rate Library'!$A$5:$A$200,0)),"")</f>
        <v/>
      </c>
      <c r="AF84" s="53" t="n"/>
      <c r="AG84" s="53" t="n"/>
      <c r="AH84" s="53" t="n"/>
      <c r="AI84" s="81">
        <f>IF(B84="","",IF(AND(P84="",N84&lt;&gt;"Lump Sum / Quote"),"RESOURCE CODE",IF(Y84=0,"RATE MISSING",IF(AND(O84="Plant",AD84="Yes",COUNTIFS($B$7:$B$306,B84,$O$7:$O$306,"Labour",$Q$7:$Q$306,"*Operator*")&gt;0),"OPERATOR DOUBLE-COUNT",IF(AND(O84="Plant",AE84="Yes",COUNTIFS($B$7:$B$306,B84,$Q$7:$Q$306,"*Fuel*")&gt;0),"FUEL DOUBLE-COUNT",IF(AH84&lt;&gt;"Yes","VERIFY","OK"))))))</f>
        <v/>
      </c>
      <c r="AJ84" s="54" t="n"/>
      <c r="AK84" s="473" t="n"/>
      <c r="AL84" s="473" t="n"/>
      <c r="AM84" s="473" t="n"/>
      <c r="AN84" s="1444">
        <f>IF(AND(AK84="Yes",OR(O84="Labour",O84="Plant")),Z84,0)</f>
        <v/>
      </c>
    </row>
    <row r="85" ht="22.04999923706055" customHeight="1" s="491">
      <c r="A85" s="80">
        <f>IF(B85="","",B85&amp;"-"&amp;TEXT(COUNTIF($B$7:B85,B85),"000"))</f>
        <v/>
      </c>
      <c r="B85" s="53" t="n"/>
      <c r="C85" s="81">
        <f>IFERROR(INDEX('QS Takeoff'!$A$3:$A$202,MATCH(B85,'QS Takeoff'!$B$3:$B$202,0)),"")</f>
        <v/>
      </c>
      <c r="D85" s="81">
        <f>IFERROR(INDEX('QS Takeoff'!$C$3:$C$202,MATCH(B85,'QS Takeoff'!$B$3:$B$202,0)),"")</f>
        <v/>
      </c>
      <c r="E85" s="81">
        <f>IFERROR(INDEX('QS Takeoff'!$E$3:$E$202,MATCH(B85,'QS Takeoff'!$B$3:$B$202,0)),"")</f>
        <v/>
      </c>
      <c r="F85" s="81">
        <f>IFERROR(INDEX('QS Takeoff'!$D$3:$D$202,MATCH(B85,'QS Takeoff'!$B$3:$B$202,0)),"")</f>
        <v/>
      </c>
      <c r="G85" s="81">
        <f>IFERROR(INDEX('QS Takeoff'!$J$3:$J$202,MATCH(B85,'QS Takeoff'!$B$3:$B$202,0)),"")</f>
        <v/>
      </c>
      <c r="H85" s="53" t="n"/>
      <c r="I85" s="60" t="n"/>
      <c r="J85" s="60" t="n"/>
      <c r="K85" s="82">
        <f>IF(OR(B85="",I85="",I85=0),"",E85/I85)</f>
        <v/>
      </c>
      <c r="L85" s="60" t="n"/>
      <c r="M85" s="82">
        <f>IF(L85&gt;0,L85,K85)</f>
        <v/>
      </c>
      <c r="N85" s="53" t="n"/>
      <c r="O85" s="53" t="n"/>
      <c r="P85" s="53" t="n"/>
      <c r="Q85" s="81">
        <f>IFERROR(INDEX('Resource Rate Library'!$C$5:$C$200,MATCH(P85,'Resource Rate Library'!$A$5:$A$200,0)),"")</f>
        <v/>
      </c>
      <c r="R85" s="53" t="n"/>
      <c r="S85" s="53" t="n"/>
      <c r="T85" s="81">
        <f>IFERROR(INDEX('Resource Rate Library'!$E$5:$E$200,MATCH(P85,'Resource Rate Library'!$A$5:$A$200,0)),"")</f>
        <v/>
      </c>
      <c r="U85" s="1441" t="n"/>
      <c r="V85" s="1441" t="n"/>
      <c r="W85" s="1442">
        <f>IFERROR(INDEX('Resource Rate Library'!$I$5:$I$200,MATCH(P85,'Resource Rate Library'!$A$5:$A$200,0)),0)</f>
        <v/>
      </c>
      <c r="X85" s="1443" t="n"/>
      <c r="Y85" s="1442">
        <f>IF(X85&gt;0,X85,W85)</f>
        <v/>
      </c>
      <c r="Z85" s="1442">
        <f>IF(B85="","",IF(N85="Time x Count",M85*R85*IF(U85="",1,U85)*Y85,IF(N85="QS Qty x Factor",E85*R85*(1+IF(V85="",0,V85))*Y85,IF(N85="Direct Qty",S85*(1+IF(V85="",0,V85))*Y85,IF(N85="Lump Sum / Quote",S85*Y85,0)))))</f>
        <v/>
      </c>
      <c r="AA85" s="81">
        <f>IFERROR(INDEX('Resource Rate Library'!$N$5:$N$200,MATCH(P85,'Resource Rate Library'!$A$5:$A$200,0)),"")</f>
        <v/>
      </c>
      <c r="AB85" s="53" t="n"/>
      <c r="AC85" s="59" t="n"/>
      <c r="AD85" s="81">
        <f>IFERROR(INDEX('Resource Rate Library'!$G$5:$G$200,MATCH(P85,'Resource Rate Library'!$A$5:$A$200,0)),"")</f>
        <v/>
      </c>
      <c r="AE85" s="81">
        <f>IFERROR(INDEX('Resource Rate Library'!$H$5:$H$200,MATCH(P85,'Resource Rate Library'!$A$5:$A$200,0)),"")</f>
        <v/>
      </c>
      <c r="AF85" s="53" t="n"/>
      <c r="AG85" s="53" t="n"/>
      <c r="AH85" s="53" t="n"/>
      <c r="AI85" s="81">
        <f>IF(B85="","",IF(AND(P85="",N85&lt;&gt;"Lump Sum / Quote"),"RESOURCE CODE",IF(Y85=0,"RATE MISSING",IF(AND(O85="Plant",AD85="Yes",COUNTIFS($B$7:$B$306,B85,$O$7:$O$306,"Labour",$Q$7:$Q$306,"*Operator*")&gt;0),"OPERATOR DOUBLE-COUNT",IF(AND(O85="Plant",AE85="Yes",COUNTIFS($B$7:$B$306,B85,$Q$7:$Q$306,"*Fuel*")&gt;0),"FUEL DOUBLE-COUNT",IF(AH85&lt;&gt;"Yes","VERIFY","OK"))))))</f>
        <v/>
      </c>
      <c r="AJ85" s="54" t="n"/>
      <c r="AK85" s="473" t="n"/>
      <c r="AL85" s="473" t="n"/>
      <c r="AM85" s="473" t="n"/>
      <c r="AN85" s="1444">
        <f>IF(AND(AK85="Yes",OR(O85="Labour",O85="Plant")),Z85,0)</f>
        <v/>
      </c>
    </row>
    <row r="86" ht="22.04999923706055" customHeight="1" s="491">
      <c r="A86" s="80">
        <f>IF(B86="","",B86&amp;"-"&amp;TEXT(COUNTIF($B$7:B86,B86),"000"))</f>
        <v/>
      </c>
      <c r="B86" s="53" t="n"/>
      <c r="C86" s="81">
        <f>IFERROR(INDEX('QS Takeoff'!$A$3:$A$202,MATCH(B86,'QS Takeoff'!$B$3:$B$202,0)),"")</f>
        <v/>
      </c>
      <c r="D86" s="81">
        <f>IFERROR(INDEX('QS Takeoff'!$C$3:$C$202,MATCH(B86,'QS Takeoff'!$B$3:$B$202,0)),"")</f>
        <v/>
      </c>
      <c r="E86" s="81">
        <f>IFERROR(INDEX('QS Takeoff'!$E$3:$E$202,MATCH(B86,'QS Takeoff'!$B$3:$B$202,0)),"")</f>
        <v/>
      </c>
      <c r="F86" s="81">
        <f>IFERROR(INDEX('QS Takeoff'!$D$3:$D$202,MATCH(B86,'QS Takeoff'!$B$3:$B$202,0)),"")</f>
        <v/>
      </c>
      <c r="G86" s="81">
        <f>IFERROR(INDEX('QS Takeoff'!$J$3:$J$202,MATCH(B86,'QS Takeoff'!$B$3:$B$202,0)),"")</f>
        <v/>
      </c>
      <c r="H86" s="53" t="n"/>
      <c r="I86" s="60" t="n"/>
      <c r="J86" s="60" t="n"/>
      <c r="K86" s="82">
        <f>IF(OR(B86="",I86="",I86=0),"",E86/I86)</f>
        <v/>
      </c>
      <c r="L86" s="60" t="n"/>
      <c r="M86" s="82">
        <f>IF(L86&gt;0,L86,K86)</f>
        <v/>
      </c>
      <c r="N86" s="53" t="n"/>
      <c r="O86" s="53" t="n"/>
      <c r="P86" s="53" t="n"/>
      <c r="Q86" s="81">
        <f>IFERROR(INDEX('Resource Rate Library'!$C$5:$C$200,MATCH(P86,'Resource Rate Library'!$A$5:$A$200,0)),"")</f>
        <v/>
      </c>
      <c r="R86" s="53" t="n"/>
      <c r="S86" s="53" t="n"/>
      <c r="T86" s="81">
        <f>IFERROR(INDEX('Resource Rate Library'!$E$5:$E$200,MATCH(P86,'Resource Rate Library'!$A$5:$A$200,0)),"")</f>
        <v/>
      </c>
      <c r="U86" s="1441" t="n"/>
      <c r="V86" s="1441" t="n"/>
      <c r="W86" s="1442">
        <f>IFERROR(INDEX('Resource Rate Library'!$I$5:$I$200,MATCH(P86,'Resource Rate Library'!$A$5:$A$200,0)),0)</f>
        <v/>
      </c>
      <c r="X86" s="1443" t="n"/>
      <c r="Y86" s="1442">
        <f>IF(X86&gt;0,X86,W86)</f>
        <v/>
      </c>
      <c r="Z86" s="1442">
        <f>IF(B86="","",IF(N86="Time x Count",M86*R86*IF(U86="",1,U86)*Y86,IF(N86="QS Qty x Factor",E86*R86*(1+IF(V86="",0,V86))*Y86,IF(N86="Direct Qty",S86*(1+IF(V86="",0,V86))*Y86,IF(N86="Lump Sum / Quote",S86*Y86,0)))))</f>
        <v/>
      </c>
      <c r="AA86" s="81">
        <f>IFERROR(INDEX('Resource Rate Library'!$N$5:$N$200,MATCH(P86,'Resource Rate Library'!$A$5:$A$200,0)),"")</f>
        <v/>
      </c>
      <c r="AB86" s="53" t="n"/>
      <c r="AC86" s="59" t="n"/>
      <c r="AD86" s="81">
        <f>IFERROR(INDEX('Resource Rate Library'!$G$5:$G$200,MATCH(P86,'Resource Rate Library'!$A$5:$A$200,0)),"")</f>
        <v/>
      </c>
      <c r="AE86" s="81">
        <f>IFERROR(INDEX('Resource Rate Library'!$H$5:$H$200,MATCH(P86,'Resource Rate Library'!$A$5:$A$200,0)),"")</f>
        <v/>
      </c>
      <c r="AF86" s="53" t="n"/>
      <c r="AG86" s="53" t="n"/>
      <c r="AH86" s="53" t="n"/>
      <c r="AI86" s="81">
        <f>IF(B86="","",IF(AND(P86="",N86&lt;&gt;"Lump Sum / Quote"),"RESOURCE CODE",IF(Y86=0,"RATE MISSING",IF(AND(O86="Plant",AD86="Yes",COUNTIFS($B$7:$B$306,B86,$O$7:$O$306,"Labour",$Q$7:$Q$306,"*Operator*")&gt;0),"OPERATOR DOUBLE-COUNT",IF(AND(O86="Plant",AE86="Yes",COUNTIFS($B$7:$B$306,B86,$Q$7:$Q$306,"*Fuel*")&gt;0),"FUEL DOUBLE-COUNT",IF(AH86&lt;&gt;"Yes","VERIFY","OK"))))))</f>
        <v/>
      </c>
      <c r="AJ86" s="54" t="n"/>
      <c r="AK86" s="473" t="n"/>
      <c r="AL86" s="473" t="n"/>
      <c r="AM86" s="473" t="n"/>
      <c r="AN86" s="1444">
        <f>IF(AND(AK86="Yes",OR(O86="Labour",O86="Plant")),Z86,0)</f>
        <v/>
      </c>
    </row>
    <row r="87" ht="22.04999923706055" customHeight="1" s="491">
      <c r="A87" s="80">
        <f>IF(B87="","",B87&amp;"-"&amp;TEXT(COUNTIF($B$7:B87,B87),"000"))</f>
        <v/>
      </c>
      <c r="B87" s="53" t="n"/>
      <c r="C87" s="81">
        <f>IFERROR(INDEX('QS Takeoff'!$A$3:$A$202,MATCH(B87,'QS Takeoff'!$B$3:$B$202,0)),"")</f>
        <v/>
      </c>
      <c r="D87" s="81">
        <f>IFERROR(INDEX('QS Takeoff'!$C$3:$C$202,MATCH(B87,'QS Takeoff'!$B$3:$B$202,0)),"")</f>
        <v/>
      </c>
      <c r="E87" s="81">
        <f>IFERROR(INDEX('QS Takeoff'!$E$3:$E$202,MATCH(B87,'QS Takeoff'!$B$3:$B$202,0)),"")</f>
        <v/>
      </c>
      <c r="F87" s="81">
        <f>IFERROR(INDEX('QS Takeoff'!$D$3:$D$202,MATCH(B87,'QS Takeoff'!$B$3:$B$202,0)),"")</f>
        <v/>
      </c>
      <c r="G87" s="81">
        <f>IFERROR(INDEX('QS Takeoff'!$J$3:$J$202,MATCH(B87,'QS Takeoff'!$B$3:$B$202,0)),"")</f>
        <v/>
      </c>
      <c r="H87" s="53" t="n"/>
      <c r="I87" s="60" t="n"/>
      <c r="J87" s="60" t="n"/>
      <c r="K87" s="82">
        <f>IF(OR(B87="",I87="",I87=0),"",E87/I87)</f>
        <v/>
      </c>
      <c r="L87" s="60" t="n"/>
      <c r="M87" s="82">
        <f>IF(L87&gt;0,L87,K87)</f>
        <v/>
      </c>
      <c r="N87" s="53" t="n"/>
      <c r="O87" s="53" t="n"/>
      <c r="P87" s="53" t="n"/>
      <c r="Q87" s="81">
        <f>IFERROR(INDEX('Resource Rate Library'!$C$5:$C$200,MATCH(P87,'Resource Rate Library'!$A$5:$A$200,0)),"")</f>
        <v/>
      </c>
      <c r="R87" s="53" t="n"/>
      <c r="S87" s="53" t="n"/>
      <c r="T87" s="81">
        <f>IFERROR(INDEX('Resource Rate Library'!$E$5:$E$200,MATCH(P87,'Resource Rate Library'!$A$5:$A$200,0)),"")</f>
        <v/>
      </c>
      <c r="U87" s="1441" t="n"/>
      <c r="V87" s="1441" t="n"/>
      <c r="W87" s="1442">
        <f>IFERROR(INDEX('Resource Rate Library'!$I$5:$I$200,MATCH(P87,'Resource Rate Library'!$A$5:$A$200,0)),0)</f>
        <v/>
      </c>
      <c r="X87" s="1443" t="n"/>
      <c r="Y87" s="1442">
        <f>IF(X87&gt;0,X87,W87)</f>
        <v/>
      </c>
      <c r="Z87" s="1442">
        <f>IF(B87="","",IF(N87="Time x Count",M87*R87*IF(U87="",1,U87)*Y87,IF(N87="QS Qty x Factor",E87*R87*(1+IF(V87="",0,V87))*Y87,IF(N87="Direct Qty",S87*(1+IF(V87="",0,V87))*Y87,IF(N87="Lump Sum / Quote",S87*Y87,0)))))</f>
        <v/>
      </c>
      <c r="AA87" s="81">
        <f>IFERROR(INDEX('Resource Rate Library'!$N$5:$N$200,MATCH(P87,'Resource Rate Library'!$A$5:$A$200,0)),"")</f>
        <v/>
      </c>
      <c r="AB87" s="53" t="n"/>
      <c r="AC87" s="59" t="n"/>
      <c r="AD87" s="81">
        <f>IFERROR(INDEX('Resource Rate Library'!$G$5:$G$200,MATCH(P87,'Resource Rate Library'!$A$5:$A$200,0)),"")</f>
        <v/>
      </c>
      <c r="AE87" s="81">
        <f>IFERROR(INDEX('Resource Rate Library'!$H$5:$H$200,MATCH(P87,'Resource Rate Library'!$A$5:$A$200,0)),"")</f>
        <v/>
      </c>
      <c r="AF87" s="53" t="n"/>
      <c r="AG87" s="53" t="n"/>
      <c r="AH87" s="53" t="n"/>
      <c r="AI87" s="81">
        <f>IF(B87="","",IF(AND(P87="",N87&lt;&gt;"Lump Sum / Quote"),"RESOURCE CODE",IF(Y87=0,"RATE MISSING",IF(AND(O87="Plant",AD87="Yes",COUNTIFS($B$7:$B$306,B87,$O$7:$O$306,"Labour",$Q$7:$Q$306,"*Operator*")&gt;0),"OPERATOR DOUBLE-COUNT",IF(AND(O87="Plant",AE87="Yes",COUNTIFS($B$7:$B$306,B87,$Q$7:$Q$306,"*Fuel*")&gt;0),"FUEL DOUBLE-COUNT",IF(AH87&lt;&gt;"Yes","VERIFY","OK"))))))</f>
        <v/>
      </c>
      <c r="AJ87" s="54" t="n"/>
      <c r="AK87" s="473" t="n"/>
      <c r="AL87" s="473" t="n"/>
      <c r="AM87" s="473" t="n"/>
      <c r="AN87" s="1444">
        <f>IF(AND(AK87="Yes",OR(O87="Labour",O87="Plant")),Z87,0)</f>
        <v/>
      </c>
    </row>
    <row r="88" ht="22.04999923706055" customHeight="1" s="491">
      <c r="A88" s="80">
        <f>IF(B88="","",B88&amp;"-"&amp;TEXT(COUNTIF($B$7:B88,B88),"000"))</f>
        <v/>
      </c>
      <c r="B88" s="53" t="n"/>
      <c r="C88" s="81">
        <f>IFERROR(INDEX('QS Takeoff'!$A$3:$A$202,MATCH(B88,'QS Takeoff'!$B$3:$B$202,0)),"")</f>
        <v/>
      </c>
      <c r="D88" s="81">
        <f>IFERROR(INDEX('QS Takeoff'!$C$3:$C$202,MATCH(B88,'QS Takeoff'!$B$3:$B$202,0)),"")</f>
        <v/>
      </c>
      <c r="E88" s="81">
        <f>IFERROR(INDEX('QS Takeoff'!$E$3:$E$202,MATCH(B88,'QS Takeoff'!$B$3:$B$202,0)),"")</f>
        <v/>
      </c>
      <c r="F88" s="81">
        <f>IFERROR(INDEX('QS Takeoff'!$D$3:$D$202,MATCH(B88,'QS Takeoff'!$B$3:$B$202,0)),"")</f>
        <v/>
      </c>
      <c r="G88" s="81">
        <f>IFERROR(INDEX('QS Takeoff'!$J$3:$J$202,MATCH(B88,'QS Takeoff'!$B$3:$B$202,0)),"")</f>
        <v/>
      </c>
      <c r="H88" s="53" t="n"/>
      <c r="I88" s="60" t="n"/>
      <c r="J88" s="60" t="n"/>
      <c r="K88" s="82">
        <f>IF(OR(B88="",I88="",I88=0),"",E88/I88)</f>
        <v/>
      </c>
      <c r="L88" s="60" t="n"/>
      <c r="M88" s="82">
        <f>IF(L88&gt;0,L88,K88)</f>
        <v/>
      </c>
      <c r="N88" s="53" t="n"/>
      <c r="O88" s="53" t="n"/>
      <c r="P88" s="53" t="n"/>
      <c r="Q88" s="81">
        <f>IFERROR(INDEX('Resource Rate Library'!$C$5:$C$200,MATCH(P88,'Resource Rate Library'!$A$5:$A$200,0)),"")</f>
        <v/>
      </c>
      <c r="R88" s="53" t="n"/>
      <c r="S88" s="53" t="n"/>
      <c r="T88" s="81">
        <f>IFERROR(INDEX('Resource Rate Library'!$E$5:$E$200,MATCH(P88,'Resource Rate Library'!$A$5:$A$200,0)),"")</f>
        <v/>
      </c>
      <c r="U88" s="1441" t="n"/>
      <c r="V88" s="1441" t="n"/>
      <c r="W88" s="1442">
        <f>IFERROR(INDEX('Resource Rate Library'!$I$5:$I$200,MATCH(P88,'Resource Rate Library'!$A$5:$A$200,0)),0)</f>
        <v/>
      </c>
      <c r="X88" s="1443" t="n"/>
      <c r="Y88" s="1442">
        <f>IF(X88&gt;0,X88,W88)</f>
        <v/>
      </c>
      <c r="Z88" s="1442">
        <f>IF(B88="","",IF(N88="Time x Count",M88*R88*IF(U88="",1,U88)*Y88,IF(N88="QS Qty x Factor",E88*R88*(1+IF(V88="",0,V88))*Y88,IF(N88="Direct Qty",S88*(1+IF(V88="",0,V88))*Y88,IF(N88="Lump Sum / Quote",S88*Y88,0)))))</f>
        <v/>
      </c>
      <c r="AA88" s="81">
        <f>IFERROR(INDEX('Resource Rate Library'!$N$5:$N$200,MATCH(P88,'Resource Rate Library'!$A$5:$A$200,0)),"")</f>
        <v/>
      </c>
      <c r="AB88" s="53" t="n"/>
      <c r="AC88" s="59" t="n"/>
      <c r="AD88" s="81">
        <f>IFERROR(INDEX('Resource Rate Library'!$G$5:$G$200,MATCH(P88,'Resource Rate Library'!$A$5:$A$200,0)),"")</f>
        <v/>
      </c>
      <c r="AE88" s="81">
        <f>IFERROR(INDEX('Resource Rate Library'!$H$5:$H$200,MATCH(P88,'Resource Rate Library'!$A$5:$A$200,0)),"")</f>
        <v/>
      </c>
      <c r="AF88" s="53" t="n"/>
      <c r="AG88" s="53" t="n"/>
      <c r="AH88" s="53" t="n"/>
      <c r="AI88" s="81">
        <f>IF(B88="","",IF(AND(P88="",N88&lt;&gt;"Lump Sum / Quote"),"RESOURCE CODE",IF(Y88=0,"RATE MISSING",IF(AND(O88="Plant",AD88="Yes",COUNTIFS($B$7:$B$306,B88,$O$7:$O$306,"Labour",$Q$7:$Q$306,"*Operator*")&gt;0),"OPERATOR DOUBLE-COUNT",IF(AND(O88="Plant",AE88="Yes",COUNTIFS($B$7:$B$306,B88,$Q$7:$Q$306,"*Fuel*")&gt;0),"FUEL DOUBLE-COUNT",IF(AH88&lt;&gt;"Yes","VERIFY","OK"))))))</f>
        <v/>
      </c>
      <c r="AJ88" s="54" t="n"/>
      <c r="AK88" s="473" t="n"/>
      <c r="AL88" s="473" t="n"/>
      <c r="AM88" s="473" t="n"/>
      <c r="AN88" s="1444">
        <f>IF(AND(AK88="Yes",OR(O88="Labour",O88="Plant")),Z88,0)</f>
        <v/>
      </c>
    </row>
    <row r="89" ht="22.04999923706055" customHeight="1" s="491">
      <c r="A89" s="80">
        <f>IF(B89="","",B89&amp;"-"&amp;TEXT(COUNTIF($B$7:B89,B89),"000"))</f>
        <v/>
      </c>
      <c r="B89" s="53" t="n"/>
      <c r="C89" s="81">
        <f>IFERROR(INDEX('QS Takeoff'!$A$3:$A$202,MATCH(B89,'QS Takeoff'!$B$3:$B$202,0)),"")</f>
        <v/>
      </c>
      <c r="D89" s="81">
        <f>IFERROR(INDEX('QS Takeoff'!$C$3:$C$202,MATCH(B89,'QS Takeoff'!$B$3:$B$202,0)),"")</f>
        <v/>
      </c>
      <c r="E89" s="81">
        <f>IFERROR(INDEX('QS Takeoff'!$E$3:$E$202,MATCH(B89,'QS Takeoff'!$B$3:$B$202,0)),"")</f>
        <v/>
      </c>
      <c r="F89" s="81">
        <f>IFERROR(INDEX('QS Takeoff'!$D$3:$D$202,MATCH(B89,'QS Takeoff'!$B$3:$B$202,0)),"")</f>
        <v/>
      </c>
      <c r="G89" s="81">
        <f>IFERROR(INDEX('QS Takeoff'!$J$3:$J$202,MATCH(B89,'QS Takeoff'!$B$3:$B$202,0)),"")</f>
        <v/>
      </c>
      <c r="H89" s="53" t="n"/>
      <c r="I89" s="60" t="n"/>
      <c r="J89" s="60" t="n"/>
      <c r="K89" s="82">
        <f>IF(OR(B89="",I89="",I89=0),"",E89/I89)</f>
        <v/>
      </c>
      <c r="L89" s="60" t="n"/>
      <c r="M89" s="82">
        <f>IF(L89&gt;0,L89,K89)</f>
        <v/>
      </c>
      <c r="N89" s="53" t="n"/>
      <c r="O89" s="53" t="n"/>
      <c r="P89" s="53" t="n"/>
      <c r="Q89" s="81">
        <f>IFERROR(INDEX('Resource Rate Library'!$C$5:$C$200,MATCH(P89,'Resource Rate Library'!$A$5:$A$200,0)),"")</f>
        <v/>
      </c>
      <c r="R89" s="53" t="n"/>
      <c r="S89" s="53" t="n"/>
      <c r="T89" s="81">
        <f>IFERROR(INDEX('Resource Rate Library'!$E$5:$E$200,MATCH(P89,'Resource Rate Library'!$A$5:$A$200,0)),"")</f>
        <v/>
      </c>
      <c r="U89" s="1441" t="n"/>
      <c r="V89" s="1441" t="n"/>
      <c r="W89" s="1442">
        <f>IFERROR(INDEX('Resource Rate Library'!$I$5:$I$200,MATCH(P89,'Resource Rate Library'!$A$5:$A$200,0)),0)</f>
        <v/>
      </c>
      <c r="X89" s="1443" t="n"/>
      <c r="Y89" s="1442">
        <f>IF(X89&gt;0,X89,W89)</f>
        <v/>
      </c>
      <c r="Z89" s="1442">
        <f>IF(B89="","",IF(N89="Time x Count",M89*R89*IF(U89="",1,U89)*Y89,IF(N89="QS Qty x Factor",E89*R89*(1+IF(V89="",0,V89))*Y89,IF(N89="Direct Qty",S89*(1+IF(V89="",0,V89))*Y89,IF(N89="Lump Sum / Quote",S89*Y89,0)))))</f>
        <v/>
      </c>
      <c r="AA89" s="81">
        <f>IFERROR(INDEX('Resource Rate Library'!$N$5:$N$200,MATCH(P89,'Resource Rate Library'!$A$5:$A$200,0)),"")</f>
        <v/>
      </c>
      <c r="AB89" s="53" t="n"/>
      <c r="AC89" s="59" t="n"/>
      <c r="AD89" s="81">
        <f>IFERROR(INDEX('Resource Rate Library'!$G$5:$G$200,MATCH(P89,'Resource Rate Library'!$A$5:$A$200,0)),"")</f>
        <v/>
      </c>
      <c r="AE89" s="81">
        <f>IFERROR(INDEX('Resource Rate Library'!$H$5:$H$200,MATCH(P89,'Resource Rate Library'!$A$5:$A$200,0)),"")</f>
        <v/>
      </c>
      <c r="AF89" s="53" t="n"/>
      <c r="AG89" s="53" t="n"/>
      <c r="AH89" s="53" t="n"/>
      <c r="AI89" s="81">
        <f>IF(B89="","",IF(AND(P89="",N89&lt;&gt;"Lump Sum / Quote"),"RESOURCE CODE",IF(Y89=0,"RATE MISSING",IF(AND(O89="Plant",AD89="Yes",COUNTIFS($B$7:$B$306,B89,$O$7:$O$306,"Labour",$Q$7:$Q$306,"*Operator*")&gt;0),"OPERATOR DOUBLE-COUNT",IF(AND(O89="Plant",AE89="Yes",COUNTIFS($B$7:$B$306,B89,$Q$7:$Q$306,"*Fuel*")&gt;0),"FUEL DOUBLE-COUNT",IF(AH89&lt;&gt;"Yes","VERIFY","OK"))))))</f>
        <v/>
      </c>
      <c r="AJ89" s="54" t="n"/>
      <c r="AK89" s="473" t="n"/>
      <c r="AL89" s="473" t="n"/>
      <c r="AM89" s="473" t="n"/>
      <c r="AN89" s="1444">
        <f>IF(AND(AK89="Yes",OR(O89="Labour",O89="Plant")),Z89,0)</f>
        <v/>
      </c>
    </row>
    <row r="90" ht="22.04999923706055" customHeight="1" s="491">
      <c r="A90" s="80">
        <f>IF(B90="","",B90&amp;"-"&amp;TEXT(COUNTIF($B$7:B90,B90),"000"))</f>
        <v/>
      </c>
      <c r="B90" s="53" t="n"/>
      <c r="C90" s="81">
        <f>IFERROR(INDEX('QS Takeoff'!$A$3:$A$202,MATCH(B90,'QS Takeoff'!$B$3:$B$202,0)),"")</f>
        <v/>
      </c>
      <c r="D90" s="81">
        <f>IFERROR(INDEX('QS Takeoff'!$C$3:$C$202,MATCH(B90,'QS Takeoff'!$B$3:$B$202,0)),"")</f>
        <v/>
      </c>
      <c r="E90" s="81">
        <f>IFERROR(INDEX('QS Takeoff'!$E$3:$E$202,MATCH(B90,'QS Takeoff'!$B$3:$B$202,0)),"")</f>
        <v/>
      </c>
      <c r="F90" s="81">
        <f>IFERROR(INDEX('QS Takeoff'!$D$3:$D$202,MATCH(B90,'QS Takeoff'!$B$3:$B$202,0)),"")</f>
        <v/>
      </c>
      <c r="G90" s="81">
        <f>IFERROR(INDEX('QS Takeoff'!$J$3:$J$202,MATCH(B90,'QS Takeoff'!$B$3:$B$202,0)),"")</f>
        <v/>
      </c>
      <c r="H90" s="53" t="n"/>
      <c r="I90" s="60" t="n"/>
      <c r="J90" s="60" t="n"/>
      <c r="K90" s="82">
        <f>IF(OR(B90="",I90="",I90=0),"",E90/I90)</f>
        <v/>
      </c>
      <c r="L90" s="60" t="n"/>
      <c r="M90" s="82">
        <f>IF(L90&gt;0,L90,K90)</f>
        <v/>
      </c>
      <c r="N90" s="53" t="n"/>
      <c r="O90" s="53" t="n"/>
      <c r="P90" s="53" t="n"/>
      <c r="Q90" s="81">
        <f>IFERROR(INDEX('Resource Rate Library'!$C$5:$C$200,MATCH(P90,'Resource Rate Library'!$A$5:$A$200,0)),"")</f>
        <v/>
      </c>
      <c r="R90" s="53" t="n"/>
      <c r="S90" s="53" t="n"/>
      <c r="T90" s="81">
        <f>IFERROR(INDEX('Resource Rate Library'!$E$5:$E$200,MATCH(P90,'Resource Rate Library'!$A$5:$A$200,0)),"")</f>
        <v/>
      </c>
      <c r="U90" s="1441" t="n"/>
      <c r="V90" s="1441" t="n"/>
      <c r="W90" s="1442">
        <f>IFERROR(INDEX('Resource Rate Library'!$I$5:$I$200,MATCH(P90,'Resource Rate Library'!$A$5:$A$200,0)),0)</f>
        <v/>
      </c>
      <c r="X90" s="1443" t="n"/>
      <c r="Y90" s="1442">
        <f>IF(X90&gt;0,X90,W90)</f>
        <v/>
      </c>
      <c r="Z90" s="1442">
        <f>IF(B90="","",IF(N90="Time x Count",M90*R90*IF(U90="",1,U90)*Y90,IF(N90="QS Qty x Factor",E90*R90*(1+IF(V90="",0,V90))*Y90,IF(N90="Direct Qty",S90*(1+IF(V90="",0,V90))*Y90,IF(N90="Lump Sum / Quote",S90*Y90,0)))))</f>
        <v/>
      </c>
      <c r="AA90" s="81">
        <f>IFERROR(INDEX('Resource Rate Library'!$N$5:$N$200,MATCH(P90,'Resource Rate Library'!$A$5:$A$200,0)),"")</f>
        <v/>
      </c>
      <c r="AB90" s="53" t="n"/>
      <c r="AC90" s="59" t="n"/>
      <c r="AD90" s="81">
        <f>IFERROR(INDEX('Resource Rate Library'!$G$5:$G$200,MATCH(P90,'Resource Rate Library'!$A$5:$A$200,0)),"")</f>
        <v/>
      </c>
      <c r="AE90" s="81">
        <f>IFERROR(INDEX('Resource Rate Library'!$H$5:$H$200,MATCH(P90,'Resource Rate Library'!$A$5:$A$200,0)),"")</f>
        <v/>
      </c>
      <c r="AF90" s="53" t="n"/>
      <c r="AG90" s="53" t="n"/>
      <c r="AH90" s="53" t="n"/>
      <c r="AI90" s="81">
        <f>IF(B90="","",IF(AND(P90="",N90&lt;&gt;"Lump Sum / Quote"),"RESOURCE CODE",IF(Y90=0,"RATE MISSING",IF(AND(O90="Plant",AD90="Yes",COUNTIFS($B$7:$B$306,B90,$O$7:$O$306,"Labour",$Q$7:$Q$306,"*Operator*")&gt;0),"OPERATOR DOUBLE-COUNT",IF(AND(O90="Plant",AE90="Yes",COUNTIFS($B$7:$B$306,B90,$Q$7:$Q$306,"*Fuel*")&gt;0),"FUEL DOUBLE-COUNT",IF(AH90&lt;&gt;"Yes","VERIFY","OK"))))))</f>
        <v/>
      </c>
      <c r="AJ90" s="54" t="n"/>
      <c r="AK90" s="473" t="n"/>
      <c r="AL90" s="473" t="n"/>
      <c r="AM90" s="473" t="n"/>
      <c r="AN90" s="1444">
        <f>IF(AND(AK90="Yes",OR(O90="Labour",O90="Plant")),Z90,0)</f>
        <v/>
      </c>
    </row>
    <row r="91" ht="22.04999923706055" customHeight="1" s="491">
      <c r="A91" s="80">
        <f>IF(B91="","",B91&amp;"-"&amp;TEXT(COUNTIF($B$7:B91,B91),"000"))</f>
        <v/>
      </c>
      <c r="B91" s="53" t="n"/>
      <c r="C91" s="81">
        <f>IFERROR(INDEX('QS Takeoff'!$A$3:$A$202,MATCH(B91,'QS Takeoff'!$B$3:$B$202,0)),"")</f>
        <v/>
      </c>
      <c r="D91" s="81">
        <f>IFERROR(INDEX('QS Takeoff'!$C$3:$C$202,MATCH(B91,'QS Takeoff'!$B$3:$B$202,0)),"")</f>
        <v/>
      </c>
      <c r="E91" s="81">
        <f>IFERROR(INDEX('QS Takeoff'!$E$3:$E$202,MATCH(B91,'QS Takeoff'!$B$3:$B$202,0)),"")</f>
        <v/>
      </c>
      <c r="F91" s="81">
        <f>IFERROR(INDEX('QS Takeoff'!$D$3:$D$202,MATCH(B91,'QS Takeoff'!$B$3:$B$202,0)),"")</f>
        <v/>
      </c>
      <c r="G91" s="81">
        <f>IFERROR(INDEX('QS Takeoff'!$J$3:$J$202,MATCH(B91,'QS Takeoff'!$B$3:$B$202,0)),"")</f>
        <v/>
      </c>
      <c r="H91" s="53" t="n"/>
      <c r="I91" s="60" t="n"/>
      <c r="J91" s="60" t="n"/>
      <c r="K91" s="82">
        <f>IF(OR(B91="",I91="",I91=0),"",E91/I91)</f>
        <v/>
      </c>
      <c r="L91" s="60" t="n"/>
      <c r="M91" s="82">
        <f>IF(L91&gt;0,L91,K91)</f>
        <v/>
      </c>
      <c r="N91" s="53" t="n"/>
      <c r="O91" s="53" t="n"/>
      <c r="P91" s="53" t="n"/>
      <c r="Q91" s="81">
        <f>IFERROR(INDEX('Resource Rate Library'!$C$5:$C$200,MATCH(P91,'Resource Rate Library'!$A$5:$A$200,0)),"")</f>
        <v/>
      </c>
      <c r="R91" s="53" t="n"/>
      <c r="S91" s="53" t="n"/>
      <c r="T91" s="81">
        <f>IFERROR(INDEX('Resource Rate Library'!$E$5:$E$200,MATCH(P91,'Resource Rate Library'!$A$5:$A$200,0)),"")</f>
        <v/>
      </c>
      <c r="U91" s="1441" t="n"/>
      <c r="V91" s="1441" t="n"/>
      <c r="W91" s="1442">
        <f>IFERROR(INDEX('Resource Rate Library'!$I$5:$I$200,MATCH(P91,'Resource Rate Library'!$A$5:$A$200,0)),0)</f>
        <v/>
      </c>
      <c r="X91" s="1443" t="n"/>
      <c r="Y91" s="1442">
        <f>IF(X91&gt;0,X91,W91)</f>
        <v/>
      </c>
      <c r="Z91" s="1442">
        <f>IF(B91="","",IF(N91="Time x Count",M91*R91*IF(U91="",1,U91)*Y91,IF(N91="QS Qty x Factor",E91*R91*(1+IF(V91="",0,V91))*Y91,IF(N91="Direct Qty",S91*(1+IF(V91="",0,V91))*Y91,IF(N91="Lump Sum / Quote",S91*Y91,0)))))</f>
        <v/>
      </c>
      <c r="AA91" s="81">
        <f>IFERROR(INDEX('Resource Rate Library'!$N$5:$N$200,MATCH(P91,'Resource Rate Library'!$A$5:$A$200,0)),"")</f>
        <v/>
      </c>
      <c r="AB91" s="53" t="n"/>
      <c r="AC91" s="59" t="n"/>
      <c r="AD91" s="81">
        <f>IFERROR(INDEX('Resource Rate Library'!$G$5:$G$200,MATCH(P91,'Resource Rate Library'!$A$5:$A$200,0)),"")</f>
        <v/>
      </c>
      <c r="AE91" s="81">
        <f>IFERROR(INDEX('Resource Rate Library'!$H$5:$H$200,MATCH(P91,'Resource Rate Library'!$A$5:$A$200,0)),"")</f>
        <v/>
      </c>
      <c r="AF91" s="53" t="n"/>
      <c r="AG91" s="53" t="n"/>
      <c r="AH91" s="53" t="n"/>
      <c r="AI91" s="81">
        <f>IF(B91="","",IF(AND(P91="",N91&lt;&gt;"Lump Sum / Quote"),"RESOURCE CODE",IF(Y91=0,"RATE MISSING",IF(AND(O91="Plant",AD91="Yes",COUNTIFS($B$7:$B$306,B91,$O$7:$O$306,"Labour",$Q$7:$Q$306,"*Operator*")&gt;0),"OPERATOR DOUBLE-COUNT",IF(AND(O91="Plant",AE91="Yes",COUNTIFS($B$7:$B$306,B91,$Q$7:$Q$306,"*Fuel*")&gt;0),"FUEL DOUBLE-COUNT",IF(AH91&lt;&gt;"Yes","VERIFY","OK"))))))</f>
        <v/>
      </c>
      <c r="AJ91" s="54" t="n"/>
      <c r="AK91" s="473" t="n"/>
      <c r="AL91" s="473" t="n"/>
      <c r="AM91" s="473" t="n"/>
      <c r="AN91" s="1444">
        <f>IF(AND(AK91="Yes",OR(O91="Labour",O91="Plant")),Z91,0)</f>
        <v/>
      </c>
    </row>
    <row r="92" ht="22.04999923706055" customHeight="1" s="491">
      <c r="A92" s="80">
        <f>IF(B92="","",B92&amp;"-"&amp;TEXT(COUNTIF($B$7:B92,B92),"000"))</f>
        <v/>
      </c>
      <c r="B92" s="53" t="n"/>
      <c r="C92" s="81">
        <f>IFERROR(INDEX('QS Takeoff'!$A$3:$A$202,MATCH(B92,'QS Takeoff'!$B$3:$B$202,0)),"")</f>
        <v/>
      </c>
      <c r="D92" s="81">
        <f>IFERROR(INDEX('QS Takeoff'!$C$3:$C$202,MATCH(B92,'QS Takeoff'!$B$3:$B$202,0)),"")</f>
        <v/>
      </c>
      <c r="E92" s="81">
        <f>IFERROR(INDEX('QS Takeoff'!$E$3:$E$202,MATCH(B92,'QS Takeoff'!$B$3:$B$202,0)),"")</f>
        <v/>
      </c>
      <c r="F92" s="81">
        <f>IFERROR(INDEX('QS Takeoff'!$D$3:$D$202,MATCH(B92,'QS Takeoff'!$B$3:$B$202,0)),"")</f>
        <v/>
      </c>
      <c r="G92" s="81">
        <f>IFERROR(INDEX('QS Takeoff'!$J$3:$J$202,MATCH(B92,'QS Takeoff'!$B$3:$B$202,0)),"")</f>
        <v/>
      </c>
      <c r="H92" s="53" t="n"/>
      <c r="I92" s="60" t="n"/>
      <c r="J92" s="60" t="n"/>
      <c r="K92" s="82">
        <f>IF(OR(B92="",I92="",I92=0),"",E92/I92)</f>
        <v/>
      </c>
      <c r="L92" s="60" t="n"/>
      <c r="M92" s="82">
        <f>IF(L92&gt;0,L92,K92)</f>
        <v/>
      </c>
      <c r="N92" s="53" t="n"/>
      <c r="O92" s="53" t="n"/>
      <c r="P92" s="53" t="n"/>
      <c r="Q92" s="81">
        <f>IFERROR(INDEX('Resource Rate Library'!$C$5:$C$200,MATCH(P92,'Resource Rate Library'!$A$5:$A$200,0)),"")</f>
        <v/>
      </c>
      <c r="R92" s="53" t="n"/>
      <c r="S92" s="53" t="n"/>
      <c r="T92" s="81">
        <f>IFERROR(INDEX('Resource Rate Library'!$E$5:$E$200,MATCH(P92,'Resource Rate Library'!$A$5:$A$200,0)),"")</f>
        <v/>
      </c>
      <c r="U92" s="1441" t="n"/>
      <c r="V92" s="1441" t="n"/>
      <c r="W92" s="1442">
        <f>IFERROR(INDEX('Resource Rate Library'!$I$5:$I$200,MATCH(P92,'Resource Rate Library'!$A$5:$A$200,0)),0)</f>
        <v/>
      </c>
      <c r="X92" s="1443" t="n"/>
      <c r="Y92" s="1442">
        <f>IF(X92&gt;0,X92,W92)</f>
        <v/>
      </c>
      <c r="Z92" s="1442">
        <f>IF(B92="","",IF(N92="Time x Count",M92*R92*IF(U92="",1,U92)*Y92,IF(N92="QS Qty x Factor",E92*R92*(1+IF(V92="",0,V92))*Y92,IF(N92="Direct Qty",S92*(1+IF(V92="",0,V92))*Y92,IF(N92="Lump Sum / Quote",S92*Y92,0)))))</f>
        <v/>
      </c>
      <c r="AA92" s="81">
        <f>IFERROR(INDEX('Resource Rate Library'!$N$5:$N$200,MATCH(P92,'Resource Rate Library'!$A$5:$A$200,0)),"")</f>
        <v/>
      </c>
      <c r="AB92" s="53" t="n"/>
      <c r="AC92" s="59" t="n"/>
      <c r="AD92" s="81">
        <f>IFERROR(INDEX('Resource Rate Library'!$G$5:$G$200,MATCH(P92,'Resource Rate Library'!$A$5:$A$200,0)),"")</f>
        <v/>
      </c>
      <c r="AE92" s="81">
        <f>IFERROR(INDEX('Resource Rate Library'!$H$5:$H$200,MATCH(P92,'Resource Rate Library'!$A$5:$A$200,0)),"")</f>
        <v/>
      </c>
      <c r="AF92" s="53" t="n"/>
      <c r="AG92" s="53" t="n"/>
      <c r="AH92" s="53" t="n"/>
      <c r="AI92" s="81">
        <f>IF(B92="","",IF(AND(P92="",N92&lt;&gt;"Lump Sum / Quote"),"RESOURCE CODE",IF(Y92=0,"RATE MISSING",IF(AND(O92="Plant",AD92="Yes",COUNTIFS($B$7:$B$306,B92,$O$7:$O$306,"Labour",$Q$7:$Q$306,"*Operator*")&gt;0),"OPERATOR DOUBLE-COUNT",IF(AND(O92="Plant",AE92="Yes",COUNTIFS($B$7:$B$306,B92,$Q$7:$Q$306,"*Fuel*")&gt;0),"FUEL DOUBLE-COUNT",IF(AH92&lt;&gt;"Yes","VERIFY","OK"))))))</f>
        <v/>
      </c>
      <c r="AJ92" s="54" t="n"/>
      <c r="AK92" s="473" t="n"/>
      <c r="AL92" s="473" t="n"/>
      <c r="AM92" s="473" t="n"/>
      <c r="AN92" s="1444">
        <f>IF(AND(AK92="Yes",OR(O92="Labour",O92="Plant")),Z92,0)</f>
        <v/>
      </c>
    </row>
    <row r="93" ht="22.04999923706055" customHeight="1" s="491">
      <c r="A93" s="80">
        <f>IF(B93="","",B93&amp;"-"&amp;TEXT(COUNTIF($B$7:B93,B93),"000"))</f>
        <v/>
      </c>
      <c r="B93" s="53" t="n"/>
      <c r="C93" s="81">
        <f>IFERROR(INDEX('QS Takeoff'!$A$3:$A$202,MATCH(B93,'QS Takeoff'!$B$3:$B$202,0)),"")</f>
        <v/>
      </c>
      <c r="D93" s="81">
        <f>IFERROR(INDEX('QS Takeoff'!$C$3:$C$202,MATCH(B93,'QS Takeoff'!$B$3:$B$202,0)),"")</f>
        <v/>
      </c>
      <c r="E93" s="81">
        <f>IFERROR(INDEX('QS Takeoff'!$E$3:$E$202,MATCH(B93,'QS Takeoff'!$B$3:$B$202,0)),"")</f>
        <v/>
      </c>
      <c r="F93" s="81">
        <f>IFERROR(INDEX('QS Takeoff'!$D$3:$D$202,MATCH(B93,'QS Takeoff'!$B$3:$B$202,0)),"")</f>
        <v/>
      </c>
      <c r="G93" s="81">
        <f>IFERROR(INDEX('QS Takeoff'!$J$3:$J$202,MATCH(B93,'QS Takeoff'!$B$3:$B$202,0)),"")</f>
        <v/>
      </c>
      <c r="H93" s="53" t="n"/>
      <c r="I93" s="60" t="n"/>
      <c r="J93" s="60" t="n"/>
      <c r="K93" s="82">
        <f>IF(OR(B93="",I93="",I93=0),"",E93/I93)</f>
        <v/>
      </c>
      <c r="L93" s="60" t="n"/>
      <c r="M93" s="82">
        <f>IF(L93&gt;0,L93,K93)</f>
        <v/>
      </c>
      <c r="N93" s="53" t="n"/>
      <c r="O93" s="53" t="n"/>
      <c r="P93" s="53" t="n"/>
      <c r="Q93" s="81">
        <f>IFERROR(INDEX('Resource Rate Library'!$C$5:$C$200,MATCH(P93,'Resource Rate Library'!$A$5:$A$200,0)),"")</f>
        <v/>
      </c>
      <c r="R93" s="53" t="n"/>
      <c r="S93" s="53" t="n"/>
      <c r="T93" s="81">
        <f>IFERROR(INDEX('Resource Rate Library'!$E$5:$E$200,MATCH(P93,'Resource Rate Library'!$A$5:$A$200,0)),"")</f>
        <v/>
      </c>
      <c r="U93" s="1441" t="n"/>
      <c r="V93" s="1441" t="n"/>
      <c r="W93" s="1442">
        <f>IFERROR(INDEX('Resource Rate Library'!$I$5:$I$200,MATCH(P93,'Resource Rate Library'!$A$5:$A$200,0)),0)</f>
        <v/>
      </c>
      <c r="X93" s="1443" t="n"/>
      <c r="Y93" s="1442">
        <f>IF(X93&gt;0,X93,W93)</f>
        <v/>
      </c>
      <c r="Z93" s="1442">
        <f>IF(B93="","",IF(N93="Time x Count",M93*R93*IF(U93="",1,U93)*Y93,IF(N93="QS Qty x Factor",E93*R93*(1+IF(V93="",0,V93))*Y93,IF(N93="Direct Qty",S93*(1+IF(V93="",0,V93))*Y93,IF(N93="Lump Sum / Quote",S93*Y93,0)))))</f>
        <v/>
      </c>
      <c r="AA93" s="81">
        <f>IFERROR(INDEX('Resource Rate Library'!$N$5:$N$200,MATCH(P93,'Resource Rate Library'!$A$5:$A$200,0)),"")</f>
        <v/>
      </c>
      <c r="AB93" s="53" t="n"/>
      <c r="AC93" s="59" t="n"/>
      <c r="AD93" s="81">
        <f>IFERROR(INDEX('Resource Rate Library'!$G$5:$G$200,MATCH(P93,'Resource Rate Library'!$A$5:$A$200,0)),"")</f>
        <v/>
      </c>
      <c r="AE93" s="81">
        <f>IFERROR(INDEX('Resource Rate Library'!$H$5:$H$200,MATCH(P93,'Resource Rate Library'!$A$5:$A$200,0)),"")</f>
        <v/>
      </c>
      <c r="AF93" s="53" t="n"/>
      <c r="AG93" s="53" t="n"/>
      <c r="AH93" s="53" t="n"/>
      <c r="AI93" s="81">
        <f>IF(B93="","",IF(AND(P93="",N93&lt;&gt;"Lump Sum / Quote"),"RESOURCE CODE",IF(Y93=0,"RATE MISSING",IF(AND(O93="Plant",AD93="Yes",COUNTIFS($B$7:$B$306,B93,$O$7:$O$306,"Labour",$Q$7:$Q$306,"*Operator*")&gt;0),"OPERATOR DOUBLE-COUNT",IF(AND(O93="Plant",AE93="Yes",COUNTIFS($B$7:$B$306,B93,$Q$7:$Q$306,"*Fuel*")&gt;0),"FUEL DOUBLE-COUNT",IF(AH93&lt;&gt;"Yes","VERIFY","OK"))))))</f>
        <v/>
      </c>
      <c r="AJ93" s="54" t="n"/>
      <c r="AK93" s="473" t="n"/>
      <c r="AL93" s="473" t="n"/>
      <c r="AM93" s="473" t="n"/>
      <c r="AN93" s="1444">
        <f>IF(AND(AK93="Yes",OR(O93="Labour",O93="Plant")),Z93,0)</f>
        <v/>
      </c>
    </row>
    <row r="94" ht="22.04999923706055" customHeight="1" s="491">
      <c r="A94" s="80">
        <f>IF(B94="","",B94&amp;"-"&amp;TEXT(COUNTIF($B$7:B94,B94),"000"))</f>
        <v/>
      </c>
      <c r="B94" s="53" t="n"/>
      <c r="C94" s="81">
        <f>IFERROR(INDEX('QS Takeoff'!$A$3:$A$202,MATCH(B94,'QS Takeoff'!$B$3:$B$202,0)),"")</f>
        <v/>
      </c>
      <c r="D94" s="81">
        <f>IFERROR(INDEX('QS Takeoff'!$C$3:$C$202,MATCH(B94,'QS Takeoff'!$B$3:$B$202,0)),"")</f>
        <v/>
      </c>
      <c r="E94" s="81">
        <f>IFERROR(INDEX('QS Takeoff'!$E$3:$E$202,MATCH(B94,'QS Takeoff'!$B$3:$B$202,0)),"")</f>
        <v/>
      </c>
      <c r="F94" s="81">
        <f>IFERROR(INDEX('QS Takeoff'!$D$3:$D$202,MATCH(B94,'QS Takeoff'!$B$3:$B$202,0)),"")</f>
        <v/>
      </c>
      <c r="G94" s="81">
        <f>IFERROR(INDEX('QS Takeoff'!$J$3:$J$202,MATCH(B94,'QS Takeoff'!$B$3:$B$202,0)),"")</f>
        <v/>
      </c>
      <c r="H94" s="53" t="n"/>
      <c r="I94" s="60" t="n"/>
      <c r="J94" s="60" t="n"/>
      <c r="K94" s="82">
        <f>IF(OR(B94="",I94="",I94=0),"",E94/I94)</f>
        <v/>
      </c>
      <c r="L94" s="60" t="n"/>
      <c r="M94" s="82">
        <f>IF(L94&gt;0,L94,K94)</f>
        <v/>
      </c>
      <c r="N94" s="53" t="n"/>
      <c r="O94" s="53" t="n"/>
      <c r="P94" s="53" t="n"/>
      <c r="Q94" s="81">
        <f>IFERROR(INDEX('Resource Rate Library'!$C$5:$C$200,MATCH(P94,'Resource Rate Library'!$A$5:$A$200,0)),"")</f>
        <v/>
      </c>
      <c r="R94" s="53" t="n"/>
      <c r="S94" s="53" t="n"/>
      <c r="T94" s="81">
        <f>IFERROR(INDEX('Resource Rate Library'!$E$5:$E$200,MATCH(P94,'Resource Rate Library'!$A$5:$A$200,0)),"")</f>
        <v/>
      </c>
      <c r="U94" s="1441" t="n"/>
      <c r="V94" s="1441" t="n"/>
      <c r="W94" s="1442">
        <f>IFERROR(INDEX('Resource Rate Library'!$I$5:$I$200,MATCH(P94,'Resource Rate Library'!$A$5:$A$200,0)),0)</f>
        <v/>
      </c>
      <c r="X94" s="1443" t="n"/>
      <c r="Y94" s="1442">
        <f>IF(X94&gt;0,X94,W94)</f>
        <v/>
      </c>
      <c r="Z94" s="1442">
        <f>IF(B94="","",IF(N94="Time x Count",M94*R94*IF(U94="",1,U94)*Y94,IF(N94="QS Qty x Factor",E94*R94*(1+IF(V94="",0,V94))*Y94,IF(N94="Direct Qty",S94*(1+IF(V94="",0,V94))*Y94,IF(N94="Lump Sum / Quote",S94*Y94,0)))))</f>
        <v/>
      </c>
      <c r="AA94" s="81">
        <f>IFERROR(INDEX('Resource Rate Library'!$N$5:$N$200,MATCH(P94,'Resource Rate Library'!$A$5:$A$200,0)),"")</f>
        <v/>
      </c>
      <c r="AB94" s="53" t="n"/>
      <c r="AC94" s="59" t="n"/>
      <c r="AD94" s="81">
        <f>IFERROR(INDEX('Resource Rate Library'!$G$5:$G$200,MATCH(P94,'Resource Rate Library'!$A$5:$A$200,0)),"")</f>
        <v/>
      </c>
      <c r="AE94" s="81">
        <f>IFERROR(INDEX('Resource Rate Library'!$H$5:$H$200,MATCH(P94,'Resource Rate Library'!$A$5:$A$200,0)),"")</f>
        <v/>
      </c>
      <c r="AF94" s="53" t="n"/>
      <c r="AG94" s="53" t="n"/>
      <c r="AH94" s="53" t="n"/>
      <c r="AI94" s="81">
        <f>IF(B94="","",IF(AND(P94="",N94&lt;&gt;"Lump Sum / Quote"),"RESOURCE CODE",IF(Y94=0,"RATE MISSING",IF(AND(O94="Plant",AD94="Yes",COUNTIFS($B$7:$B$306,B94,$O$7:$O$306,"Labour",$Q$7:$Q$306,"*Operator*")&gt;0),"OPERATOR DOUBLE-COUNT",IF(AND(O94="Plant",AE94="Yes",COUNTIFS($B$7:$B$306,B94,$Q$7:$Q$306,"*Fuel*")&gt;0),"FUEL DOUBLE-COUNT",IF(AH94&lt;&gt;"Yes","VERIFY","OK"))))))</f>
        <v/>
      </c>
      <c r="AJ94" s="54" t="n"/>
      <c r="AK94" s="473" t="n"/>
      <c r="AL94" s="473" t="n"/>
      <c r="AM94" s="473" t="n"/>
      <c r="AN94" s="1444">
        <f>IF(AND(AK94="Yes",OR(O94="Labour",O94="Plant")),Z94,0)</f>
        <v/>
      </c>
    </row>
    <row r="95" ht="22.04999923706055" customHeight="1" s="491">
      <c r="A95" s="80">
        <f>IF(B95="","",B95&amp;"-"&amp;TEXT(COUNTIF($B$7:B95,B95),"000"))</f>
        <v/>
      </c>
      <c r="B95" s="53" t="n"/>
      <c r="C95" s="81">
        <f>IFERROR(INDEX('QS Takeoff'!$A$3:$A$202,MATCH(B95,'QS Takeoff'!$B$3:$B$202,0)),"")</f>
        <v/>
      </c>
      <c r="D95" s="81">
        <f>IFERROR(INDEX('QS Takeoff'!$C$3:$C$202,MATCH(B95,'QS Takeoff'!$B$3:$B$202,0)),"")</f>
        <v/>
      </c>
      <c r="E95" s="81">
        <f>IFERROR(INDEX('QS Takeoff'!$E$3:$E$202,MATCH(B95,'QS Takeoff'!$B$3:$B$202,0)),"")</f>
        <v/>
      </c>
      <c r="F95" s="81">
        <f>IFERROR(INDEX('QS Takeoff'!$D$3:$D$202,MATCH(B95,'QS Takeoff'!$B$3:$B$202,0)),"")</f>
        <v/>
      </c>
      <c r="G95" s="81">
        <f>IFERROR(INDEX('QS Takeoff'!$J$3:$J$202,MATCH(B95,'QS Takeoff'!$B$3:$B$202,0)),"")</f>
        <v/>
      </c>
      <c r="H95" s="53" t="n"/>
      <c r="I95" s="60" t="n"/>
      <c r="J95" s="60" t="n"/>
      <c r="K95" s="82">
        <f>IF(OR(B95="",I95="",I95=0),"",E95/I95)</f>
        <v/>
      </c>
      <c r="L95" s="60" t="n"/>
      <c r="M95" s="82">
        <f>IF(L95&gt;0,L95,K95)</f>
        <v/>
      </c>
      <c r="N95" s="53" t="n"/>
      <c r="O95" s="53" t="n"/>
      <c r="P95" s="53" t="n"/>
      <c r="Q95" s="81">
        <f>IFERROR(INDEX('Resource Rate Library'!$C$5:$C$200,MATCH(P95,'Resource Rate Library'!$A$5:$A$200,0)),"")</f>
        <v/>
      </c>
      <c r="R95" s="53" t="n"/>
      <c r="S95" s="53" t="n"/>
      <c r="T95" s="81">
        <f>IFERROR(INDEX('Resource Rate Library'!$E$5:$E$200,MATCH(P95,'Resource Rate Library'!$A$5:$A$200,0)),"")</f>
        <v/>
      </c>
      <c r="U95" s="1441" t="n"/>
      <c r="V95" s="1441" t="n"/>
      <c r="W95" s="1442">
        <f>IFERROR(INDEX('Resource Rate Library'!$I$5:$I$200,MATCH(P95,'Resource Rate Library'!$A$5:$A$200,0)),0)</f>
        <v/>
      </c>
      <c r="X95" s="1443" t="n"/>
      <c r="Y95" s="1442">
        <f>IF(X95&gt;0,X95,W95)</f>
        <v/>
      </c>
      <c r="Z95" s="1442">
        <f>IF(B95="","",IF(N95="Time x Count",M95*R95*IF(U95="",1,U95)*Y95,IF(N95="QS Qty x Factor",E95*R95*(1+IF(V95="",0,V95))*Y95,IF(N95="Direct Qty",S95*(1+IF(V95="",0,V95))*Y95,IF(N95="Lump Sum / Quote",S95*Y95,0)))))</f>
        <v/>
      </c>
      <c r="AA95" s="81">
        <f>IFERROR(INDEX('Resource Rate Library'!$N$5:$N$200,MATCH(P95,'Resource Rate Library'!$A$5:$A$200,0)),"")</f>
        <v/>
      </c>
      <c r="AB95" s="53" t="n"/>
      <c r="AC95" s="59" t="n"/>
      <c r="AD95" s="81">
        <f>IFERROR(INDEX('Resource Rate Library'!$G$5:$G$200,MATCH(P95,'Resource Rate Library'!$A$5:$A$200,0)),"")</f>
        <v/>
      </c>
      <c r="AE95" s="81">
        <f>IFERROR(INDEX('Resource Rate Library'!$H$5:$H$200,MATCH(P95,'Resource Rate Library'!$A$5:$A$200,0)),"")</f>
        <v/>
      </c>
      <c r="AF95" s="53" t="n"/>
      <c r="AG95" s="53" t="n"/>
      <c r="AH95" s="53" t="n"/>
      <c r="AI95" s="81">
        <f>IF(B95="","",IF(AND(P95="",N95&lt;&gt;"Lump Sum / Quote"),"RESOURCE CODE",IF(Y95=0,"RATE MISSING",IF(AND(O95="Plant",AD95="Yes",COUNTIFS($B$7:$B$306,B95,$O$7:$O$306,"Labour",$Q$7:$Q$306,"*Operator*")&gt;0),"OPERATOR DOUBLE-COUNT",IF(AND(O95="Plant",AE95="Yes",COUNTIFS($B$7:$B$306,B95,$Q$7:$Q$306,"*Fuel*")&gt;0),"FUEL DOUBLE-COUNT",IF(AH95&lt;&gt;"Yes","VERIFY","OK"))))))</f>
        <v/>
      </c>
      <c r="AJ95" s="54" t="n"/>
      <c r="AK95" s="473" t="n"/>
      <c r="AL95" s="473" t="n"/>
      <c r="AM95" s="473" t="n"/>
      <c r="AN95" s="1444">
        <f>IF(AND(AK95="Yes",OR(O95="Labour",O95="Plant")),Z95,0)</f>
        <v/>
      </c>
    </row>
    <row r="96" ht="22.04999923706055" customHeight="1" s="491">
      <c r="A96" s="80">
        <f>IF(B96="","",B96&amp;"-"&amp;TEXT(COUNTIF($B$7:B96,B96),"000"))</f>
        <v/>
      </c>
      <c r="B96" s="53" t="n"/>
      <c r="C96" s="81">
        <f>IFERROR(INDEX('QS Takeoff'!$A$3:$A$202,MATCH(B96,'QS Takeoff'!$B$3:$B$202,0)),"")</f>
        <v/>
      </c>
      <c r="D96" s="81">
        <f>IFERROR(INDEX('QS Takeoff'!$C$3:$C$202,MATCH(B96,'QS Takeoff'!$B$3:$B$202,0)),"")</f>
        <v/>
      </c>
      <c r="E96" s="81">
        <f>IFERROR(INDEX('QS Takeoff'!$E$3:$E$202,MATCH(B96,'QS Takeoff'!$B$3:$B$202,0)),"")</f>
        <v/>
      </c>
      <c r="F96" s="81">
        <f>IFERROR(INDEX('QS Takeoff'!$D$3:$D$202,MATCH(B96,'QS Takeoff'!$B$3:$B$202,0)),"")</f>
        <v/>
      </c>
      <c r="G96" s="81">
        <f>IFERROR(INDEX('QS Takeoff'!$J$3:$J$202,MATCH(B96,'QS Takeoff'!$B$3:$B$202,0)),"")</f>
        <v/>
      </c>
      <c r="H96" s="53" t="n"/>
      <c r="I96" s="60" t="n"/>
      <c r="J96" s="60" t="n"/>
      <c r="K96" s="82">
        <f>IF(OR(B96="",I96="",I96=0),"",E96/I96)</f>
        <v/>
      </c>
      <c r="L96" s="60" t="n"/>
      <c r="M96" s="82">
        <f>IF(L96&gt;0,L96,K96)</f>
        <v/>
      </c>
      <c r="N96" s="53" t="n"/>
      <c r="O96" s="53" t="n"/>
      <c r="P96" s="53" t="n"/>
      <c r="Q96" s="81">
        <f>IFERROR(INDEX('Resource Rate Library'!$C$5:$C$200,MATCH(P96,'Resource Rate Library'!$A$5:$A$200,0)),"")</f>
        <v/>
      </c>
      <c r="R96" s="53" t="n"/>
      <c r="S96" s="53" t="n"/>
      <c r="T96" s="81">
        <f>IFERROR(INDEX('Resource Rate Library'!$E$5:$E$200,MATCH(P96,'Resource Rate Library'!$A$5:$A$200,0)),"")</f>
        <v/>
      </c>
      <c r="U96" s="1441" t="n"/>
      <c r="V96" s="1441" t="n"/>
      <c r="W96" s="1442">
        <f>IFERROR(INDEX('Resource Rate Library'!$I$5:$I$200,MATCH(P96,'Resource Rate Library'!$A$5:$A$200,0)),0)</f>
        <v/>
      </c>
      <c r="X96" s="1443" t="n"/>
      <c r="Y96" s="1442">
        <f>IF(X96&gt;0,X96,W96)</f>
        <v/>
      </c>
      <c r="Z96" s="1442">
        <f>IF(B96="","",IF(N96="Time x Count",M96*R96*IF(U96="",1,U96)*Y96,IF(N96="QS Qty x Factor",E96*R96*(1+IF(V96="",0,V96))*Y96,IF(N96="Direct Qty",S96*(1+IF(V96="",0,V96))*Y96,IF(N96="Lump Sum / Quote",S96*Y96,0)))))</f>
        <v/>
      </c>
      <c r="AA96" s="81">
        <f>IFERROR(INDEX('Resource Rate Library'!$N$5:$N$200,MATCH(P96,'Resource Rate Library'!$A$5:$A$200,0)),"")</f>
        <v/>
      </c>
      <c r="AB96" s="53" t="n"/>
      <c r="AC96" s="59" t="n"/>
      <c r="AD96" s="81">
        <f>IFERROR(INDEX('Resource Rate Library'!$G$5:$G$200,MATCH(P96,'Resource Rate Library'!$A$5:$A$200,0)),"")</f>
        <v/>
      </c>
      <c r="AE96" s="81">
        <f>IFERROR(INDEX('Resource Rate Library'!$H$5:$H$200,MATCH(P96,'Resource Rate Library'!$A$5:$A$200,0)),"")</f>
        <v/>
      </c>
      <c r="AF96" s="53" t="n"/>
      <c r="AG96" s="53" t="n"/>
      <c r="AH96" s="53" t="n"/>
      <c r="AI96" s="81">
        <f>IF(B96="","",IF(AND(P96="",N96&lt;&gt;"Lump Sum / Quote"),"RESOURCE CODE",IF(Y96=0,"RATE MISSING",IF(AND(O96="Plant",AD96="Yes",COUNTIFS($B$7:$B$306,B96,$O$7:$O$306,"Labour",$Q$7:$Q$306,"*Operator*")&gt;0),"OPERATOR DOUBLE-COUNT",IF(AND(O96="Plant",AE96="Yes",COUNTIFS($B$7:$B$306,B96,$Q$7:$Q$306,"*Fuel*")&gt;0),"FUEL DOUBLE-COUNT",IF(AH96&lt;&gt;"Yes","VERIFY","OK"))))))</f>
        <v/>
      </c>
      <c r="AJ96" s="54" t="n"/>
      <c r="AK96" s="473" t="n"/>
      <c r="AL96" s="473" t="n"/>
      <c r="AM96" s="473" t="n"/>
      <c r="AN96" s="1444">
        <f>IF(AND(AK96="Yes",OR(O96="Labour",O96="Plant")),Z96,0)</f>
        <v/>
      </c>
    </row>
    <row r="97" ht="22.04999923706055" customHeight="1" s="491">
      <c r="A97" s="80">
        <f>IF(B97="","",B97&amp;"-"&amp;TEXT(COUNTIF($B$7:B97,B97),"000"))</f>
        <v/>
      </c>
      <c r="B97" s="53" t="n"/>
      <c r="C97" s="81">
        <f>IFERROR(INDEX('QS Takeoff'!$A$3:$A$202,MATCH(B97,'QS Takeoff'!$B$3:$B$202,0)),"")</f>
        <v/>
      </c>
      <c r="D97" s="81">
        <f>IFERROR(INDEX('QS Takeoff'!$C$3:$C$202,MATCH(B97,'QS Takeoff'!$B$3:$B$202,0)),"")</f>
        <v/>
      </c>
      <c r="E97" s="81">
        <f>IFERROR(INDEX('QS Takeoff'!$E$3:$E$202,MATCH(B97,'QS Takeoff'!$B$3:$B$202,0)),"")</f>
        <v/>
      </c>
      <c r="F97" s="81">
        <f>IFERROR(INDEX('QS Takeoff'!$D$3:$D$202,MATCH(B97,'QS Takeoff'!$B$3:$B$202,0)),"")</f>
        <v/>
      </c>
      <c r="G97" s="81">
        <f>IFERROR(INDEX('QS Takeoff'!$J$3:$J$202,MATCH(B97,'QS Takeoff'!$B$3:$B$202,0)),"")</f>
        <v/>
      </c>
      <c r="H97" s="53" t="n"/>
      <c r="I97" s="60" t="n"/>
      <c r="J97" s="60" t="n"/>
      <c r="K97" s="82">
        <f>IF(OR(B97="",I97="",I97=0),"",E97/I97)</f>
        <v/>
      </c>
      <c r="L97" s="60" t="n"/>
      <c r="M97" s="82">
        <f>IF(L97&gt;0,L97,K97)</f>
        <v/>
      </c>
      <c r="N97" s="53" t="n"/>
      <c r="O97" s="53" t="n"/>
      <c r="P97" s="53" t="n"/>
      <c r="Q97" s="81">
        <f>IFERROR(INDEX('Resource Rate Library'!$C$5:$C$200,MATCH(P97,'Resource Rate Library'!$A$5:$A$200,0)),"")</f>
        <v/>
      </c>
      <c r="R97" s="53" t="n"/>
      <c r="S97" s="53" t="n"/>
      <c r="T97" s="81">
        <f>IFERROR(INDEX('Resource Rate Library'!$E$5:$E$200,MATCH(P97,'Resource Rate Library'!$A$5:$A$200,0)),"")</f>
        <v/>
      </c>
      <c r="U97" s="1441" t="n"/>
      <c r="V97" s="1441" t="n"/>
      <c r="W97" s="1442">
        <f>IFERROR(INDEX('Resource Rate Library'!$I$5:$I$200,MATCH(P97,'Resource Rate Library'!$A$5:$A$200,0)),0)</f>
        <v/>
      </c>
      <c r="X97" s="1443" t="n"/>
      <c r="Y97" s="1442">
        <f>IF(X97&gt;0,X97,W97)</f>
        <v/>
      </c>
      <c r="Z97" s="1442">
        <f>IF(B97="","",IF(N97="Time x Count",M97*R97*IF(U97="",1,U97)*Y97,IF(N97="QS Qty x Factor",E97*R97*(1+IF(V97="",0,V97))*Y97,IF(N97="Direct Qty",S97*(1+IF(V97="",0,V97))*Y97,IF(N97="Lump Sum / Quote",S97*Y97,0)))))</f>
        <v/>
      </c>
      <c r="AA97" s="81">
        <f>IFERROR(INDEX('Resource Rate Library'!$N$5:$N$200,MATCH(P97,'Resource Rate Library'!$A$5:$A$200,0)),"")</f>
        <v/>
      </c>
      <c r="AB97" s="53" t="n"/>
      <c r="AC97" s="59" t="n"/>
      <c r="AD97" s="81">
        <f>IFERROR(INDEX('Resource Rate Library'!$G$5:$G$200,MATCH(P97,'Resource Rate Library'!$A$5:$A$200,0)),"")</f>
        <v/>
      </c>
      <c r="AE97" s="81">
        <f>IFERROR(INDEX('Resource Rate Library'!$H$5:$H$200,MATCH(P97,'Resource Rate Library'!$A$5:$A$200,0)),"")</f>
        <v/>
      </c>
      <c r="AF97" s="53" t="n"/>
      <c r="AG97" s="53" t="n"/>
      <c r="AH97" s="53" t="n"/>
      <c r="AI97" s="81">
        <f>IF(B97="","",IF(AND(P97="",N97&lt;&gt;"Lump Sum / Quote"),"RESOURCE CODE",IF(Y97=0,"RATE MISSING",IF(AND(O97="Plant",AD97="Yes",COUNTIFS($B$7:$B$306,B97,$O$7:$O$306,"Labour",$Q$7:$Q$306,"*Operator*")&gt;0),"OPERATOR DOUBLE-COUNT",IF(AND(O97="Plant",AE97="Yes",COUNTIFS($B$7:$B$306,B97,$Q$7:$Q$306,"*Fuel*")&gt;0),"FUEL DOUBLE-COUNT",IF(AH97&lt;&gt;"Yes","VERIFY","OK"))))))</f>
        <v/>
      </c>
      <c r="AJ97" s="54" t="n"/>
      <c r="AK97" s="473" t="n"/>
      <c r="AL97" s="473" t="n"/>
      <c r="AM97" s="473" t="n"/>
      <c r="AN97" s="1444">
        <f>IF(AND(AK97="Yes",OR(O97="Labour",O97="Plant")),Z97,0)</f>
        <v/>
      </c>
    </row>
    <row r="98" ht="22.04999923706055" customHeight="1" s="491">
      <c r="A98" s="80">
        <f>IF(B98="","",B98&amp;"-"&amp;TEXT(COUNTIF($B$7:B98,B98),"000"))</f>
        <v/>
      </c>
      <c r="B98" s="53" t="n"/>
      <c r="C98" s="81">
        <f>IFERROR(INDEX('QS Takeoff'!$A$3:$A$202,MATCH(B98,'QS Takeoff'!$B$3:$B$202,0)),"")</f>
        <v/>
      </c>
      <c r="D98" s="81">
        <f>IFERROR(INDEX('QS Takeoff'!$C$3:$C$202,MATCH(B98,'QS Takeoff'!$B$3:$B$202,0)),"")</f>
        <v/>
      </c>
      <c r="E98" s="81">
        <f>IFERROR(INDEX('QS Takeoff'!$E$3:$E$202,MATCH(B98,'QS Takeoff'!$B$3:$B$202,0)),"")</f>
        <v/>
      </c>
      <c r="F98" s="81">
        <f>IFERROR(INDEX('QS Takeoff'!$D$3:$D$202,MATCH(B98,'QS Takeoff'!$B$3:$B$202,0)),"")</f>
        <v/>
      </c>
      <c r="G98" s="81">
        <f>IFERROR(INDEX('QS Takeoff'!$J$3:$J$202,MATCH(B98,'QS Takeoff'!$B$3:$B$202,0)),"")</f>
        <v/>
      </c>
      <c r="H98" s="53" t="n"/>
      <c r="I98" s="60" t="n"/>
      <c r="J98" s="60" t="n"/>
      <c r="K98" s="82">
        <f>IF(OR(B98="",I98="",I98=0),"",E98/I98)</f>
        <v/>
      </c>
      <c r="L98" s="60" t="n"/>
      <c r="M98" s="82">
        <f>IF(L98&gt;0,L98,K98)</f>
        <v/>
      </c>
      <c r="N98" s="53" t="n"/>
      <c r="O98" s="53" t="n"/>
      <c r="P98" s="53" t="n"/>
      <c r="Q98" s="81">
        <f>IFERROR(INDEX('Resource Rate Library'!$C$5:$C$200,MATCH(P98,'Resource Rate Library'!$A$5:$A$200,0)),"")</f>
        <v/>
      </c>
      <c r="R98" s="53" t="n"/>
      <c r="S98" s="53" t="n"/>
      <c r="T98" s="81">
        <f>IFERROR(INDEX('Resource Rate Library'!$E$5:$E$200,MATCH(P98,'Resource Rate Library'!$A$5:$A$200,0)),"")</f>
        <v/>
      </c>
      <c r="U98" s="1441" t="n"/>
      <c r="V98" s="1441" t="n"/>
      <c r="W98" s="1442">
        <f>IFERROR(INDEX('Resource Rate Library'!$I$5:$I$200,MATCH(P98,'Resource Rate Library'!$A$5:$A$200,0)),0)</f>
        <v/>
      </c>
      <c r="X98" s="1443" t="n"/>
      <c r="Y98" s="1442">
        <f>IF(X98&gt;0,X98,W98)</f>
        <v/>
      </c>
      <c r="Z98" s="1442">
        <f>IF(B98="","",IF(N98="Time x Count",M98*R98*IF(U98="",1,U98)*Y98,IF(N98="QS Qty x Factor",E98*R98*(1+IF(V98="",0,V98))*Y98,IF(N98="Direct Qty",S98*(1+IF(V98="",0,V98))*Y98,IF(N98="Lump Sum / Quote",S98*Y98,0)))))</f>
        <v/>
      </c>
      <c r="AA98" s="81">
        <f>IFERROR(INDEX('Resource Rate Library'!$N$5:$N$200,MATCH(P98,'Resource Rate Library'!$A$5:$A$200,0)),"")</f>
        <v/>
      </c>
      <c r="AB98" s="53" t="n"/>
      <c r="AC98" s="59" t="n"/>
      <c r="AD98" s="81">
        <f>IFERROR(INDEX('Resource Rate Library'!$G$5:$G$200,MATCH(P98,'Resource Rate Library'!$A$5:$A$200,0)),"")</f>
        <v/>
      </c>
      <c r="AE98" s="81">
        <f>IFERROR(INDEX('Resource Rate Library'!$H$5:$H$200,MATCH(P98,'Resource Rate Library'!$A$5:$A$200,0)),"")</f>
        <v/>
      </c>
      <c r="AF98" s="53" t="n"/>
      <c r="AG98" s="53" t="n"/>
      <c r="AH98" s="53" t="n"/>
      <c r="AI98" s="81">
        <f>IF(B98="","",IF(AND(P98="",N98&lt;&gt;"Lump Sum / Quote"),"RESOURCE CODE",IF(Y98=0,"RATE MISSING",IF(AND(O98="Plant",AD98="Yes",COUNTIFS($B$7:$B$306,B98,$O$7:$O$306,"Labour",$Q$7:$Q$306,"*Operator*")&gt;0),"OPERATOR DOUBLE-COUNT",IF(AND(O98="Plant",AE98="Yes",COUNTIFS($B$7:$B$306,B98,$Q$7:$Q$306,"*Fuel*")&gt;0),"FUEL DOUBLE-COUNT",IF(AH98&lt;&gt;"Yes","VERIFY","OK"))))))</f>
        <v/>
      </c>
      <c r="AJ98" s="54" t="n"/>
      <c r="AK98" s="473" t="n"/>
      <c r="AL98" s="473" t="n"/>
      <c r="AM98" s="473" t="n"/>
      <c r="AN98" s="1444">
        <f>IF(AND(AK98="Yes",OR(O98="Labour",O98="Plant")),Z98,0)</f>
        <v/>
      </c>
    </row>
    <row r="99" ht="22.04999923706055" customHeight="1" s="491">
      <c r="A99" s="80">
        <f>IF(B99="","",B99&amp;"-"&amp;TEXT(COUNTIF($B$7:B99,B99),"000"))</f>
        <v/>
      </c>
      <c r="B99" s="53" t="n"/>
      <c r="C99" s="81">
        <f>IFERROR(INDEX('QS Takeoff'!$A$3:$A$202,MATCH(B99,'QS Takeoff'!$B$3:$B$202,0)),"")</f>
        <v/>
      </c>
      <c r="D99" s="81">
        <f>IFERROR(INDEX('QS Takeoff'!$C$3:$C$202,MATCH(B99,'QS Takeoff'!$B$3:$B$202,0)),"")</f>
        <v/>
      </c>
      <c r="E99" s="81">
        <f>IFERROR(INDEX('QS Takeoff'!$E$3:$E$202,MATCH(B99,'QS Takeoff'!$B$3:$B$202,0)),"")</f>
        <v/>
      </c>
      <c r="F99" s="81">
        <f>IFERROR(INDEX('QS Takeoff'!$D$3:$D$202,MATCH(B99,'QS Takeoff'!$B$3:$B$202,0)),"")</f>
        <v/>
      </c>
      <c r="G99" s="81">
        <f>IFERROR(INDEX('QS Takeoff'!$J$3:$J$202,MATCH(B99,'QS Takeoff'!$B$3:$B$202,0)),"")</f>
        <v/>
      </c>
      <c r="H99" s="53" t="n"/>
      <c r="I99" s="60" t="n"/>
      <c r="J99" s="60" t="n"/>
      <c r="K99" s="82">
        <f>IF(OR(B99="",I99="",I99=0),"",E99/I99)</f>
        <v/>
      </c>
      <c r="L99" s="60" t="n"/>
      <c r="M99" s="82">
        <f>IF(L99&gt;0,L99,K99)</f>
        <v/>
      </c>
      <c r="N99" s="53" t="n"/>
      <c r="O99" s="53" t="n"/>
      <c r="P99" s="53" t="n"/>
      <c r="Q99" s="81">
        <f>IFERROR(INDEX('Resource Rate Library'!$C$5:$C$200,MATCH(P99,'Resource Rate Library'!$A$5:$A$200,0)),"")</f>
        <v/>
      </c>
      <c r="R99" s="53" t="n"/>
      <c r="S99" s="53" t="n"/>
      <c r="T99" s="81">
        <f>IFERROR(INDEX('Resource Rate Library'!$E$5:$E$200,MATCH(P99,'Resource Rate Library'!$A$5:$A$200,0)),"")</f>
        <v/>
      </c>
      <c r="U99" s="1441" t="n"/>
      <c r="V99" s="1441" t="n"/>
      <c r="W99" s="1442">
        <f>IFERROR(INDEX('Resource Rate Library'!$I$5:$I$200,MATCH(P99,'Resource Rate Library'!$A$5:$A$200,0)),0)</f>
        <v/>
      </c>
      <c r="X99" s="1443" t="n"/>
      <c r="Y99" s="1442">
        <f>IF(X99&gt;0,X99,W99)</f>
        <v/>
      </c>
      <c r="Z99" s="1442">
        <f>IF(B99="","",IF(N99="Time x Count",M99*R99*IF(U99="",1,U99)*Y99,IF(N99="QS Qty x Factor",E99*R99*(1+IF(V99="",0,V99))*Y99,IF(N99="Direct Qty",S99*(1+IF(V99="",0,V99))*Y99,IF(N99="Lump Sum / Quote",S99*Y99,0)))))</f>
        <v/>
      </c>
      <c r="AA99" s="81">
        <f>IFERROR(INDEX('Resource Rate Library'!$N$5:$N$200,MATCH(P99,'Resource Rate Library'!$A$5:$A$200,0)),"")</f>
        <v/>
      </c>
      <c r="AB99" s="53" t="n"/>
      <c r="AC99" s="59" t="n"/>
      <c r="AD99" s="81">
        <f>IFERROR(INDEX('Resource Rate Library'!$G$5:$G$200,MATCH(P99,'Resource Rate Library'!$A$5:$A$200,0)),"")</f>
        <v/>
      </c>
      <c r="AE99" s="81">
        <f>IFERROR(INDEX('Resource Rate Library'!$H$5:$H$200,MATCH(P99,'Resource Rate Library'!$A$5:$A$200,0)),"")</f>
        <v/>
      </c>
      <c r="AF99" s="53" t="n"/>
      <c r="AG99" s="53" t="n"/>
      <c r="AH99" s="53" t="n"/>
      <c r="AI99" s="81">
        <f>IF(B99="","",IF(AND(P99="",N99&lt;&gt;"Lump Sum / Quote"),"RESOURCE CODE",IF(Y99=0,"RATE MISSING",IF(AND(O99="Plant",AD99="Yes",COUNTIFS($B$7:$B$306,B99,$O$7:$O$306,"Labour",$Q$7:$Q$306,"*Operator*")&gt;0),"OPERATOR DOUBLE-COUNT",IF(AND(O99="Plant",AE99="Yes",COUNTIFS($B$7:$B$306,B99,$Q$7:$Q$306,"*Fuel*")&gt;0),"FUEL DOUBLE-COUNT",IF(AH99&lt;&gt;"Yes","VERIFY","OK"))))))</f>
        <v/>
      </c>
      <c r="AJ99" s="54" t="n"/>
      <c r="AK99" s="473" t="n"/>
      <c r="AL99" s="473" t="n"/>
      <c r="AM99" s="473" t="n"/>
      <c r="AN99" s="1444">
        <f>IF(AND(AK99="Yes",OR(O99="Labour",O99="Plant")),Z99,0)</f>
        <v/>
      </c>
    </row>
    <row r="100" ht="22.04999923706055" customHeight="1" s="491">
      <c r="A100" s="80">
        <f>IF(B100="","",B100&amp;"-"&amp;TEXT(COUNTIF($B$7:B100,B100),"000"))</f>
        <v/>
      </c>
      <c r="B100" s="53" t="n"/>
      <c r="C100" s="81">
        <f>IFERROR(INDEX('QS Takeoff'!$A$3:$A$202,MATCH(B100,'QS Takeoff'!$B$3:$B$202,0)),"")</f>
        <v/>
      </c>
      <c r="D100" s="81">
        <f>IFERROR(INDEX('QS Takeoff'!$C$3:$C$202,MATCH(B100,'QS Takeoff'!$B$3:$B$202,0)),"")</f>
        <v/>
      </c>
      <c r="E100" s="81">
        <f>IFERROR(INDEX('QS Takeoff'!$E$3:$E$202,MATCH(B100,'QS Takeoff'!$B$3:$B$202,0)),"")</f>
        <v/>
      </c>
      <c r="F100" s="81">
        <f>IFERROR(INDEX('QS Takeoff'!$D$3:$D$202,MATCH(B100,'QS Takeoff'!$B$3:$B$202,0)),"")</f>
        <v/>
      </c>
      <c r="G100" s="81">
        <f>IFERROR(INDEX('QS Takeoff'!$J$3:$J$202,MATCH(B100,'QS Takeoff'!$B$3:$B$202,0)),"")</f>
        <v/>
      </c>
      <c r="H100" s="53" t="n"/>
      <c r="I100" s="60" t="n"/>
      <c r="J100" s="60" t="n"/>
      <c r="K100" s="82">
        <f>IF(OR(B100="",I100="",I100=0),"",E100/I100)</f>
        <v/>
      </c>
      <c r="L100" s="60" t="n"/>
      <c r="M100" s="82">
        <f>IF(L100&gt;0,L100,K100)</f>
        <v/>
      </c>
      <c r="N100" s="53" t="n"/>
      <c r="O100" s="53" t="n"/>
      <c r="P100" s="53" t="n"/>
      <c r="Q100" s="81">
        <f>IFERROR(INDEX('Resource Rate Library'!$C$5:$C$200,MATCH(P100,'Resource Rate Library'!$A$5:$A$200,0)),"")</f>
        <v/>
      </c>
      <c r="R100" s="53" t="n"/>
      <c r="S100" s="53" t="n"/>
      <c r="T100" s="81">
        <f>IFERROR(INDEX('Resource Rate Library'!$E$5:$E$200,MATCH(P100,'Resource Rate Library'!$A$5:$A$200,0)),"")</f>
        <v/>
      </c>
      <c r="U100" s="1441" t="n"/>
      <c r="V100" s="1441" t="n"/>
      <c r="W100" s="1442">
        <f>IFERROR(INDEX('Resource Rate Library'!$I$5:$I$200,MATCH(P100,'Resource Rate Library'!$A$5:$A$200,0)),0)</f>
        <v/>
      </c>
      <c r="X100" s="1443" t="n"/>
      <c r="Y100" s="1442">
        <f>IF(X100&gt;0,X100,W100)</f>
        <v/>
      </c>
      <c r="Z100" s="1442">
        <f>IF(B100="","",IF(N100="Time x Count",M100*R100*IF(U100="",1,U100)*Y100,IF(N100="QS Qty x Factor",E100*R100*(1+IF(V100="",0,V100))*Y100,IF(N100="Direct Qty",S100*(1+IF(V100="",0,V100))*Y100,IF(N100="Lump Sum / Quote",S100*Y100,0)))))</f>
        <v/>
      </c>
      <c r="AA100" s="81">
        <f>IFERROR(INDEX('Resource Rate Library'!$N$5:$N$200,MATCH(P100,'Resource Rate Library'!$A$5:$A$200,0)),"")</f>
        <v/>
      </c>
      <c r="AB100" s="53" t="n"/>
      <c r="AC100" s="59" t="n"/>
      <c r="AD100" s="81">
        <f>IFERROR(INDEX('Resource Rate Library'!$G$5:$G$200,MATCH(P100,'Resource Rate Library'!$A$5:$A$200,0)),"")</f>
        <v/>
      </c>
      <c r="AE100" s="81">
        <f>IFERROR(INDEX('Resource Rate Library'!$H$5:$H$200,MATCH(P100,'Resource Rate Library'!$A$5:$A$200,0)),"")</f>
        <v/>
      </c>
      <c r="AF100" s="53" t="n"/>
      <c r="AG100" s="53" t="n"/>
      <c r="AH100" s="53" t="n"/>
      <c r="AI100" s="81">
        <f>IF(B100="","",IF(AND(P100="",N100&lt;&gt;"Lump Sum / Quote"),"RESOURCE CODE",IF(Y100=0,"RATE MISSING",IF(AND(O100="Plant",AD100="Yes",COUNTIFS($B$7:$B$306,B100,$O$7:$O$306,"Labour",$Q$7:$Q$306,"*Operator*")&gt;0),"OPERATOR DOUBLE-COUNT",IF(AND(O100="Plant",AE100="Yes",COUNTIFS($B$7:$B$306,B100,$Q$7:$Q$306,"*Fuel*")&gt;0),"FUEL DOUBLE-COUNT",IF(AH100&lt;&gt;"Yes","VERIFY","OK"))))))</f>
        <v/>
      </c>
      <c r="AJ100" s="54" t="n"/>
      <c r="AK100" s="473" t="n"/>
      <c r="AL100" s="473" t="n"/>
      <c r="AM100" s="473" t="n"/>
      <c r="AN100" s="1444">
        <f>IF(AND(AK100="Yes",OR(O100="Labour",O100="Plant")),Z100,0)</f>
        <v/>
      </c>
    </row>
    <row r="101" ht="22.04999923706055" customHeight="1" s="491">
      <c r="A101" s="80">
        <f>IF(B101="","",B101&amp;"-"&amp;TEXT(COUNTIF($B$7:B101,B101),"000"))</f>
        <v/>
      </c>
      <c r="B101" s="53" t="n"/>
      <c r="C101" s="81">
        <f>IFERROR(INDEX('QS Takeoff'!$A$3:$A$202,MATCH(B101,'QS Takeoff'!$B$3:$B$202,0)),"")</f>
        <v/>
      </c>
      <c r="D101" s="81">
        <f>IFERROR(INDEX('QS Takeoff'!$C$3:$C$202,MATCH(B101,'QS Takeoff'!$B$3:$B$202,0)),"")</f>
        <v/>
      </c>
      <c r="E101" s="81">
        <f>IFERROR(INDEX('QS Takeoff'!$E$3:$E$202,MATCH(B101,'QS Takeoff'!$B$3:$B$202,0)),"")</f>
        <v/>
      </c>
      <c r="F101" s="81">
        <f>IFERROR(INDEX('QS Takeoff'!$D$3:$D$202,MATCH(B101,'QS Takeoff'!$B$3:$B$202,0)),"")</f>
        <v/>
      </c>
      <c r="G101" s="81">
        <f>IFERROR(INDEX('QS Takeoff'!$J$3:$J$202,MATCH(B101,'QS Takeoff'!$B$3:$B$202,0)),"")</f>
        <v/>
      </c>
      <c r="H101" s="53" t="n"/>
      <c r="I101" s="60" t="n"/>
      <c r="J101" s="60" t="n"/>
      <c r="K101" s="82">
        <f>IF(OR(B101="",I101="",I101=0),"",E101/I101)</f>
        <v/>
      </c>
      <c r="L101" s="60" t="n"/>
      <c r="M101" s="82">
        <f>IF(L101&gt;0,L101,K101)</f>
        <v/>
      </c>
      <c r="N101" s="53" t="n"/>
      <c r="O101" s="53" t="n"/>
      <c r="P101" s="53" t="n"/>
      <c r="Q101" s="81">
        <f>IFERROR(INDEX('Resource Rate Library'!$C$5:$C$200,MATCH(P101,'Resource Rate Library'!$A$5:$A$200,0)),"")</f>
        <v/>
      </c>
      <c r="R101" s="53" t="n"/>
      <c r="S101" s="53" t="n"/>
      <c r="T101" s="81">
        <f>IFERROR(INDEX('Resource Rate Library'!$E$5:$E$200,MATCH(P101,'Resource Rate Library'!$A$5:$A$200,0)),"")</f>
        <v/>
      </c>
      <c r="U101" s="1441" t="n"/>
      <c r="V101" s="1441" t="n"/>
      <c r="W101" s="1442">
        <f>IFERROR(INDEX('Resource Rate Library'!$I$5:$I$200,MATCH(P101,'Resource Rate Library'!$A$5:$A$200,0)),0)</f>
        <v/>
      </c>
      <c r="X101" s="1443" t="n"/>
      <c r="Y101" s="1442">
        <f>IF(X101&gt;0,X101,W101)</f>
        <v/>
      </c>
      <c r="Z101" s="1442">
        <f>IF(B101="","",IF(N101="Time x Count",M101*R101*IF(U101="",1,U101)*Y101,IF(N101="QS Qty x Factor",E101*R101*(1+IF(V101="",0,V101))*Y101,IF(N101="Direct Qty",S101*(1+IF(V101="",0,V101))*Y101,IF(N101="Lump Sum / Quote",S101*Y101,0)))))</f>
        <v/>
      </c>
      <c r="AA101" s="81">
        <f>IFERROR(INDEX('Resource Rate Library'!$N$5:$N$200,MATCH(P101,'Resource Rate Library'!$A$5:$A$200,0)),"")</f>
        <v/>
      </c>
      <c r="AB101" s="53" t="n"/>
      <c r="AC101" s="59" t="n"/>
      <c r="AD101" s="81">
        <f>IFERROR(INDEX('Resource Rate Library'!$G$5:$G$200,MATCH(P101,'Resource Rate Library'!$A$5:$A$200,0)),"")</f>
        <v/>
      </c>
      <c r="AE101" s="81">
        <f>IFERROR(INDEX('Resource Rate Library'!$H$5:$H$200,MATCH(P101,'Resource Rate Library'!$A$5:$A$200,0)),"")</f>
        <v/>
      </c>
      <c r="AF101" s="53" t="n"/>
      <c r="AG101" s="53" t="n"/>
      <c r="AH101" s="53" t="n"/>
      <c r="AI101" s="81">
        <f>IF(B101="","",IF(AND(P101="",N101&lt;&gt;"Lump Sum / Quote"),"RESOURCE CODE",IF(Y101=0,"RATE MISSING",IF(AND(O101="Plant",AD101="Yes",COUNTIFS($B$7:$B$306,B101,$O$7:$O$306,"Labour",$Q$7:$Q$306,"*Operator*")&gt;0),"OPERATOR DOUBLE-COUNT",IF(AND(O101="Plant",AE101="Yes",COUNTIFS($B$7:$B$306,B101,$Q$7:$Q$306,"*Fuel*")&gt;0),"FUEL DOUBLE-COUNT",IF(AH101&lt;&gt;"Yes","VERIFY","OK"))))))</f>
        <v/>
      </c>
      <c r="AJ101" s="54" t="n"/>
      <c r="AK101" s="473" t="n"/>
      <c r="AL101" s="473" t="n"/>
      <c r="AM101" s="473" t="n"/>
      <c r="AN101" s="1444">
        <f>IF(AND(AK101="Yes",OR(O101="Labour",O101="Plant")),Z101,0)</f>
        <v/>
      </c>
    </row>
    <row r="102" ht="22.04999923706055" customHeight="1" s="491">
      <c r="A102" s="80">
        <f>IF(B102="","",B102&amp;"-"&amp;TEXT(COUNTIF($B$7:B102,B102),"000"))</f>
        <v/>
      </c>
      <c r="B102" s="53" t="n"/>
      <c r="C102" s="81">
        <f>IFERROR(INDEX('QS Takeoff'!$A$3:$A$202,MATCH(B102,'QS Takeoff'!$B$3:$B$202,0)),"")</f>
        <v/>
      </c>
      <c r="D102" s="81">
        <f>IFERROR(INDEX('QS Takeoff'!$C$3:$C$202,MATCH(B102,'QS Takeoff'!$B$3:$B$202,0)),"")</f>
        <v/>
      </c>
      <c r="E102" s="81">
        <f>IFERROR(INDEX('QS Takeoff'!$E$3:$E$202,MATCH(B102,'QS Takeoff'!$B$3:$B$202,0)),"")</f>
        <v/>
      </c>
      <c r="F102" s="81">
        <f>IFERROR(INDEX('QS Takeoff'!$D$3:$D$202,MATCH(B102,'QS Takeoff'!$B$3:$B$202,0)),"")</f>
        <v/>
      </c>
      <c r="G102" s="81">
        <f>IFERROR(INDEX('QS Takeoff'!$J$3:$J$202,MATCH(B102,'QS Takeoff'!$B$3:$B$202,0)),"")</f>
        <v/>
      </c>
      <c r="H102" s="53" t="n"/>
      <c r="I102" s="60" t="n"/>
      <c r="J102" s="60" t="n"/>
      <c r="K102" s="82">
        <f>IF(OR(B102="",I102="",I102=0),"",E102/I102)</f>
        <v/>
      </c>
      <c r="L102" s="60" t="n"/>
      <c r="M102" s="82">
        <f>IF(L102&gt;0,L102,K102)</f>
        <v/>
      </c>
      <c r="N102" s="53" t="n"/>
      <c r="O102" s="53" t="n"/>
      <c r="P102" s="53" t="n"/>
      <c r="Q102" s="81">
        <f>IFERROR(INDEX('Resource Rate Library'!$C$5:$C$200,MATCH(P102,'Resource Rate Library'!$A$5:$A$200,0)),"")</f>
        <v/>
      </c>
      <c r="R102" s="53" t="n"/>
      <c r="S102" s="53" t="n"/>
      <c r="T102" s="81">
        <f>IFERROR(INDEX('Resource Rate Library'!$E$5:$E$200,MATCH(P102,'Resource Rate Library'!$A$5:$A$200,0)),"")</f>
        <v/>
      </c>
      <c r="U102" s="1441" t="n"/>
      <c r="V102" s="1441" t="n"/>
      <c r="W102" s="1442">
        <f>IFERROR(INDEX('Resource Rate Library'!$I$5:$I$200,MATCH(P102,'Resource Rate Library'!$A$5:$A$200,0)),0)</f>
        <v/>
      </c>
      <c r="X102" s="1443" t="n"/>
      <c r="Y102" s="1442">
        <f>IF(X102&gt;0,X102,W102)</f>
        <v/>
      </c>
      <c r="Z102" s="1442">
        <f>IF(B102="","",IF(N102="Time x Count",M102*R102*IF(U102="",1,U102)*Y102,IF(N102="QS Qty x Factor",E102*R102*(1+IF(V102="",0,V102))*Y102,IF(N102="Direct Qty",S102*(1+IF(V102="",0,V102))*Y102,IF(N102="Lump Sum / Quote",S102*Y102,0)))))</f>
        <v/>
      </c>
      <c r="AA102" s="81">
        <f>IFERROR(INDEX('Resource Rate Library'!$N$5:$N$200,MATCH(P102,'Resource Rate Library'!$A$5:$A$200,0)),"")</f>
        <v/>
      </c>
      <c r="AB102" s="53" t="n"/>
      <c r="AC102" s="59" t="n"/>
      <c r="AD102" s="81">
        <f>IFERROR(INDEX('Resource Rate Library'!$G$5:$G$200,MATCH(P102,'Resource Rate Library'!$A$5:$A$200,0)),"")</f>
        <v/>
      </c>
      <c r="AE102" s="81">
        <f>IFERROR(INDEX('Resource Rate Library'!$H$5:$H$200,MATCH(P102,'Resource Rate Library'!$A$5:$A$200,0)),"")</f>
        <v/>
      </c>
      <c r="AF102" s="53" t="n"/>
      <c r="AG102" s="53" t="n"/>
      <c r="AH102" s="53" t="n"/>
      <c r="AI102" s="81">
        <f>IF(B102="","",IF(AND(P102="",N102&lt;&gt;"Lump Sum / Quote"),"RESOURCE CODE",IF(Y102=0,"RATE MISSING",IF(AND(O102="Plant",AD102="Yes",COUNTIFS($B$7:$B$306,B102,$O$7:$O$306,"Labour",$Q$7:$Q$306,"*Operator*")&gt;0),"OPERATOR DOUBLE-COUNT",IF(AND(O102="Plant",AE102="Yes",COUNTIFS($B$7:$B$306,B102,$Q$7:$Q$306,"*Fuel*")&gt;0),"FUEL DOUBLE-COUNT",IF(AH102&lt;&gt;"Yes","VERIFY","OK"))))))</f>
        <v/>
      </c>
      <c r="AJ102" s="54" t="n"/>
      <c r="AK102" s="473" t="n"/>
      <c r="AL102" s="473" t="n"/>
      <c r="AM102" s="473" t="n"/>
      <c r="AN102" s="1444">
        <f>IF(AND(AK102="Yes",OR(O102="Labour",O102="Plant")),Z102,0)</f>
        <v/>
      </c>
    </row>
    <row r="103" ht="22.04999923706055" customHeight="1" s="491">
      <c r="A103" s="80">
        <f>IF(B103="","",B103&amp;"-"&amp;TEXT(COUNTIF($B$7:B103,B103),"000"))</f>
        <v/>
      </c>
      <c r="B103" s="53" t="n"/>
      <c r="C103" s="81">
        <f>IFERROR(INDEX('QS Takeoff'!$A$3:$A$202,MATCH(B103,'QS Takeoff'!$B$3:$B$202,0)),"")</f>
        <v/>
      </c>
      <c r="D103" s="81">
        <f>IFERROR(INDEX('QS Takeoff'!$C$3:$C$202,MATCH(B103,'QS Takeoff'!$B$3:$B$202,0)),"")</f>
        <v/>
      </c>
      <c r="E103" s="81">
        <f>IFERROR(INDEX('QS Takeoff'!$E$3:$E$202,MATCH(B103,'QS Takeoff'!$B$3:$B$202,0)),"")</f>
        <v/>
      </c>
      <c r="F103" s="81">
        <f>IFERROR(INDEX('QS Takeoff'!$D$3:$D$202,MATCH(B103,'QS Takeoff'!$B$3:$B$202,0)),"")</f>
        <v/>
      </c>
      <c r="G103" s="81">
        <f>IFERROR(INDEX('QS Takeoff'!$J$3:$J$202,MATCH(B103,'QS Takeoff'!$B$3:$B$202,0)),"")</f>
        <v/>
      </c>
      <c r="H103" s="53" t="n"/>
      <c r="I103" s="60" t="n"/>
      <c r="J103" s="60" t="n"/>
      <c r="K103" s="82">
        <f>IF(OR(B103="",I103="",I103=0),"",E103/I103)</f>
        <v/>
      </c>
      <c r="L103" s="60" t="n"/>
      <c r="M103" s="82">
        <f>IF(L103&gt;0,L103,K103)</f>
        <v/>
      </c>
      <c r="N103" s="53" t="n"/>
      <c r="O103" s="53" t="n"/>
      <c r="P103" s="53" t="n"/>
      <c r="Q103" s="81">
        <f>IFERROR(INDEX('Resource Rate Library'!$C$5:$C$200,MATCH(P103,'Resource Rate Library'!$A$5:$A$200,0)),"")</f>
        <v/>
      </c>
      <c r="R103" s="53" t="n"/>
      <c r="S103" s="53" t="n"/>
      <c r="T103" s="81">
        <f>IFERROR(INDEX('Resource Rate Library'!$E$5:$E$200,MATCH(P103,'Resource Rate Library'!$A$5:$A$200,0)),"")</f>
        <v/>
      </c>
      <c r="U103" s="1441" t="n"/>
      <c r="V103" s="1441" t="n"/>
      <c r="W103" s="1442">
        <f>IFERROR(INDEX('Resource Rate Library'!$I$5:$I$200,MATCH(P103,'Resource Rate Library'!$A$5:$A$200,0)),0)</f>
        <v/>
      </c>
      <c r="X103" s="1443" t="n"/>
      <c r="Y103" s="1442">
        <f>IF(X103&gt;0,X103,W103)</f>
        <v/>
      </c>
      <c r="Z103" s="1442">
        <f>IF(B103="","",IF(N103="Time x Count",M103*R103*IF(U103="",1,U103)*Y103,IF(N103="QS Qty x Factor",E103*R103*(1+IF(V103="",0,V103))*Y103,IF(N103="Direct Qty",S103*(1+IF(V103="",0,V103))*Y103,IF(N103="Lump Sum / Quote",S103*Y103,0)))))</f>
        <v/>
      </c>
      <c r="AA103" s="81">
        <f>IFERROR(INDEX('Resource Rate Library'!$N$5:$N$200,MATCH(P103,'Resource Rate Library'!$A$5:$A$200,0)),"")</f>
        <v/>
      </c>
      <c r="AB103" s="53" t="n"/>
      <c r="AC103" s="59" t="n"/>
      <c r="AD103" s="81">
        <f>IFERROR(INDEX('Resource Rate Library'!$G$5:$G$200,MATCH(P103,'Resource Rate Library'!$A$5:$A$200,0)),"")</f>
        <v/>
      </c>
      <c r="AE103" s="81">
        <f>IFERROR(INDEX('Resource Rate Library'!$H$5:$H$200,MATCH(P103,'Resource Rate Library'!$A$5:$A$200,0)),"")</f>
        <v/>
      </c>
      <c r="AF103" s="53" t="n"/>
      <c r="AG103" s="53" t="n"/>
      <c r="AH103" s="53" t="n"/>
      <c r="AI103" s="81">
        <f>IF(B103="","",IF(AND(P103="",N103&lt;&gt;"Lump Sum / Quote"),"RESOURCE CODE",IF(Y103=0,"RATE MISSING",IF(AND(O103="Plant",AD103="Yes",COUNTIFS($B$7:$B$306,B103,$O$7:$O$306,"Labour",$Q$7:$Q$306,"*Operator*")&gt;0),"OPERATOR DOUBLE-COUNT",IF(AND(O103="Plant",AE103="Yes",COUNTIFS($B$7:$B$306,B103,$Q$7:$Q$306,"*Fuel*")&gt;0),"FUEL DOUBLE-COUNT",IF(AH103&lt;&gt;"Yes","VERIFY","OK"))))))</f>
        <v/>
      </c>
      <c r="AJ103" s="54" t="n"/>
      <c r="AK103" s="473" t="n"/>
      <c r="AL103" s="473" t="n"/>
      <c r="AM103" s="473" t="n"/>
      <c r="AN103" s="1444">
        <f>IF(AND(AK103="Yes",OR(O103="Labour",O103="Plant")),Z103,0)</f>
        <v/>
      </c>
    </row>
    <row r="104" ht="22.04999923706055" customHeight="1" s="491">
      <c r="A104" s="80">
        <f>IF(B104="","",B104&amp;"-"&amp;TEXT(COUNTIF($B$7:B104,B104),"000"))</f>
        <v/>
      </c>
      <c r="B104" s="53" t="n"/>
      <c r="C104" s="81">
        <f>IFERROR(INDEX('QS Takeoff'!$A$3:$A$202,MATCH(B104,'QS Takeoff'!$B$3:$B$202,0)),"")</f>
        <v/>
      </c>
      <c r="D104" s="81">
        <f>IFERROR(INDEX('QS Takeoff'!$C$3:$C$202,MATCH(B104,'QS Takeoff'!$B$3:$B$202,0)),"")</f>
        <v/>
      </c>
      <c r="E104" s="81">
        <f>IFERROR(INDEX('QS Takeoff'!$E$3:$E$202,MATCH(B104,'QS Takeoff'!$B$3:$B$202,0)),"")</f>
        <v/>
      </c>
      <c r="F104" s="81">
        <f>IFERROR(INDEX('QS Takeoff'!$D$3:$D$202,MATCH(B104,'QS Takeoff'!$B$3:$B$202,0)),"")</f>
        <v/>
      </c>
      <c r="G104" s="81">
        <f>IFERROR(INDEX('QS Takeoff'!$J$3:$J$202,MATCH(B104,'QS Takeoff'!$B$3:$B$202,0)),"")</f>
        <v/>
      </c>
      <c r="H104" s="53" t="n"/>
      <c r="I104" s="60" t="n"/>
      <c r="J104" s="60" t="n"/>
      <c r="K104" s="82">
        <f>IF(OR(B104="",I104="",I104=0),"",E104/I104)</f>
        <v/>
      </c>
      <c r="L104" s="60" t="n"/>
      <c r="M104" s="82">
        <f>IF(L104&gt;0,L104,K104)</f>
        <v/>
      </c>
      <c r="N104" s="53" t="n"/>
      <c r="O104" s="53" t="n"/>
      <c r="P104" s="53" t="n"/>
      <c r="Q104" s="81">
        <f>IFERROR(INDEX('Resource Rate Library'!$C$5:$C$200,MATCH(P104,'Resource Rate Library'!$A$5:$A$200,0)),"")</f>
        <v/>
      </c>
      <c r="R104" s="53" t="n"/>
      <c r="S104" s="53" t="n"/>
      <c r="T104" s="81">
        <f>IFERROR(INDEX('Resource Rate Library'!$E$5:$E$200,MATCH(P104,'Resource Rate Library'!$A$5:$A$200,0)),"")</f>
        <v/>
      </c>
      <c r="U104" s="1441" t="n"/>
      <c r="V104" s="1441" t="n"/>
      <c r="W104" s="1442">
        <f>IFERROR(INDEX('Resource Rate Library'!$I$5:$I$200,MATCH(P104,'Resource Rate Library'!$A$5:$A$200,0)),0)</f>
        <v/>
      </c>
      <c r="X104" s="1443" t="n"/>
      <c r="Y104" s="1442">
        <f>IF(X104&gt;0,X104,W104)</f>
        <v/>
      </c>
      <c r="Z104" s="1442">
        <f>IF(B104="","",IF(N104="Time x Count",M104*R104*IF(U104="",1,U104)*Y104,IF(N104="QS Qty x Factor",E104*R104*(1+IF(V104="",0,V104))*Y104,IF(N104="Direct Qty",S104*(1+IF(V104="",0,V104))*Y104,IF(N104="Lump Sum / Quote",S104*Y104,0)))))</f>
        <v/>
      </c>
      <c r="AA104" s="81">
        <f>IFERROR(INDEX('Resource Rate Library'!$N$5:$N$200,MATCH(P104,'Resource Rate Library'!$A$5:$A$200,0)),"")</f>
        <v/>
      </c>
      <c r="AB104" s="53" t="n"/>
      <c r="AC104" s="59" t="n"/>
      <c r="AD104" s="81">
        <f>IFERROR(INDEX('Resource Rate Library'!$G$5:$G$200,MATCH(P104,'Resource Rate Library'!$A$5:$A$200,0)),"")</f>
        <v/>
      </c>
      <c r="AE104" s="81">
        <f>IFERROR(INDEX('Resource Rate Library'!$H$5:$H$200,MATCH(P104,'Resource Rate Library'!$A$5:$A$200,0)),"")</f>
        <v/>
      </c>
      <c r="AF104" s="53" t="n"/>
      <c r="AG104" s="53" t="n"/>
      <c r="AH104" s="53" t="n"/>
      <c r="AI104" s="81">
        <f>IF(B104="","",IF(AND(P104="",N104&lt;&gt;"Lump Sum / Quote"),"RESOURCE CODE",IF(Y104=0,"RATE MISSING",IF(AND(O104="Plant",AD104="Yes",COUNTIFS($B$7:$B$306,B104,$O$7:$O$306,"Labour",$Q$7:$Q$306,"*Operator*")&gt;0),"OPERATOR DOUBLE-COUNT",IF(AND(O104="Plant",AE104="Yes",COUNTIFS($B$7:$B$306,B104,$Q$7:$Q$306,"*Fuel*")&gt;0),"FUEL DOUBLE-COUNT",IF(AH104&lt;&gt;"Yes","VERIFY","OK"))))))</f>
        <v/>
      </c>
      <c r="AJ104" s="54" t="n"/>
      <c r="AK104" s="473" t="n"/>
      <c r="AL104" s="473" t="n"/>
      <c r="AM104" s="473" t="n"/>
      <c r="AN104" s="1444">
        <f>IF(AND(AK104="Yes",OR(O104="Labour",O104="Plant")),Z104,0)</f>
        <v/>
      </c>
    </row>
    <row r="105" ht="22.04999923706055" customHeight="1" s="491">
      <c r="A105" s="80">
        <f>IF(B105="","",B105&amp;"-"&amp;TEXT(COUNTIF($B$7:B105,B105),"000"))</f>
        <v/>
      </c>
      <c r="B105" s="53" t="n"/>
      <c r="C105" s="81">
        <f>IFERROR(INDEX('QS Takeoff'!$A$3:$A$202,MATCH(B105,'QS Takeoff'!$B$3:$B$202,0)),"")</f>
        <v/>
      </c>
      <c r="D105" s="81">
        <f>IFERROR(INDEX('QS Takeoff'!$C$3:$C$202,MATCH(B105,'QS Takeoff'!$B$3:$B$202,0)),"")</f>
        <v/>
      </c>
      <c r="E105" s="81">
        <f>IFERROR(INDEX('QS Takeoff'!$E$3:$E$202,MATCH(B105,'QS Takeoff'!$B$3:$B$202,0)),"")</f>
        <v/>
      </c>
      <c r="F105" s="81">
        <f>IFERROR(INDEX('QS Takeoff'!$D$3:$D$202,MATCH(B105,'QS Takeoff'!$B$3:$B$202,0)),"")</f>
        <v/>
      </c>
      <c r="G105" s="81">
        <f>IFERROR(INDEX('QS Takeoff'!$J$3:$J$202,MATCH(B105,'QS Takeoff'!$B$3:$B$202,0)),"")</f>
        <v/>
      </c>
      <c r="H105" s="53" t="n"/>
      <c r="I105" s="60" t="n"/>
      <c r="J105" s="60" t="n"/>
      <c r="K105" s="82">
        <f>IF(OR(B105="",I105="",I105=0),"",E105/I105)</f>
        <v/>
      </c>
      <c r="L105" s="60" t="n"/>
      <c r="M105" s="82">
        <f>IF(L105&gt;0,L105,K105)</f>
        <v/>
      </c>
      <c r="N105" s="53" t="n"/>
      <c r="O105" s="53" t="n"/>
      <c r="P105" s="53" t="n"/>
      <c r="Q105" s="81">
        <f>IFERROR(INDEX('Resource Rate Library'!$C$5:$C$200,MATCH(P105,'Resource Rate Library'!$A$5:$A$200,0)),"")</f>
        <v/>
      </c>
      <c r="R105" s="53" t="n"/>
      <c r="S105" s="53" t="n"/>
      <c r="T105" s="81">
        <f>IFERROR(INDEX('Resource Rate Library'!$E$5:$E$200,MATCH(P105,'Resource Rate Library'!$A$5:$A$200,0)),"")</f>
        <v/>
      </c>
      <c r="U105" s="1441" t="n"/>
      <c r="V105" s="1441" t="n"/>
      <c r="W105" s="1442">
        <f>IFERROR(INDEX('Resource Rate Library'!$I$5:$I$200,MATCH(P105,'Resource Rate Library'!$A$5:$A$200,0)),0)</f>
        <v/>
      </c>
      <c r="X105" s="1443" t="n"/>
      <c r="Y105" s="1442">
        <f>IF(X105&gt;0,X105,W105)</f>
        <v/>
      </c>
      <c r="Z105" s="1442">
        <f>IF(B105="","",IF(N105="Time x Count",M105*R105*IF(U105="",1,U105)*Y105,IF(N105="QS Qty x Factor",E105*R105*(1+IF(V105="",0,V105))*Y105,IF(N105="Direct Qty",S105*(1+IF(V105="",0,V105))*Y105,IF(N105="Lump Sum / Quote",S105*Y105,0)))))</f>
        <v/>
      </c>
      <c r="AA105" s="81">
        <f>IFERROR(INDEX('Resource Rate Library'!$N$5:$N$200,MATCH(P105,'Resource Rate Library'!$A$5:$A$200,0)),"")</f>
        <v/>
      </c>
      <c r="AB105" s="53" t="n"/>
      <c r="AC105" s="59" t="n"/>
      <c r="AD105" s="81">
        <f>IFERROR(INDEX('Resource Rate Library'!$G$5:$G$200,MATCH(P105,'Resource Rate Library'!$A$5:$A$200,0)),"")</f>
        <v/>
      </c>
      <c r="AE105" s="81">
        <f>IFERROR(INDEX('Resource Rate Library'!$H$5:$H$200,MATCH(P105,'Resource Rate Library'!$A$5:$A$200,0)),"")</f>
        <v/>
      </c>
      <c r="AF105" s="53" t="n"/>
      <c r="AG105" s="53" t="n"/>
      <c r="AH105" s="53" t="n"/>
      <c r="AI105" s="81">
        <f>IF(B105="","",IF(AND(P105="",N105&lt;&gt;"Lump Sum / Quote"),"RESOURCE CODE",IF(Y105=0,"RATE MISSING",IF(AND(O105="Plant",AD105="Yes",COUNTIFS($B$7:$B$306,B105,$O$7:$O$306,"Labour",$Q$7:$Q$306,"*Operator*")&gt;0),"OPERATOR DOUBLE-COUNT",IF(AND(O105="Plant",AE105="Yes",COUNTIFS($B$7:$B$306,B105,$Q$7:$Q$306,"*Fuel*")&gt;0),"FUEL DOUBLE-COUNT",IF(AH105&lt;&gt;"Yes","VERIFY","OK"))))))</f>
        <v/>
      </c>
      <c r="AJ105" s="54" t="n"/>
      <c r="AK105" s="473" t="n"/>
      <c r="AL105" s="473" t="n"/>
      <c r="AM105" s="473" t="n"/>
      <c r="AN105" s="1444">
        <f>IF(AND(AK105="Yes",OR(O105="Labour",O105="Plant")),Z105,0)</f>
        <v/>
      </c>
    </row>
    <row r="106" ht="22.04999923706055" customHeight="1" s="491">
      <c r="A106" s="80">
        <f>IF(B106="","",B106&amp;"-"&amp;TEXT(COUNTIF($B$7:B106,B106),"000"))</f>
        <v/>
      </c>
      <c r="B106" s="53" t="n"/>
      <c r="C106" s="81">
        <f>IFERROR(INDEX('QS Takeoff'!$A$3:$A$202,MATCH(B106,'QS Takeoff'!$B$3:$B$202,0)),"")</f>
        <v/>
      </c>
      <c r="D106" s="81">
        <f>IFERROR(INDEX('QS Takeoff'!$C$3:$C$202,MATCH(B106,'QS Takeoff'!$B$3:$B$202,0)),"")</f>
        <v/>
      </c>
      <c r="E106" s="81">
        <f>IFERROR(INDEX('QS Takeoff'!$E$3:$E$202,MATCH(B106,'QS Takeoff'!$B$3:$B$202,0)),"")</f>
        <v/>
      </c>
      <c r="F106" s="81">
        <f>IFERROR(INDEX('QS Takeoff'!$D$3:$D$202,MATCH(B106,'QS Takeoff'!$B$3:$B$202,0)),"")</f>
        <v/>
      </c>
      <c r="G106" s="81">
        <f>IFERROR(INDEX('QS Takeoff'!$J$3:$J$202,MATCH(B106,'QS Takeoff'!$B$3:$B$202,0)),"")</f>
        <v/>
      </c>
      <c r="H106" s="53" t="n"/>
      <c r="I106" s="60" t="n"/>
      <c r="J106" s="60" t="n"/>
      <c r="K106" s="82">
        <f>IF(OR(B106="",I106="",I106=0),"",E106/I106)</f>
        <v/>
      </c>
      <c r="L106" s="60" t="n"/>
      <c r="M106" s="82">
        <f>IF(L106&gt;0,L106,K106)</f>
        <v/>
      </c>
      <c r="N106" s="53" t="n"/>
      <c r="O106" s="53" t="n"/>
      <c r="P106" s="53" t="n"/>
      <c r="Q106" s="81">
        <f>IFERROR(INDEX('Resource Rate Library'!$C$5:$C$200,MATCH(P106,'Resource Rate Library'!$A$5:$A$200,0)),"")</f>
        <v/>
      </c>
      <c r="R106" s="53" t="n"/>
      <c r="S106" s="53" t="n"/>
      <c r="T106" s="81">
        <f>IFERROR(INDEX('Resource Rate Library'!$E$5:$E$200,MATCH(P106,'Resource Rate Library'!$A$5:$A$200,0)),"")</f>
        <v/>
      </c>
      <c r="U106" s="1441" t="n"/>
      <c r="V106" s="1441" t="n"/>
      <c r="W106" s="1442">
        <f>IFERROR(INDEX('Resource Rate Library'!$I$5:$I$200,MATCH(P106,'Resource Rate Library'!$A$5:$A$200,0)),0)</f>
        <v/>
      </c>
      <c r="X106" s="1443" t="n"/>
      <c r="Y106" s="1442">
        <f>IF(X106&gt;0,X106,W106)</f>
        <v/>
      </c>
      <c r="Z106" s="1442">
        <f>IF(B106="","",IF(N106="Time x Count",M106*R106*IF(U106="",1,U106)*Y106,IF(N106="QS Qty x Factor",E106*R106*(1+IF(V106="",0,V106))*Y106,IF(N106="Direct Qty",S106*(1+IF(V106="",0,V106))*Y106,IF(N106="Lump Sum / Quote",S106*Y106,0)))))</f>
        <v/>
      </c>
      <c r="AA106" s="81">
        <f>IFERROR(INDEX('Resource Rate Library'!$N$5:$N$200,MATCH(P106,'Resource Rate Library'!$A$5:$A$200,0)),"")</f>
        <v/>
      </c>
      <c r="AB106" s="53" t="n"/>
      <c r="AC106" s="59" t="n"/>
      <c r="AD106" s="81">
        <f>IFERROR(INDEX('Resource Rate Library'!$G$5:$G$200,MATCH(P106,'Resource Rate Library'!$A$5:$A$200,0)),"")</f>
        <v/>
      </c>
      <c r="AE106" s="81">
        <f>IFERROR(INDEX('Resource Rate Library'!$H$5:$H$200,MATCH(P106,'Resource Rate Library'!$A$5:$A$200,0)),"")</f>
        <v/>
      </c>
      <c r="AF106" s="53" t="n"/>
      <c r="AG106" s="53" t="n"/>
      <c r="AH106" s="53" t="n"/>
      <c r="AI106" s="81">
        <f>IF(B106="","",IF(AND(P106="",N106&lt;&gt;"Lump Sum / Quote"),"RESOURCE CODE",IF(Y106=0,"RATE MISSING",IF(AND(O106="Plant",AD106="Yes",COUNTIFS($B$7:$B$306,B106,$O$7:$O$306,"Labour",$Q$7:$Q$306,"*Operator*")&gt;0),"OPERATOR DOUBLE-COUNT",IF(AND(O106="Plant",AE106="Yes",COUNTIFS($B$7:$B$306,B106,$Q$7:$Q$306,"*Fuel*")&gt;0),"FUEL DOUBLE-COUNT",IF(AH106&lt;&gt;"Yes","VERIFY","OK"))))))</f>
        <v/>
      </c>
      <c r="AJ106" s="54" t="n"/>
      <c r="AK106" s="473" t="n"/>
      <c r="AL106" s="473" t="n"/>
      <c r="AM106" s="473" t="n"/>
      <c r="AN106" s="1444">
        <f>IF(AND(AK106="Yes",OR(O106="Labour",O106="Plant")),Z106,0)</f>
        <v/>
      </c>
    </row>
    <row r="107" ht="22.04999923706055" customHeight="1" s="491">
      <c r="A107" s="80">
        <f>IF(B107="","",B107&amp;"-"&amp;TEXT(COUNTIF($B$7:B107,B107),"000"))</f>
        <v/>
      </c>
      <c r="B107" s="53" t="n"/>
      <c r="C107" s="81">
        <f>IFERROR(INDEX('QS Takeoff'!$A$3:$A$202,MATCH(B107,'QS Takeoff'!$B$3:$B$202,0)),"")</f>
        <v/>
      </c>
      <c r="D107" s="81">
        <f>IFERROR(INDEX('QS Takeoff'!$C$3:$C$202,MATCH(B107,'QS Takeoff'!$B$3:$B$202,0)),"")</f>
        <v/>
      </c>
      <c r="E107" s="81">
        <f>IFERROR(INDEX('QS Takeoff'!$E$3:$E$202,MATCH(B107,'QS Takeoff'!$B$3:$B$202,0)),"")</f>
        <v/>
      </c>
      <c r="F107" s="81">
        <f>IFERROR(INDEX('QS Takeoff'!$D$3:$D$202,MATCH(B107,'QS Takeoff'!$B$3:$B$202,0)),"")</f>
        <v/>
      </c>
      <c r="G107" s="81">
        <f>IFERROR(INDEX('QS Takeoff'!$J$3:$J$202,MATCH(B107,'QS Takeoff'!$B$3:$B$202,0)),"")</f>
        <v/>
      </c>
      <c r="H107" s="53" t="n"/>
      <c r="I107" s="60" t="n"/>
      <c r="J107" s="60" t="n"/>
      <c r="K107" s="82">
        <f>IF(OR(B107="",I107="",I107=0),"",E107/I107)</f>
        <v/>
      </c>
      <c r="L107" s="60" t="n"/>
      <c r="M107" s="82">
        <f>IF(L107&gt;0,L107,K107)</f>
        <v/>
      </c>
      <c r="N107" s="53" t="n"/>
      <c r="O107" s="53" t="n"/>
      <c r="P107" s="53" t="n"/>
      <c r="Q107" s="81">
        <f>IFERROR(INDEX('Resource Rate Library'!$C$5:$C$200,MATCH(P107,'Resource Rate Library'!$A$5:$A$200,0)),"")</f>
        <v/>
      </c>
      <c r="R107" s="53" t="n"/>
      <c r="S107" s="53" t="n"/>
      <c r="T107" s="81">
        <f>IFERROR(INDEX('Resource Rate Library'!$E$5:$E$200,MATCH(P107,'Resource Rate Library'!$A$5:$A$200,0)),"")</f>
        <v/>
      </c>
      <c r="U107" s="1441" t="n"/>
      <c r="V107" s="1441" t="n"/>
      <c r="W107" s="1442">
        <f>IFERROR(INDEX('Resource Rate Library'!$I$5:$I$200,MATCH(P107,'Resource Rate Library'!$A$5:$A$200,0)),0)</f>
        <v/>
      </c>
      <c r="X107" s="1443" t="n"/>
      <c r="Y107" s="1442">
        <f>IF(X107&gt;0,X107,W107)</f>
        <v/>
      </c>
      <c r="Z107" s="1442">
        <f>IF(B107="","",IF(N107="Time x Count",M107*R107*IF(U107="",1,U107)*Y107,IF(N107="QS Qty x Factor",E107*R107*(1+IF(V107="",0,V107))*Y107,IF(N107="Direct Qty",S107*(1+IF(V107="",0,V107))*Y107,IF(N107="Lump Sum / Quote",S107*Y107,0)))))</f>
        <v/>
      </c>
      <c r="AA107" s="81">
        <f>IFERROR(INDEX('Resource Rate Library'!$N$5:$N$200,MATCH(P107,'Resource Rate Library'!$A$5:$A$200,0)),"")</f>
        <v/>
      </c>
      <c r="AB107" s="53" t="n"/>
      <c r="AC107" s="59" t="n"/>
      <c r="AD107" s="81">
        <f>IFERROR(INDEX('Resource Rate Library'!$G$5:$G$200,MATCH(P107,'Resource Rate Library'!$A$5:$A$200,0)),"")</f>
        <v/>
      </c>
      <c r="AE107" s="81">
        <f>IFERROR(INDEX('Resource Rate Library'!$H$5:$H$200,MATCH(P107,'Resource Rate Library'!$A$5:$A$200,0)),"")</f>
        <v/>
      </c>
      <c r="AF107" s="53" t="n"/>
      <c r="AG107" s="53" t="n"/>
      <c r="AH107" s="53" t="n"/>
      <c r="AI107" s="81">
        <f>IF(B107="","",IF(AND(P107="",N107&lt;&gt;"Lump Sum / Quote"),"RESOURCE CODE",IF(Y107=0,"RATE MISSING",IF(AND(O107="Plant",AD107="Yes",COUNTIFS($B$7:$B$306,B107,$O$7:$O$306,"Labour",$Q$7:$Q$306,"*Operator*")&gt;0),"OPERATOR DOUBLE-COUNT",IF(AND(O107="Plant",AE107="Yes",COUNTIFS($B$7:$B$306,B107,$Q$7:$Q$306,"*Fuel*")&gt;0),"FUEL DOUBLE-COUNT",IF(AH107&lt;&gt;"Yes","VERIFY","OK"))))))</f>
        <v/>
      </c>
      <c r="AJ107" s="54" t="n"/>
      <c r="AK107" s="473" t="n"/>
      <c r="AL107" s="473" t="n"/>
      <c r="AM107" s="473" t="n"/>
      <c r="AN107" s="1444">
        <f>IF(AND(AK107="Yes",OR(O107="Labour",O107="Plant")),Z107,0)</f>
        <v/>
      </c>
    </row>
    <row r="108" ht="22.04999923706055" customHeight="1" s="491">
      <c r="A108" s="80">
        <f>IF(B108="","",B108&amp;"-"&amp;TEXT(COUNTIF($B$7:B108,B108),"000"))</f>
        <v/>
      </c>
      <c r="B108" s="53" t="n"/>
      <c r="C108" s="81">
        <f>IFERROR(INDEX('QS Takeoff'!$A$3:$A$202,MATCH(B108,'QS Takeoff'!$B$3:$B$202,0)),"")</f>
        <v/>
      </c>
      <c r="D108" s="81">
        <f>IFERROR(INDEX('QS Takeoff'!$C$3:$C$202,MATCH(B108,'QS Takeoff'!$B$3:$B$202,0)),"")</f>
        <v/>
      </c>
      <c r="E108" s="81">
        <f>IFERROR(INDEX('QS Takeoff'!$E$3:$E$202,MATCH(B108,'QS Takeoff'!$B$3:$B$202,0)),"")</f>
        <v/>
      </c>
      <c r="F108" s="81">
        <f>IFERROR(INDEX('QS Takeoff'!$D$3:$D$202,MATCH(B108,'QS Takeoff'!$B$3:$B$202,0)),"")</f>
        <v/>
      </c>
      <c r="G108" s="81">
        <f>IFERROR(INDEX('QS Takeoff'!$J$3:$J$202,MATCH(B108,'QS Takeoff'!$B$3:$B$202,0)),"")</f>
        <v/>
      </c>
      <c r="H108" s="53" t="n"/>
      <c r="I108" s="60" t="n"/>
      <c r="J108" s="60" t="n"/>
      <c r="K108" s="82">
        <f>IF(OR(B108="",I108="",I108=0),"",E108/I108)</f>
        <v/>
      </c>
      <c r="L108" s="60" t="n"/>
      <c r="M108" s="82">
        <f>IF(L108&gt;0,L108,K108)</f>
        <v/>
      </c>
      <c r="N108" s="53" t="n"/>
      <c r="O108" s="53" t="n"/>
      <c r="P108" s="53" t="n"/>
      <c r="Q108" s="81">
        <f>IFERROR(INDEX('Resource Rate Library'!$C$5:$C$200,MATCH(P108,'Resource Rate Library'!$A$5:$A$200,0)),"")</f>
        <v/>
      </c>
      <c r="R108" s="53" t="n"/>
      <c r="S108" s="53" t="n"/>
      <c r="T108" s="81">
        <f>IFERROR(INDEX('Resource Rate Library'!$E$5:$E$200,MATCH(P108,'Resource Rate Library'!$A$5:$A$200,0)),"")</f>
        <v/>
      </c>
      <c r="U108" s="1441" t="n"/>
      <c r="V108" s="1441" t="n"/>
      <c r="W108" s="1442">
        <f>IFERROR(INDEX('Resource Rate Library'!$I$5:$I$200,MATCH(P108,'Resource Rate Library'!$A$5:$A$200,0)),0)</f>
        <v/>
      </c>
      <c r="X108" s="1443" t="n"/>
      <c r="Y108" s="1442">
        <f>IF(X108&gt;0,X108,W108)</f>
        <v/>
      </c>
      <c r="Z108" s="1442">
        <f>IF(B108="","",IF(N108="Time x Count",M108*R108*IF(U108="",1,U108)*Y108,IF(N108="QS Qty x Factor",E108*R108*(1+IF(V108="",0,V108))*Y108,IF(N108="Direct Qty",S108*(1+IF(V108="",0,V108))*Y108,IF(N108="Lump Sum / Quote",S108*Y108,0)))))</f>
        <v/>
      </c>
      <c r="AA108" s="81">
        <f>IFERROR(INDEX('Resource Rate Library'!$N$5:$N$200,MATCH(P108,'Resource Rate Library'!$A$5:$A$200,0)),"")</f>
        <v/>
      </c>
      <c r="AB108" s="53" t="n"/>
      <c r="AC108" s="59" t="n"/>
      <c r="AD108" s="81">
        <f>IFERROR(INDEX('Resource Rate Library'!$G$5:$G$200,MATCH(P108,'Resource Rate Library'!$A$5:$A$200,0)),"")</f>
        <v/>
      </c>
      <c r="AE108" s="81">
        <f>IFERROR(INDEX('Resource Rate Library'!$H$5:$H$200,MATCH(P108,'Resource Rate Library'!$A$5:$A$200,0)),"")</f>
        <v/>
      </c>
      <c r="AF108" s="53" t="n"/>
      <c r="AG108" s="53" t="n"/>
      <c r="AH108" s="53" t="n"/>
      <c r="AI108" s="81">
        <f>IF(B108="","",IF(AND(P108="",N108&lt;&gt;"Lump Sum / Quote"),"RESOURCE CODE",IF(Y108=0,"RATE MISSING",IF(AND(O108="Plant",AD108="Yes",COUNTIFS($B$7:$B$306,B108,$O$7:$O$306,"Labour",$Q$7:$Q$306,"*Operator*")&gt;0),"OPERATOR DOUBLE-COUNT",IF(AND(O108="Plant",AE108="Yes",COUNTIFS($B$7:$B$306,B108,$Q$7:$Q$306,"*Fuel*")&gt;0),"FUEL DOUBLE-COUNT",IF(AH108&lt;&gt;"Yes","VERIFY","OK"))))))</f>
        <v/>
      </c>
      <c r="AJ108" s="54" t="n"/>
      <c r="AK108" s="473" t="n"/>
      <c r="AL108" s="473" t="n"/>
      <c r="AM108" s="473" t="n"/>
      <c r="AN108" s="1444">
        <f>IF(AND(AK108="Yes",OR(O108="Labour",O108="Plant")),Z108,0)</f>
        <v/>
      </c>
    </row>
    <row r="109" ht="22.04999923706055" customHeight="1" s="491">
      <c r="A109" s="80">
        <f>IF(B109="","",B109&amp;"-"&amp;TEXT(COUNTIF($B$7:B109,B109),"000"))</f>
        <v/>
      </c>
      <c r="B109" s="53" t="n"/>
      <c r="C109" s="81">
        <f>IFERROR(INDEX('QS Takeoff'!$A$3:$A$202,MATCH(B109,'QS Takeoff'!$B$3:$B$202,0)),"")</f>
        <v/>
      </c>
      <c r="D109" s="81">
        <f>IFERROR(INDEX('QS Takeoff'!$C$3:$C$202,MATCH(B109,'QS Takeoff'!$B$3:$B$202,0)),"")</f>
        <v/>
      </c>
      <c r="E109" s="81">
        <f>IFERROR(INDEX('QS Takeoff'!$E$3:$E$202,MATCH(B109,'QS Takeoff'!$B$3:$B$202,0)),"")</f>
        <v/>
      </c>
      <c r="F109" s="81">
        <f>IFERROR(INDEX('QS Takeoff'!$D$3:$D$202,MATCH(B109,'QS Takeoff'!$B$3:$B$202,0)),"")</f>
        <v/>
      </c>
      <c r="G109" s="81">
        <f>IFERROR(INDEX('QS Takeoff'!$J$3:$J$202,MATCH(B109,'QS Takeoff'!$B$3:$B$202,0)),"")</f>
        <v/>
      </c>
      <c r="H109" s="53" t="n"/>
      <c r="I109" s="60" t="n"/>
      <c r="J109" s="60" t="n"/>
      <c r="K109" s="82">
        <f>IF(OR(B109="",I109="",I109=0),"",E109/I109)</f>
        <v/>
      </c>
      <c r="L109" s="60" t="n"/>
      <c r="M109" s="82">
        <f>IF(L109&gt;0,L109,K109)</f>
        <v/>
      </c>
      <c r="N109" s="53" t="n"/>
      <c r="O109" s="53" t="n"/>
      <c r="P109" s="53" t="n"/>
      <c r="Q109" s="81">
        <f>IFERROR(INDEX('Resource Rate Library'!$C$5:$C$200,MATCH(P109,'Resource Rate Library'!$A$5:$A$200,0)),"")</f>
        <v/>
      </c>
      <c r="R109" s="53" t="n"/>
      <c r="S109" s="53" t="n"/>
      <c r="T109" s="81">
        <f>IFERROR(INDEX('Resource Rate Library'!$E$5:$E$200,MATCH(P109,'Resource Rate Library'!$A$5:$A$200,0)),"")</f>
        <v/>
      </c>
      <c r="U109" s="1441" t="n"/>
      <c r="V109" s="1441" t="n"/>
      <c r="W109" s="1442">
        <f>IFERROR(INDEX('Resource Rate Library'!$I$5:$I$200,MATCH(P109,'Resource Rate Library'!$A$5:$A$200,0)),0)</f>
        <v/>
      </c>
      <c r="X109" s="1443" t="n"/>
      <c r="Y109" s="1442">
        <f>IF(X109&gt;0,X109,W109)</f>
        <v/>
      </c>
      <c r="Z109" s="1442">
        <f>IF(B109="","",IF(N109="Time x Count",M109*R109*IF(U109="",1,U109)*Y109,IF(N109="QS Qty x Factor",E109*R109*(1+IF(V109="",0,V109))*Y109,IF(N109="Direct Qty",S109*(1+IF(V109="",0,V109))*Y109,IF(N109="Lump Sum / Quote",S109*Y109,0)))))</f>
        <v/>
      </c>
      <c r="AA109" s="81">
        <f>IFERROR(INDEX('Resource Rate Library'!$N$5:$N$200,MATCH(P109,'Resource Rate Library'!$A$5:$A$200,0)),"")</f>
        <v/>
      </c>
      <c r="AB109" s="53" t="n"/>
      <c r="AC109" s="59" t="n"/>
      <c r="AD109" s="81">
        <f>IFERROR(INDEX('Resource Rate Library'!$G$5:$G$200,MATCH(P109,'Resource Rate Library'!$A$5:$A$200,0)),"")</f>
        <v/>
      </c>
      <c r="AE109" s="81">
        <f>IFERROR(INDEX('Resource Rate Library'!$H$5:$H$200,MATCH(P109,'Resource Rate Library'!$A$5:$A$200,0)),"")</f>
        <v/>
      </c>
      <c r="AF109" s="53" t="n"/>
      <c r="AG109" s="53" t="n"/>
      <c r="AH109" s="53" t="n"/>
      <c r="AI109" s="81">
        <f>IF(B109="","",IF(AND(P109="",N109&lt;&gt;"Lump Sum / Quote"),"RESOURCE CODE",IF(Y109=0,"RATE MISSING",IF(AND(O109="Plant",AD109="Yes",COUNTIFS($B$7:$B$306,B109,$O$7:$O$306,"Labour",$Q$7:$Q$306,"*Operator*")&gt;0),"OPERATOR DOUBLE-COUNT",IF(AND(O109="Plant",AE109="Yes",COUNTIFS($B$7:$B$306,B109,$Q$7:$Q$306,"*Fuel*")&gt;0),"FUEL DOUBLE-COUNT",IF(AH109&lt;&gt;"Yes","VERIFY","OK"))))))</f>
        <v/>
      </c>
      <c r="AJ109" s="54" t="n"/>
      <c r="AK109" s="473" t="n"/>
      <c r="AL109" s="473" t="n"/>
      <c r="AM109" s="473" t="n"/>
      <c r="AN109" s="1444">
        <f>IF(AND(AK109="Yes",OR(O109="Labour",O109="Plant")),Z109,0)</f>
        <v/>
      </c>
    </row>
    <row r="110" ht="22.04999923706055" customHeight="1" s="491">
      <c r="A110" s="80">
        <f>IF(B110="","",B110&amp;"-"&amp;TEXT(COUNTIF($B$7:B110,B110),"000"))</f>
        <v/>
      </c>
      <c r="B110" s="53" t="n"/>
      <c r="C110" s="81">
        <f>IFERROR(INDEX('QS Takeoff'!$A$3:$A$202,MATCH(B110,'QS Takeoff'!$B$3:$B$202,0)),"")</f>
        <v/>
      </c>
      <c r="D110" s="81">
        <f>IFERROR(INDEX('QS Takeoff'!$C$3:$C$202,MATCH(B110,'QS Takeoff'!$B$3:$B$202,0)),"")</f>
        <v/>
      </c>
      <c r="E110" s="81">
        <f>IFERROR(INDEX('QS Takeoff'!$E$3:$E$202,MATCH(B110,'QS Takeoff'!$B$3:$B$202,0)),"")</f>
        <v/>
      </c>
      <c r="F110" s="81">
        <f>IFERROR(INDEX('QS Takeoff'!$D$3:$D$202,MATCH(B110,'QS Takeoff'!$B$3:$B$202,0)),"")</f>
        <v/>
      </c>
      <c r="G110" s="81">
        <f>IFERROR(INDEX('QS Takeoff'!$J$3:$J$202,MATCH(B110,'QS Takeoff'!$B$3:$B$202,0)),"")</f>
        <v/>
      </c>
      <c r="H110" s="53" t="n"/>
      <c r="I110" s="60" t="n"/>
      <c r="J110" s="60" t="n"/>
      <c r="K110" s="82">
        <f>IF(OR(B110="",I110="",I110=0),"",E110/I110)</f>
        <v/>
      </c>
      <c r="L110" s="60" t="n"/>
      <c r="M110" s="82">
        <f>IF(L110&gt;0,L110,K110)</f>
        <v/>
      </c>
      <c r="N110" s="53" t="n"/>
      <c r="O110" s="53" t="n"/>
      <c r="P110" s="53" t="n"/>
      <c r="Q110" s="81">
        <f>IFERROR(INDEX('Resource Rate Library'!$C$5:$C$200,MATCH(P110,'Resource Rate Library'!$A$5:$A$200,0)),"")</f>
        <v/>
      </c>
      <c r="R110" s="53" t="n"/>
      <c r="S110" s="53" t="n"/>
      <c r="T110" s="81">
        <f>IFERROR(INDEX('Resource Rate Library'!$E$5:$E$200,MATCH(P110,'Resource Rate Library'!$A$5:$A$200,0)),"")</f>
        <v/>
      </c>
      <c r="U110" s="1441" t="n"/>
      <c r="V110" s="1441" t="n"/>
      <c r="W110" s="1442">
        <f>IFERROR(INDEX('Resource Rate Library'!$I$5:$I$200,MATCH(P110,'Resource Rate Library'!$A$5:$A$200,0)),0)</f>
        <v/>
      </c>
      <c r="X110" s="1443" t="n"/>
      <c r="Y110" s="1442">
        <f>IF(X110&gt;0,X110,W110)</f>
        <v/>
      </c>
      <c r="Z110" s="1442">
        <f>IF(B110="","",IF(N110="Time x Count",M110*R110*IF(U110="",1,U110)*Y110,IF(N110="QS Qty x Factor",E110*R110*(1+IF(V110="",0,V110))*Y110,IF(N110="Direct Qty",S110*(1+IF(V110="",0,V110))*Y110,IF(N110="Lump Sum / Quote",S110*Y110,0)))))</f>
        <v/>
      </c>
      <c r="AA110" s="81">
        <f>IFERROR(INDEX('Resource Rate Library'!$N$5:$N$200,MATCH(P110,'Resource Rate Library'!$A$5:$A$200,0)),"")</f>
        <v/>
      </c>
      <c r="AB110" s="53" t="n"/>
      <c r="AC110" s="59" t="n"/>
      <c r="AD110" s="81">
        <f>IFERROR(INDEX('Resource Rate Library'!$G$5:$G$200,MATCH(P110,'Resource Rate Library'!$A$5:$A$200,0)),"")</f>
        <v/>
      </c>
      <c r="AE110" s="81">
        <f>IFERROR(INDEX('Resource Rate Library'!$H$5:$H$200,MATCH(P110,'Resource Rate Library'!$A$5:$A$200,0)),"")</f>
        <v/>
      </c>
      <c r="AF110" s="53" t="n"/>
      <c r="AG110" s="53" t="n"/>
      <c r="AH110" s="53" t="n"/>
      <c r="AI110" s="81">
        <f>IF(B110="","",IF(AND(P110="",N110&lt;&gt;"Lump Sum / Quote"),"RESOURCE CODE",IF(Y110=0,"RATE MISSING",IF(AND(O110="Plant",AD110="Yes",COUNTIFS($B$7:$B$306,B110,$O$7:$O$306,"Labour",$Q$7:$Q$306,"*Operator*")&gt;0),"OPERATOR DOUBLE-COUNT",IF(AND(O110="Plant",AE110="Yes",COUNTIFS($B$7:$B$306,B110,$Q$7:$Q$306,"*Fuel*")&gt;0),"FUEL DOUBLE-COUNT",IF(AH110&lt;&gt;"Yes","VERIFY","OK"))))))</f>
        <v/>
      </c>
      <c r="AJ110" s="54" t="n"/>
      <c r="AK110" s="473" t="n"/>
      <c r="AL110" s="473" t="n"/>
      <c r="AM110" s="473" t="n"/>
      <c r="AN110" s="1444">
        <f>IF(AND(AK110="Yes",OR(O110="Labour",O110="Plant")),Z110,0)</f>
        <v/>
      </c>
    </row>
    <row r="111" ht="22.04999923706055" customHeight="1" s="491">
      <c r="A111" s="80">
        <f>IF(B111="","",B111&amp;"-"&amp;TEXT(COUNTIF($B$7:B111,B111),"000"))</f>
        <v/>
      </c>
      <c r="B111" s="53" t="n"/>
      <c r="C111" s="81">
        <f>IFERROR(INDEX('QS Takeoff'!$A$3:$A$202,MATCH(B111,'QS Takeoff'!$B$3:$B$202,0)),"")</f>
        <v/>
      </c>
      <c r="D111" s="81">
        <f>IFERROR(INDEX('QS Takeoff'!$C$3:$C$202,MATCH(B111,'QS Takeoff'!$B$3:$B$202,0)),"")</f>
        <v/>
      </c>
      <c r="E111" s="81">
        <f>IFERROR(INDEX('QS Takeoff'!$E$3:$E$202,MATCH(B111,'QS Takeoff'!$B$3:$B$202,0)),"")</f>
        <v/>
      </c>
      <c r="F111" s="81">
        <f>IFERROR(INDEX('QS Takeoff'!$D$3:$D$202,MATCH(B111,'QS Takeoff'!$B$3:$B$202,0)),"")</f>
        <v/>
      </c>
      <c r="G111" s="81">
        <f>IFERROR(INDEX('QS Takeoff'!$J$3:$J$202,MATCH(B111,'QS Takeoff'!$B$3:$B$202,0)),"")</f>
        <v/>
      </c>
      <c r="H111" s="53" t="n"/>
      <c r="I111" s="60" t="n"/>
      <c r="J111" s="60" t="n"/>
      <c r="K111" s="82">
        <f>IF(OR(B111="",I111="",I111=0),"",E111/I111)</f>
        <v/>
      </c>
      <c r="L111" s="60" t="n"/>
      <c r="M111" s="82">
        <f>IF(L111&gt;0,L111,K111)</f>
        <v/>
      </c>
      <c r="N111" s="53" t="n"/>
      <c r="O111" s="53" t="n"/>
      <c r="P111" s="53" t="n"/>
      <c r="Q111" s="81">
        <f>IFERROR(INDEX('Resource Rate Library'!$C$5:$C$200,MATCH(P111,'Resource Rate Library'!$A$5:$A$200,0)),"")</f>
        <v/>
      </c>
      <c r="R111" s="53" t="n"/>
      <c r="S111" s="53" t="n"/>
      <c r="T111" s="81">
        <f>IFERROR(INDEX('Resource Rate Library'!$E$5:$E$200,MATCH(P111,'Resource Rate Library'!$A$5:$A$200,0)),"")</f>
        <v/>
      </c>
      <c r="U111" s="1441" t="n"/>
      <c r="V111" s="1441" t="n"/>
      <c r="W111" s="1442">
        <f>IFERROR(INDEX('Resource Rate Library'!$I$5:$I$200,MATCH(P111,'Resource Rate Library'!$A$5:$A$200,0)),0)</f>
        <v/>
      </c>
      <c r="X111" s="1443" t="n"/>
      <c r="Y111" s="1442">
        <f>IF(X111&gt;0,X111,W111)</f>
        <v/>
      </c>
      <c r="Z111" s="1442">
        <f>IF(B111="","",IF(N111="Time x Count",M111*R111*IF(U111="",1,U111)*Y111,IF(N111="QS Qty x Factor",E111*R111*(1+IF(V111="",0,V111))*Y111,IF(N111="Direct Qty",S111*(1+IF(V111="",0,V111))*Y111,IF(N111="Lump Sum / Quote",S111*Y111,0)))))</f>
        <v/>
      </c>
      <c r="AA111" s="81">
        <f>IFERROR(INDEX('Resource Rate Library'!$N$5:$N$200,MATCH(P111,'Resource Rate Library'!$A$5:$A$200,0)),"")</f>
        <v/>
      </c>
      <c r="AB111" s="53" t="n"/>
      <c r="AC111" s="59" t="n"/>
      <c r="AD111" s="81">
        <f>IFERROR(INDEX('Resource Rate Library'!$G$5:$G$200,MATCH(P111,'Resource Rate Library'!$A$5:$A$200,0)),"")</f>
        <v/>
      </c>
      <c r="AE111" s="81">
        <f>IFERROR(INDEX('Resource Rate Library'!$H$5:$H$200,MATCH(P111,'Resource Rate Library'!$A$5:$A$200,0)),"")</f>
        <v/>
      </c>
      <c r="AF111" s="53" t="n"/>
      <c r="AG111" s="53" t="n"/>
      <c r="AH111" s="53" t="n"/>
      <c r="AI111" s="81">
        <f>IF(B111="","",IF(AND(P111="",N111&lt;&gt;"Lump Sum / Quote"),"RESOURCE CODE",IF(Y111=0,"RATE MISSING",IF(AND(O111="Plant",AD111="Yes",COUNTIFS($B$7:$B$306,B111,$O$7:$O$306,"Labour",$Q$7:$Q$306,"*Operator*")&gt;0),"OPERATOR DOUBLE-COUNT",IF(AND(O111="Plant",AE111="Yes",COUNTIFS($B$7:$B$306,B111,$Q$7:$Q$306,"*Fuel*")&gt;0),"FUEL DOUBLE-COUNT",IF(AH111&lt;&gt;"Yes","VERIFY","OK"))))))</f>
        <v/>
      </c>
      <c r="AJ111" s="54" t="n"/>
      <c r="AK111" s="473" t="n"/>
      <c r="AL111" s="473" t="n"/>
      <c r="AM111" s="473" t="n"/>
      <c r="AN111" s="1444">
        <f>IF(AND(AK111="Yes",OR(O111="Labour",O111="Plant")),Z111,0)</f>
        <v/>
      </c>
    </row>
    <row r="112" ht="22.04999923706055" customHeight="1" s="491">
      <c r="A112" s="80">
        <f>IF(B112="","",B112&amp;"-"&amp;TEXT(COUNTIF($B$7:B112,B112),"000"))</f>
        <v/>
      </c>
      <c r="B112" s="53" t="n"/>
      <c r="C112" s="81">
        <f>IFERROR(INDEX('QS Takeoff'!$A$3:$A$202,MATCH(B112,'QS Takeoff'!$B$3:$B$202,0)),"")</f>
        <v/>
      </c>
      <c r="D112" s="81">
        <f>IFERROR(INDEX('QS Takeoff'!$C$3:$C$202,MATCH(B112,'QS Takeoff'!$B$3:$B$202,0)),"")</f>
        <v/>
      </c>
      <c r="E112" s="81">
        <f>IFERROR(INDEX('QS Takeoff'!$E$3:$E$202,MATCH(B112,'QS Takeoff'!$B$3:$B$202,0)),"")</f>
        <v/>
      </c>
      <c r="F112" s="81">
        <f>IFERROR(INDEX('QS Takeoff'!$D$3:$D$202,MATCH(B112,'QS Takeoff'!$B$3:$B$202,0)),"")</f>
        <v/>
      </c>
      <c r="G112" s="81">
        <f>IFERROR(INDEX('QS Takeoff'!$J$3:$J$202,MATCH(B112,'QS Takeoff'!$B$3:$B$202,0)),"")</f>
        <v/>
      </c>
      <c r="H112" s="53" t="n"/>
      <c r="I112" s="60" t="n"/>
      <c r="J112" s="60" t="n"/>
      <c r="K112" s="82">
        <f>IF(OR(B112="",I112="",I112=0),"",E112/I112)</f>
        <v/>
      </c>
      <c r="L112" s="60" t="n"/>
      <c r="M112" s="82">
        <f>IF(L112&gt;0,L112,K112)</f>
        <v/>
      </c>
      <c r="N112" s="53" t="n"/>
      <c r="O112" s="53" t="n"/>
      <c r="P112" s="53" t="n"/>
      <c r="Q112" s="81">
        <f>IFERROR(INDEX('Resource Rate Library'!$C$5:$C$200,MATCH(P112,'Resource Rate Library'!$A$5:$A$200,0)),"")</f>
        <v/>
      </c>
      <c r="R112" s="53" t="n"/>
      <c r="S112" s="53" t="n"/>
      <c r="T112" s="81">
        <f>IFERROR(INDEX('Resource Rate Library'!$E$5:$E$200,MATCH(P112,'Resource Rate Library'!$A$5:$A$200,0)),"")</f>
        <v/>
      </c>
      <c r="U112" s="1441" t="n"/>
      <c r="V112" s="1441" t="n"/>
      <c r="W112" s="1442">
        <f>IFERROR(INDEX('Resource Rate Library'!$I$5:$I$200,MATCH(P112,'Resource Rate Library'!$A$5:$A$200,0)),0)</f>
        <v/>
      </c>
      <c r="X112" s="1443" t="n"/>
      <c r="Y112" s="1442">
        <f>IF(X112&gt;0,X112,W112)</f>
        <v/>
      </c>
      <c r="Z112" s="1442">
        <f>IF(B112="","",IF(N112="Time x Count",M112*R112*IF(U112="",1,U112)*Y112,IF(N112="QS Qty x Factor",E112*R112*(1+IF(V112="",0,V112))*Y112,IF(N112="Direct Qty",S112*(1+IF(V112="",0,V112))*Y112,IF(N112="Lump Sum / Quote",S112*Y112,0)))))</f>
        <v/>
      </c>
      <c r="AA112" s="81">
        <f>IFERROR(INDEX('Resource Rate Library'!$N$5:$N$200,MATCH(P112,'Resource Rate Library'!$A$5:$A$200,0)),"")</f>
        <v/>
      </c>
      <c r="AB112" s="53" t="n"/>
      <c r="AC112" s="59" t="n"/>
      <c r="AD112" s="81">
        <f>IFERROR(INDEX('Resource Rate Library'!$G$5:$G$200,MATCH(P112,'Resource Rate Library'!$A$5:$A$200,0)),"")</f>
        <v/>
      </c>
      <c r="AE112" s="81">
        <f>IFERROR(INDEX('Resource Rate Library'!$H$5:$H$200,MATCH(P112,'Resource Rate Library'!$A$5:$A$200,0)),"")</f>
        <v/>
      </c>
      <c r="AF112" s="53" t="n"/>
      <c r="AG112" s="53" t="n"/>
      <c r="AH112" s="53" t="n"/>
      <c r="AI112" s="81">
        <f>IF(B112="","",IF(AND(P112="",N112&lt;&gt;"Lump Sum / Quote"),"RESOURCE CODE",IF(Y112=0,"RATE MISSING",IF(AND(O112="Plant",AD112="Yes",COUNTIFS($B$7:$B$306,B112,$O$7:$O$306,"Labour",$Q$7:$Q$306,"*Operator*")&gt;0),"OPERATOR DOUBLE-COUNT",IF(AND(O112="Plant",AE112="Yes",COUNTIFS($B$7:$B$306,B112,$Q$7:$Q$306,"*Fuel*")&gt;0),"FUEL DOUBLE-COUNT",IF(AH112&lt;&gt;"Yes","VERIFY","OK"))))))</f>
        <v/>
      </c>
      <c r="AJ112" s="54" t="n"/>
      <c r="AK112" s="473" t="n"/>
      <c r="AL112" s="473" t="n"/>
      <c r="AM112" s="473" t="n"/>
      <c r="AN112" s="1444">
        <f>IF(AND(AK112="Yes",OR(O112="Labour",O112="Plant")),Z112,0)</f>
        <v/>
      </c>
    </row>
    <row r="113" ht="22.04999923706055" customHeight="1" s="491">
      <c r="A113" s="80">
        <f>IF(B113="","",B113&amp;"-"&amp;TEXT(COUNTIF($B$7:B113,B113),"000"))</f>
        <v/>
      </c>
      <c r="B113" s="53" t="n"/>
      <c r="C113" s="81">
        <f>IFERROR(INDEX('QS Takeoff'!$A$3:$A$202,MATCH(B113,'QS Takeoff'!$B$3:$B$202,0)),"")</f>
        <v/>
      </c>
      <c r="D113" s="81">
        <f>IFERROR(INDEX('QS Takeoff'!$C$3:$C$202,MATCH(B113,'QS Takeoff'!$B$3:$B$202,0)),"")</f>
        <v/>
      </c>
      <c r="E113" s="81">
        <f>IFERROR(INDEX('QS Takeoff'!$E$3:$E$202,MATCH(B113,'QS Takeoff'!$B$3:$B$202,0)),"")</f>
        <v/>
      </c>
      <c r="F113" s="81">
        <f>IFERROR(INDEX('QS Takeoff'!$D$3:$D$202,MATCH(B113,'QS Takeoff'!$B$3:$B$202,0)),"")</f>
        <v/>
      </c>
      <c r="G113" s="81">
        <f>IFERROR(INDEX('QS Takeoff'!$J$3:$J$202,MATCH(B113,'QS Takeoff'!$B$3:$B$202,0)),"")</f>
        <v/>
      </c>
      <c r="H113" s="53" t="n"/>
      <c r="I113" s="60" t="n"/>
      <c r="J113" s="60" t="n"/>
      <c r="K113" s="82">
        <f>IF(OR(B113="",I113="",I113=0),"",E113/I113)</f>
        <v/>
      </c>
      <c r="L113" s="60" t="n"/>
      <c r="M113" s="82">
        <f>IF(L113&gt;0,L113,K113)</f>
        <v/>
      </c>
      <c r="N113" s="53" t="n"/>
      <c r="O113" s="53" t="n"/>
      <c r="P113" s="53" t="n"/>
      <c r="Q113" s="81">
        <f>IFERROR(INDEX('Resource Rate Library'!$C$5:$C$200,MATCH(P113,'Resource Rate Library'!$A$5:$A$200,0)),"")</f>
        <v/>
      </c>
      <c r="R113" s="53" t="n"/>
      <c r="S113" s="53" t="n"/>
      <c r="T113" s="81">
        <f>IFERROR(INDEX('Resource Rate Library'!$E$5:$E$200,MATCH(P113,'Resource Rate Library'!$A$5:$A$200,0)),"")</f>
        <v/>
      </c>
      <c r="U113" s="1441" t="n"/>
      <c r="V113" s="1441" t="n"/>
      <c r="W113" s="1442">
        <f>IFERROR(INDEX('Resource Rate Library'!$I$5:$I$200,MATCH(P113,'Resource Rate Library'!$A$5:$A$200,0)),0)</f>
        <v/>
      </c>
      <c r="X113" s="1443" t="n"/>
      <c r="Y113" s="1442">
        <f>IF(X113&gt;0,X113,W113)</f>
        <v/>
      </c>
      <c r="Z113" s="1442">
        <f>IF(B113="","",IF(N113="Time x Count",M113*R113*IF(U113="",1,U113)*Y113,IF(N113="QS Qty x Factor",E113*R113*(1+IF(V113="",0,V113))*Y113,IF(N113="Direct Qty",S113*(1+IF(V113="",0,V113))*Y113,IF(N113="Lump Sum / Quote",S113*Y113,0)))))</f>
        <v/>
      </c>
      <c r="AA113" s="81">
        <f>IFERROR(INDEX('Resource Rate Library'!$N$5:$N$200,MATCH(P113,'Resource Rate Library'!$A$5:$A$200,0)),"")</f>
        <v/>
      </c>
      <c r="AB113" s="53" t="n"/>
      <c r="AC113" s="59" t="n"/>
      <c r="AD113" s="81">
        <f>IFERROR(INDEX('Resource Rate Library'!$G$5:$G$200,MATCH(P113,'Resource Rate Library'!$A$5:$A$200,0)),"")</f>
        <v/>
      </c>
      <c r="AE113" s="81">
        <f>IFERROR(INDEX('Resource Rate Library'!$H$5:$H$200,MATCH(P113,'Resource Rate Library'!$A$5:$A$200,0)),"")</f>
        <v/>
      </c>
      <c r="AF113" s="53" t="n"/>
      <c r="AG113" s="53" t="n"/>
      <c r="AH113" s="53" t="n"/>
      <c r="AI113" s="81">
        <f>IF(B113="","",IF(AND(P113="",N113&lt;&gt;"Lump Sum / Quote"),"RESOURCE CODE",IF(Y113=0,"RATE MISSING",IF(AND(O113="Plant",AD113="Yes",COUNTIFS($B$7:$B$306,B113,$O$7:$O$306,"Labour",$Q$7:$Q$306,"*Operator*")&gt;0),"OPERATOR DOUBLE-COUNT",IF(AND(O113="Plant",AE113="Yes",COUNTIFS($B$7:$B$306,B113,$Q$7:$Q$306,"*Fuel*")&gt;0),"FUEL DOUBLE-COUNT",IF(AH113&lt;&gt;"Yes","VERIFY","OK"))))))</f>
        <v/>
      </c>
      <c r="AJ113" s="54" t="n"/>
      <c r="AK113" s="473" t="n"/>
      <c r="AL113" s="473" t="n"/>
      <c r="AM113" s="473" t="n"/>
      <c r="AN113" s="1444">
        <f>IF(AND(AK113="Yes",OR(O113="Labour",O113="Plant")),Z113,0)</f>
        <v/>
      </c>
    </row>
    <row r="114" ht="22.04999923706055" customHeight="1" s="491">
      <c r="A114" s="80">
        <f>IF(B114="","",B114&amp;"-"&amp;TEXT(COUNTIF($B$7:B114,B114),"000"))</f>
        <v/>
      </c>
      <c r="B114" s="53" t="n"/>
      <c r="C114" s="81">
        <f>IFERROR(INDEX('QS Takeoff'!$A$3:$A$202,MATCH(B114,'QS Takeoff'!$B$3:$B$202,0)),"")</f>
        <v/>
      </c>
      <c r="D114" s="81">
        <f>IFERROR(INDEX('QS Takeoff'!$C$3:$C$202,MATCH(B114,'QS Takeoff'!$B$3:$B$202,0)),"")</f>
        <v/>
      </c>
      <c r="E114" s="81">
        <f>IFERROR(INDEX('QS Takeoff'!$E$3:$E$202,MATCH(B114,'QS Takeoff'!$B$3:$B$202,0)),"")</f>
        <v/>
      </c>
      <c r="F114" s="81">
        <f>IFERROR(INDEX('QS Takeoff'!$D$3:$D$202,MATCH(B114,'QS Takeoff'!$B$3:$B$202,0)),"")</f>
        <v/>
      </c>
      <c r="G114" s="81">
        <f>IFERROR(INDEX('QS Takeoff'!$J$3:$J$202,MATCH(B114,'QS Takeoff'!$B$3:$B$202,0)),"")</f>
        <v/>
      </c>
      <c r="H114" s="53" t="n"/>
      <c r="I114" s="60" t="n"/>
      <c r="J114" s="60" t="n"/>
      <c r="K114" s="82">
        <f>IF(OR(B114="",I114="",I114=0),"",E114/I114)</f>
        <v/>
      </c>
      <c r="L114" s="60" t="n"/>
      <c r="M114" s="82">
        <f>IF(L114&gt;0,L114,K114)</f>
        <v/>
      </c>
      <c r="N114" s="53" t="n"/>
      <c r="O114" s="53" t="n"/>
      <c r="P114" s="53" t="n"/>
      <c r="Q114" s="81">
        <f>IFERROR(INDEX('Resource Rate Library'!$C$5:$C$200,MATCH(P114,'Resource Rate Library'!$A$5:$A$200,0)),"")</f>
        <v/>
      </c>
      <c r="R114" s="53" t="n"/>
      <c r="S114" s="53" t="n"/>
      <c r="T114" s="81">
        <f>IFERROR(INDEX('Resource Rate Library'!$E$5:$E$200,MATCH(P114,'Resource Rate Library'!$A$5:$A$200,0)),"")</f>
        <v/>
      </c>
      <c r="U114" s="1441" t="n"/>
      <c r="V114" s="1441" t="n"/>
      <c r="W114" s="1442">
        <f>IFERROR(INDEX('Resource Rate Library'!$I$5:$I$200,MATCH(P114,'Resource Rate Library'!$A$5:$A$200,0)),0)</f>
        <v/>
      </c>
      <c r="X114" s="1443" t="n"/>
      <c r="Y114" s="1442">
        <f>IF(X114&gt;0,X114,W114)</f>
        <v/>
      </c>
      <c r="Z114" s="1442">
        <f>IF(B114="","",IF(N114="Time x Count",M114*R114*IF(U114="",1,U114)*Y114,IF(N114="QS Qty x Factor",E114*R114*(1+IF(V114="",0,V114))*Y114,IF(N114="Direct Qty",S114*(1+IF(V114="",0,V114))*Y114,IF(N114="Lump Sum / Quote",S114*Y114,0)))))</f>
        <v/>
      </c>
      <c r="AA114" s="81">
        <f>IFERROR(INDEX('Resource Rate Library'!$N$5:$N$200,MATCH(P114,'Resource Rate Library'!$A$5:$A$200,0)),"")</f>
        <v/>
      </c>
      <c r="AB114" s="53" t="n"/>
      <c r="AC114" s="59" t="n"/>
      <c r="AD114" s="81">
        <f>IFERROR(INDEX('Resource Rate Library'!$G$5:$G$200,MATCH(P114,'Resource Rate Library'!$A$5:$A$200,0)),"")</f>
        <v/>
      </c>
      <c r="AE114" s="81">
        <f>IFERROR(INDEX('Resource Rate Library'!$H$5:$H$200,MATCH(P114,'Resource Rate Library'!$A$5:$A$200,0)),"")</f>
        <v/>
      </c>
      <c r="AF114" s="53" t="n"/>
      <c r="AG114" s="53" t="n"/>
      <c r="AH114" s="53" t="n"/>
      <c r="AI114" s="81">
        <f>IF(B114="","",IF(AND(P114="",N114&lt;&gt;"Lump Sum / Quote"),"RESOURCE CODE",IF(Y114=0,"RATE MISSING",IF(AND(O114="Plant",AD114="Yes",COUNTIFS($B$7:$B$306,B114,$O$7:$O$306,"Labour",$Q$7:$Q$306,"*Operator*")&gt;0),"OPERATOR DOUBLE-COUNT",IF(AND(O114="Plant",AE114="Yes",COUNTIFS($B$7:$B$306,B114,$Q$7:$Q$306,"*Fuel*")&gt;0),"FUEL DOUBLE-COUNT",IF(AH114&lt;&gt;"Yes","VERIFY","OK"))))))</f>
        <v/>
      </c>
      <c r="AJ114" s="54" t="n"/>
      <c r="AK114" s="473" t="n"/>
      <c r="AL114" s="473" t="n"/>
      <c r="AM114" s="473" t="n"/>
      <c r="AN114" s="1444">
        <f>IF(AND(AK114="Yes",OR(O114="Labour",O114="Plant")),Z114,0)</f>
        <v/>
      </c>
    </row>
    <row r="115" ht="22.04999923706055" customHeight="1" s="491">
      <c r="A115" s="80">
        <f>IF(B115="","",B115&amp;"-"&amp;TEXT(COUNTIF($B$7:B115,B115),"000"))</f>
        <v/>
      </c>
      <c r="B115" s="53" t="n"/>
      <c r="C115" s="81">
        <f>IFERROR(INDEX('QS Takeoff'!$A$3:$A$202,MATCH(B115,'QS Takeoff'!$B$3:$B$202,0)),"")</f>
        <v/>
      </c>
      <c r="D115" s="81">
        <f>IFERROR(INDEX('QS Takeoff'!$C$3:$C$202,MATCH(B115,'QS Takeoff'!$B$3:$B$202,0)),"")</f>
        <v/>
      </c>
      <c r="E115" s="81">
        <f>IFERROR(INDEX('QS Takeoff'!$E$3:$E$202,MATCH(B115,'QS Takeoff'!$B$3:$B$202,0)),"")</f>
        <v/>
      </c>
      <c r="F115" s="81">
        <f>IFERROR(INDEX('QS Takeoff'!$D$3:$D$202,MATCH(B115,'QS Takeoff'!$B$3:$B$202,0)),"")</f>
        <v/>
      </c>
      <c r="G115" s="81">
        <f>IFERROR(INDEX('QS Takeoff'!$J$3:$J$202,MATCH(B115,'QS Takeoff'!$B$3:$B$202,0)),"")</f>
        <v/>
      </c>
      <c r="H115" s="53" t="n"/>
      <c r="I115" s="60" t="n"/>
      <c r="J115" s="60" t="n"/>
      <c r="K115" s="82">
        <f>IF(OR(B115="",I115="",I115=0),"",E115/I115)</f>
        <v/>
      </c>
      <c r="L115" s="60" t="n"/>
      <c r="M115" s="82">
        <f>IF(L115&gt;0,L115,K115)</f>
        <v/>
      </c>
      <c r="N115" s="53" t="n"/>
      <c r="O115" s="53" t="n"/>
      <c r="P115" s="53" t="n"/>
      <c r="Q115" s="81">
        <f>IFERROR(INDEX('Resource Rate Library'!$C$5:$C$200,MATCH(P115,'Resource Rate Library'!$A$5:$A$200,0)),"")</f>
        <v/>
      </c>
      <c r="R115" s="53" t="n"/>
      <c r="S115" s="53" t="n"/>
      <c r="T115" s="81">
        <f>IFERROR(INDEX('Resource Rate Library'!$E$5:$E$200,MATCH(P115,'Resource Rate Library'!$A$5:$A$200,0)),"")</f>
        <v/>
      </c>
      <c r="U115" s="1441" t="n"/>
      <c r="V115" s="1441" t="n"/>
      <c r="W115" s="1442">
        <f>IFERROR(INDEX('Resource Rate Library'!$I$5:$I$200,MATCH(P115,'Resource Rate Library'!$A$5:$A$200,0)),0)</f>
        <v/>
      </c>
      <c r="X115" s="1443" t="n"/>
      <c r="Y115" s="1442">
        <f>IF(X115&gt;0,X115,W115)</f>
        <v/>
      </c>
      <c r="Z115" s="1442">
        <f>IF(B115="","",IF(N115="Time x Count",M115*R115*IF(U115="",1,U115)*Y115,IF(N115="QS Qty x Factor",E115*R115*(1+IF(V115="",0,V115))*Y115,IF(N115="Direct Qty",S115*(1+IF(V115="",0,V115))*Y115,IF(N115="Lump Sum / Quote",S115*Y115,0)))))</f>
        <v/>
      </c>
      <c r="AA115" s="81">
        <f>IFERROR(INDEX('Resource Rate Library'!$N$5:$N$200,MATCH(P115,'Resource Rate Library'!$A$5:$A$200,0)),"")</f>
        <v/>
      </c>
      <c r="AB115" s="53" t="n"/>
      <c r="AC115" s="59" t="n"/>
      <c r="AD115" s="81">
        <f>IFERROR(INDEX('Resource Rate Library'!$G$5:$G$200,MATCH(P115,'Resource Rate Library'!$A$5:$A$200,0)),"")</f>
        <v/>
      </c>
      <c r="AE115" s="81">
        <f>IFERROR(INDEX('Resource Rate Library'!$H$5:$H$200,MATCH(P115,'Resource Rate Library'!$A$5:$A$200,0)),"")</f>
        <v/>
      </c>
      <c r="AF115" s="53" t="n"/>
      <c r="AG115" s="53" t="n"/>
      <c r="AH115" s="53" t="n"/>
      <c r="AI115" s="81">
        <f>IF(B115="","",IF(AND(P115="",N115&lt;&gt;"Lump Sum / Quote"),"RESOURCE CODE",IF(Y115=0,"RATE MISSING",IF(AND(O115="Plant",AD115="Yes",COUNTIFS($B$7:$B$306,B115,$O$7:$O$306,"Labour",$Q$7:$Q$306,"*Operator*")&gt;0),"OPERATOR DOUBLE-COUNT",IF(AND(O115="Plant",AE115="Yes",COUNTIFS($B$7:$B$306,B115,$Q$7:$Q$306,"*Fuel*")&gt;0),"FUEL DOUBLE-COUNT",IF(AH115&lt;&gt;"Yes","VERIFY","OK"))))))</f>
        <v/>
      </c>
      <c r="AJ115" s="54" t="n"/>
      <c r="AK115" s="473" t="n"/>
      <c r="AL115" s="473" t="n"/>
      <c r="AM115" s="473" t="n"/>
      <c r="AN115" s="1444">
        <f>IF(AND(AK115="Yes",OR(O115="Labour",O115="Plant")),Z115,0)</f>
        <v/>
      </c>
    </row>
    <row r="116" ht="22.04999923706055" customHeight="1" s="491">
      <c r="A116" s="80">
        <f>IF(B116="","",B116&amp;"-"&amp;TEXT(COUNTIF($B$7:B116,B116),"000"))</f>
        <v/>
      </c>
      <c r="B116" s="53" t="n"/>
      <c r="C116" s="81">
        <f>IFERROR(INDEX('QS Takeoff'!$A$3:$A$202,MATCH(B116,'QS Takeoff'!$B$3:$B$202,0)),"")</f>
        <v/>
      </c>
      <c r="D116" s="81">
        <f>IFERROR(INDEX('QS Takeoff'!$C$3:$C$202,MATCH(B116,'QS Takeoff'!$B$3:$B$202,0)),"")</f>
        <v/>
      </c>
      <c r="E116" s="81">
        <f>IFERROR(INDEX('QS Takeoff'!$E$3:$E$202,MATCH(B116,'QS Takeoff'!$B$3:$B$202,0)),"")</f>
        <v/>
      </c>
      <c r="F116" s="81">
        <f>IFERROR(INDEX('QS Takeoff'!$D$3:$D$202,MATCH(B116,'QS Takeoff'!$B$3:$B$202,0)),"")</f>
        <v/>
      </c>
      <c r="G116" s="81">
        <f>IFERROR(INDEX('QS Takeoff'!$J$3:$J$202,MATCH(B116,'QS Takeoff'!$B$3:$B$202,0)),"")</f>
        <v/>
      </c>
      <c r="H116" s="53" t="n"/>
      <c r="I116" s="60" t="n"/>
      <c r="J116" s="60" t="n"/>
      <c r="K116" s="82">
        <f>IF(OR(B116="",I116="",I116=0),"",E116/I116)</f>
        <v/>
      </c>
      <c r="L116" s="60" t="n"/>
      <c r="M116" s="82">
        <f>IF(L116&gt;0,L116,K116)</f>
        <v/>
      </c>
      <c r="N116" s="53" t="n"/>
      <c r="O116" s="53" t="n"/>
      <c r="P116" s="53" t="n"/>
      <c r="Q116" s="81">
        <f>IFERROR(INDEX('Resource Rate Library'!$C$5:$C$200,MATCH(P116,'Resource Rate Library'!$A$5:$A$200,0)),"")</f>
        <v/>
      </c>
      <c r="R116" s="53" t="n"/>
      <c r="S116" s="53" t="n"/>
      <c r="T116" s="81">
        <f>IFERROR(INDEX('Resource Rate Library'!$E$5:$E$200,MATCH(P116,'Resource Rate Library'!$A$5:$A$200,0)),"")</f>
        <v/>
      </c>
      <c r="U116" s="1441" t="n"/>
      <c r="V116" s="1441" t="n"/>
      <c r="W116" s="1442">
        <f>IFERROR(INDEX('Resource Rate Library'!$I$5:$I$200,MATCH(P116,'Resource Rate Library'!$A$5:$A$200,0)),0)</f>
        <v/>
      </c>
      <c r="X116" s="1443" t="n"/>
      <c r="Y116" s="1442">
        <f>IF(X116&gt;0,X116,W116)</f>
        <v/>
      </c>
      <c r="Z116" s="1442">
        <f>IF(B116="","",IF(N116="Time x Count",M116*R116*IF(U116="",1,U116)*Y116,IF(N116="QS Qty x Factor",E116*R116*(1+IF(V116="",0,V116))*Y116,IF(N116="Direct Qty",S116*(1+IF(V116="",0,V116))*Y116,IF(N116="Lump Sum / Quote",S116*Y116,0)))))</f>
        <v/>
      </c>
      <c r="AA116" s="81">
        <f>IFERROR(INDEX('Resource Rate Library'!$N$5:$N$200,MATCH(P116,'Resource Rate Library'!$A$5:$A$200,0)),"")</f>
        <v/>
      </c>
      <c r="AB116" s="53" t="n"/>
      <c r="AC116" s="59" t="n"/>
      <c r="AD116" s="81">
        <f>IFERROR(INDEX('Resource Rate Library'!$G$5:$G$200,MATCH(P116,'Resource Rate Library'!$A$5:$A$200,0)),"")</f>
        <v/>
      </c>
      <c r="AE116" s="81">
        <f>IFERROR(INDEX('Resource Rate Library'!$H$5:$H$200,MATCH(P116,'Resource Rate Library'!$A$5:$A$200,0)),"")</f>
        <v/>
      </c>
      <c r="AF116" s="53" t="n"/>
      <c r="AG116" s="53" t="n"/>
      <c r="AH116" s="53" t="n"/>
      <c r="AI116" s="81">
        <f>IF(B116="","",IF(AND(P116="",N116&lt;&gt;"Lump Sum / Quote"),"RESOURCE CODE",IF(Y116=0,"RATE MISSING",IF(AND(O116="Plant",AD116="Yes",COUNTIFS($B$7:$B$306,B116,$O$7:$O$306,"Labour",$Q$7:$Q$306,"*Operator*")&gt;0),"OPERATOR DOUBLE-COUNT",IF(AND(O116="Plant",AE116="Yes",COUNTIFS($B$7:$B$306,B116,$Q$7:$Q$306,"*Fuel*")&gt;0),"FUEL DOUBLE-COUNT",IF(AH116&lt;&gt;"Yes","VERIFY","OK"))))))</f>
        <v/>
      </c>
      <c r="AJ116" s="54" t="n"/>
      <c r="AK116" s="473" t="n"/>
      <c r="AL116" s="473" t="n"/>
      <c r="AM116" s="473" t="n"/>
      <c r="AN116" s="1444">
        <f>IF(AND(AK116="Yes",OR(O116="Labour",O116="Plant")),Z116,0)</f>
        <v/>
      </c>
    </row>
    <row r="117" ht="22.04999923706055" customHeight="1" s="491">
      <c r="A117" s="80">
        <f>IF(B117="","",B117&amp;"-"&amp;TEXT(COUNTIF($B$7:B117,B117),"000"))</f>
        <v/>
      </c>
      <c r="B117" s="53" t="n"/>
      <c r="C117" s="81">
        <f>IFERROR(INDEX('QS Takeoff'!$A$3:$A$202,MATCH(B117,'QS Takeoff'!$B$3:$B$202,0)),"")</f>
        <v/>
      </c>
      <c r="D117" s="81">
        <f>IFERROR(INDEX('QS Takeoff'!$C$3:$C$202,MATCH(B117,'QS Takeoff'!$B$3:$B$202,0)),"")</f>
        <v/>
      </c>
      <c r="E117" s="81">
        <f>IFERROR(INDEX('QS Takeoff'!$E$3:$E$202,MATCH(B117,'QS Takeoff'!$B$3:$B$202,0)),"")</f>
        <v/>
      </c>
      <c r="F117" s="81">
        <f>IFERROR(INDEX('QS Takeoff'!$D$3:$D$202,MATCH(B117,'QS Takeoff'!$B$3:$B$202,0)),"")</f>
        <v/>
      </c>
      <c r="G117" s="81">
        <f>IFERROR(INDEX('QS Takeoff'!$J$3:$J$202,MATCH(B117,'QS Takeoff'!$B$3:$B$202,0)),"")</f>
        <v/>
      </c>
      <c r="H117" s="53" t="n"/>
      <c r="I117" s="60" t="n"/>
      <c r="J117" s="60" t="n"/>
      <c r="K117" s="82">
        <f>IF(OR(B117="",I117="",I117=0),"",E117/I117)</f>
        <v/>
      </c>
      <c r="L117" s="60" t="n"/>
      <c r="M117" s="82">
        <f>IF(L117&gt;0,L117,K117)</f>
        <v/>
      </c>
      <c r="N117" s="53" t="n"/>
      <c r="O117" s="53" t="n"/>
      <c r="P117" s="53" t="n"/>
      <c r="Q117" s="81">
        <f>IFERROR(INDEX('Resource Rate Library'!$C$5:$C$200,MATCH(P117,'Resource Rate Library'!$A$5:$A$200,0)),"")</f>
        <v/>
      </c>
      <c r="R117" s="53" t="n"/>
      <c r="S117" s="53" t="n"/>
      <c r="T117" s="81">
        <f>IFERROR(INDEX('Resource Rate Library'!$E$5:$E$200,MATCH(P117,'Resource Rate Library'!$A$5:$A$200,0)),"")</f>
        <v/>
      </c>
      <c r="U117" s="1441" t="n"/>
      <c r="V117" s="1441" t="n"/>
      <c r="W117" s="1442">
        <f>IFERROR(INDEX('Resource Rate Library'!$I$5:$I$200,MATCH(P117,'Resource Rate Library'!$A$5:$A$200,0)),0)</f>
        <v/>
      </c>
      <c r="X117" s="1443" t="n"/>
      <c r="Y117" s="1442">
        <f>IF(X117&gt;0,X117,W117)</f>
        <v/>
      </c>
      <c r="Z117" s="1442">
        <f>IF(B117="","",IF(N117="Time x Count",M117*R117*IF(U117="",1,U117)*Y117,IF(N117="QS Qty x Factor",E117*R117*(1+IF(V117="",0,V117))*Y117,IF(N117="Direct Qty",S117*(1+IF(V117="",0,V117))*Y117,IF(N117="Lump Sum / Quote",S117*Y117,0)))))</f>
        <v/>
      </c>
      <c r="AA117" s="81">
        <f>IFERROR(INDEX('Resource Rate Library'!$N$5:$N$200,MATCH(P117,'Resource Rate Library'!$A$5:$A$200,0)),"")</f>
        <v/>
      </c>
      <c r="AB117" s="53" t="n"/>
      <c r="AC117" s="59" t="n"/>
      <c r="AD117" s="81">
        <f>IFERROR(INDEX('Resource Rate Library'!$G$5:$G$200,MATCH(P117,'Resource Rate Library'!$A$5:$A$200,0)),"")</f>
        <v/>
      </c>
      <c r="AE117" s="81">
        <f>IFERROR(INDEX('Resource Rate Library'!$H$5:$H$200,MATCH(P117,'Resource Rate Library'!$A$5:$A$200,0)),"")</f>
        <v/>
      </c>
      <c r="AF117" s="53" t="n"/>
      <c r="AG117" s="53" t="n"/>
      <c r="AH117" s="53" t="n"/>
      <c r="AI117" s="81">
        <f>IF(B117="","",IF(AND(P117="",N117&lt;&gt;"Lump Sum / Quote"),"RESOURCE CODE",IF(Y117=0,"RATE MISSING",IF(AND(O117="Plant",AD117="Yes",COUNTIFS($B$7:$B$306,B117,$O$7:$O$306,"Labour",$Q$7:$Q$306,"*Operator*")&gt;0),"OPERATOR DOUBLE-COUNT",IF(AND(O117="Plant",AE117="Yes",COUNTIFS($B$7:$B$306,B117,$Q$7:$Q$306,"*Fuel*")&gt;0),"FUEL DOUBLE-COUNT",IF(AH117&lt;&gt;"Yes","VERIFY","OK"))))))</f>
        <v/>
      </c>
      <c r="AJ117" s="54" t="n"/>
      <c r="AK117" s="473" t="n"/>
      <c r="AL117" s="473" t="n"/>
      <c r="AM117" s="473" t="n"/>
      <c r="AN117" s="1444">
        <f>IF(AND(AK117="Yes",OR(O117="Labour",O117="Plant")),Z117,0)</f>
        <v/>
      </c>
    </row>
    <row r="118" ht="22.04999923706055" customHeight="1" s="491">
      <c r="A118" s="80">
        <f>IF(B118="","",B118&amp;"-"&amp;TEXT(COUNTIF($B$7:B118,B118),"000"))</f>
        <v/>
      </c>
      <c r="B118" s="53" t="n"/>
      <c r="C118" s="81">
        <f>IFERROR(INDEX('QS Takeoff'!$A$3:$A$202,MATCH(B118,'QS Takeoff'!$B$3:$B$202,0)),"")</f>
        <v/>
      </c>
      <c r="D118" s="81">
        <f>IFERROR(INDEX('QS Takeoff'!$C$3:$C$202,MATCH(B118,'QS Takeoff'!$B$3:$B$202,0)),"")</f>
        <v/>
      </c>
      <c r="E118" s="81">
        <f>IFERROR(INDEX('QS Takeoff'!$E$3:$E$202,MATCH(B118,'QS Takeoff'!$B$3:$B$202,0)),"")</f>
        <v/>
      </c>
      <c r="F118" s="81">
        <f>IFERROR(INDEX('QS Takeoff'!$D$3:$D$202,MATCH(B118,'QS Takeoff'!$B$3:$B$202,0)),"")</f>
        <v/>
      </c>
      <c r="G118" s="81">
        <f>IFERROR(INDEX('QS Takeoff'!$J$3:$J$202,MATCH(B118,'QS Takeoff'!$B$3:$B$202,0)),"")</f>
        <v/>
      </c>
      <c r="H118" s="53" t="n"/>
      <c r="I118" s="60" t="n"/>
      <c r="J118" s="60" t="n"/>
      <c r="K118" s="82">
        <f>IF(OR(B118="",I118="",I118=0),"",E118/I118)</f>
        <v/>
      </c>
      <c r="L118" s="60" t="n"/>
      <c r="M118" s="82">
        <f>IF(L118&gt;0,L118,K118)</f>
        <v/>
      </c>
      <c r="N118" s="53" t="n"/>
      <c r="O118" s="53" t="n"/>
      <c r="P118" s="53" t="n"/>
      <c r="Q118" s="81">
        <f>IFERROR(INDEX('Resource Rate Library'!$C$5:$C$200,MATCH(P118,'Resource Rate Library'!$A$5:$A$200,0)),"")</f>
        <v/>
      </c>
      <c r="R118" s="53" t="n"/>
      <c r="S118" s="53" t="n"/>
      <c r="T118" s="81">
        <f>IFERROR(INDEX('Resource Rate Library'!$E$5:$E$200,MATCH(P118,'Resource Rate Library'!$A$5:$A$200,0)),"")</f>
        <v/>
      </c>
      <c r="U118" s="1441" t="n"/>
      <c r="V118" s="1441" t="n"/>
      <c r="W118" s="1442">
        <f>IFERROR(INDEX('Resource Rate Library'!$I$5:$I$200,MATCH(P118,'Resource Rate Library'!$A$5:$A$200,0)),0)</f>
        <v/>
      </c>
      <c r="X118" s="1443" t="n"/>
      <c r="Y118" s="1442">
        <f>IF(X118&gt;0,X118,W118)</f>
        <v/>
      </c>
      <c r="Z118" s="1442">
        <f>IF(B118="","",IF(N118="Time x Count",M118*R118*IF(U118="",1,U118)*Y118,IF(N118="QS Qty x Factor",E118*R118*(1+IF(V118="",0,V118))*Y118,IF(N118="Direct Qty",S118*(1+IF(V118="",0,V118))*Y118,IF(N118="Lump Sum / Quote",S118*Y118,0)))))</f>
        <v/>
      </c>
      <c r="AA118" s="81">
        <f>IFERROR(INDEX('Resource Rate Library'!$N$5:$N$200,MATCH(P118,'Resource Rate Library'!$A$5:$A$200,0)),"")</f>
        <v/>
      </c>
      <c r="AB118" s="53" t="n"/>
      <c r="AC118" s="59" t="n"/>
      <c r="AD118" s="81">
        <f>IFERROR(INDEX('Resource Rate Library'!$G$5:$G$200,MATCH(P118,'Resource Rate Library'!$A$5:$A$200,0)),"")</f>
        <v/>
      </c>
      <c r="AE118" s="81">
        <f>IFERROR(INDEX('Resource Rate Library'!$H$5:$H$200,MATCH(P118,'Resource Rate Library'!$A$5:$A$200,0)),"")</f>
        <v/>
      </c>
      <c r="AF118" s="53" t="n"/>
      <c r="AG118" s="53" t="n"/>
      <c r="AH118" s="53" t="n"/>
      <c r="AI118" s="81">
        <f>IF(B118="","",IF(AND(P118="",N118&lt;&gt;"Lump Sum / Quote"),"RESOURCE CODE",IF(Y118=0,"RATE MISSING",IF(AND(O118="Plant",AD118="Yes",COUNTIFS($B$7:$B$306,B118,$O$7:$O$306,"Labour",$Q$7:$Q$306,"*Operator*")&gt;0),"OPERATOR DOUBLE-COUNT",IF(AND(O118="Plant",AE118="Yes",COUNTIFS($B$7:$B$306,B118,$Q$7:$Q$306,"*Fuel*")&gt;0),"FUEL DOUBLE-COUNT",IF(AH118&lt;&gt;"Yes","VERIFY","OK"))))))</f>
        <v/>
      </c>
      <c r="AJ118" s="54" t="n"/>
      <c r="AK118" s="473" t="n"/>
      <c r="AL118" s="473" t="n"/>
      <c r="AM118" s="473" t="n"/>
      <c r="AN118" s="1444">
        <f>IF(AND(AK118="Yes",OR(O118="Labour",O118="Plant")),Z118,0)</f>
        <v/>
      </c>
    </row>
    <row r="119" ht="22.04999923706055" customHeight="1" s="491">
      <c r="A119" s="80">
        <f>IF(B119="","",B119&amp;"-"&amp;TEXT(COUNTIF($B$7:B119,B119),"000"))</f>
        <v/>
      </c>
      <c r="B119" s="53" t="n"/>
      <c r="C119" s="81">
        <f>IFERROR(INDEX('QS Takeoff'!$A$3:$A$202,MATCH(B119,'QS Takeoff'!$B$3:$B$202,0)),"")</f>
        <v/>
      </c>
      <c r="D119" s="81">
        <f>IFERROR(INDEX('QS Takeoff'!$C$3:$C$202,MATCH(B119,'QS Takeoff'!$B$3:$B$202,0)),"")</f>
        <v/>
      </c>
      <c r="E119" s="81">
        <f>IFERROR(INDEX('QS Takeoff'!$E$3:$E$202,MATCH(B119,'QS Takeoff'!$B$3:$B$202,0)),"")</f>
        <v/>
      </c>
      <c r="F119" s="81">
        <f>IFERROR(INDEX('QS Takeoff'!$D$3:$D$202,MATCH(B119,'QS Takeoff'!$B$3:$B$202,0)),"")</f>
        <v/>
      </c>
      <c r="G119" s="81">
        <f>IFERROR(INDEX('QS Takeoff'!$J$3:$J$202,MATCH(B119,'QS Takeoff'!$B$3:$B$202,0)),"")</f>
        <v/>
      </c>
      <c r="H119" s="53" t="n"/>
      <c r="I119" s="60" t="n"/>
      <c r="J119" s="60" t="n"/>
      <c r="K119" s="82">
        <f>IF(OR(B119="",I119="",I119=0),"",E119/I119)</f>
        <v/>
      </c>
      <c r="L119" s="60" t="n"/>
      <c r="M119" s="82">
        <f>IF(L119&gt;0,L119,K119)</f>
        <v/>
      </c>
      <c r="N119" s="53" t="n"/>
      <c r="O119" s="53" t="n"/>
      <c r="P119" s="53" t="n"/>
      <c r="Q119" s="81">
        <f>IFERROR(INDEX('Resource Rate Library'!$C$5:$C$200,MATCH(P119,'Resource Rate Library'!$A$5:$A$200,0)),"")</f>
        <v/>
      </c>
      <c r="R119" s="53" t="n"/>
      <c r="S119" s="53" t="n"/>
      <c r="T119" s="81">
        <f>IFERROR(INDEX('Resource Rate Library'!$E$5:$E$200,MATCH(P119,'Resource Rate Library'!$A$5:$A$200,0)),"")</f>
        <v/>
      </c>
      <c r="U119" s="1441" t="n"/>
      <c r="V119" s="1441" t="n"/>
      <c r="W119" s="1442">
        <f>IFERROR(INDEX('Resource Rate Library'!$I$5:$I$200,MATCH(P119,'Resource Rate Library'!$A$5:$A$200,0)),0)</f>
        <v/>
      </c>
      <c r="X119" s="1443" t="n"/>
      <c r="Y119" s="1442">
        <f>IF(X119&gt;0,X119,W119)</f>
        <v/>
      </c>
      <c r="Z119" s="1442">
        <f>IF(B119="","",IF(N119="Time x Count",M119*R119*IF(U119="",1,U119)*Y119,IF(N119="QS Qty x Factor",E119*R119*(1+IF(V119="",0,V119))*Y119,IF(N119="Direct Qty",S119*(1+IF(V119="",0,V119))*Y119,IF(N119="Lump Sum / Quote",S119*Y119,0)))))</f>
        <v/>
      </c>
      <c r="AA119" s="81">
        <f>IFERROR(INDEX('Resource Rate Library'!$N$5:$N$200,MATCH(P119,'Resource Rate Library'!$A$5:$A$200,0)),"")</f>
        <v/>
      </c>
      <c r="AB119" s="53" t="n"/>
      <c r="AC119" s="59" t="n"/>
      <c r="AD119" s="81">
        <f>IFERROR(INDEX('Resource Rate Library'!$G$5:$G$200,MATCH(P119,'Resource Rate Library'!$A$5:$A$200,0)),"")</f>
        <v/>
      </c>
      <c r="AE119" s="81">
        <f>IFERROR(INDEX('Resource Rate Library'!$H$5:$H$200,MATCH(P119,'Resource Rate Library'!$A$5:$A$200,0)),"")</f>
        <v/>
      </c>
      <c r="AF119" s="53" t="n"/>
      <c r="AG119" s="53" t="n"/>
      <c r="AH119" s="53" t="n"/>
      <c r="AI119" s="81">
        <f>IF(B119="","",IF(AND(P119="",N119&lt;&gt;"Lump Sum / Quote"),"RESOURCE CODE",IF(Y119=0,"RATE MISSING",IF(AND(O119="Plant",AD119="Yes",COUNTIFS($B$7:$B$306,B119,$O$7:$O$306,"Labour",$Q$7:$Q$306,"*Operator*")&gt;0),"OPERATOR DOUBLE-COUNT",IF(AND(O119="Plant",AE119="Yes",COUNTIFS($B$7:$B$306,B119,$Q$7:$Q$306,"*Fuel*")&gt;0),"FUEL DOUBLE-COUNT",IF(AH119&lt;&gt;"Yes","VERIFY","OK"))))))</f>
        <v/>
      </c>
      <c r="AJ119" s="54" t="n"/>
      <c r="AK119" s="473" t="n"/>
      <c r="AL119" s="473" t="n"/>
      <c r="AM119" s="473" t="n"/>
      <c r="AN119" s="1444">
        <f>IF(AND(AK119="Yes",OR(O119="Labour",O119="Plant")),Z119,0)</f>
        <v/>
      </c>
    </row>
    <row r="120" ht="22.04999923706055" customHeight="1" s="491">
      <c r="A120" s="80">
        <f>IF(B120="","",B120&amp;"-"&amp;TEXT(COUNTIF($B$7:B120,B120),"000"))</f>
        <v/>
      </c>
      <c r="B120" s="53" t="n"/>
      <c r="C120" s="81">
        <f>IFERROR(INDEX('QS Takeoff'!$A$3:$A$202,MATCH(B120,'QS Takeoff'!$B$3:$B$202,0)),"")</f>
        <v/>
      </c>
      <c r="D120" s="81">
        <f>IFERROR(INDEX('QS Takeoff'!$C$3:$C$202,MATCH(B120,'QS Takeoff'!$B$3:$B$202,0)),"")</f>
        <v/>
      </c>
      <c r="E120" s="81">
        <f>IFERROR(INDEX('QS Takeoff'!$E$3:$E$202,MATCH(B120,'QS Takeoff'!$B$3:$B$202,0)),"")</f>
        <v/>
      </c>
      <c r="F120" s="81">
        <f>IFERROR(INDEX('QS Takeoff'!$D$3:$D$202,MATCH(B120,'QS Takeoff'!$B$3:$B$202,0)),"")</f>
        <v/>
      </c>
      <c r="G120" s="81">
        <f>IFERROR(INDEX('QS Takeoff'!$J$3:$J$202,MATCH(B120,'QS Takeoff'!$B$3:$B$202,0)),"")</f>
        <v/>
      </c>
      <c r="H120" s="53" t="n"/>
      <c r="I120" s="60" t="n"/>
      <c r="J120" s="60" t="n"/>
      <c r="K120" s="82">
        <f>IF(OR(B120="",I120="",I120=0),"",E120/I120)</f>
        <v/>
      </c>
      <c r="L120" s="60" t="n"/>
      <c r="M120" s="82">
        <f>IF(L120&gt;0,L120,K120)</f>
        <v/>
      </c>
      <c r="N120" s="53" t="n"/>
      <c r="O120" s="53" t="n"/>
      <c r="P120" s="53" t="n"/>
      <c r="Q120" s="81">
        <f>IFERROR(INDEX('Resource Rate Library'!$C$5:$C$200,MATCH(P120,'Resource Rate Library'!$A$5:$A$200,0)),"")</f>
        <v/>
      </c>
      <c r="R120" s="53" t="n"/>
      <c r="S120" s="53" t="n"/>
      <c r="T120" s="81">
        <f>IFERROR(INDEX('Resource Rate Library'!$E$5:$E$200,MATCH(P120,'Resource Rate Library'!$A$5:$A$200,0)),"")</f>
        <v/>
      </c>
      <c r="U120" s="1441" t="n"/>
      <c r="V120" s="1441" t="n"/>
      <c r="W120" s="1442">
        <f>IFERROR(INDEX('Resource Rate Library'!$I$5:$I$200,MATCH(P120,'Resource Rate Library'!$A$5:$A$200,0)),0)</f>
        <v/>
      </c>
      <c r="X120" s="1443" t="n"/>
      <c r="Y120" s="1442">
        <f>IF(X120&gt;0,X120,W120)</f>
        <v/>
      </c>
      <c r="Z120" s="1442">
        <f>IF(B120="","",IF(N120="Time x Count",M120*R120*IF(U120="",1,U120)*Y120,IF(N120="QS Qty x Factor",E120*R120*(1+IF(V120="",0,V120))*Y120,IF(N120="Direct Qty",S120*(1+IF(V120="",0,V120))*Y120,IF(N120="Lump Sum / Quote",S120*Y120,0)))))</f>
        <v/>
      </c>
      <c r="AA120" s="81">
        <f>IFERROR(INDEX('Resource Rate Library'!$N$5:$N$200,MATCH(P120,'Resource Rate Library'!$A$5:$A$200,0)),"")</f>
        <v/>
      </c>
      <c r="AB120" s="53" t="n"/>
      <c r="AC120" s="59" t="n"/>
      <c r="AD120" s="81">
        <f>IFERROR(INDEX('Resource Rate Library'!$G$5:$G$200,MATCH(P120,'Resource Rate Library'!$A$5:$A$200,0)),"")</f>
        <v/>
      </c>
      <c r="AE120" s="81">
        <f>IFERROR(INDEX('Resource Rate Library'!$H$5:$H$200,MATCH(P120,'Resource Rate Library'!$A$5:$A$200,0)),"")</f>
        <v/>
      </c>
      <c r="AF120" s="53" t="n"/>
      <c r="AG120" s="53" t="n"/>
      <c r="AH120" s="53" t="n"/>
      <c r="AI120" s="81">
        <f>IF(B120="","",IF(AND(P120="",N120&lt;&gt;"Lump Sum / Quote"),"RESOURCE CODE",IF(Y120=0,"RATE MISSING",IF(AND(O120="Plant",AD120="Yes",COUNTIFS($B$7:$B$306,B120,$O$7:$O$306,"Labour",$Q$7:$Q$306,"*Operator*")&gt;0),"OPERATOR DOUBLE-COUNT",IF(AND(O120="Plant",AE120="Yes",COUNTIFS($B$7:$B$306,B120,$Q$7:$Q$306,"*Fuel*")&gt;0),"FUEL DOUBLE-COUNT",IF(AH120&lt;&gt;"Yes","VERIFY","OK"))))))</f>
        <v/>
      </c>
      <c r="AJ120" s="54" t="n"/>
      <c r="AK120" s="473" t="n"/>
      <c r="AL120" s="473" t="n"/>
      <c r="AM120" s="473" t="n"/>
      <c r="AN120" s="1444">
        <f>IF(AND(AK120="Yes",OR(O120="Labour",O120="Plant")),Z120,0)</f>
        <v/>
      </c>
    </row>
    <row r="121" ht="22.04999923706055" customHeight="1" s="491">
      <c r="A121" s="80">
        <f>IF(B121="","",B121&amp;"-"&amp;TEXT(COUNTIF($B$7:B121,B121),"000"))</f>
        <v/>
      </c>
      <c r="B121" s="53" t="n"/>
      <c r="C121" s="81">
        <f>IFERROR(INDEX('QS Takeoff'!$A$3:$A$202,MATCH(B121,'QS Takeoff'!$B$3:$B$202,0)),"")</f>
        <v/>
      </c>
      <c r="D121" s="81">
        <f>IFERROR(INDEX('QS Takeoff'!$C$3:$C$202,MATCH(B121,'QS Takeoff'!$B$3:$B$202,0)),"")</f>
        <v/>
      </c>
      <c r="E121" s="81">
        <f>IFERROR(INDEX('QS Takeoff'!$E$3:$E$202,MATCH(B121,'QS Takeoff'!$B$3:$B$202,0)),"")</f>
        <v/>
      </c>
      <c r="F121" s="81">
        <f>IFERROR(INDEX('QS Takeoff'!$D$3:$D$202,MATCH(B121,'QS Takeoff'!$B$3:$B$202,0)),"")</f>
        <v/>
      </c>
      <c r="G121" s="81">
        <f>IFERROR(INDEX('QS Takeoff'!$J$3:$J$202,MATCH(B121,'QS Takeoff'!$B$3:$B$202,0)),"")</f>
        <v/>
      </c>
      <c r="H121" s="53" t="n"/>
      <c r="I121" s="60" t="n"/>
      <c r="J121" s="60" t="n"/>
      <c r="K121" s="82">
        <f>IF(OR(B121="",I121="",I121=0),"",E121/I121)</f>
        <v/>
      </c>
      <c r="L121" s="60" t="n"/>
      <c r="M121" s="82">
        <f>IF(L121&gt;0,L121,K121)</f>
        <v/>
      </c>
      <c r="N121" s="53" t="n"/>
      <c r="O121" s="53" t="n"/>
      <c r="P121" s="53" t="n"/>
      <c r="Q121" s="81">
        <f>IFERROR(INDEX('Resource Rate Library'!$C$5:$C$200,MATCH(P121,'Resource Rate Library'!$A$5:$A$200,0)),"")</f>
        <v/>
      </c>
      <c r="R121" s="53" t="n"/>
      <c r="S121" s="53" t="n"/>
      <c r="T121" s="81">
        <f>IFERROR(INDEX('Resource Rate Library'!$E$5:$E$200,MATCH(P121,'Resource Rate Library'!$A$5:$A$200,0)),"")</f>
        <v/>
      </c>
      <c r="U121" s="1441" t="n"/>
      <c r="V121" s="1441" t="n"/>
      <c r="W121" s="1442">
        <f>IFERROR(INDEX('Resource Rate Library'!$I$5:$I$200,MATCH(P121,'Resource Rate Library'!$A$5:$A$200,0)),0)</f>
        <v/>
      </c>
      <c r="X121" s="1443" t="n"/>
      <c r="Y121" s="1442">
        <f>IF(X121&gt;0,X121,W121)</f>
        <v/>
      </c>
      <c r="Z121" s="1442">
        <f>IF(B121="","",IF(N121="Time x Count",M121*R121*IF(U121="",1,U121)*Y121,IF(N121="QS Qty x Factor",E121*R121*(1+IF(V121="",0,V121))*Y121,IF(N121="Direct Qty",S121*(1+IF(V121="",0,V121))*Y121,IF(N121="Lump Sum / Quote",S121*Y121,0)))))</f>
        <v/>
      </c>
      <c r="AA121" s="81">
        <f>IFERROR(INDEX('Resource Rate Library'!$N$5:$N$200,MATCH(P121,'Resource Rate Library'!$A$5:$A$200,0)),"")</f>
        <v/>
      </c>
      <c r="AB121" s="53" t="n"/>
      <c r="AC121" s="59" t="n"/>
      <c r="AD121" s="81">
        <f>IFERROR(INDEX('Resource Rate Library'!$G$5:$G$200,MATCH(P121,'Resource Rate Library'!$A$5:$A$200,0)),"")</f>
        <v/>
      </c>
      <c r="AE121" s="81">
        <f>IFERROR(INDEX('Resource Rate Library'!$H$5:$H$200,MATCH(P121,'Resource Rate Library'!$A$5:$A$200,0)),"")</f>
        <v/>
      </c>
      <c r="AF121" s="53" t="n"/>
      <c r="AG121" s="53" t="n"/>
      <c r="AH121" s="53" t="n"/>
      <c r="AI121" s="81">
        <f>IF(B121="","",IF(AND(P121="",N121&lt;&gt;"Lump Sum / Quote"),"RESOURCE CODE",IF(Y121=0,"RATE MISSING",IF(AND(O121="Plant",AD121="Yes",COUNTIFS($B$7:$B$306,B121,$O$7:$O$306,"Labour",$Q$7:$Q$306,"*Operator*")&gt;0),"OPERATOR DOUBLE-COUNT",IF(AND(O121="Plant",AE121="Yes",COUNTIFS($B$7:$B$306,B121,$Q$7:$Q$306,"*Fuel*")&gt;0),"FUEL DOUBLE-COUNT",IF(AH121&lt;&gt;"Yes","VERIFY","OK"))))))</f>
        <v/>
      </c>
      <c r="AJ121" s="54" t="n"/>
      <c r="AK121" s="473" t="n"/>
      <c r="AL121" s="473" t="n"/>
      <c r="AM121" s="473" t="n"/>
      <c r="AN121" s="1444">
        <f>IF(AND(AK121="Yes",OR(O121="Labour",O121="Plant")),Z121,0)</f>
        <v/>
      </c>
    </row>
    <row r="122" ht="22.04999923706055" customHeight="1" s="491">
      <c r="A122" s="80">
        <f>IF(B122="","",B122&amp;"-"&amp;TEXT(COUNTIF($B$7:B122,B122),"000"))</f>
        <v/>
      </c>
      <c r="B122" s="53" t="n"/>
      <c r="C122" s="81">
        <f>IFERROR(INDEX('QS Takeoff'!$A$3:$A$202,MATCH(B122,'QS Takeoff'!$B$3:$B$202,0)),"")</f>
        <v/>
      </c>
      <c r="D122" s="81">
        <f>IFERROR(INDEX('QS Takeoff'!$C$3:$C$202,MATCH(B122,'QS Takeoff'!$B$3:$B$202,0)),"")</f>
        <v/>
      </c>
      <c r="E122" s="81">
        <f>IFERROR(INDEX('QS Takeoff'!$E$3:$E$202,MATCH(B122,'QS Takeoff'!$B$3:$B$202,0)),"")</f>
        <v/>
      </c>
      <c r="F122" s="81">
        <f>IFERROR(INDEX('QS Takeoff'!$D$3:$D$202,MATCH(B122,'QS Takeoff'!$B$3:$B$202,0)),"")</f>
        <v/>
      </c>
      <c r="G122" s="81">
        <f>IFERROR(INDEX('QS Takeoff'!$J$3:$J$202,MATCH(B122,'QS Takeoff'!$B$3:$B$202,0)),"")</f>
        <v/>
      </c>
      <c r="H122" s="53" t="n"/>
      <c r="I122" s="60" t="n"/>
      <c r="J122" s="60" t="n"/>
      <c r="K122" s="82">
        <f>IF(OR(B122="",I122="",I122=0),"",E122/I122)</f>
        <v/>
      </c>
      <c r="L122" s="60" t="n"/>
      <c r="M122" s="82">
        <f>IF(L122&gt;0,L122,K122)</f>
        <v/>
      </c>
      <c r="N122" s="53" t="n"/>
      <c r="O122" s="53" t="n"/>
      <c r="P122" s="53" t="n"/>
      <c r="Q122" s="81">
        <f>IFERROR(INDEX('Resource Rate Library'!$C$5:$C$200,MATCH(P122,'Resource Rate Library'!$A$5:$A$200,0)),"")</f>
        <v/>
      </c>
      <c r="R122" s="53" t="n"/>
      <c r="S122" s="53" t="n"/>
      <c r="T122" s="81">
        <f>IFERROR(INDEX('Resource Rate Library'!$E$5:$E$200,MATCH(P122,'Resource Rate Library'!$A$5:$A$200,0)),"")</f>
        <v/>
      </c>
      <c r="U122" s="1441" t="n"/>
      <c r="V122" s="1441" t="n"/>
      <c r="W122" s="1442">
        <f>IFERROR(INDEX('Resource Rate Library'!$I$5:$I$200,MATCH(P122,'Resource Rate Library'!$A$5:$A$200,0)),0)</f>
        <v/>
      </c>
      <c r="X122" s="1443" t="n"/>
      <c r="Y122" s="1442">
        <f>IF(X122&gt;0,X122,W122)</f>
        <v/>
      </c>
      <c r="Z122" s="1442">
        <f>IF(B122="","",IF(N122="Time x Count",M122*R122*IF(U122="",1,U122)*Y122,IF(N122="QS Qty x Factor",E122*R122*(1+IF(V122="",0,V122))*Y122,IF(N122="Direct Qty",S122*(1+IF(V122="",0,V122))*Y122,IF(N122="Lump Sum / Quote",S122*Y122,0)))))</f>
        <v/>
      </c>
      <c r="AA122" s="81">
        <f>IFERROR(INDEX('Resource Rate Library'!$N$5:$N$200,MATCH(P122,'Resource Rate Library'!$A$5:$A$200,0)),"")</f>
        <v/>
      </c>
      <c r="AB122" s="53" t="n"/>
      <c r="AC122" s="59" t="n"/>
      <c r="AD122" s="81">
        <f>IFERROR(INDEX('Resource Rate Library'!$G$5:$G$200,MATCH(P122,'Resource Rate Library'!$A$5:$A$200,0)),"")</f>
        <v/>
      </c>
      <c r="AE122" s="81">
        <f>IFERROR(INDEX('Resource Rate Library'!$H$5:$H$200,MATCH(P122,'Resource Rate Library'!$A$5:$A$200,0)),"")</f>
        <v/>
      </c>
      <c r="AF122" s="53" t="n"/>
      <c r="AG122" s="53" t="n"/>
      <c r="AH122" s="53" t="n"/>
      <c r="AI122" s="81">
        <f>IF(B122="","",IF(AND(P122="",N122&lt;&gt;"Lump Sum / Quote"),"RESOURCE CODE",IF(Y122=0,"RATE MISSING",IF(AND(O122="Plant",AD122="Yes",COUNTIFS($B$7:$B$306,B122,$O$7:$O$306,"Labour",$Q$7:$Q$306,"*Operator*")&gt;0),"OPERATOR DOUBLE-COUNT",IF(AND(O122="Plant",AE122="Yes",COUNTIFS($B$7:$B$306,B122,$Q$7:$Q$306,"*Fuel*")&gt;0),"FUEL DOUBLE-COUNT",IF(AH122&lt;&gt;"Yes","VERIFY","OK"))))))</f>
        <v/>
      </c>
      <c r="AJ122" s="54" t="n"/>
      <c r="AK122" s="473" t="n"/>
      <c r="AL122" s="473" t="n"/>
      <c r="AM122" s="473" t="n"/>
      <c r="AN122" s="1444">
        <f>IF(AND(AK122="Yes",OR(O122="Labour",O122="Plant")),Z122,0)</f>
        <v/>
      </c>
    </row>
    <row r="123" ht="22.04999923706055" customHeight="1" s="491">
      <c r="A123" s="80">
        <f>IF(B123="","",B123&amp;"-"&amp;TEXT(COUNTIF($B$7:B123,B123),"000"))</f>
        <v/>
      </c>
      <c r="B123" s="53" t="n"/>
      <c r="C123" s="81">
        <f>IFERROR(INDEX('QS Takeoff'!$A$3:$A$202,MATCH(B123,'QS Takeoff'!$B$3:$B$202,0)),"")</f>
        <v/>
      </c>
      <c r="D123" s="81">
        <f>IFERROR(INDEX('QS Takeoff'!$C$3:$C$202,MATCH(B123,'QS Takeoff'!$B$3:$B$202,0)),"")</f>
        <v/>
      </c>
      <c r="E123" s="81">
        <f>IFERROR(INDEX('QS Takeoff'!$E$3:$E$202,MATCH(B123,'QS Takeoff'!$B$3:$B$202,0)),"")</f>
        <v/>
      </c>
      <c r="F123" s="81">
        <f>IFERROR(INDEX('QS Takeoff'!$D$3:$D$202,MATCH(B123,'QS Takeoff'!$B$3:$B$202,0)),"")</f>
        <v/>
      </c>
      <c r="G123" s="81">
        <f>IFERROR(INDEX('QS Takeoff'!$J$3:$J$202,MATCH(B123,'QS Takeoff'!$B$3:$B$202,0)),"")</f>
        <v/>
      </c>
      <c r="H123" s="53" t="n"/>
      <c r="I123" s="60" t="n"/>
      <c r="J123" s="60" t="n"/>
      <c r="K123" s="82">
        <f>IF(OR(B123="",I123="",I123=0),"",E123/I123)</f>
        <v/>
      </c>
      <c r="L123" s="60" t="n"/>
      <c r="M123" s="82">
        <f>IF(L123&gt;0,L123,K123)</f>
        <v/>
      </c>
      <c r="N123" s="53" t="n"/>
      <c r="O123" s="53" t="n"/>
      <c r="P123" s="53" t="n"/>
      <c r="Q123" s="81">
        <f>IFERROR(INDEX('Resource Rate Library'!$C$5:$C$200,MATCH(P123,'Resource Rate Library'!$A$5:$A$200,0)),"")</f>
        <v/>
      </c>
      <c r="R123" s="53" t="n"/>
      <c r="S123" s="53" t="n"/>
      <c r="T123" s="81">
        <f>IFERROR(INDEX('Resource Rate Library'!$E$5:$E$200,MATCH(P123,'Resource Rate Library'!$A$5:$A$200,0)),"")</f>
        <v/>
      </c>
      <c r="U123" s="1441" t="n"/>
      <c r="V123" s="1441" t="n"/>
      <c r="W123" s="1442">
        <f>IFERROR(INDEX('Resource Rate Library'!$I$5:$I$200,MATCH(P123,'Resource Rate Library'!$A$5:$A$200,0)),0)</f>
        <v/>
      </c>
      <c r="X123" s="1443" t="n"/>
      <c r="Y123" s="1442">
        <f>IF(X123&gt;0,X123,W123)</f>
        <v/>
      </c>
      <c r="Z123" s="1442">
        <f>IF(B123="","",IF(N123="Time x Count",M123*R123*IF(U123="",1,U123)*Y123,IF(N123="QS Qty x Factor",E123*R123*(1+IF(V123="",0,V123))*Y123,IF(N123="Direct Qty",S123*(1+IF(V123="",0,V123))*Y123,IF(N123="Lump Sum / Quote",S123*Y123,0)))))</f>
        <v/>
      </c>
      <c r="AA123" s="81">
        <f>IFERROR(INDEX('Resource Rate Library'!$N$5:$N$200,MATCH(P123,'Resource Rate Library'!$A$5:$A$200,0)),"")</f>
        <v/>
      </c>
      <c r="AB123" s="53" t="n"/>
      <c r="AC123" s="59" t="n"/>
      <c r="AD123" s="81">
        <f>IFERROR(INDEX('Resource Rate Library'!$G$5:$G$200,MATCH(P123,'Resource Rate Library'!$A$5:$A$200,0)),"")</f>
        <v/>
      </c>
      <c r="AE123" s="81">
        <f>IFERROR(INDEX('Resource Rate Library'!$H$5:$H$200,MATCH(P123,'Resource Rate Library'!$A$5:$A$200,0)),"")</f>
        <v/>
      </c>
      <c r="AF123" s="53" t="n"/>
      <c r="AG123" s="53" t="n"/>
      <c r="AH123" s="53" t="n"/>
      <c r="AI123" s="81">
        <f>IF(B123="","",IF(AND(P123="",N123&lt;&gt;"Lump Sum / Quote"),"RESOURCE CODE",IF(Y123=0,"RATE MISSING",IF(AND(O123="Plant",AD123="Yes",COUNTIFS($B$7:$B$306,B123,$O$7:$O$306,"Labour",$Q$7:$Q$306,"*Operator*")&gt;0),"OPERATOR DOUBLE-COUNT",IF(AND(O123="Plant",AE123="Yes",COUNTIFS($B$7:$B$306,B123,$Q$7:$Q$306,"*Fuel*")&gt;0),"FUEL DOUBLE-COUNT",IF(AH123&lt;&gt;"Yes","VERIFY","OK"))))))</f>
        <v/>
      </c>
      <c r="AJ123" s="54" t="n"/>
      <c r="AK123" s="473" t="n"/>
      <c r="AL123" s="473" t="n"/>
      <c r="AM123" s="473" t="n"/>
      <c r="AN123" s="1444">
        <f>IF(AND(AK123="Yes",OR(O123="Labour",O123="Plant")),Z123,0)</f>
        <v/>
      </c>
    </row>
    <row r="124" ht="22.04999923706055" customHeight="1" s="491">
      <c r="A124" s="80">
        <f>IF(B124="","",B124&amp;"-"&amp;TEXT(COUNTIF($B$7:B124,B124),"000"))</f>
        <v/>
      </c>
      <c r="B124" s="53" t="n"/>
      <c r="C124" s="81">
        <f>IFERROR(INDEX('QS Takeoff'!$A$3:$A$202,MATCH(B124,'QS Takeoff'!$B$3:$B$202,0)),"")</f>
        <v/>
      </c>
      <c r="D124" s="81">
        <f>IFERROR(INDEX('QS Takeoff'!$C$3:$C$202,MATCH(B124,'QS Takeoff'!$B$3:$B$202,0)),"")</f>
        <v/>
      </c>
      <c r="E124" s="81">
        <f>IFERROR(INDEX('QS Takeoff'!$E$3:$E$202,MATCH(B124,'QS Takeoff'!$B$3:$B$202,0)),"")</f>
        <v/>
      </c>
      <c r="F124" s="81">
        <f>IFERROR(INDEX('QS Takeoff'!$D$3:$D$202,MATCH(B124,'QS Takeoff'!$B$3:$B$202,0)),"")</f>
        <v/>
      </c>
      <c r="G124" s="81">
        <f>IFERROR(INDEX('QS Takeoff'!$J$3:$J$202,MATCH(B124,'QS Takeoff'!$B$3:$B$202,0)),"")</f>
        <v/>
      </c>
      <c r="H124" s="53" t="n"/>
      <c r="I124" s="60" t="n"/>
      <c r="J124" s="60" t="n"/>
      <c r="K124" s="82">
        <f>IF(OR(B124="",I124="",I124=0),"",E124/I124)</f>
        <v/>
      </c>
      <c r="L124" s="60" t="n"/>
      <c r="M124" s="82">
        <f>IF(L124&gt;0,L124,K124)</f>
        <v/>
      </c>
      <c r="N124" s="53" t="n"/>
      <c r="O124" s="53" t="n"/>
      <c r="P124" s="53" t="n"/>
      <c r="Q124" s="81">
        <f>IFERROR(INDEX('Resource Rate Library'!$C$5:$C$200,MATCH(P124,'Resource Rate Library'!$A$5:$A$200,0)),"")</f>
        <v/>
      </c>
      <c r="R124" s="53" t="n"/>
      <c r="S124" s="53" t="n"/>
      <c r="T124" s="81">
        <f>IFERROR(INDEX('Resource Rate Library'!$E$5:$E$200,MATCH(P124,'Resource Rate Library'!$A$5:$A$200,0)),"")</f>
        <v/>
      </c>
      <c r="U124" s="1441" t="n"/>
      <c r="V124" s="1441" t="n"/>
      <c r="W124" s="1442">
        <f>IFERROR(INDEX('Resource Rate Library'!$I$5:$I$200,MATCH(P124,'Resource Rate Library'!$A$5:$A$200,0)),0)</f>
        <v/>
      </c>
      <c r="X124" s="1443" t="n"/>
      <c r="Y124" s="1442">
        <f>IF(X124&gt;0,X124,W124)</f>
        <v/>
      </c>
      <c r="Z124" s="1442">
        <f>IF(B124="","",IF(N124="Time x Count",M124*R124*IF(U124="",1,U124)*Y124,IF(N124="QS Qty x Factor",E124*R124*(1+IF(V124="",0,V124))*Y124,IF(N124="Direct Qty",S124*(1+IF(V124="",0,V124))*Y124,IF(N124="Lump Sum / Quote",S124*Y124,0)))))</f>
        <v/>
      </c>
      <c r="AA124" s="81">
        <f>IFERROR(INDEX('Resource Rate Library'!$N$5:$N$200,MATCH(P124,'Resource Rate Library'!$A$5:$A$200,0)),"")</f>
        <v/>
      </c>
      <c r="AB124" s="53" t="n"/>
      <c r="AC124" s="59" t="n"/>
      <c r="AD124" s="81">
        <f>IFERROR(INDEX('Resource Rate Library'!$G$5:$G$200,MATCH(P124,'Resource Rate Library'!$A$5:$A$200,0)),"")</f>
        <v/>
      </c>
      <c r="AE124" s="81">
        <f>IFERROR(INDEX('Resource Rate Library'!$H$5:$H$200,MATCH(P124,'Resource Rate Library'!$A$5:$A$200,0)),"")</f>
        <v/>
      </c>
      <c r="AF124" s="53" t="n"/>
      <c r="AG124" s="53" t="n"/>
      <c r="AH124" s="53" t="n"/>
      <c r="AI124" s="81">
        <f>IF(B124="","",IF(AND(P124="",N124&lt;&gt;"Lump Sum / Quote"),"RESOURCE CODE",IF(Y124=0,"RATE MISSING",IF(AND(O124="Plant",AD124="Yes",COUNTIFS($B$7:$B$306,B124,$O$7:$O$306,"Labour",$Q$7:$Q$306,"*Operator*")&gt;0),"OPERATOR DOUBLE-COUNT",IF(AND(O124="Plant",AE124="Yes",COUNTIFS($B$7:$B$306,B124,$Q$7:$Q$306,"*Fuel*")&gt;0),"FUEL DOUBLE-COUNT",IF(AH124&lt;&gt;"Yes","VERIFY","OK"))))))</f>
        <v/>
      </c>
      <c r="AJ124" s="54" t="n"/>
      <c r="AK124" s="473" t="n"/>
      <c r="AL124" s="473" t="n"/>
      <c r="AM124" s="473" t="n"/>
      <c r="AN124" s="1444">
        <f>IF(AND(AK124="Yes",OR(O124="Labour",O124="Plant")),Z124,0)</f>
        <v/>
      </c>
    </row>
    <row r="125" ht="22.04999923706055" customHeight="1" s="491">
      <c r="A125" s="80">
        <f>IF(B125="","",B125&amp;"-"&amp;TEXT(COUNTIF($B$7:B125,B125),"000"))</f>
        <v/>
      </c>
      <c r="B125" s="53" t="n"/>
      <c r="C125" s="81">
        <f>IFERROR(INDEX('QS Takeoff'!$A$3:$A$202,MATCH(B125,'QS Takeoff'!$B$3:$B$202,0)),"")</f>
        <v/>
      </c>
      <c r="D125" s="81">
        <f>IFERROR(INDEX('QS Takeoff'!$C$3:$C$202,MATCH(B125,'QS Takeoff'!$B$3:$B$202,0)),"")</f>
        <v/>
      </c>
      <c r="E125" s="81">
        <f>IFERROR(INDEX('QS Takeoff'!$E$3:$E$202,MATCH(B125,'QS Takeoff'!$B$3:$B$202,0)),"")</f>
        <v/>
      </c>
      <c r="F125" s="81">
        <f>IFERROR(INDEX('QS Takeoff'!$D$3:$D$202,MATCH(B125,'QS Takeoff'!$B$3:$B$202,0)),"")</f>
        <v/>
      </c>
      <c r="G125" s="81">
        <f>IFERROR(INDEX('QS Takeoff'!$J$3:$J$202,MATCH(B125,'QS Takeoff'!$B$3:$B$202,0)),"")</f>
        <v/>
      </c>
      <c r="H125" s="53" t="n"/>
      <c r="I125" s="60" t="n"/>
      <c r="J125" s="60" t="n"/>
      <c r="K125" s="82">
        <f>IF(OR(B125="",I125="",I125=0),"",E125/I125)</f>
        <v/>
      </c>
      <c r="L125" s="60" t="n"/>
      <c r="M125" s="82">
        <f>IF(L125&gt;0,L125,K125)</f>
        <v/>
      </c>
      <c r="N125" s="53" t="n"/>
      <c r="O125" s="53" t="n"/>
      <c r="P125" s="53" t="n"/>
      <c r="Q125" s="81">
        <f>IFERROR(INDEX('Resource Rate Library'!$C$5:$C$200,MATCH(P125,'Resource Rate Library'!$A$5:$A$200,0)),"")</f>
        <v/>
      </c>
      <c r="R125" s="53" t="n"/>
      <c r="S125" s="53" t="n"/>
      <c r="T125" s="81">
        <f>IFERROR(INDEX('Resource Rate Library'!$E$5:$E$200,MATCH(P125,'Resource Rate Library'!$A$5:$A$200,0)),"")</f>
        <v/>
      </c>
      <c r="U125" s="1441" t="n"/>
      <c r="V125" s="1441" t="n"/>
      <c r="W125" s="1442">
        <f>IFERROR(INDEX('Resource Rate Library'!$I$5:$I$200,MATCH(P125,'Resource Rate Library'!$A$5:$A$200,0)),0)</f>
        <v/>
      </c>
      <c r="X125" s="1443" t="n"/>
      <c r="Y125" s="1442">
        <f>IF(X125&gt;0,X125,W125)</f>
        <v/>
      </c>
      <c r="Z125" s="1442">
        <f>IF(B125="","",IF(N125="Time x Count",M125*R125*IF(U125="",1,U125)*Y125,IF(N125="QS Qty x Factor",E125*R125*(1+IF(V125="",0,V125))*Y125,IF(N125="Direct Qty",S125*(1+IF(V125="",0,V125))*Y125,IF(N125="Lump Sum / Quote",S125*Y125,0)))))</f>
        <v/>
      </c>
      <c r="AA125" s="81">
        <f>IFERROR(INDEX('Resource Rate Library'!$N$5:$N$200,MATCH(P125,'Resource Rate Library'!$A$5:$A$200,0)),"")</f>
        <v/>
      </c>
      <c r="AB125" s="53" t="n"/>
      <c r="AC125" s="59" t="n"/>
      <c r="AD125" s="81">
        <f>IFERROR(INDEX('Resource Rate Library'!$G$5:$G$200,MATCH(P125,'Resource Rate Library'!$A$5:$A$200,0)),"")</f>
        <v/>
      </c>
      <c r="AE125" s="81">
        <f>IFERROR(INDEX('Resource Rate Library'!$H$5:$H$200,MATCH(P125,'Resource Rate Library'!$A$5:$A$200,0)),"")</f>
        <v/>
      </c>
      <c r="AF125" s="53" t="n"/>
      <c r="AG125" s="53" t="n"/>
      <c r="AH125" s="53" t="n"/>
      <c r="AI125" s="81">
        <f>IF(B125="","",IF(AND(P125="",N125&lt;&gt;"Lump Sum / Quote"),"RESOURCE CODE",IF(Y125=0,"RATE MISSING",IF(AND(O125="Plant",AD125="Yes",COUNTIFS($B$7:$B$306,B125,$O$7:$O$306,"Labour",$Q$7:$Q$306,"*Operator*")&gt;0),"OPERATOR DOUBLE-COUNT",IF(AND(O125="Plant",AE125="Yes",COUNTIFS($B$7:$B$306,B125,$Q$7:$Q$306,"*Fuel*")&gt;0),"FUEL DOUBLE-COUNT",IF(AH125&lt;&gt;"Yes","VERIFY","OK"))))))</f>
        <v/>
      </c>
      <c r="AJ125" s="54" t="n"/>
      <c r="AK125" s="473" t="n"/>
      <c r="AL125" s="473" t="n"/>
      <c r="AM125" s="473" t="n"/>
      <c r="AN125" s="1444">
        <f>IF(AND(AK125="Yes",OR(O125="Labour",O125="Plant")),Z125,0)</f>
        <v/>
      </c>
    </row>
    <row r="126" ht="22.04999923706055" customHeight="1" s="491">
      <c r="A126" s="80">
        <f>IF(B126="","",B126&amp;"-"&amp;TEXT(COUNTIF($B$7:B126,B126),"000"))</f>
        <v/>
      </c>
      <c r="B126" s="53" t="n"/>
      <c r="C126" s="81">
        <f>IFERROR(INDEX('QS Takeoff'!$A$3:$A$202,MATCH(B126,'QS Takeoff'!$B$3:$B$202,0)),"")</f>
        <v/>
      </c>
      <c r="D126" s="81">
        <f>IFERROR(INDEX('QS Takeoff'!$C$3:$C$202,MATCH(B126,'QS Takeoff'!$B$3:$B$202,0)),"")</f>
        <v/>
      </c>
      <c r="E126" s="81">
        <f>IFERROR(INDEX('QS Takeoff'!$E$3:$E$202,MATCH(B126,'QS Takeoff'!$B$3:$B$202,0)),"")</f>
        <v/>
      </c>
      <c r="F126" s="81">
        <f>IFERROR(INDEX('QS Takeoff'!$D$3:$D$202,MATCH(B126,'QS Takeoff'!$B$3:$B$202,0)),"")</f>
        <v/>
      </c>
      <c r="G126" s="81">
        <f>IFERROR(INDEX('QS Takeoff'!$J$3:$J$202,MATCH(B126,'QS Takeoff'!$B$3:$B$202,0)),"")</f>
        <v/>
      </c>
      <c r="H126" s="53" t="n"/>
      <c r="I126" s="60" t="n"/>
      <c r="J126" s="60" t="n"/>
      <c r="K126" s="82">
        <f>IF(OR(B126="",I126="",I126=0),"",E126/I126)</f>
        <v/>
      </c>
      <c r="L126" s="60" t="n"/>
      <c r="M126" s="82">
        <f>IF(L126&gt;0,L126,K126)</f>
        <v/>
      </c>
      <c r="N126" s="53" t="n"/>
      <c r="O126" s="53" t="n"/>
      <c r="P126" s="53" t="n"/>
      <c r="Q126" s="81">
        <f>IFERROR(INDEX('Resource Rate Library'!$C$5:$C$200,MATCH(P126,'Resource Rate Library'!$A$5:$A$200,0)),"")</f>
        <v/>
      </c>
      <c r="R126" s="53" t="n"/>
      <c r="S126" s="53" t="n"/>
      <c r="T126" s="81">
        <f>IFERROR(INDEX('Resource Rate Library'!$E$5:$E$200,MATCH(P126,'Resource Rate Library'!$A$5:$A$200,0)),"")</f>
        <v/>
      </c>
      <c r="U126" s="1441" t="n"/>
      <c r="V126" s="1441" t="n"/>
      <c r="W126" s="1442">
        <f>IFERROR(INDEX('Resource Rate Library'!$I$5:$I$200,MATCH(P126,'Resource Rate Library'!$A$5:$A$200,0)),0)</f>
        <v/>
      </c>
      <c r="X126" s="1443" t="n"/>
      <c r="Y126" s="1442">
        <f>IF(X126&gt;0,X126,W126)</f>
        <v/>
      </c>
      <c r="Z126" s="1442">
        <f>IF(B126="","",IF(N126="Time x Count",M126*R126*IF(U126="",1,U126)*Y126,IF(N126="QS Qty x Factor",E126*R126*(1+IF(V126="",0,V126))*Y126,IF(N126="Direct Qty",S126*(1+IF(V126="",0,V126))*Y126,IF(N126="Lump Sum / Quote",S126*Y126,0)))))</f>
        <v/>
      </c>
      <c r="AA126" s="81">
        <f>IFERROR(INDEX('Resource Rate Library'!$N$5:$N$200,MATCH(P126,'Resource Rate Library'!$A$5:$A$200,0)),"")</f>
        <v/>
      </c>
      <c r="AB126" s="53" t="n"/>
      <c r="AC126" s="59" t="n"/>
      <c r="AD126" s="81">
        <f>IFERROR(INDEX('Resource Rate Library'!$G$5:$G$200,MATCH(P126,'Resource Rate Library'!$A$5:$A$200,0)),"")</f>
        <v/>
      </c>
      <c r="AE126" s="81">
        <f>IFERROR(INDEX('Resource Rate Library'!$H$5:$H$200,MATCH(P126,'Resource Rate Library'!$A$5:$A$200,0)),"")</f>
        <v/>
      </c>
      <c r="AF126" s="53" t="n"/>
      <c r="AG126" s="53" t="n"/>
      <c r="AH126" s="53" t="n"/>
      <c r="AI126" s="81">
        <f>IF(B126="","",IF(AND(P126="",N126&lt;&gt;"Lump Sum / Quote"),"RESOURCE CODE",IF(Y126=0,"RATE MISSING",IF(AND(O126="Plant",AD126="Yes",COUNTIFS($B$7:$B$306,B126,$O$7:$O$306,"Labour",$Q$7:$Q$306,"*Operator*")&gt;0),"OPERATOR DOUBLE-COUNT",IF(AND(O126="Plant",AE126="Yes",COUNTIFS($B$7:$B$306,B126,$Q$7:$Q$306,"*Fuel*")&gt;0),"FUEL DOUBLE-COUNT",IF(AH126&lt;&gt;"Yes","VERIFY","OK"))))))</f>
        <v/>
      </c>
      <c r="AJ126" s="54" t="n"/>
      <c r="AK126" s="473" t="n"/>
      <c r="AL126" s="473" t="n"/>
      <c r="AM126" s="473" t="n"/>
      <c r="AN126" s="1444">
        <f>IF(AND(AK126="Yes",OR(O126="Labour",O126="Plant")),Z126,0)</f>
        <v/>
      </c>
    </row>
    <row r="127" ht="22.04999923706055" customHeight="1" s="491">
      <c r="A127" s="80">
        <f>IF(B127="","",B127&amp;"-"&amp;TEXT(COUNTIF($B$7:B127,B127),"000"))</f>
        <v/>
      </c>
      <c r="B127" s="53" t="n"/>
      <c r="C127" s="81">
        <f>IFERROR(INDEX('QS Takeoff'!$A$3:$A$202,MATCH(B127,'QS Takeoff'!$B$3:$B$202,0)),"")</f>
        <v/>
      </c>
      <c r="D127" s="81">
        <f>IFERROR(INDEX('QS Takeoff'!$C$3:$C$202,MATCH(B127,'QS Takeoff'!$B$3:$B$202,0)),"")</f>
        <v/>
      </c>
      <c r="E127" s="81">
        <f>IFERROR(INDEX('QS Takeoff'!$E$3:$E$202,MATCH(B127,'QS Takeoff'!$B$3:$B$202,0)),"")</f>
        <v/>
      </c>
      <c r="F127" s="81">
        <f>IFERROR(INDEX('QS Takeoff'!$D$3:$D$202,MATCH(B127,'QS Takeoff'!$B$3:$B$202,0)),"")</f>
        <v/>
      </c>
      <c r="G127" s="81">
        <f>IFERROR(INDEX('QS Takeoff'!$J$3:$J$202,MATCH(B127,'QS Takeoff'!$B$3:$B$202,0)),"")</f>
        <v/>
      </c>
      <c r="H127" s="53" t="n"/>
      <c r="I127" s="60" t="n"/>
      <c r="J127" s="60" t="n"/>
      <c r="K127" s="82">
        <f>IF(OR(B127="",I127="",I127=0),"",E127/I127)</f>
        <v/>
      </c>
      <c r="L127" s="60" t="n"/>
      <c r="M127" s="82">
        <f>IF(L127&gt;0,L127,K127)</f>
        <v/>
      </c>
      <c r="N127" s="53" t="n"/>
      <c r="O127" s="53" t="n"/>
      <c r="P127" s="53" t="n"/>
      <c r="Q127" s="81">
        <f>IFERROR(INDEX('Resource Rate Library'!$C$5:$C$200,MATCH(P127,'Resource Rate Library'!$A$5:$A$200,0)),"")</f>
        <v/>
      </c>
      <c r="R127" s="53" t="n"/>
      <c r="S127" s="53" t="n"/>
      <c r="T127" s="81">
        <f>IFERROR(INDEX('Resource Rate Library'!$E$5:$E$200,MATCH(P127,'Resource Rate Library'!$A$5:$A$200,0)),"")</f>
        <v/>
      </c>
      <c r="U127" s="1441" t="n"/>
      <c r="V127" s="1441" t="n"/>
      <c r="W127" s="1442">
        <f>IFERROR(INDEX('Resource Rate Library'!$I$5:$I$200,MATCH(P127,'Resource Rate Library'!$A$5:$A$200,0)),0)</f>
        <v/>
      </c>
      <c r="X127" s="1443" t="n"/>
      <c r="Y127" s="1442">
        <f>IF(X127&gt;0,X127,W127)</f>
        <v/>
      </c>
      <c r="Z127" s="1442">
        <f>IF(B127="","",IF(N127="Time x Count",M127*R127*IF(U127="",1,U127)*Y127,IF(N127="QS Qty x Factor",E127*R127*(1+IF(V127="",0,V127))*Y127,IF(N127="Direct Qty",S127*(1+IF(V127="",0,V127))*Y127,IF(N127="Lump Sum / Quote",S127*Y127,0)))))</f>
        <v/>
      </c>
      <c r="AA127" s="81">
        <f>IFERROR(INDEX('Resource Rate Library'!$N$5:$N$200,MATCH(P127,'Resource Rate Library'!$A$5:$A$200,0)),"")</f>
        <v/>
      </c>
      <c r="AB127" s="53" t="n"/>
      <c r="AC127" s="59" t="n"/>
      <c r="AD127" s="81">
        <f>IFERROR(INDEX('Resource Rate Library'!$G$5:$G$200,MATCH(P127,'Resource Rate Library'!$A$5:$A$200,0)),"")</f>
        <v/>
      </c>
      <c r="AE127" s="81">
        <f>IFERROR(INDEX('Resource Rate Library'!$H$5:$H$200,MATCH(P127,'Resource Rate Library'!$A$5:$A$200,0)),"")</f>
        <v/>
      </c>
      <c r="AF127" s="53" t="n"/>
      <c r="AG127" s="53" t="n"/>
      <c r="AH127" s="53" t="n"/>
      <c r="AI127" s="81">
        <f>IF(B127="","",IF(AND(P127="",N127&lt;&gt;"Lump Sum / Quote"),"RESOURCE CODE",IF(Y127=0,"RATE MISSING",IF(AND(O127="Plant",AD127="Yes",COUNTIFS($B$7:$B$306,B127,$O$7:$O$306,"Labour",$Q$7:$Q$306,"*Operator*")&gt;0),"OPERATOR DOUBLE-COUNT",IF(AND(O127="Plant",AE127="Yes",COUNTIFS($B$7:$B$306,B127,$Q$7:$Q$306,"*Fuel*")&gt;0),"FUEL DOUBLE-COUNT",IF(AH127&lt;&gt;"Yes","VERIFY","OK"))))))</f>
        <v/>
      </c>
      <c r="AJ127" s="54" t="n"/>
      <c r="AK127" s="473" t="n"/>
      <c r="AL127" s="473" t="n"/>
      <c r="AM127" s="473" t="n"/>
      <c r="AN127" s="1444">
        <f>IF(AND(AK127="Yes",OR(O127="Labour",O127="Plant")),Z127,0)</f>
        <v/>
      </c>
    </row>
    <row r="128" ht="22.04999923706055" customHeight="1" s="491">
      <c r="A128" s="80">
        <f>IF(B128="","",B128&amp;"-"&amp;TEXT(COUNTIF($B$7:B128,B128),"000"))</f>
        <v/>
      </c>
      <c r="B128" s="53" t="n"/>
      <c r="C128" s="81">
        <f>IFERROR(INDEX('QS Takeoff'!$A$3:$A$202,MATCH(B128,'QS Takeoff'!$B$3:$B$202,0)),"")</f>
        <v/>
      </c>
      <c r="D128" s="81">
        <f>IFERROR(INDEX('QS Takeoff'!$C$3:$C$202,MATCH(B128,'QS Takeoff'!$B$3:$B$202,0)),"")</f>
        <v/>
      </c>
      <c r="E128" s="81">
        <f>IFERROR(INDEX('QS Takeoff'!$E$3:$E$202,MATCH(B128,'QS Takeoff'!$B$3:$B$202,0)),"")</f>
        <v/>
      </c>
      <c r="F128" s="81">
        <f>IFERROR(INDEX('QS Takeoff'!$D$3:$D$202,MATCH(B128,'QS Takeoff'!$B$3:$B$202,0)),"")</f>
        <v/>
      </c>
      <c r="G128" s="81">
        <f>IFERROR(INDEX('QS Takeoff'!$J$3:$J$202,MATCH(B128,'QS Takeoff'!$B$3:$B$202,0)),"")</f>
        <v/>
      </c>
      <c r="H128" s="53" t="n"/>
      <c r="I128" s="60" t="n"/>
      <c r="J128" s="60" t="n"/>
      <c r="K128" s="82">
        <f>IF(OR(B128="",I128="",I128=0),"",E128/I128)</f>
        <v/>
      </c>
      <c r="L128" s="60" t="n"/>
      <c r="M128" s="82">
        <f>IF(L128&gt;0,L128,K128)</f>
        <v/>
      </c>
      <c r="N128" s="53" t="n"/>
      <c r="O128" s="53" t="n"/>
      <c r="P128" s="53" t="n"/>
      <c r="Q128" s="81">
        <f>IFERROR(INDEX('Resource Rate Library'!$C$5:$C$200,MATCH(P128,'Resource Rate Library'!$A$5:$A$200,0)),"")</f>
        <v/>
      </c>
      <c r="R128" s="53" t="n"/>
      <c r="S128" s="53" t="n"/>
      <c r="T128" s="81">
        <f>IFERROR(INDEX('Resource Rate Library'!$E$5:$E$200,MATCH(P128,'Resource Rate Library'!$A$5:$A$200,0)),"")</f>
        <v/>
      </c>
      <c r="U128" s="1441" t="n"/>
      <c r="V128" s="1441" t="n"/>
      <c r="W128" s="1442">
        <f>IFERROR(INDEX('Resource Rate Library'!$I$5:$I$200,MATCH(P128,'Resource Rate Library'!$A$5:$A$200,0)),0)</f>
        <v/>
      </c>
      <c r="X128" s="1443" t="n"/>
      <c r="Y128" s="1442">
        <f>IF(X128&gt;0,X128,W128)</f>
        <v/>
      </c>
      <c r="Z128" s="1442">
        <f>IF(B128="","",IF(N128="Time x Count",M128*R128*IF(U128="",1,U128)*Y128,IF(N128="QS Qty x Factor",E128*R128*(1+IF(V128="",0,V128))*Y128,IF(N128="Direct Qty",S128*(1+IF(V128="",0,V128))*Y128,IF(N128="Lump Sum / Quote",S128*Y128,0)))))</f>
        <v/>
      </c>
      <c r="AA128" s="81">
        <f>IFERROR(INDEX('Resource Rate Library'!$N$5:$N$200,MATCH(P128,'Resource Rate Library'!$A$5:$A$200,0)),"")</f>
        <v/>
      </c>
      <c r="AB128" s="53" t="n"/>
      <c r="AC128" s="59" t="n"/>
      <c r="AD128" s="81">
        <f>IFERROR(INDEX('Resource Rate Library'!$G$5:$G$200,MATCH(P128,'Resource Rate Library'!$A$5:$A$200,0)),"")</f>
        <v/>
      </c>
      <c r="AE128" s="81">
        <f>IFERROR(INDEX('Resource Rate Library'!$H$5:$H$200,MATCH(P128,'Resource Rate Library'!$A$5:$A$200,0)),"")</f>
        <v/>
      </c>
      <c r="AF128" s="53" t="n"/>
      <c r="AG128" s="53" t="n"/>
      <c r="AH128" s="53" t="n"/>
      <c r="AI128" s="81">
        <f>IF(B128="","",IF(AND(P128="",N128&lt;&gt;"Lump Sum / Quote"),"RESOURCE CODE",IF(Y128=0,"RATE MISSING",IF(AND(O128="Plant",AD128="Yes",COUNTIFS($B$7:$B$306,B128,$O$7:$O$306,"Labour",$Q$7:$Q$306,"*Operator*")&gt;0),"OPERATOR DOUBLE-COUNT",IF(AND(O128="Plant",AE128="Yes",COUNTIFS($B$7:$B$306,B128,$Q$7:$Q$306,"*Fuel*")&gt;0),"FUEL DOUBLE-COUNT",IF(AH128&lt;&gt;"Yes","VERIFY","OK"))))))</f>
        <v/>
      </c>
      <c r="AJ128" s="54" t="n"/>
      <c r="AK128" s="473" t="n"/>
      <c r="AL128" s="473" t="n"/>
      <c r="AM128" s="473" t="n"/>
      <c r="AN128" s="1444">
        <f>IF(AND(AK128="Yes",OR(O128="Labour",O128="Plant")),Z128,0)</f>
        <v/>
      </c>
    </row>
    <row r="129" ht="22.04999923706055" customHeight="1" s="491">
      <c r="A129" s="80">
        <f>IF(B129="","",B129&amp;"-"&amp;TEXT(COUNTIF($B$7:B129,B129),"000"))</f>
        <v/>
      </c>
      <c r="B129" s="53" t="n"/>
      <c r="C129" s="81">
        <f>IFERROR(INDEX('QS Takeoff'!$A$3:$A$202,MATCH(B129,'QS Takeoff'!$B$3:$B$202,0)),"")</f>
        <v/>
      </c>
      <c r="D129" s="81">
        <f>IFERROR(INDEX('QS Takeoff'!$C$3:$C$202,MATCH(B129,'QS Takeoff'!$B$3:$B$202,0)),"")</f>
        <v/>
      </c>
      <c r="E129" s="81">
        <f>IFERROR(INDEX('QS Takeoff'!$E$3:$E$202,MATCH(B129,'QS Takeoff'!$B$3:$B$202,0)),"")</f>
        <v/>
      </c>
      <c r="F129" s="81">
        <f>IFERROR(INDEX('QS Takeoff'!$D$3:$D$202,MATCH(B129,'QS Takeoff'!$B$3:$B$202,0)),"")</f>
        <v/>
      </c>
      <c r="G129" s="81">
        <f>IFERROR(INDEX('QS Takeoff'!$J$3:$J$202,MATCH(B129,'QS Takeoff'!$B$3:$B$202,0)),"")</f>
        <v/>
      </c>
      <c r="H129" s="53" t="n"/>
      <c r="I129" s="60" t="n"/>
      <c r="J129" s="60" t="n"/>
      <c r="K129" s="82">
        <f>IF(OR(B129="",I129="",I129=0),"",E129/I129)</f>
        <v/>
      </c>
      <c r="L129" s="60" t="n"/>
      <c r="M129" s="82">
        <f>IF(L129&gt;0,L129,K129)</f>
        <v/>
      </c>
      <c r="N129" s="53" t="n"/>
      <c r="O129" s="53" t="n"/>
      <c r="P129" s="53" t="n"/>
      <c r="Q129" s="81">
        <f>IFERROR(INDEX('Resource Rate Library'!$C$5:$C$200,MATCH(P129,'Resource Rate Library'!$A$5:$A$200,0)),"")</f>
        <v/>
      </c>
      <c r="R129" s="53" t="n"/>
      <c r="S129" s="53" t="n"/>
      <c r="T129" s="81">
        <f>IFERROR(INDEX('Resource Rate Library'!$E$5:$E$200,MATCH(P129,'Resource Rate Library'!$A$5:$A$200,0)),"")</f>
        <v/>
      </c>
      <c r="U129" s="1441" t="n"/>
      <c r="V129" s="1441" t="n"/>
      <c r="W129" s="1442">
        <f>IFERROR(INDEX('Resource Rate Library'!$I$5:$I$200,MATCH(P129,'Resource Rate Library'!$A$5:$A$200,0)),0)</f>
        <v/>
      </c>
      <c r="X129" s="1443" t="n"/>
      <c r="Y129" s="1442">
        <f>IF(X129&gt;0,X129,W129)</f>
        <v/>
      </c>
      <c r="Z129" s="1442">
        <f>IF(B129="","",IF(N129="Time x Count",M129*R129*IF(U129="",1,U129)*Y129,IF(N129="QS Qty x Factor",E129*R129*(1+IF(V129="",0,V129))*Y129,IF(N129="Direct Qty",S129*(1+IF(V129="",0,V129))*Y129,IF(N129="Lump Sum / Quote",S129*Y129,0)))))</f>
        <v/>
      </c>
      <c r="AA129" s="81">
        <f>IFERROR(INDEX('Resource Rate Library'!$N$5:$N$200,MATCH(P129,'Resource Rate Library'!$A$5:$A$200,0)),"")</f>
        <v/>
      </c>
      <c r="AB129" s="53" t="n"/>
      <c r="AC129" s="59" t="n"/>
      <c r="AD129" s="81">
        <f>IFERROR(INDEX('Resource Rate Library'!$G$5:$G$200,MATCH(P129,'Resource Rate Library'!$A$5:$A$200,0)),"")</f>
        <v/>
      </c>
      <c r="AE129" s="81">
        <f>IFERROR(INDEX('Resource Rate Library'!$H$5:$H$200,MATCH(P129,'Resource Rate Library'!$A$5:$A$200,0)),"")</f>
        <v/>
      </c>
      <c r="AF129" s="53" t="n"/>
      <c r="AG129" s="53" t="n"/>
      <c r="AH129" s="53" t="n"/>
      <c r="AI129" s="81">
        <f>IF(B129="","",IF(AND(P129="",N129&lt;&gt;"Lump Sum / Quote"),"RESOURCE CODE",IF(Y129=0,"RATE MISSING",IF(AND(O129="Plant",AD129="Yes",COUNTIFS($B$7:$B$306,B129,$O$7:$O$306,"Labour",$Q$7:$Q$306,"*Operator*")&gt;0),"OPERATOR DOUBLE-COUNT",IF(AND(O129="Plant",AE129="Yes",COUNTIFS($B$7:$B$306,B129,$Q$7:$Q$306,"*Fuel*")&gt;0),"FUEL DOUBLE-COUNT",IF(AH129&lt;&gt;"Yes","VERIFY","OK"))))))</f>
        <v/>
      </c>
      <c r="AJ129" s="54" t="n"/>
      <c r="AK129" s="473" t="n"/>
      <c r="AL129" s="473" t="n"/>
      <c r="AM129" s="473" t="n"/>
      <c r="AN129" s="1444">
        <f>IF(AND(AK129="Yes",OR(O129="Labour",O129="Plant")),Z129,0)</f>
        <v/>
      </c>
    </row>
    <row r="130" ht="22.04999923706055" customHeight="1" s="491">
      <c r="A130" s="80">
        <f>IF(B130="","",B130&amp;"-"&amp;TEXT(COUNTIF($B$7:B130,B130),"000"))</f>
        <v/>
      </c>
      <c r="B130" s="53" t="n"/>
      <c r="C130" s="81">
        <f>IFERROR(INDEX('QS Takeoff'!$A$3:$A$202,MATCH(B130,'QS Takeoff'!$B$3:$B$202,0)),"")</f>
        <v/>
      </c>
      <c r="D130" s="81">
        <f>IFERROR(INDEX('QS Takeoff'!$C$3:$C$202,MATCH(B130,'QS Takeoff'!$B$3:$B$202,0)),"")</f>
        <v/>
      </c>
      <c r="E130" s="81">
        <f>IFERROR(INDEX('QS Takeoff'!$E$3:$E$202,MATCH(B130,'QS Takeoff'!$B$3:$B$202,0)),"")</f>
        <v/>
      </c>
      <c r="F130" s="81">
        <f>IFERROR(INDEX('QS Takeoff'!$D$3:$D$202,MATCH(B130,'QS Takeoff'!$B$3:$B$202,0)),"")</f>
        <v/>
      </c>
      <c r="G130" s="81">
        <f>IFERROR(INDEX('QS Takeoff'!$J$3:$J$202,MATCH(B130,'QS Takeoff'!$B$3:$B$202,0)),"")</f>
        <v/>
      </c>
      <c r="H130" s="53" t="n"/>
      <c r="I130" s="60" t="n"/>
      <c r="J130" s="60" t="n"/>
      <c r="K130" s="82">
        <f>IF(OR(B130="",I130="",I130=0),"",E130/I130)</f>
        <v/>
      </c>
      <c r="L130" s="60" t="n"/>
      <c r="M130" s="82">
        <f>IF(L130&gt;0,L130,K130)</f>
        <v/>
      </c>
      <c r="N130" s="53" t="n"/>
      <c r="O130" s="53" t="n"/>
      <c r="P130" s="53" t="n"/>
      <c r="Q130" s="81">
        <f>IFERROR(INDEX('Resource Rate Library'!$C$5:$C$200,MATCH(P130,'Resource Rate Library'!$A$5:$A$200,0)),"")</f>
        <v/>
      </c>
      <c r="R130" s="53" t="n"/>
      <c r="S130" s="53" t="n"/>
      <c r="T130" s="81">
        <f>IFERROR(INDEX('Resource Rate Library'!$E$5:$E$200,MATCH(P130,'Resource Rate Library'!$A$5:$A$200,0)),"")</f>
        <v/>
      </c>
      <c r="U130" s="1441" t="n"/>
      <c r="V130" s="1441" t="n"/>
      <c r="W130" s="1442">
        <f>IFERROR(INDEX('Resource Rate Library'!$I$5:$I$200,MATCH(P130,'Resource Rate Library'!$A$5:$A$200,0)),0)</f>
        <v/>
      </c>
      <c r="X130" s="1443" t="n"/>
      <c r="Y130" s="1442">
        <f>IF(X130&gt;0,X130,W130)</f>
        <v/>
      </c>
      <c r="Z130" s="1442">
        <f>IF(B130="","",IF(N130="Time x Count",M130*R130*IF(U130="",1,U130)*Y130,IF(N130="QS Qty x Factor",E130*R130*(1+IF(V130="",0,V130))*Y130,IF(N130="Direct Qty",S130*(1+IF(V130="",0,V130))*Y130,IF(N130="Lump Sum / Quote",S130*Y130,0)))))</f>
        <v/>
      </c>
      <c r="AA130" s="81">
        <f>IFERROR(INDEX('Resource Rate Library'!$N$5:$N$200,MATCH(P130,'Resource Rate Library'!$A$5:$A$200,0)),"")</f>
        <v/>
      </c>
      <c r="AB130" s="53" t="n"/>
      <c r="AC130" s="59" t="n"/>
      <c r="AD130" s="81">
        <f>IFERROR(INDEX('Resource Rate Library'!$G$5:$G$200,MATCH(P130,'Resource Rate Library'!$A$5:$A$200,0)),"")</f>
        <v/>
      </c>
      <c r="AE130" s="81">
        <f>IFERROR(INDEX('Resource Rate Library'!$H$5:$H$200,MATCH(P130,'Resource Rate Library'!$A$5:$A$200,0)),"")</f>
        <v/>
      </c>
      <c r="AF130" s="53" t="n"/>
      <c r="AG130" s="53" t="n"/>
      <c r="AH130" s="53" t="n"/>
      <c r="AI130" s="81">
        <f>IF(B130="","",IF(AND(P130="",N130&lt;&gt;"Lump Sum / Quote"),"RESOURCE CODE",IF(Y130=0,"RATE MISSING",IF(AND(O130="Plant",AD130="Yes",COUNTIFS($B$7:$B$306,B130,$O$7:$O$306,"Labour",$Q$7:$Q$306,"*Operator*")&gt;0),"OPERATOR DOUBLE-COUNT",IF(AND(O130="Plant",AE130="Yes",COUNTIFS($B$7:$B$306,B130,$Q$7:$Q$306,"*Fuel*")&gt;0),"FUEL DOUBLE-COUNT",IF(AH130&lt;&gt;"Yes","VERIFY","OK"))))))</f>
        <v/>
      </c>
      <c r="AJ130" s="54" t="n"/>
      <c r="AK130" s="473" t="n"/>
      <c r="AL130" s="473" t="n"/>
      <c r="AM130" s="473" t="n"/>
      <c r="AN130" s="1444">
        <f>IF(AND(AK130="Yes",OR(O130="Labour",O130="Plant")),Z130,0)</f>
        <v/>
      </c>
    </row>
    <row r="131" ht="22.04999923706055" customHeight="1" s="491">
      <c r="A131" s="80">
        <f>IF(B131="","",B131&amp;"-"&amp;TEXT(COUNTIF($B$7:B131,B131),"000"))</f>
        <v/>
      </c>
      <c r="B131" s="53" t="n"/>
      <c r="C131" s="81">
        <f>IFERROR(INDEX('QS Takeoff'!$A$3:$A$202,MATCH(B131,'QS Takeoff'!$B$3:$B$202,0)),"")</f>
        <v/>
      </c>
      <c r="D131" s="81">
        <f>IFERROR(INDEX('QS Takeoff'!$C$3:$C$202,MATCH(B131,'QS Takeoff'!$B$3:$B$202,0)),"")</f>
        <v/>
      </c>
      <c r="E131" s="81">
        <f>IFERROR(INDEX('QS Takeoff'!$E$3:$E$202,MATCH(B131,'QS Takeoff'!$B$3:$B$202,0)),"")</f>
        <v/>
      </c>
      <c r="F131" s="81">
        <f>IFERROR(INDEX('QS Takeoff'!$D$3:$D$202,MATCH(B131,'QS Takeoff'!$B$3:$B$202,0)),"")</f>
        <v/>
      </c>
      <c r="G131" s="81">
        <f>IFERROR(INDEX('QS Takeoff'!$J$3:$J$202,MATCH(B131,'QS Takeoff'!$B$3:$B$202,0)),"")</f>
        <v/>
      </c>
      <c r="H131" s="53" t="n"/>
      <c r="I131" s="60" t="n"/>
      <c r="J131" s="60" t="n"/>
      <c r="K131" s="82">
        <f>IF(OR(B131="",I131="",I131=0),"",E131/I131)</f>
        <v/>
      </c>
      <c r="L131" s="60" t="n"/>
      <c r="M131" s="82">
        <f>IF(L131&gt;0,L131,K131)</f>
        <v/>
      </c>
      <c r="N131" s="53" t="n"/>
      <c r="O131" s="53" t="n"/>
      <c r="P131" s="53" t="n"/>
      <c r="Q131" s="81">
        <f>IFERROR(INDEX('Resource Rate Library'!$C$5:$C$200,MATCH(P131,'Resource Rate Library'!$A$5:$A$200,0)),"")</f>
        <v/>
      </c>
      <c r="R131" s="53" t="n"/>
      <c r="S131" s="53" t="n"/>
      <c r="T131" s="81">
        <f>IFERROR(INDEX('Resource Rate Library'!$E$5:$E$200,MATCH(P131,'Resource Rate Library'!$A$5:$A$200,0)),"")</f>
        <v/>
      </c>
      <c r="U131" s="1441" t="n"/>
      <c r="V131" s="1441" t="n"/>
      <c r="W131" s="1442">
        <f>IFERROR(INDEX('Resource Rate Library'!$I$5:$I$200,MATCH(P131,'Resource Rate Library'!$A$5:$A$200,0)),0)</f>
        <v/>
      </c>
      <c r="X131" s="1443" t="n"/>
      <c r="Y131" s="1442">
        <f>IF(X131&gt;0,X131,W131)</f>
        <v/>
      </c>
      <c r="Z131" s="1442">
        <f>IF(B131="","",IF(N131="Time x Count",M131*R131*IF(U131="",1,U131)*Y131,IF(N131="QS Qty x Factor",E131*R131*(1+IF(V131="",0,V131))*Y131,IF(N131="Direct Qty",S131*(1+IF(V131="",0,V131))*Y131,IF(N131="Lump Sum / Quote",S131*Y131,0)))))</f>
        <v/>
      </c>
      <c r="AA131" s="81">
        <f>IFERROR(INDEX('Resource Rate Library'!$N$5:$N$200,MATCH(P131,'Resource Rate Library'!$A$5:$A$200,0)),"")</f>
        <v/>
      </c>
      <c r="AB131" s="53" t="n"/>
      <c r="AC131" s="59" t="n"/>
      <c r="AD131" s="81">
        <f>IFERROR(INDEX('Resource Rate Library'!$G$5:$G$200,MATCH(P131,'Resource Rate Library'!$A$5:$A$200,0)),"")</f>
        <v/>
      </c>
      <c r="AE131" s="81">
        <f>IFERROR(INDEX('Resource Rate Library'!$H$5:$H$200,MATCH(P131,'Resource Rate Library'!$A$5:$A$200,0)),"")</f>
        <v/>
      </c>
      <c r="AF131" s="53" t="n"/>
      <c r="AG131" s="53" t="n"/>
      <c r="AH131" s="53" t="n"/>
      <c r="AI131" s="81">
        <f>IF(B131="","",IF(AND(P131="",N131&lt;&gt;"Lump Sum / Quote"),"RESOURCE CODE",IF(Y131=0,"RATE MISSING",IF(AND(O131="Plant",AD131="Yes",COUNTIFS($B$7:$B$306,B131,$O$7:$O$306,"Labour",$Q$7:$Q$306,"*Operator*")&gt;0),"OPERATOR DOUBLE-COUNT",IF(AND(O131="Plant",AE131="Yes",COUNTIFS($B$7:$B$306,B131,$Q$7:$Q$306,"*Fuel*")&gt;0),"FUEL DOUBLE-COUNT",IF(AH131&lt;&gt;"Yes","VERIFY","OK"))))))</f>
        <v/>
      </c>
      <c r="AJ131" s="54" t="n"/>
      <c r="AK131" s="473" t="n"/>
      <c r="AL131" s="473" t="n"/>
      <c r="AM131" s="473" t="n"/>
      <c r="AN131" s="1444">
        <f>IF(AND(AK131="Yes",OR(O131="Labour",O131="Plant")),Z131,0)</f>
        <v/>
      </c>
    </row>
    <row r="132" ht="22.04999923706055" customHeight="1" s="491">
      <c r="A132" s="80">
        <f>IF(B132="","",B132&amp;"-"&amp;TEXT(COUNTIF($B$7:B132,B132),"000"))</f>
        <v/>
      </c>
      <c r="B132" s="53" t="n"/>
      <c r="C132" s="81">
        <f>IFERROR(INDEX('QS Takeoff'!$A$3:$A$202,MATCH(B132,'QS Takeoff'!$B$3:$B$202,0)),"")</f>
        <v/>
      </c>
      <c r="D132" s="81">
        <f>IFERROR(INDEX('QS Takeoff'!$C$3:$C$202,MATCH(B132,'QS Takeoff'!$B$3:$B$202,0)),"")</f>
        <v/>
      </c>
      <c r="E132" s="81">
        <f>IFERROR(INDEX('QS Takeoff'!$E$3:$E$202,MATCH(B132,'QS Takeoff'!$B$3:$B$202,0)),"")</f>
        <v/>
      </c>
      <c r="F132" s="81">
        <f>IFERROR(INDEX('QS Takeoff'!$D$3:$D$202,MATCH(B132,'QS Takeoff'!$B$3:$B$202,0)),"")</f>
        <v/>
      </c>
      <c r="G132" s="81">
        <f>IFERROR(INDEX('QS Takeoff'!$J$3:$J$202,MATCH(B132,'QS Takeoff'!$B$3:$B$202,0)),"")</f>
        <v/>
      </c>
      <c r="H132" s="53" t="n"/>
      <c r="I132" s="60" t="n"/>
      <c r="J132" s="60" t="n"/>
      <c r="K132" s="82">
        <f>IF(OR(B132="",I132="",I132=0),"",E132/I132)</f>
        <v/>
      </c>
      <c r="L132" s="60" t="n"/>
      <c r="M132" s="82">
        <f>IF(L132&gt;0,L132,K132)</f>
        <v/>
      </c>
      <c r="N132" s="53" t="n"/>
      <c r="O132" s="53" t="n"/>
      <c r="P132" s="53" t="n"/>
      <c r="Q132" s="81">
        <f>IFERROR(INDEX('Resource Rate Library'!$C$5:$C$200,MATCH(P132,'Resource Rate Library'!$A$5:$A$200,0)),"")</f>
        <v/>
      </c>
      <c r="R132" s="53" t="n"/>
      <c r="S132" s="53" t="n"/>
      <c r="T132" s="81">
        <f>IFERROR(INDEX('Resource Rate Library'!$E$5:$E$200,MATCH(P132,'Resource Rate Library'!$A$5:$A$200,0)),"")</f>
        <v/>
      </c>
      <c r="U132" s="1441" t="n"/>
      <c r="V132" s="1441" t="n"/>
      <c r="W132" s="1442">
        <f>IFERROR(INDEX('Resource Rate Library'!$I$5:$I$200,MATCH(P132,'Resource Rate Library'!$A$5:$A$200,0)),0)</f>
        <v/>
      </c>
      <c r="X132" s="1443" t="n"/>
      <c r="Y132" s="1442">
        <f>IF(X132&gt;0,X132,W132)</f>
        <v/>
      </c>
      <c r="Z132" s="1442">
        <f>IF(B132="","",IF(N132="Time x Count",M132*R132*IF(U132="",1,U132)*Y132,IF(N132="QS Qty x Factor",E132*R132*(1+IF(V132="",0,V132))*Y132,IF(N132="Direct Qty",S132*(1+IF(V132="",0,V132))*Y132,IF(N132="Lump Sum / Quote",S132*Y132,0)))))</f>
        <v/>
      </c>
      <c r="AA132" s="81">
        <f>IFERROR(INDEX('Resource Rate Library'!$N$5:$N$200,MATCH(P132,'Resource Rate Library'!$A$5:$A$200,0)),"")</f>
        <v/>
      </c>
      <c r="AB132" s="53" t="n"/>
      <c r="AC132" s="59" t="n"/>
      <c r="AD132" s="81">
        <f>IFERROR(INDEX('Resource Rate Library'!$G$5:$G$200,MATCH(P132,'Resource Rate Library'!$A$5:$A$200,0)),"")</f>
        <v/>
      </c>
      <c r="AE132" s="81">
        <f>IFERROR(INDEX('Resource Rate Library'!$H$5:$H$200,MATCH(P132,'Resource Rate Library'!$A$5:$A$200,0)),"")</f>
        <v/>
      </c>
      <c r="AF132" s="53" t="n"/>
      <c r="AG132" s="53" t="n"/>
      <c r="AH132" s="53" t="n"/>
      <c r="AI132" s="81">
        <f>IF(B132="","",IF(AND(P132="",N132&lt;&gt;"Lump Sum / Quote"),"RESOURCE CODE",IF(Y132=0,"RATE MISSING",IF(AND(O132="Plant",AD132="Yes",COUNTIFS($B$7:$B$306,B132,$O$7:$O$306,"Labour",$Q$7:$Q$306,"*Operator*")&gt;0),"OPERATOR DOUBLE-COUNT",IF(AND(O132="Plant",AE132="Yes",COUNTIFS($B$7:$B$306,B132,$Q$7:$Q$306,"*Fuel*")&gt;0),"FUEL DOUBLE-COUNT",IF(AH132&lt;&gt;"Yes","VERIFY","OK"))))))</f>
        <v/>
      </c>
      <c r="AJ132" s="54" t="n"/>
      <c r="AK132" s="473" t="n"/>
      <c r="AL132" s="473" t="n"/>
      <c r="AM132" s="473" t="n"/>
      <c r="AN132" s="1444">
        <f>IF(AND(AK132="Yes",OR(O132="Labour",O132="Plant")),Z132,0)</f>
        <v/>
      </c>
    </row>
    <row r="133" ht="22.04999923706055" customHeight="1" s="491">
      <c r="A133" s="80">
        <f>IF(B133="","",B133&amp;"-"&amp;TEXT(COUNTIF($B$7:B133,B133),"000"))</f>
        <v/>
      </c>
      <c r="B133" s="53" t="n"/>
      <c r="C133" s="81">
        <f>IFERROR(INDEX('QS Takeoff'!$A$3:$A$202,MATCH(B133,'QS Takeoff'!$B$3:$B$202,0)),"")</f>
        <v/>
      </c>
      <c r="D133" s="81">
        <f>IFERROR(INDEX('QS Takeoff'!$C$3:$C$202,MATCH(B133,'QS Takeoff'!$B$3:$B$202,0)),"")</f>
        <v/>
      </c>
      <c r="E133" s="81">
        <f>IFERROR(INDEX('QS Takeoff'!$E$3:$E$202,MATCH(B133,'QS Takeoff'!$B$3:$B$202,0)),"")</f>
        <v/>
      </c>
      <c r="F133" s="81">
        <f>IFERROR(INDEX('QS Takeoff'!$D$3:$D$202,MATCH(B133,'QS Takeoff'!$B$3:$B$202,0)),"")</f>
        <v/>
      </c>
      <c r="G133" s="81">
        <f>IFERROR(INDEX('QS Takeoff'!$J$3:$J$202,MATCH(B133,'QS Takeoff'!$B$3:$B$202,0)),"")</f>
        <v/>
      </c>
      <c r="H133" s="53" t="n"/>
      <c r="I133" s="60" t="n"/>
      <c r="J133" s="60" t="n"/>
      <c r="K133" s="82">
        <f>IF(OR(B133="",I133="",I133=0),"",E133/I133)</f>
        <v/>
      </c>
      <c r="L133" s="60" t="n"/>
      <c r="M133" s="82">
        <f>IF(L133&gt;0,L133,K133)</f>
        <v/>
      </c>
      <c r="N133" s="53" t="n"/>
      <c r="O133" s="53" t="n"/>
      <c r="P133" s="53" t="n"/>
      <c r="Q133" s="81">
        <f>IFERROR(INDEX('Resource Rate Library'!$C$5:$C$200,MATCH(P133,'Resource Rate Library'!$A$5:$A$200,0)),"")</f>
        <v/>
      </c>
      <c r="R133" s="53" t="n"/>
      <c r="S133" s="53" t="n"/>
      <c r="T133" s="81">
        <f>IFERROR(INDEX('Resource Rate Library'!$E$5:$E$200,MATCH(P133,'Resource Rate Library'!$A$5:$A$200,0)),"")</f>
        <v/>
      </c>
      <c r="U133" s="1441" t="n"/>
      <c r="V133" s="1441" t="n"/>
      <c r="W133" s="1442">
        <f>IFERROR(INDEX('Resource Rate Library'!$I$5:$I$200,MATCH(P133,'Resource Rate Library'!$A$5:$A$200,0)),0)</f>
        <v/>
      </c>
      <c r="X133" s="1443" t="n"/>
      <c r="Y133" s="1442">
        <f>IF(X133&gt;0,X133,W133)</f>
        <v/>
      </c>
      <c r="Z133" s="1442">
        <f>IF(B133="","",IF(N133="Time x Count",M133*R133*IF(U133="",1,U133)*Y133,IF(N133="QS Qty x Factor",E133*R133*(1+IF(V133="",0,V133))*Y133,IF(N133="Direct Qty",S133*(1+IF(V133="",0,V133))*Y133,IF(N133="Lump Sum / Quote",S133*Y133,0)))))</f>
        <v/>
      </c>
      <c r="AA133" s="81">
        <f>IFERROR(INDEX('Resource Rate Library'!$N$5:$N$200,MATCH(P133,'Resource Rate Library'!$A$5:$A$200,0)),"")</f>
        <v/>
      </c>
      <c r="AB133" s="53" t="n"/>
      <c r="AC133" s="59" t="n"/>
      <c r="AD133" s="81">
        <f>IFERROR(INDEX('Resource Rate Library'!$G$5:$G$200,MATCH(P133,'Resource Rate Library'!$A$5:$A$200,0)),"")</f>
        <v/>
      </c>
      <c r="AE133" s="81">
        <f>IFERROR(INDEX('Resource Rate Library'!$H$5:$H$200,MATCH(P133,'Resource Rate Library'!$A$5:$A$200,0)),"")</f>
        <v/>
      </c>
      <c r="AF133" s="53" t="n"/>
      <c r="AG133" s="53" t="n"/>
      <c r="AH133" s="53" t="n"/>
      <c r="AI133" s="81">
        <f>IF(B133="","",IF(AND(P133="",N133&lt;&gt;"Lump Sum / Quote"),"RESOURCE CODE",IF(Y133=0,"RATE MISSING",IF(AND(O133="Plant",AD133="Yes",COUNTIFS($B$7:$B$306,B133,$O$7:$O$306,"Labour",$Q$7:$Q$306,"*Operator*")&gt;0),"OPERATOR DOUBLE-COUNT",IF(AND(O133="Plant",AE133="Yes",COUNTIFS($B$7:$B$306,B133,$Q$7:$Q$306,"*Fuel*")&gt;0),"FUEL DOUBLE-COUNT",IF(AH133&lt;&gt;"Yes","VERIFY","OK"))))))</f>
        <v/>
      </c>
      <c r="AJ133" s="54" t="n"/>
      <c r="AK133" s="473" t="n"/>
      <c r="AL133" s="473" t="n"/>
      <c r="AM133" s="473" t="n"/>
      <c r="AN133" s="1444">
        <f>IF(AND(AK133="Yes",OR(O133="Labour",O133="Plant")),Z133,0)</f>
        <v/>
      </c>
    </row>
    <row r="134" ht="22.04999923706055" customHeight="1" s="491">
      <c r="A134" s="80">
        <f>IF(B134="","",B134&amp;"-"&amp;TEXT(COUNTIF($B$7:B134,B134),"000"))</f>
        <v/>
      </c>
      <c r="B134" s="53" t="n"/>
      <c r="C134" s="81">
        <f>IFERROR(INDEX('QS Takeoff'!$A$3:$A$202,MATCH(B134,'QS Takeoff'!$B$3:$B$202,0)),"")</f>
        <v/>
      </c>
      <c r="D134" s="81">
        <f>IFERROR(INDEX('QS Takeoff'!$C$3:$C$202,MATCH(B134,'QS Takeoff'!$B$3:$B$202,0)),"")</f>
        <v/>
      </c>
      <c r="E134" s="81">
        <f>IFERROR(INDEX('QS Takeoff'!$E$3:$E$202,MATCH(B134,'QS Takeoff'!$B$3:$B$202,0)),"")</f>
        <v/>
      </c>
      <c r="F134" s="81">
        <f>IFERROR(INDEX('QS Takeoff'!$D$3:$D$202,MATCH(B134,'QS Takeoff'!$B$3:$B$202,0)),"")</f>
        <v/>
      </c>
      <c r="G134" s="81">
        <f>IFERROR(INDEX('QS Takeoff'!$J$3:$J$202,MATCH(B134,'QS Takeoff'!$B$3:$B$202,0)),"")</f>
        <v/>
      </c>
      <c r="H134" s="53" t="n"/>
      <c r="I134" s="60" t="n"/>
      <c r="J134" s="60" t="n"/>
      <c r="K134" s="82">
        <f>IF(OR(B134="",I134="",I134=0),"",E134/I134)</f>
        <v/>
      </c>
      <c r="L134" s="60" t="n"/>
      <c r="M134" s="82">
        <f>IF(L134&gt;0,L134,K134)</f>
        <v/>
      </c>
      <c r="N134" s="53" t="n"/>
      <c r="O134" s="53" t="n"/>
      <c r="P134" s="53" t="n"/>
      <c r="Q134" s="81">
        <f>IFERROR(INDEX('Resource Rate Library'!$C$5:$C$200,MATCH(P134,'Resource Rate Library'!$A$5:$A$200,0)),"")</f>
        <v/>
      </c>
      <c r="R134" s="53" t="n"/>
      <c r="S134" s="53" t="n"/>
      <c r="T134" s="81">
        <f>IFERROR(INDEX('Resource Rate Library'!$E$5:$E$200,MATCH(P134,'Resource Rate Library'!$A$5:$A$200,0)),"")</f>
        <v/>
      </c>
      <c r="U134" s="1441" t="n"/>
      <c r="V134" s="1441" t="n"/>
      <c r="W134" s="1442">
        <f>IFERROR(INDEX('Resource Rate Library'!$I$5:$I$200,MATCH(P134,'Resource Rate Library'!$A$5:$A$200,0)),0)</f>
        <v/>
      </c>
      <c r="X134" s="1443" t="n"/>
      <c r="Y134" s="1442">
        <f>IF(X134&gt;0,X134,W134)</f>
        <v/>
      </c>
      <c r="Z134" s="1442">
        <f>IF(B134="","",IF(N134="Time x Count",M134*R134*IF(U134="",1,U134)*Y134,IF(N134="QS Qty x Factor",E134*R134*(1+IF(V134="",0,V134))*Y134,IF(N134="Direct Qty",S134*(1+IF(V134="",0,V134))*Y134,IF(N134="Lump Sum / Quote",S134*Y134,0)))))</f>
        <v/>
      </c>
      <c r="AA134" s="81">
        <f>IFERROR(INDEX('Resource Rate Library'!$N$5:$N$200,MATCH(P134,'Resource Rate Library'!$A$5:$A$200,0)),"")</f>
        <v/>
      </c>
      <c r="AB134" s="53" t="n"/>
      <c r="AC134" s="59" t="n"/>
      <c r="AD134" s="81">
        <f>IFERROR(INDEX('Resource Rate Library'!$G$5:$G$200,MATCH(P134,'Resource Rate Library'!$A$5:$A$200,0)),"")</f>
        <v/>
      </c>
      <c r="AE134" s="81">
        <f>IFERROR(INDEX('Resource Rate Library'!$H$5:$H$200,MATCH(P134,'Resource Rate Library'!$A$5:$A$200,0)),"")</f>
        <v/>
      </c>
      <c r="AF134" s="53" t="n"/>
      <c r="AG134" s="53" t="n"/>
      <c r="AH134" s="53" t="n"/>
      <c r="AI134" s="81">
        <f>IF(B134="","",IF(AND(P134="",N134&lt;&gt;"Lump Sum / Quote"),"RESOURCE CODE",IF(Y134=0,"RATE MISSING",IF(AND(O134="Plant",AD134="Yes",COUNTIFS($B$7:$B$306,B134,$O$7:$O$306,"Labour",$Q$7:$Q$306,"*Operator*")&gt;0),"OPERATOR DOUBLE-COUNT",IF(AND(O134="Plant",AE134="Yes",COUNTIFS($B$7:$B$306,B134,$Q$7:$Q$306,"*Fuel*")&gt;0),"FUEL DOUBLE-COUNT",IF(AH134&lt;&gt;"Yes","VERIFY","OK"))))))</f>
        <v/>
      </c>
      <c r="AJ134" s="54" t="n"/>
      <c r="AK134" s="473" t="n"/>
      <c r="AL134" s="473" t="n"/>
      <c r="AM134" s="473" t="n"/>
      <c r="AN134" s="1444">
        <f>IF(AND(AK134="Yes",OR(O134="Labour",O134="Plant")),Z134,0)</f>
        <v/>
      </c>
    </row>
    <row r="135" ht="22.04999923706055" customHeight="1" s="491">
      <c r="A135" s="80">
        <f>IF(B135="","",B135&amp;"-"&amp;TEXT(COUNTIF($B$7:B135,B135),"000"))</f>
        <v/>
      </c>
      <c r="B135" s="53" t="n"/>
      <c r="C135" s="81">
        <f>IFERROR(INDEX('QS Takeoff'!$A$3:$A$202,MATCH(B135,'QS Takeoff'!$B$3:$B$202,0)),"")</f>
        <v/>
      </c>
      <c r="D135" s="81">
        <f>IFERROR(INDEX('QS Takeoff'!$C$3:$C$202,MATCH(B135,'QS Takeoff'!$B$3:$B$202,0)),"")</f>
        <v/>
      </c>
      <c r="E135" s="81">
        <f>IFERROR(INDEX('QS Takeoff'!$E$3:$E$202,MATCH(B135,'QS Takeoff'!$B$3:$B$202,0)),"")</f>
        <v/>
      </c>
      <c r="F135" s="81">
        <f>IFERROR(INDEX('QS Takeoff'!$D$3:$D$202,MATCH(B135,'QS Takeoff'!$B$3:$B$202,0)),"")</f>
        <v/>
      </c>
      <c r="G135" s="81">
        <f>IFERROR(INDEX('QS Takeoff'!$J$3:$J$202,MATCH(B135,'QS Takeoff'!$B$3:$B$202,0)),"")</f>
        <v/>
      </c>
      <c r="H135" s="53" t="n"/>
      <c r="I135" s="60" t="n"/>
      <c r="J135" s="60" t="n"/>
      <c r="K135" s="82">
        <f>IF(OR(B135="",I135="",I135=0),"",E135/I135)</f>
        <v/>
      </c>
      <c r="L135" s="60" t="n"/>
      <c r="M135" s="82">
        <f>IF(L135&gt;0,L135,K135)</f>
        <v/>
      </c>
      <c r="N135" s="53" t="n"/>
      <c r="O135" s="53" t="n"/>
      <c r="P135" s="53" t="n"/>
      <c r="Q135" s="81">
        <f>IFERROR(INDEX('Resource Rate Library'!$C$5:$C$200,MATCH(P135,'Resource Rate Library'!$A$5:$A$200,0)),"")</f>
        <v/>
      </c>
      <c r="R135" s="53" t="n"/>
      <c r="S135" s="53" t="n"/>
      <c r="T135" s="81">
        <f>IFERROR(INDEX('Resource Rate Library'!$E$5:$E$200,MATCH(P135,'Resource Rate Library'!$A$5:$A$200,0)),"")</f>
        <v/>
      </c>
      <c r="U135" s="1441" t="n"/>
      <c r="V135" s="1441" t="n"/>
      <c r="W135" s="1442">
        <f>IFERROR(INDEX('Resource Rate Library'!$I$5:$I$200,MATCH(P135,'Resource Rate Library'!$A$5:$A$200,0)),0)</f>
        <v/>
      </c>
      <c r="X135" s="1443" t="n"/>
      <c r="Y135" s="1442">
        <f>IF(X135&gt;0,X135,W135)</f>
        <v/>
      </c>
      <c r="Z135" s="1442">
        <f>IF(B135="","",IF(N135="Time x Count",M135*R135*IF(U135="",1,U135)*Y135,IF(N135="QS Qty x Factor",E135*R135*(1+IF(V135="",0,V135))*Y135,IF(N135="Direct Qty",S135*(1+IF(V135="",0,V135))*Y135,IF(N135="Lump Sum / Quote",S135*Y135,0)))))</f>
        <v/>
      </c>
      <c r="AA135" s="81">
        <f>IFERROR(INDEX('Resource Rate Library'!$N$5:$N$200,MATCH(P135,'Resource Rate Library'!$A$5:$A$200,0)),"")</f>
        <v/>
      </c>
      <c r="AB135" s="53" t="n"/>
      <c r="AC135" s="59" t="n"/>
      <c r="AD135" s="81">
        <f>IFERROR(INDEX('Resource Rate Library'!$G$5:$G$200,MATCH(P135,'Resource Rate Library'!$A$5:$A$200,0)),"")</f>
        <v/>
      </c>
      <c r="AE135" s="81">
        <f>IFERROR(INDEX('Resource Rate Library'!$H$5:$H$200,MATCH(P135,'Resource Rate Library'!$A$5:$A$200,0)),"")</f>
        <v/>
      </c>
      <c r="AF135" s="53" t="n"/>
      <c r="AG135" s="53" t="n"/>
      <c r="AH135" s="53" t="n"/>
      <c r="AI135" s="81">
        <f>IF(B135="","",IF(AND(P135="",N135&lt;&gt;"Lump Sum / Quote"),"RESOURCE CODE",IF(Y135=0,"RATE MISSING",IF(AND(O135="Plant",AD135="Yes",COUNTIFS($B$7:$B$306,B135,$O$7:$O$306,"Labour",$Q$7:$Q$306,"*Operator*")&gt;0),"OPERATOR DOUBLE-COUNT",IF(AND(O135="Plant",AE135="Yes",COUNTIFS($B$7:$B$306,B135,$Q$7:$Q$306,"*Fuel*")&gt;0),"FUEL DOUBLE-COUNT",IF(AH135&lt;&gt;"Yes","VERIFY","OK"))))))</f>
        <v/>
      </c>
      <c r="AJ135" s="54" t="n"/>
      <c r="AK135" s="473" t="n"/>
      <c r="AL135" s="473" t="n"/>
      <c r="AM135" s="473" t="n"/>
      <c r="AN135" s="1444">
        <f>IF(AND(AK135="Yes",OR(O135="Labour",O135="Plant")),Z135,0)</f>
        <v/>
      </c>
    </row>
    <row r="136">
      <c r="A136" s="80">
        <f>IF(B136="","",B136&amp;"-"&amp;TEXT(COUNTIF($B$7:B136,B136),"000"))</f>
        <v/>
      </c>
      <c r="B136" s="53" t="n"/>
      <c r="C136" s="81">
        <f>IFERROR(INDEX('QS Takeoff'!$A$3:$A$202,MATCH(B136,'QS Takeoff'!$B$3:$B$202,0)),"")</f>
        <v/>
      </c>
      <c r="D136" s="81">
        <f>IFERROR(INDEX('QS Takeoff'!$C$3:$C$202,MATCH(B136,'QS Takeoff'!$B$3:$B$202,0)),"")</f>
        <v/>
      </c>
      <c r="E136" s="81">
        <f>IFERROR(INDEX('QS Takeoff'!$E$3:$E$202,MATCH(B136,'QS Takeoff'!$B$3:$B$202,0)),"")</f>
        <v/>
      </c>
      <c r="F136" s="81">
        <f>IFERROR(INDEX('QS Takeoff'!$D$3:$D$202,MATCH(B136,'QS Takeoff'!$B$3:$B$202,0)),"")</f>
        <v/>
      </c>
      <c r="G136" s="81">
        <f>IFERROR(INDEX('QS Takeoff'!$J$3:$J$202,MATCH(B136,'QS Takeoff'!$B$3:$B$202,0)),"")</f>
        <v/>
      </c>
      <c r="H136" s="53" t="n"/>
      <c r="I136" s="60" t="n"/>
      <c r="J136" s="60" t="n"/>
      <c r="K136" s="82">
        <f>IF(OR(B136="",I136="",I136=0),"",E136/I136)</f>
        <v/>
      </c>
      <c r="L136" s="60" t="n"/>
      <c r="M136" s="82">
        <f>IF(L136&gt;0,L136,K136)</f>
        <v/>
      </c>
      <c r="N136" s="53" t="n"/>
      <c r="O136" s="53" t="n"/>
      <c r="P136" s="53" t="n"/>
      <c r="Q136" s="81">
        <f>IFERROR(INDEX('Resource Rate Library'!$C$5:$C$200,MATCH(P136,'Resource Rate Library'!$A$5:$A$200,0)),"")</f>
        <v/>
      </c>
      <c r="R136" s="53" t="n"/>
      <c r="S136" s="53" t="n"/>
      <c r="T136" s="81">
        <f>IFERROR(INDEX('Resource Rate Library'!$E$5:$E$200,MATCH(P136,'Resource Rate Library'!$A$5:$A$200,0)),"")</f>
        <v/>
      </c>
      <c r="U136" s="1441" t="n"/>
      <c r="V136" s="1441" t="n"/>
      <c r="W136" s="1442">
        <f>IFERROR(INDEX('Resource Rate Library'!$I$5:$I$200,MATCH(P136,'Resource Rate Library'!$A$5:$A$200,0)),0)</f>
        <v/>
      </c>
      <c r="X136" s="1443" t="n"/>
      <c r="Y136" s="1442">
        <f>IF(X136&gt;0,X136,W136)</f>
        <v/>
      </c>
      <c r="Z136" s="1442">
        <f>IF(B136="","",IF(N136="Time x Count",M136*R136*IF(U136="",1,U136)*Y136,IF(N136="QS Qty x Factor",E136*R136*(1+IF(V136="",0,V136))*Y136,IF(N136="Direct Qty",S136*(1+IF(V136="",0,V136))*Y136,IF(N136="Lump Sum / Quote",S136*Y136,0)))))</f>
        <v/>
      </c>
      <c r="AA136" s="81">
        <f>IFERROR(INDEX('Resource Rate Library'!$N$5:$N$200,MATCH(P136,'Resource Rate Library'!$A$5:$A$200,0)),"")</f>
        <v/>
      </c>
      <c r="AB136" s="53" t="n"/>
      <c r="AC136" s="59" t="n"/>
      <c r="AD136" s="81">
        <f>IFERROR(INDEX('Resource Rate Library'!$G$5:$G$200,MATCH(P136,'Resource Rate Library'!$A$5:$A$200,0)),"")</f>
        <v/>
      </c>
      <c r="AE136" s="81">
        <f>IFERROR(INDEX('Resource Rate Library'!$H$5:$H$200,MATCH(P136,'Resource Rate Library'!$A$5:$A$200,0)),"")</f>
        <v/>
      </c>
      <c r="AF136" s="53" t="n"/>
      <c r="AG136" s="53" t="n"/>
      <c r="AH136" s="53" t="n"/>
      <c r="AI136" s="81">
        <f>IF(B136="","",IF(AND(P136="",N136&lt;&gt;"Lump Sum / Quote"),"RESOURCE CODE",IF(Y136=0,"RATE MISSING",IF(AND(O136="Plant",AD136="Yes",COUNTIFS($B$7:$B$306,B136,$O$7:$O$306,"Labour",$Q$7:$Q$306,"*Operator*")&gt;0),"OPERATOR DOUBLE-COUNT",IF(AND(O136="Plant",AE136="Yes",COUNTIFS($B$7:$B$306,B136,$Q$7:$Q$306,"*Fuel*")&gt;0),"FUEL DOUBLE-COUNT",IF(AH136&lt;&gt;"Yes","VERIFY","OK"))))))</f>
        <v/>
      </c>
      <c r="AJ136" s="54" t="n"/>
      <c r="AK136" s="473" t="n"/>
      <c r="AL136" s="473" t="n"/>
      <c r="AM136" s="473" t="n"/>
      <c r="AN136" s="1444">
        <f>IF(AND(AK136="Yes",OR(O136="Labour",O136="Plant")),Z136,0)</f>
        <v/>
      </c>
    </row>
    <row r="137">
      <c r="A137" s="80">
        <f>IF(B137="","",B137&amp;"-"&amp;TEXT(COUNTIF($B$7:B137,B137),"000"))</f>
        <v/>
      </c>
      <c r="B137" s="53" t="n"/>
      <c r="C137" s="81">
        <f>IFERROR(INDEX('QS Takeoff'!$A$3:$A$202,MATCH(B137,'QS Takeoff'!$B$3:$B$202,0)),"")</f>
        <v/>
      </c>
      <c r="D137" s="81">
        <f>IFERROR(INDEX('QS Takeoff'!$C$3:$C$202,MATCH(B137,'QS Takeoff'!$B$3:$B$202,0)),"")</f>
        <v/>
      </c>
      <c r="E137" s="81">
        <f>IFERROR(INDEX('QS Takeoff'!$E$3:$E$202,MATCH(B137,'QS Takeoff'!$B$3:$B$202,0)),"")</f>
        <v/>
      </c>
      <c r="F137" s="81">
        <f>IFERROR(INDEX('QS Takeoff'!$D$3:$D$202,MATCH(B137,'QS Takeoff'!$B$3:$B$202,0)),"")</f>
        <v/>
      </c>
      <c r="G137" s="81">
        <f>IFERROR(INDEX('QS Takeoff'!$J$3:$J$202,MATCH(B137,'QS Takeoff'!$B$3:$B$202,0)),"")</f>
        <v/>
      </c>
      <c r="H137" s="53" t="n"/>
      <c r="I137" s="60" t="n"/>
      <c r="J137" s="60" t="n"/>
      <c r="K137" s="82">
        <f>IF(OR(B137="",I137="",I137=0),"",E137/I137)</f>
        <v/>
      </c>
      <c r="L137" s="60" t="n"/>
      <c r="M137" s="82">
        <f>IF(L137&gt;0,L137,K137)</f>
        <v/>
      </c>
      <c r="N137" s="53" t="n"/>
      <c r="O137" s="53" t="n"/>
      <c r="P137" s="53" t="n"/>
      <c r="Q137" s="81">
        <f>IFERROR(INDEX('Resource Rate Library'!$C$5:$C$200,MATCH(P137,'Resource Rate Library'!$A$5:$A$200,0)),"")</f>
        <v/>
      </c>
      <c r="R137" s="53" t="n"/>
      <c r="S137" s="53" t="n"/>
      <c r="T137" s="81">
        <f>IFERROR(INDEX('Resource Rate Library'!$E$5:$E$200,MATCH(P137,'Resource Rate Library'!$A$5:$A$200,0)),"")</f>
        <v/>
      </c>
      <c r="U137" s="1441" t="n"/>
      <c r="V137" s="1441" t="n"/>
      <c r="W137" s="1442">
        <f>IFERROR(INDEX('Resource Rate Library'!$I$5:$I$200,MATCH(P137,'Resource Rate Library'!$A$5:$A$200,0)),0)</f>
        <v/>
      </c>
      <c r="X137" s="1443" t="n"/>
      <c r="Y137" s="1442">
        <f>IF(X137&gt;0,X137,W137)</f>
        <v/>
      </c>
      <c r="Z137" s="1442">
        <f>IF(B137="","",IF(N137="Time x Count",M137*R137*IF(U137="",1,U137)*Y137,IF(N137="QS Qty x Factor",E137*R137*(1+IF(V137="",0,V137))*Y137,IF(N137="Direct Qty",S137*(1+IF(V137="",0,V137))*Y137,IF(N137="Lump Sum / Quote",S137*Y137,0)))))</f>
        <v/>
      </c>
      <c r="AA137" s="81">
        <f>IFERROR(INDEX('Resource Rate Library'!$N$5:$N$200,MATCH(P137,'Resource Rate Library'!$A$5:$A$200,0)),"")</f>
        <v/>
      </c>
      <c r="AB137" s="53" t="n"/>
      <c r="AC137" s="59" t="n"/>
      <c r="AD137" s="81">
        <f>IFERROR(INDEX('Resource Rate Library'!$G$5:$G$200,MATCH(P137,'Resource Rate Library'!$A$5:$A$200,0)),"")</f>
        <v/>
      </c>
      <c r="AE137" s="81">
        <f>IFERROR(INDEX('Resource Rate Library'!$H$5:$H$200,MATCH(P137,'Resource Rate Library'!$A$5:$A$200,0)),"")</f>
        <v/>
      </c>
      <c r="AF137" s="53" t="n"/>
      <c r="AG137" s="53" t="n"/>
      <c r="AH137" s="53" t="n"/>
      <c r="AI137" s="81">
        <f>IF(B137="","",IF(AND(P137="",N137&lt;&gt;"Lump Sum / Quote"),"RESOURCE CODE",IF(Y137=0,"RATE MISSING",IF(AND(O137="Plant",AD137="Yes",COUNTIFS($B$7:$B$306,B137,$O$7:$O$306,"Labour",$Q$7:$Q$306,"*Operator*")&gt;0),"OPERATOR DOUBLE-COUNT",IF(AND(O137="Plant",AE137="Yes",COUNTIFS($B$7:$B$306,B137,$Q$7:$Q$306,"*Fuel*")&gt;0),"FUEL DOUBLE-COUNT",IF(AH137&lt;&gt;"Yes","VERIFY","OK"))))))</f>
        <v/>
      </c>
      <c r="AJ137" s="54" t="n"/>
      <c r="AK137" s="473" t="n"/>
      <c r="AL137" s="473" t="n"/>
      <c r="AM137" s="473" t="n"/>
      <c r="AN137" s="1444">
        <f>IF(AND(AK137="Yes",OR(O137="Labour",O137="Plant")),Z137,0)</f>
        <v/>
      </c>
    </row>
    <row r="138">
      <c r="A138" s="80">
        <f>IF(B138="","",B138&amp;"-"&amp;TEXT(COUNTIF($B$7:B138,B138),"000"))</f>
        <v/>
      </c>
      <c r="B138" s="53" t="n"/>
      <c r="C138" s="81">
        <f>IFERROR(INDEX('QS Takeoff'!$A$3:$A$202,MATCH(B138,'QS Takeoff'!$B$3:$B$202,0)),"")</f>
        <v/>
      </c>
      <c r="D138" s="81">
        <f>IFERROR(INDEX('QS Takeoff'!$C$3:$C$202,MATCH(B138,'QS Takeoff'!$B$3:$B$202,0)),"")</f>
        <v/>
      </c>
      <c r="E138" s="81">
        <f>IFERROR(INDEX('QS Takeoff'!$E$3:$E$202,MATCH(B138,'QS Takeoff'!$B$3:$B$202,0)),"")</f>
        <v/>
      </c>
      <c r="F138" s="81">
        <f>IFERROR(INDEX('QS Takeoff'!$D$3:$D$202,MATCH(B138,'QS Takeoff'!$B$3:$B$202,0)),"")</f>
        <v/>
      </c>
      <c r="G138" s="81">
        <f>IFERROR(INDEX('QS Takeoff'!$J$3:$J$202,MATCH(B138,'QS Takeoff'!$B$3:$B$202,0)),"")</f>
        <v/>
      </c>
      <c r="H138" s="53" t="n"/>
      <c r="I138" s="60" t="n"/>
      <c r="J138" s="60" t="n"/>
      <c r="K138" s="82">
        <f>IF(OR(B138="",I138="",I138=0),"",E138/I138)</f>
        <v/>
      </c>
      <c r="L138" s="60" t="n"/>
      <c r="M138" s="82">
        <f>IF(L138&gt;0,L138,K138)</f>
        <v/>
      </c>
      <c r="N138" s="53" t="n"/>
      <c r="O138" s="53" t="n"/>
      <c r="P138" s="53" t="n"/>
      <c r="Q138" s="81">
        <f>IFERROR(INDEX('Resource Rate Library'!$C$5:$C$200,MATCH(P138,'Resource Rate Library'!$A$5:$A$200,0)),"")</f>
        <v/>
      </c>
      <c r="R138" s="53" t="n"/>
      <c r="S138" s="53" t="n"/>
      <c r="T138" s="81">
        <f>IFERROR(INDEX('Resource Rate Library'!$E$5:$E$200,MATCH(P138,'Resource Rate Library'!$A$5:$A$200,0)),"")</f>
        <v/>
      </c>
      <c r="U138" s="1441" t="n"/>
      <c r="V138" s="1441" t="n"/>
      <c r="W138" s="1442">
        <f>IFERROR(INDEX('Resource Rate Library'!$I$5:$I$200,MATCH(P138,'Resource Rate Library'!$A$5:$A$200,0)),0)</f>
        <v/>
      </c>
      <c r="X138" s="1443" t="n"/>
      <c r="Y138" s="1442">
        <f>IF(X138&gt;0,X138,W138)</f>
        <v/>
      </c>
      <c r="Z138" s="1442">
        <f>IF(B138="","",IF(N138="Time x Count",M138*R138*IF(U138="",1,U138)*Y138,IF(N138="QS Qty x Factor",E138*R138*(1+IF(V138="",0,V138))*Y138,IF(N138="Direct Qty",S138*(1+IF(V138="",0,V138))*Y138,IF(N138="Lump Sum / Quote",S138*Y138,0)))))</f>
        <v/>
      </c>
      <c r="AA138" s="81">
        <f>IFERROR(INDEX('Resource Rate Library'!$N$5:$N$200,MATCH(P138,'Resource Rate Library'!$A$5:$A$200,0)),"")</f>
        <v/>
      </c>
      <c r="AB138" s="53" t="n"/>
      <c r="AC138" s="59" t="n"/>
      <c r="AD138" s="81">
        <f>IFERROR(INDEX('Resource Rate Library'!$G$5:$G$200,MATCH(P138,'Resource Rate Library'!$A$5:$A$200,0)),"")</f>
        <v/>
      </c>
      <c r="AE138" s="81">
        <f>IFERROR(INDEX('Resource Rate Library'!$H$5:$H$200,MATCH(P138,'Resource Rate Library'!$A$5:$A$200,0)),"")</f>
        <v/>
      </c>
      <c r="AF138" s="53" t="n"/>
      <c r="AG138" s="53" t="n"/>
      <c r="AH138" s="53" t="n"/>
      <c r="AI138" s="81">
        <f>IF(B138="","",IF(AND(P138="",N138&lt;&gt;"Lump Sum / Quote"),"RESOURCE CODE",IF(Y138=0,"RATE MISSING",IF(AND(O138="Plant",AD138="Yes",COUNTIFS($B$7:$B$306,B138,$O$7:$O$306,"Labour",$Q$7:$Q$306,"*Operator*")&gt;0),"OPERATOR DOUBLE-COUNT",IF(AND(O138="Plant",AE138="Yes",COUNTIFS($B$7:$B$306,B138,$Q$7:$Q$306,"*Fuel*")&gt;0),"FUEL DOUBLE-COUNT",IF(AH138&lt;&gt;"Yes","VERIFY","OK"))))))</f>
        <v/>
      </c>
      <c r="AJ138" s="54" t="n"/>
      <c r="AK138" s="473" t="n"/>
      <c r="AL138" s="473" t="n"/>
      <c r="AM138" s="473" t="n"/>
      <c r="AN138" s="1444">
        <f>IF(AND(AK138="Yes",OR(O138="Labour",O138="Plant")),Z138,0)</f>
        <v/>
      </c>
    </row>
    <row r="139">
      <c r="A139" s="80">
        <f>IF(B139="","",B139&amp;"-"&amp;TEXT(COUNTIF($B$7:B139,B139),"000"))</f>
        <v/>
      </c>
      <c r="B139" s="53" t="n"/>
      <c r="C139" s="81">
        <f>IFERROR(INDEX('QS Takeoff'!$A$3:$A$202,MATCH(B139,'QS Takeoff'!$B$3:$B$202,0)),"")</f>
        <v/>
      </c>
      <c r="D139" s="81">
        <f>IFERROR(INDEX('QS Takeoff'!$C$3:$C$202,MATCH(B139,'QS Takeoff'!$B$3:$B$202,0)),"")</f>
        <v/>
      </c>
      <c r="E139" s="81">
        <f>IFERROR(INDEX('QS Takeoff'!$E$3:$E$202,MATCH(B139,'QS Takeoff'!$B$3:$B$202,0)),"")</f>
        <v/>
      </c>
      <c r="F139" s="81">
        <f>IFERROR(INDEX('QS Takeoff'!$D$3:$D$202,MATCH(B139,'QS Takeoff'!$B$3:$B$202,0)),"")</f>
        <v/>
      </c>
      <c r="G139" s="81">
        <f>IFERROR(INDEX('QS Takeoff'!$J$3:$J$202,MATCH(B139,'QS Takeoff'!$B$3:$B$202,0)),"")</f>
        <v/>
      </c>
      <c r="H139" s="53" t="n"/>
      <c r="I139" s="60" t="n"/>
      <c r="J139" s="60" t="n"/>
      <c r="K139" s="82">
        <f>IF(OR(B139="",I139="",I139=0),"",E139/I139)</f>
        <v/>
      </c>
      <c r="L139" s="60" t="n"/>
      <c r="M139" s="82">
        <f>IF(L139&gt;0,L139,K139)</f>
        <v/>
      </c>
      <c r="N139" s="53" t="n"/>
      <c r="O139" s="53" t="n"/>
      <c r="P139" s="53" t="n"/>
      <c r="Q139" s="81">
        <f>IFERROR(INDEX('Resource Rate Library'!$C$5:$C$200,MATCH(P139,'Resource Rate Library'!$A$5:$A$200,0)),"")</f>
        <v/>
      </c>
      <c r="R139" s="53" t="n"/>
      <c r="S139" s="53" t="n"/>
      <c r="T139" s="81">
        <f>IFERROR(INDEX('Resource Rate Library'!$E$5:$E$200,MATCH(P139,'Resource Rate Library'!$A$5:$A$200,0)),"")</f>
        <v/>
      </c>
      <c r="U139" s="1441" t="n"/>
      <c r="V139" s="1441" t="n"/>
      <c r="W139" s="1442">
        <f>IFERROR(INDEX('Resource Rate Library'!$I$5:$I$200,MATCH(P139,'Resource Rate Library'!$A$5:$A$200,0)),0)</f>
        <v/>
      </c>
      <c r="X139" s="1443" t="n"/>
      <c r="Y139" s="1442">
        <f>IF(X139&gt;0,X139,W139)</f>
        <v/>
      </c>
      <c r="Z139" s="1442">
        <f>IF(B139="","",IF(N139="Time x Count",M139*R139*IF(U139="",1,U139)*Y139,IF(N139="QS Qty x Factor",E139*R139*(1+IF(V139="",0,V139))*Y139,IF(N139="Direct Qty",S139*(1+IF(V139="",0,V139))*Y139,IF(N139="Lump Sum / Quote",S139*Y139,0)))))</f>
        <v/>
      </c>
      <c r="AA139" s="81">
        <f>IFERROR(INDEX('Resource Rate Library'!$N$5:$N$200,MATCH(P139,'Resource Rate Library'!$A$5:$A$200,0)),"")</f>
        <v/>
      </c>
      <c r="AB139" s="53" t="n"/>
      <c r="AC139" s="59" t="n"/>
      <c r="AD139" s="81">
        <f>IFERROR(INDEX('Resource Rate Library'!$G$5:$G$200,MATCH(P139,'Resource Rate Library'!$A$5:$A$200,0)),"")</f>
        <v/>
      </c>
      <c r="AE139" s="81">
        <f>IFERROR(INDEX('Resource Rate Library'!$H$5:$H$200,MATCH(P139,'Resource Rate Library'!$A$5:$A$200,0)),"")</f>
        <v/>
      </c>
      <c r="AF139" s="53" t="n"/>
      <c r="AG139" s="53" t="n"/>
      <c r="AH139" s="53" t="n"/>
      <c r="AI139" s="81">
        <f>IF(B139="","",IF(AND(P139="",N139&lt;&gt;"Lump Sum / Quote"),"RESOURCE CODE",IF(Y139=0,"RATE MISSING",IF(AND(O139="Plant",AD139="Yes",COUNTIFS($B$7:$B$306,B139,$O$7:$O$306,"Labour",$Q$7:$Q$306,"*Operator*")&gt;0),"OPERATOR DOUBLE-COUNT",IF(AND(O139="Plant",AE139="Yes",COUNTIFS($B$7:$B$306,B139,$Q$7:$Q$306,"*Fuel*")&gt;0),"FUEL DOUBLE-COUNT",IF(AH139&lt;&gt;"Yes","VERIFY","OK"))))))</f>
        <v/>
      </c>
      <c r="AJ139" s="54" t="n"/>
      <c r="AK139" s="473" t="n"/>
      <c r="AL139" s="473" t="n"/>
      <c r="AM139" s="473" t="n"/>
      <c r="AN139" s="1444">
        <f>IF(AND(AK139="Yes",OR(O139="Labour",O139="Plant")),Z139,0)</f>
        <v/>
      </c>
    </row>
    <row r="140">
      <c r="A140" s="80">
        <f>IF(B140="","",B140&amp;"-"&amp;TEXT(COUNTIF($B$7:B140,B140),"000"))</f>
        <v/>
      </c>
      <c r="B140" s="53" t="n"/>
      <c r="C140" s="81">
        <f>IFERROR(INDEX('QS Takeoff'!$A$3:$A$202,MATCH(B140,'QS Takeoff'!$B$3:$B$202,0)),"")</f>
        <v/>
      </c>
      <c r="D140" s="81">
        <f>IFERROR(INDEX('QS Takeoff'!$C$3:$C$202,MATCH(B140,'QS Takeoff'!$B$3:$B$202,0)),"")</f>
        <v/>
      </c>
      <c r="E140" s="81">
        <f>IFERROR(INDEX('QS Takeoff'!$E$3:$E$202,MATCH(B140,'QS Takeoff'!$B$3:$B$202,0)),"")</f>
        <v/>
      </c>
      <c r="F140" s="81">
        <f>IFERROR(INDEX('QS Takeoff'!$D$3:$D$202,MATCH(B140,'QS Takeoff'!$B$3:$B$202,0)),"")</f>
        <v/>
      </c>
      <c r="G140" s="81">
        <f>IFERROR(INDEX('QS Takeoff'!$J$3:$J$202,MATCH(B140,'QS Takeoff'!$B$3:$B$202,0)),"")</f>
        <v/>
      </c>
      <c r="H140" s="53" t="n"/>
      <c r="I140" s="60" t="n"/>
      <c r="J140" s="60" t="n"/>
      <c r="K140" s="82">
        <f>IF(OR(B140="",I140="",I140=0),"",E140/I140)</f>
        <v/>
      </c>
      <c r="L140" s="60" t="n"/>
      <c r="M140" s="82">
        <f>IF(L140&gt;0,L140,K140)</f>
        <v/>
      </c>
      <c r="N140" s="53" t="n"/>
      <c r="O140" s="53" t="n"/>
      <c r="P140" s="53" t="n"/>
      <c r="Q140" s="81">
        <f>IFERROR(INDEX('Resource Rate Library'!$C$5:$C$200,MATCH(P140,'Resource Rate Library'!$A$5:$A$200,0)),"")</f>
        <v/>
      </c>
      <c r="R140" s="53" t="n"/>
      <c r="S140" s="53" t="n"/>
      <c r="T140" s="81">
        <f>IFERROR(INDEX('Resource Rate Library'!$E$5:$E$200,MATCH(P140,'Resource Rate Library'!$A$5:$A$200,0)),"")</f>
        <v/>
      </c>
      <c r="U140" s="1441" t="n"/>
      <c r="V140" s="1441" t="n"/>
      <c r="W140" s="1442">
        <f>IFERROR(INDEX('Resource Rate Library'!$I$5:$I$200,MATCH(P140,'Resource Rate Library'!$A$5:$A$200,0)),0)</f>
        <v/>
      </c>
      <c r="X140" s="1443" t="n"/>
      <c r="Y140" s="1442">
        <f>IF(X140&gt;0,X140,W140)</f>
        <v/>
      </c>
      <c r="Z140" s="1442">
        <f>IF(B140="","",IF(N140="Time x Count",M140*R140*IF(U140="",1,U140)*Y140,IF(N140="QS Qty x Factor",E140*R140*(1+IF(V140="",0,V140))*Y140,IF(N140="Direct Qty",S140*(1+IF(V140="",0,V140))*Y140,IF(N140="Lump Sum / Quote",S140*Y140,0)))))</f>
        <v/>
      </c>
      <c r="AA140" s="81">
        <f>IFERROR(INDEX('Resource Rate Library'!$N$5:$N$200,MATCH(P140,'Resource Rate Library'!$A$5:$A$200,0)),"")</f>
        <v/>
      </c>
      <c r="AB140" s="53" t="n"/>
      <c r="AC140" s="59" t="n"/>
      <c r="AD140" s="81">
        <f>IFERROR(INDEX('Resource Rate Library'!$G$5:$G$200,MATCH(P140,'Resource Rate Library'!$A$5:$A$200,0)),"")</f>
        <v/>
      </c>
      <c r="AE140" s="81">
        <f>IFERROR(INDEX('Resource Rate Library'!$H$5:$H$200,MATCH(P140,'Resource Rate Library'!$A$5:$A$200,0)),"")</f>
        <v/>
      </c>
      <c r="AF140" s="53" t="n"/>
      <c r="AG140" s="53" t="n"/>
      <c r="AH140" s="53" t="n"/>
      <c r="AI140" s="81">
        <f>IF(B140="","",IF(AND(P140="",N140&lt;&gt;"Lump Sum / Quote"),"RESOURCE CODE",IF(Y140=0,"RATE MISSING",IF(AND(O140="Plant",AD140="Yes",COUNTIFS($B$7:$B$306,B140,$O$7:$O$306,"Labour",$Q$7:$Q$306,"*Operator*")&gt;0),"OPERATOR DOUBLE-COUNT",IF(AND(O140="Plant",AE140="Yes",COUNTIFS($B$7:$B$306,B140,$Q$7:$Q$306,"*Fuel*")&gt;0),"FUEL DOUBLE-COUNT",IF(AH140&lt;&gt;"Yes","VERIFY","OK"))))))</f>
        <v/>
      </c>
      <c r="AJ140" s="54" t="n"/>
      <c r="AK140" s="473" t="n"/>
      <c r="AL140" s="473" t="n"/>
      <c r="AM140" s="473" t="n"/>
      <c r="AN140" s="1444">
        <f>IF(AND(AK140="Yes",OR(O140="Labour",O140="Plant")),Z140,0)</f>
        <v/>
      </c>
    </row>
    <row r="141">
      <c r="A141" s="80">
        <f>IF(B141="","",B141&amp;"-"&amp;TEXT(COUNTIF($B$7:B141,B141),"000"))</f>
        <v/>
      </c>
      <c r="B141" s="53" t="n"/>
      <c r="C141" s="81">
        <f>IFERROR(INDEX('QS Takeoff'!$A$3:$A$202,MATCH(B141,'QS Takeoff'!$B$3:$B$202,0)),"")</f>
        <v/>
      </c>
      <c r="D141" s="81">
        <f>IFERROR(INDEX('QS Takeoff'!$C$3:$C$202,MATCH(B141,'QS Takeoff'!$B$3:$B$202,0)),"")</f>
        <v/>
      </c>
      <c r="E141" s="81">
        <f>IFERROR(INDEX('QS Takeoff'!$E$3:$E$202,MATCH(B141,'QS Takeoff'!$B$3:$B$202,0)),"")</f>
        <v/>
      </c>
      <c r="F141" s="81">
        <f>IFERROR(INDEX('QS Takeoff'!$D$3:$D$202,MATCH(B141,'QS Takeoff'!$B$3:$B$202,0)),"")</f>
        <v/>
      </c>
      <c r="G141" s="81">
        <f>IFERROR(INDEX('QS Takeoff'!$J$3:$J$202,MATCH(B141,'QS Takeoff'!$B$3:$B$202,0)),"")</f>
        <v/>
      </c>
      <c r="H141" s="53" t="n"/>
      <c r="I141" s="60" t="n"/>
      <c r="J141" s="60" t="n"/>
      <c r="K141" s="82">
        <f>IF(OR(B141="",I141="",I141=0),"",E141/I141)</f>
        <v/>
      </c>
      <c r="L141" s="60" t="n"/>
      <c r="M141" s="82">
        <f>IF(L141&gt;0,L141,K141)</f>
        <v/>
      </c>
      <c r="N141" s="53" t="n"/>
      <c r="O141" s="53" t="n"/>
      <c r="P141" s="53" t="n"/>
      <c r="Q141" s="81">
        <f>IFERROR(INDEX('Resource Rate Library'!$C$5:$C$200,MATCH(P141,'Resource Rate Library'!$A$5:$A$200,0)),"")</f>
        <v/>
      </c>
      <c r="R141" s="53" t="n"/>
      <c r="S141" s="53" t="n"/>
      <c r="T141" s="81">
        <f>IFERROR(INDEX('Resource Rate Library'!$E$5:$E$200,MATCH(P141,'Resource Rate Library'!$A$5:$A$200,0)),"")</f>
        <v/>
      </c>
      <c r="U141" s="1441" t="n"/>
      <c r="V141" s="1441" t="n"/>
      <c r="W141" s="1442">
        <f>IFERROR(INDEX('Resource Rate Library'!$I$5:$I$200,MATCH(P141,'Resource Rate Library'!$A$5:$A$200,0)),0)</f>
        <v/>
      </c>
      <c r="X141" s="1443" t="n"/>
      <c r="Y141" s="1442">
        <f>IF(X141&gt;0,X141,W141)</f>
        <v/>
      </c>
      <c r="Z141" s="1442">
        <f>IF(B141="","",IF(N141="Time x Count",M141*R141*IF(U141="",1,U141)*Y141,IF(N141="QS Qty x Factor",E141*R141*(1+IF(V141="",0,V141))*Y141,IF(N141="Direct Qty",S141*(1+IF(V141="",0,V141))*Y141,IF(N141="Lump Sum / Quote",S141*Y141,0)))))</f>
        <v/>
      </c>
      <c r="AA141" s="81">
        <f>IFERROR(INDEX('Resource Rate Library'!$N$5:$N$200,MATCH(P141,'Resource Rate Library'!$A$5:$A$200,0)),"")</f>
        <v/>
      </c>
      <c r="AB141" s="53" t="n"/>
      <c r="AC141" s="59" t="n"/>
      <c r="AD141" s="81">
        <f>IFERROR(INDEX('Resource Rate Library'!$G$5:$G$200,MATCH(P141,'Resource Rate Library'!$A$5:$A$200,0)),"")</f>
        <v/>
      </c>
      <c r="AE141" s="81">
        <f>IFERROR(INDEX('Resource Rate Library'!$H$5:$H$200,MATCH(P141,'Resource Rate Library'!$A$5:$A$200,0)),"")</f>
        <v/>
      </c>
      <c r="AF141" s="53" t="n"/>
      <c r="AG141" s="53" t="n"/>
      <c r="AH141" s="53" t="n"/>
      <c r="AI141" s="81">
        <f>IF(B141="","",IF(AND(P141="",N141&lt;&gt;"Lump Sum / Quote"),"RESOURCE CODE",IF(Y141=0,"RATE MISSING",IF(AND(O141="Plant",AD141="Yes",COUNTIFS($B$7:$B$306,B141,$O$7:$O$306,"Labour",$Q$7:$Q$306,"*Operator*")&gt;0),"OPERATOR DOUBLE-COUNT",IF(AND(O141="Plant",AE141="Yes",COUNTIFS($B$7:$B$306,B141,$Q$7:$Q$306,"*Fuel*")&gt;0),"FUEL DOUBLE-COUNT",IF(AH141&lt;&gt;"Yes","VERIFY","OK"))))))</f>
        <v/>
      </c>
      <c r="AJ141" s="54" t="n"/>
      <c r="AK141" s="473" t="n"/>
      <c r="AL141" s="473" t="n"/>
      <c r="AM141" s="473" t="n"/>
      <c r="AN141" s="1444">
        <f>IF(AND(AK141="Yes",OR(O141="Labour",O141="Plant")),Z141,0)</f>
        <v/>
      </c>
    </row>
    <row r="142">
      <c r="A142" s="80">
        <f>IF(B142="","",B142&amp;"-"&amp;TEXT(COUNTIF($B$7:B142,B142),"000"))</f>
        <v/>
      </c>
      <c r="B142" s="53" t="n"/>
      <c r="C142" s="81">
        <f>IFERROR(INDEX('QS Takeoff'!$A$3:$A$202,MATCH(B142,'QS Takeoff'!$B$3:$B$202,0)),"")</f>
        <v/>
      </c>
      <c r="D142" s="81">
        <f>IFERROR(INDEX('QS Takeoff'!$C$3:$C$202,MATCH(B142,'QS Takeoff'!$B$3:$B$202,0)),"")</f>
        <v/>
      </c>
      <c r="E142" s="81">
        <f>IFERROR(INDEX('QS Takeoff'!$E$3:$E$202,MATCH(B142,'QS Takeoff'!$B$3:$B$202,0)),"")</f>
        <v/>
      </c>
      <c r="F142" s="81">
        <f>IFERROR(INDEX('QS Takeoff'!$D$3:$D$202,MATCH(B142,'QS Takeoff'!$B$3:$B$202,0)),"")</f>
        <v/>
      </c>
      <c r="G142" s="81">
        <f>IFERROR(INDEX('QS Takeoff'!$J$3:$J$202,MATCH(B142,'QS Takeoff'!$B$3:$B$202,0)),"")</f>
        <v/>
      </c>
      <c r="H142" s="53" t="n"/>
      <c r="I142" s="60" t="n"/>
      <c r="J142" s="60" t="n"/>
      <c r="K142" s="82">
        <f>IF(OR(B142="",I142="",I142=0),"",E142/I142)</f>
        <v/>
      </c>
      <c r="L142" s="60" t="n"/>
      <c r="M142" s="82">
        <f>IF(L142&gt;0,L142,K142)</f>
        <v/>
      </c>
      <c r="N142" s="53" t="n"/>
      <c r="O142" s="53" t="n"/>
      <c r="P142" s="53" t="n"/>
      <c r="Q142" s="81">
        <f>IFERROR(INDEX('Resource Rate Library'!$C$5:$C$200,MATCH(P142,'Resource Rate Library'!$A$5:$A$200,0)),"")</f>
        <v/>
      </c>
      <c r="R142" s="53" t="n"/>
      <c r="S142" s="53" t="n"/>
      <c r="T142" s="81">
        <f>IFERROR(INDEX('Resource Rate Library'!$E$5:$E$200,MATCH(P142,'Resource Rate Library'!$A$5:$A$200,0)),"")</f>
        <v/>
      </c>
      <c r="U142" s="1441" t="n"/>
      <c r="V142" s="1441" t="n"/>
      <c r="W142" s="1442">
        <f>IFERROR(INDEX('Resource Rate Library'!$I$5:$I$200,MATCH(P142,'Resource Rate Library'!$A$5:$A$200,0)),0)</f>
        <v/>
      </c>
      <c r="X142" s="1443" t="n"/>
      <c r="Y142" s="1442">
        <f>IF(X142&gt;0,X142,W142)</f>
        <v/>
      </c>
      <c r="Z142" s="1442">
        <f>IF(B142="","",IF(N142="Time x Count",M142*R142*IF(U142="",1,U142)*Y142,IF(N142="QS Qty x Factor",E142*R142*(1+IF(V142="",0,V142))*Y142,IF(N142="Direct Qty",S142*(1+IF(V142="",0,V142))*Y142,IF(N142="Lump Sum / Quote",S142*Y142,0)))))</f>
        <v/>
      </c>
      <c r="AA142" s="81">
        <f>IFERROR(INDEX('Resource Rate Library'!$N$5:$N$200,MATCH(P142,'Resource Rate Library'!$A$5:$A$200,0)),"")</f>
        <v/>
      </c>
      <c r="AB142" s="53" t="n"/>
      <c r="AC142" s="59" t="n"/>
      <c r="AD142" s="81">
        <f>IFERROR(INDEX('Resource Rate Library'!$G$5:$G$200,MATCH(P142,'Resource Rate Library'!$A$5:$A$200,0)),"")</f>
        <v/>
      </c>
      <c r="AE142" s="81">
        <f>IFERROR(INDEX('Resource Rate Library'!$H$5:$H$200,MATCH(P142,'Resource Rate Library'!$A$5:$A$200,0)),"")</f>
        <v/>
      </c>
      <c r="AF142" s="53" t="n"/>
      <c r="AG142" s="53" t="n"/>
      <c r="AH142" s="53" t="n"/>
      <c r="AI142" s="81">
        <f>IF(B142="","",IF(AND(P142="",N142&lt;&gt;"Lump Sum / Quote"),"RESOURCE CODE",IF(Y142=0,"RATE MISSING",IF(AND(O142="Plant",AD142="Yes",COUNTIFS($B$7:$B$306,B142,$O$7:$O$306,"Labour",$Q$7:$Q$306,"*Operator*")&gt;0),"OPERATOR DOUBLE-COUNT",IF(AND(O142="Plant",AE142="Yes",COUNTIFS($B$7:$B$306,B142,$Q$7:$Q$306,"*Fuel*")&gt;0),"FUEL DOUBLE-COUNT",IF(AH142&lt;&gt;"Yes","VERIFY","OK"))))))</f>
        <v/>
      </c>
      <c r="AJ142" s="54" t="n"/>
      <c r="AK142" s="473" t="n"/>
      <c r="AL142" s="473" t="n"/>
      <c r="AM142" s="473" t="n"/>
      <c r="AN142" s="1444">
        <f>IF(AND(AK142="Yes",OR(O142="Labour",O142="Plant")),Z142,0)</f>
        <v/>
      </c>
    </row>
    <row r="143">
      <c r="A143" s="80">
        <f>IF(B143="","",B143&amp;"-"&amp;TEXT(COUNTIF($B$7:B143,B143),"000"))</f>
        <v/>
      </c>
      <c r="B143" s="53" t="n"/>
      <c r="C143" s="81">
        <f>IFERROR(INDEX('QS Takeoff'!$A$3:$A$202,MATCH(B143,'QS Takeoff'!$B$3:$B$202,0)),"")</f>
        <v/>
      </c>
      <c r="D143" s="81">
        <f>IFERROR(INDEX('QS Takeoff'!$C$3:$C$202,MATCH(B143,'QS Takeoff'!$B$3:$B$202,0)),"")</f>
        <v/>
      </c>
      <c r="E143" s="81">
        <f>IFERROR(INDEX('QS Takeoff'!$E$3:$E$202,MATCH(B143,'QS Takeoff'!$B$3:$B$202,0)),"")</f>
        <v/>
      </c>
      <c r="F143" s="81">
        <f>IFERROR(INDEX('QS Takeoff'!$D$3:$D$202,MATCH(B143,'QS Takeoff'!$B$3:$B$202,0)),"")</f>
        <v/>
      </c>
      <c r="G143" s="81">
        <f>IFERROR(INDEX('QS Takeoff'!$J$3:$J$202,MATCH(B143,'QS Takeoff'!$B$3:$B$202,0)),"")</f>
        <v/>
      </c>
      <c r="H143" s="53" t="n"/>
      <c r="I143" s="60" t="n"/>
      <c r="J143" s="60" t="n"/>
      <c r="K143" s="82">
        <f>IF(OR(B143="",I143="",I143=0),"",E143/I143)</f>
        <v/>
      </c>
      <c r="L143" s="60" t="n"/>
      <c r="M143" s="82">
        <f>IF(L143&gt;0,L143,K143)</f>
        <v/>
      </c>
      <c r="N143" s="53" t="n"/>
      <c r="O143" s="53" t="n"/>
      <c r="P143" s="53" t="n"/>
      <c r="Q143" s="81">
        <f>IFERROR(INDEX('Resource Rate Library'!$C$5:$C$200,MATCH(P143,'Resource Rate Library'!$A$5:$A$200,0)),"")</f>
        <v/>
      </c>
      <c r="R143" s="53" t="n"/>
      <c r="S143" s="53" t="n"/>
      <c r="T143" s="81">
        <f>IFERROR(INDEX('Resource Rate Library'!$E$5:$E$200,MATCH(P143,'Resource Rate Library'!$A$5:$A$200,0)),"")</f>
        <v/>
      </c>
      <c r="U143" s="1441" t="n"/>
      <c r="V143" s="1441" t="n"/>
      <c r="W143" s="1442">
        <f>IFERROR(INDEX('Resource Rate Library'!$I$5:$I$200,MATCH(P143,'Resource Rate Library'!$A$5:$A$200,0)),0)</f>
        <v/>
      </c>
      <c r="X143" s="1443" t="n"/>
      <c r="Y143" s="1442">
        <f>IF(X143&gt;0,X143,W143)</f>
        <v/>
      </c>
      <c r="Z143" s="1442">
        <f>IF(B143="","",IF(N143="Time x Count",M143*R143*IF(U143="",1,U143)*Y143,IF(N143="QS Qty x Factor",E143*R143*(1+IF(V143="",0,V143))*Y143,IF(N143="Direct Qty",S143*(1+IF(V143="",0,V143))*Y143,IF(N143="Lump Sum / Quote",S143*Y143,0)))))</f>
        <v/>
      </c>
      <c r="AA143" s="81">
        <f>IFERROR(INDEX('Resource Rate Library'!$N$5:$N$200,MATCH(P143,'Resource Rate Library'!$A$5:$A$200,0)),"")</f>
        <v/>
      </c>
      <c r="AB143" s="53" t="n"/>
      <c r="AC143" s="59" t="n"/>
      <c r="AD143" s="81">
        <f>IFERROR(INDEX('Resource Rate Library'!$G$5:$G$200,MATCH(P143,'Resource Rate Library'!$A$5:$A$200,0)),"")</f>
        <v/>
      </c>
      <c r="AE143" s="81">
        <f>IFERROR(INDEX('Resource Rate Library'!$H$5:$H$200,MATCH(P143,'Resource Rate Library'!$A$5:$A$200,0)),"")</f>
        <v/>
      </c>
      <c r="AF143" s="53" t="n"/>
      <c r="AG143" s="53" t="n"/>
      <c r="AH143" s="53" t="n"/>
      <c r="AI143" s="81">
        <f>IF(B143="","",IF(AND(P143="",N143&lt;&gt;"Lump Sum / Quote"),"RESOURCE CODE",IF(Y143=0,"RATE MISSING",IF(AND(O143="Plant",AD143="Yes",COUNTIFS($B$7:$B$306,B143,$O$7:$O$306,"Labour",$Q$7:$Q$306,"*Operator*")&gt;0),"OPERATOR DOUBLE-COUNT",IF(AND(O143="Plant",AE143="Yes",COUNTIFS($B$7:$B$306,B143,$Q$7:$Q$306,"*Fuel*")&gt;0),"FUEL DOUBLE-COUNT",IF(AH143&lt;&gt;"Yes","VERIFY","OK"))))))</f>
        <v/>
      </c>
      <c r="AJ143" s="54" t="n"/>
      <c r="AK143" s="473" t="n"/>
      <c r="AL143" s="473" t="n"/>
      <c r="AM143" s="473" t="n"/>
      <c r="AN143" s="1444">
        <f>IF(AND(AK143="Yes",OR(O143="Labour",O143="Plant")),Z143,0)</f>
        <v/>
      </c>
    </row>
    <row r="144">
      <c r="A144" s="80">
        <f>IF(B144="","",B144&amp;"-"&amp;TEXT(COUNTIF($B$7:B144,B144),"000"))</f>
        <v/>
      </c>
      <c r="B144" s="53" t="n"/>
      <c r="C144" s="81">
        <f>IFERROR(INDEX('QS Takeoff'!$A$3:$A$202,MATCH(B144,'QS Takeoff'!$B$3:$B$202,0)),"")</f>
        <v/>
      </c>
      <c r="D144" s="81">
        <f>IFERROR(INDEX('QS Takeoff'!$C$3:$C$202,MATCH(B144,'QS Takeoff'!$B$3:$B$202,0)),"")</f>
        <v/>
      </c>
      <c r="E144" s="81">
        <f>IFERROR(INDEX('QS Takeoff'!$E$3:$E$202,MATCH(B144,'QS Takeoff'!$B$3:$B$202,0)),"")</f>
        <v/>
      </c>
      <c r="F144" s="81">
        <f>IFERROR(INDEX('QS Takeoff'!$D$3:$D$202,MATCH(B144,'QS Takeoff'!$B$3:$B$202,0)),"")</f>
        <v/>
      </c>
      <c r="G144" s="81">
        <f>IFERROR(INDEX('QS Takeoff'!$J$3:$J$202,MATCH(B144,'QS Takeoff'!$B$3:$B$202,0)),"")</f>
        <v/>
      </c>
      <c r="H144" s="53" t="n"/>
      <c r="I144" s="60" t="n"/>
      <c r="J144" s="60" t="n"/>
      <c r="K144" s="82">
        <f>IF(OR(B144="",I144="",I144=0),"",E144/I144)</f>
        <v/>
      </c>
      <c r="L144" s="60" t="n"/>
      <c r="M144" s="82">
        <f>IF(L144&gt;0,L144,K144)</f>
        <v/>
      </c>
      <c r="N144" s="53" t="n"/>
      <c r="O144" s="53" t="n"/>
      <c r="P144" s="53" t="n"/>
      <c r="Q144" s="81">
        <f>IFERROR(INDEX('Resource Rate Library'!$C$5:$C$200,MATCH(P144,'Resource Rate Library'!$A$5:$A$200,0)),"")</f>
        <v/>
      </c>
      <c r="R144" s="53" t="n"/>
      <c r="S144" s="53" t="n"/>
      <c r="T144" s="81">
        <f>IFERROR(INDEX('Resource Rate Library'!$E$5:$E$200,MATCH(P144,'Resource Rate Library'!$A$5:$A$200,0)),"")</f>
        <v/>
      </c>
      <c r="U144" s="1441" t="n"/>
      <c r="V144" s="1441" t="n"/>
      <c r="W144" s="1442">
        <f>IFERROR(INDEX('Resource Rate Library'!$I$5:$I$200,MATCH(P144,'Resource Rate Library'!$A$5:$A$200,0)),0)</f>
        <v/>
      </c>
      <c r="X144" s="1443" t="n"/>
      <c r="Y144" s="1442">
        <f>IF(X144&gt;0,X144,W144)</f>
        <v/>
      </c>
      <c r="Z144" s="1442">
        <f>IF(B144="","",IF(N144="Time x Count",M144*R144*IF(U144="",1,U144)*Y144,IF(N144="QS Qty x Factor",E144*R144*(1+IF(V144="",0,V144))*Y144,IF(N144="Direct Qty",S144*(1+IF(V144="",0,V144))*Y144,IF(N144="Lump Sum / Quote",S144*Y144,0)))))</f>
        <v/>
      </c>
      <c r="AA144" s="81">
        <f>IFERROR(INDEX('Resource Rate Library'!$N$5:$N$200,MATCH(P144,'Resource Rate Library'!$A$5:$A$200,0)),"")</f>
        <v/>
      </c>
      <c r="AB144" s="53" t="n"/>
      <c r="AC144" s="59" t="n"/>
      <c r="AD144" s="81">
        <f>IFERROR(INDEX('Resource Rate Library'!$G$5:$G$200,MATCH(P144,'Resource Rate Library'!$A$5:$A$200,0)),"")</f>
        <v/>
      </c>
      <c r="AE144" s="81">
        <f>IFERROR(INDEX('Resource Rate Library'!$H$5:$H$200,MATCH(P144,'Resource Rate Library'!$A$5:$A$200,0)),"")</f>
        <v/>
      </c>
      <c r="AF144" s="53" t="n"/>
      <c r="AG144" s="53" t="n"/>
      <c r="AH144" s="53" t="n"/>
      <c r="AI144" s="81">
        <f>IF(B144="","",IF(AND(P144="",N144&lt;&gt;"Lump Sum / Quote"),"RESOURCE CODE",IF(Y144=0,"RATE MISSING",IF(AND(O144="Plant",AD144="Yes",COUNTIFS($B$7:$B$306,B144,$O$7:$O$306,"Labour",$Q$7:$Q$306,"*Operator*")&gt;0),"OPERATOR DOUBLE-COUNT",IF(AND(O144="Plant",AE144="Yes",COUNTIFS($B$7:$B$306,B144,$Q$7:$Q$306,"*Fuel*")&gt;0),"FUEL DOUBLE-COUNT",IF(AH144&lt;&gt;"Yes","VERIFY","OK"))))))</f>
        <v/>
      </c>
      <c r="AJ144" s="54" t="n"/>
      <c r="AK144" s="473" t="n"/>
      <c r="AL144" s="473" t="n"/>
      <c r="AM144" s="473" t="n"/>
      <c r="AN144" s="1444">
        <f>IF(AND(AK144="Yes",OR(O144="Labour",O144="Plant")),Z144,0)</f>
        <v/>
      </c>
    </row>
    <row r="145">
      <c r="A145" s="80">
        <f>IF(B145="","",B145&amp;"-"&amp;TEXT(COUNTIF($B$7:B145,B145),"000"))</f>
        <v/>
      </c>
      <c r="B145" s="53" t="n"/>
      <c r="C145" s="81">
        <f>IFERROR(INDEX('QS Takeoff'!$A$3:$A$202,MATCH(B145,'QS Takeoff'!$B$3:$B$202,0)),"")</f>
        <v/>
      </c>
      <c r="D145" s="81">
        <f>IFERROR(INDEX('QS Takeoff'!$C$3:$C$202,MATCH(B145,'QS Takeoff'!$B$3:$B$202,0)),"")</f>
        <v/>
      </c>
      <c r="E145" s="81">
        <f>IFERROR(INDEX('QS Takeoff'!$E$3:$E$202,MATCH(B145,'QS Takeoff'!$B$3:$B$202,0)),"")</f>
        <v/>
      </c>
      <c r="F145" s="81">
        <f>IFERROR(INDEX('QS Takeoff'!$D$3:$D$202,MATCH(B145,'QS Takeoff'!$B$3:$B$202,0)),"")</f>
        <v/>
      </c>
      <c r="G145" s="81">
        <f>IFERROR(INDEX('QS Takeoff'!$J$3:$J$202,MATCH(B145,'QS Takeoff'!$B$3:$B$202,0)),"")</f>
        <v/>
      </c>
      <c r="H145" s="53" t="n"/>
      <c r="I145" s="60" t="n"/>
      <c r="J145" s="60" t="n"/>
      <c r="K145" s="82">
        <f>IF(OR(B145="",I145="",I145=0),"",E145/I145)</f>
        <v/>
      </c>
      <c r="L145" s="60" t="n"/>
      <c r="M145" s="82">
        <f>IF(L145&gt;0,L145,K145)</f>
        <v/>
      </c>
      <c r="N145" s="53" t="n"/>
      <c r="O145" s="53" t="n"/>
      <c r="P145" s="53" t="n"/>
      <c r="Q145" s="81">
        <f>IFERROR(INDEX('Resource Rate Library'!$C$5:$C$200,MATCH(P145,'Resource Rate Library'!$A$5:$A$200,0)),"")</f>
        <v/>
      </c>
      <c r="R145" s="53" t="n"/>
      <c r="S145" s="53" t="n"/>
      <c r="T145" s="81">
        <f>IFERROR(INDEX('Resource Rate Library'!$E$5:$E$200,MATCH(P145,'Resource Rate Library'!$A$5:$A$200,0)),"")</f>
        <v/>
      </c>
      <c r="U145" s="1441" t="n"/>
      <c r="V145" s="1441" t="n"/>
      <c r="W145" s="1442">
        <f>IFERROR(INDEX('Resource Rate Library'!$I$5:$I$200,MATCH(P145,'Resource Rate Library'!$A$5:$A$200,0)),0)</f>
        <v/>
      </c>
      <c r="X145" s="1443" t="n"/>
      <c r="Y145" s="1442">
        <f>IF(X145&gt;0,X145,W145)</f>
        <v/>
      </c>
      <c r="Z145" s="1442">
        <f>IF(B145="","",IF(N145="Time x Count",M145*R145*IF(U145="",1,U145)*Y145,IF(N145="QS Qty x Factor",E145*R145*(1+IF(V145="",0,V145))*Y145,IF(N145="Direct Qty",S145*(1+IF(V145="",0,V145))*Y145,IF(N145="Lump Sum / Quote",S145*Y145,0)))))</f>
        <v/>
      </c>
      <c r="AA145" s="81">
        <f>IFERROR(INDEX('Resource Rate Library'!$N$5:$N$200,MATCH(P145,'Resource Rate Library'!$A$5:$A$200,0)),"")</f>
        <v/>
      </c>
      <c r="AB145" s="53" t="n"/>
      <c r="AC145" s="59" t="n"/>
      <c r="AD145" s="81">
        <f>IFERROR(INDEX('Resource Rate Library'!$G$5:$G$200,MATCH(P145,'Resource Rate Library'!$A$5:$A$200,0)),"")</f>
        <v/>
      </c>
      <c r="AE145" s="81">
        <f>IFERROR(INDEX('Resource Rate Library'!$H$5:$H$200,MATCH(P145,'Resource Rate Library'!$A$5:$A$200,0)),"")</f>
        <v/>
      </c>
      <c r="AF145" s="53" t="n"/>
      <c r="AG145" s="53" t="n"/>
      <c r="AH145" s="53" t="n"/>
      <c r="AI145" s="81">
        <f>IF(B145="","",IF(AND(P145="",N145&lt;&gt;"Lump Sum / Quote"),"RESOURCE CODE",IF(Y145=0,"RATE MISSING",IF(AND(O145="Plant",AD145="Yes",COUNTIFS($B$7:$B$306,B145,$O$7:$O$306,"Labour",$Q$7:$Q$306,"*Operator*")&gt;0),"OPERATOR DOUBLE-COUNT",IF(AND(O145="Plant",AE145="Yes",COUNTIFS($B$7:$B$306,B145,$Q$7:$Q$306,"*Fuel*")&gt;0),"FUEL DOUBLE-COUNT",IF(AH145&lt;&gt;"Yes","VERIFY","OK"))))))</f>
        <v/>
      </c>
      <c r="AJ145" s="54" t="n"/>
      <c r="AK145" s="473" t="n"/>
      <c r="AL145" s="473" t="n"/>
      <c r="AM145" s="473" t="n"/>
      <c r="AN145" s="1444">
        <f>IF(AND(AK145="Yes",OR(O145="Labour",O145="Plant")),Z145,0)</f>
        <v/>
      </c>
    </row>
    <row r="146">
      <c r="A146" s="80">
        <f>IF(B146="","",B146&amp;"-"&amp;TEXT(COUNTIF($B$7:B146,B146),"000"))</f>
        <v/>
      </c>
      <c r="B146" s="53" t="n"/>
      <c r="C146" s="81">
        <f>IFERROR(INDEX('QS Takeoff'!$A$3:$A$202,MATCH(B146,'QS Takeoff'!$B$3:$B$202,0)),"")</f>
        <v/>
      </c>
      <c r="D146" s="81">
        <f>IFERROR(INDEX('QS Takeoff'!$C$3:$C$202,MATCH(B146,'QS Takeoff'!$B$3:$B$202,0)),"")</f>
        <v/>
      </c>
      <c r="E146" s="81">
        <f>IFERROR(INDEX('QS Takeoff'!$E$3:$E$202,MATCH(B146,'QS Takeoff'!$B$3:$B$202,0)),"")</f>
        <v/>
      </c>
      <c r="F146" s="81">
        <f>IFERROR(INDEX('QS Takeoff'!$D$3:$D$202,MATCH(B146,'QS Takeoff'!$B$3:$B$202,0)),"")</f>
        <v/>
      </c>
      <c r="G146" s="81">
        <f>IFERROR(INDEX('QS Takeoff'!$J$3:$J$202,MATCH(B146,'QS Takeoff'!$B$3:$B$202,0)),"")</f>
        <v/>
      </c>
      <c r="H146" s="53" t="n"/>
      <c r="I146" s="60" t="n"/>
      <c r="J146" s="60" t="n"/>
      <c r="K146" s="82">
        <f>IF(OR(B146="",I146="",I146=0),"",E146/I146)</f>
        <v/>
      </c>
      <c r="L146" s="60" t="n"/>
      <c r="M146" s="82">
        <f>IF(L146&gt;0,L146,K146)</f>
        <v/>
      </c>
      <c r="N146" s="53" t="n"/>
      <c r="O146" s="53" t="n"/>
      <c r="P146" s="53" t="n"/>
      <c r="Q146" s="81">
        <f>IFERROR(INDEX('Resource Rate Library'!$C$5:$C$200,MATCH(P146,'Resource Rate Library'!$A$5:$A$200,0)),"")</f>
        <v/>
      </c>
      <c r="R146" s="53" t="n"/>
      <c r="S146" s="53" t="n"/>
      <c r="T146" s="81">
        <f>IFERROR(INDEX('Resource Rate Library'!$E$5:$E$200,MATCH(P146,'Resource Rate Library'!$A$5:$A$200,0)),"")</f>
        <v/>
      </c>
      <c r="U146" s="1441" t="n"/>
      <c r="V146" s="1441" t="n"/>
      <c r="W146" s="1442">
        <f>IFERROR(INDEX('Resource Rate Library'!$I$5:$I$200,MATCH(P146,'Resource Rate Library'!$A$5:$A$200,0)),0)</f>
        <v/>
      </c>
      <c r="X146" s="1443" t="n"/>
      <c r="Y146" s="1442">
        <f>IF(X146&gt;0,X146,W146)</f>
        <v/>
      </c>
      <c r="Z146" s="1442">
        <f>IF(B146="","",IF(N146="Time x Count",M146*R146*IF(U146="",1,U146)*Y146,IF(N146="QS Qty x Factor",E146*R146*(1+IF(V146="",0,V146))*Y146,IF(N146="Direct Qty",S146*(1+IF(V146="",0,V146))*Y146,IF(N146="Lump Sum / Quote",S146*Y146,0)))))</f>
        <v/>
      </c>
      <c r="AA146" s="81">
        <f>IFERROR(INDEX('Resource Rate Library'!$N$5:$N$200,MATCH(P146,'Resource Rate Library'!$A$5:$A$200,0)),"")</f>
        <v/>
      </c>
      <c r="AB146" s="53" t="n"/>
      <c r="AC146" s="59" t="n"/>
      <c r="AD146" s="81">
        <f>IFERROR(INDEX('Resource Rate Library'!$G$5:$G$200,MATCH(P146,'Resource Rate Library'!$A$5:$A$200,0)),"")</f>
        <v/>
      </c>
      <c r="AE146" s="81">
        <f>IFERROR(INDEX('Resource Rate Library'!$H$5:$H$200,MATCH(P146,'Resource Rate Library'!$A$5:$A$200,0)),"")</f>
        <v/>
      </c>
      <c r="AF146" s="53" t="n"/>
      <c r="AG146" s="53" t="n"/>
      <c r="AH146" s="53" t="n"/>
      <c r="AI146" s="81">
        <f>IF(B146="","",IF(AND(P146="",N146&lt;&gt;"Lump Sum / Quote"),"RESOURCE CODE",IF(Y146=0,"RATE MISSING",IF(AND(O146="Plant",AD146="Yes",COUNTIFS($B$7:$B$306,B146,$O$7:$O$306,"Labour",$Q$7:$Q$306,"*Operator*")&gt;0),"OPERATOR DOUBLE-COUNT",IF(AND(O146="Plant",AE146="Yes",COUNTIFS($B$7:$B$306,B146,$Q$7:$Q$306,"*Fuel*")&gt;0),"FUEL DOUBLE-COUNT",IF(AH146&lt;&gt;"Yes","VERIFY","OK"))))))</f>
        <v/>
      </c>
      <c r="AJ146" s="54" t="n"/>
      <c r="AK146" s="473" t="n"/>
      <c r="AL146" s="473" t="n"/>
      <c r="AM146" s="473" t="n"/>
      <c r="AN146" s="1444">
        <f>IF(AND(AK146="Yes",OR(O146="Labour",O146="Plant")),Z146,0)</f>
        <v/>
      </c>
    </row>
    <row r="147">
      <c r="A147" s="80">
        <f>IF(B147="","",B147&amp;"-"&amp;TEXT(COUNTIF($B$7:B147,B147),"000"))</f>
        <v/>
      </c>
      <c r="B147" s="53" t="n"/>
      <c r="C147" s="81">
        <f>IFERROR(INDEX('QS Takeoff'!$A$3:$A$202,MATCH(B147,'QS Takeoff'!$B$3:$B$202,0)),"")</f>
        <v/>
      </c>
      <c r="D147" s="81">
        <f>IFERROR(INDEX('QS Takeoff'!$C$3:$C$202,MATCH(B147,'QS Takeoff'!$B$3:$B$202,0)),"")</f>
        <v/>
      </c>
      <c r="E147" s="81">
        <f>IFERROR(INDEX('QS Takeoff'!$E$3:$E$202,MATCH(B147,'QS Takeoff'!$B$3:$B$202,0)),"")</f>
        <v/>
      </c>
      <c r="F147" s="81">
        <f>IFERROR(INDEX('QS Takeoff'!$D$3:$D$202,MATCH(B147,'QS Takeoff'!$B$3:$B$202,0)),"")</f>
        <v/>
      </c>
      <c r="G147" s="81">
        <f>IFERROR(INDEX('QS Takeoff'!$J$3:$J$202,MATCH(B147,'QS Takeoff'!$B$3:$B$202,0)),"")</f>
        <v/>
      </c>
      <c r="H147" s="53" t="n"/>
      <c r="I147" s="60" t="n"/>
      <c r="J147" s="60" t="n"/>
      <c r="K147" s="82">
        <f>IF(OR(B147="",I147="",I147=0),"",E147/I147)</f>
        <v/>
      </c>
      <c r="L147" s="60" t="n"/>
      <c r="M147" s="82">
        <f>IF(L147&gt;0,L147,K147)</f>
        <v/>
      </c>
      <c r="N147" s="53" t="n"/>
      <c r="O147" s="53" t="n"/>
      <c r="P147" s="53" t="n"/>
      <c r="Q147" s="81">
        <f>IFERROR(INDEX('Resource Rate Library'!$C$5:$C$200,MATCH(P147,'Resource Rate Library'!$A$5:$A$200,0)),"")</f>
        <v/>
      </c>
      <c r="R147" s="53" t="n"/>
      <c r="S147" s="53" t="n"/>
      <c r="T147" s="81">
        <f>IFERROR(INDEX('Resource Rate Library'!$E$5:$E$200,MATCH(P147,'Resource Rate Library'!$A$5:$A$200,0)),"")</f>
        <v/>
      </c>
      <c r="U147" s="1441" t="n"/>
      <c r="V147" s="1441" t="n"/>
      <c r="W147" s="1442">
        <f>IFERROR(INDEX('Resource Rate Library'!$I$5:$I$200,MATCH(P147,'Resource Rate Library'!$A$5:$A$200,0)),0)</f>
        <v/>
      </c>
      <c r="X147" s="1443" t="n"/>
      <c r="Y147" s="1442">
        <f>IF(X147&gt;0,X147,W147)</f>
        <v/>
      </c>
      <c r="Z147" s="1442">
        <f>IF(B147="","",IF(N147="Time x Count",M147*R147*IF(U147="",1,U147)*Y147,IF(N147="QS Qty x Factor",E147*R147*(1+IF(V147="",0,V147))*Y147,IF(N147="Direct Qty",S147*(1+IF(V147="",0,V147))*Y147,IF(N147="Lump Sum / Quote",S147*Y147,0)))))</f>
        <v/>
      </c>
      <c r="AA147" s="81">
        <f>IFERROR(INDEX('Resource Rate Library'!$N$5:$N$200,MATCH(P147,'Resource Rate Library'!$A$5:$A$200,0)),"")</f>
        <v/>
      </c>
      <c r="AB147" s="53" t="n"/>
      <c r="AC147" s="59" t="n"/>
      <c r="AD147" s="81">
        <f>IFERROR(INDEX('Resource Rate Library'!$G$5:$G$200,MATCH(P147,'Resource Rate Library'!$A$5:$A$200,0)),"")</f>
        <v/>
      </c>
      <c r="AE147" s="81">
        <f>IFERROR(INDEX('Resource Rate Library'!$H$5:$H$200,MATCH(P147,'Resource Rate Library'!$A$5:$A$200,0)),"")</f>
        <v/>
      </c>
      <c r="AF147" s="53" t="n"/>
      <c r="AG147" s="53" t="n"/>
      <c r="AH147" s="53" t="n"/>
      <c r="AI147" s="81">
        <f>IF(B147="","",IF(AND(P147="",N147&lt;&gt;"Lump Sum / Quote"),"RESOURCE CODE",IF(Y147=0,"RATE MISSING",IF(AND(O147="Plant",AD147="Yes",COUNTIFS($B$7:$B$306,B147,$O$7:$O$306,"Labour",$Q$7:$Q$306,"*Operator*")&gt;0),"OPERATOR DOUBLE-COUNT",IF(AND(O147="Plant",AE147="Yes",COUNTIFS($B$7:$B$306,B147,$Q$7:$Q$306,"*Fuel*")&gt;0),"FUEL DOUBLE-COUNT",IF(AH147&lt;&gt;"Yes","VERIFY","OK"))))))</f>
        <v/>
      </c>
      <c r="AJ147" s="54" t="n"/>
      <c r="AK147" s="473" t="n"/>
      <c r="AL147" s="473" t="n"/>
      <c r="AM147" s="473" t="n"/>
      <c r="AN147" s="1444">
        <f>IF(AND(AK147="Yes",OR(O147="Labour",O147="Plant")),Z147,0)</f>
        <v/>
      </c>
    </row>
    <row r="148">
      <c r="A148" s="80">
        <f>IF(B148="","",B148&amp;"-"&amp;TEXT(COUNTIF($B$7:B148,B148),"000"))</f>
        <v/>
      </c>
      <c r="B148" s="53" t="n"/>
      <c r="C148" s="81">
        <f>IFERROR(INDEX('QS Takeoff'!$A$3:$A$202,MATCH(B148,'QS Takeoff'!$B$3:$B$202,0)),"")</f>
        <v/>
      </c>
      <c r="D148" s="81">
        <f>IFERROR(INDEX('QS Takeoff'!$C$3:$C$202,MATCH(B148,'QS Takeoff'!$B$3:$B$202,0)),"")</f>
        <v/>
      </c>
      <c r="E148" s="81">
        <f>IFERROR(INDEX('QS Takeoff'!$E$3:$E$202,MATCH(B148,'QS Takeoff'!$B$3:$B$202,0)),"")</f>
        <v/>
      </c>
      <c r="F148" s="81">
        <f>IFERROR(INDEX('QS Takeoff'!$D$3:$D$202,MATCH(B148,'QS Takeoff'!$B$3:$B$202,0)),"")</f>
        <v/>
      </c>
      <c r="G148" s="81">
        <f>IFERROR(INDEX('QS Takeoff'!$J$3:$J$202,MATCH(B148,'QS Takeoff'!$B$3:$B$202,0)),"")</f>
        <v/>
      </c>
      <c r="H148" s="53" t="n"/>
      <c r="I148" s="60" t="n"/>
      <c r="J148" s="60" t="n"/>
      <c r="K148" s="82">
        <f>IF(OR(B148="",I148="",I148=0),"",E148/I148)</f>
        <v/>
      </c>
      <c r="L148" s="60" t="n"/>
      <c r="M148" s="82">
        <f>IF(L148&gt;0,L148,K148)</f>
        <v/>
      </c>
      <c r="N148" s="53" t="n"/>
      <c r="O148" s="53" t="n"/>
      <c r="P148" s="53" t="n"/>
      <c r="Q148" s="81">
        <f>IFERROR(INDEX('Resource Rate Library'!$C$5:$C$200,MATCH(P148,'Resource Rate Library'!$A$5:$A$200,0)),"")</f>
        <v/>
      </c>
      <c r="R148" s="53" t="n"/>
      <c r="S148" s="53" t="n"/>
      <c r="T148" s="81">
        <f>IFERROR(INDEX('Resource Rate Library'!$E$5:$E$200,MATCH(P148,'Resource Rate Library'!$A$5:$A$200,0)),"")</f>
        <v/>
      </c>
      <c r="U148" s="1441" t="n"/>
      <c r="V148" s="1441" t="n"/>
      <c r="W148" s="1442">
        <f>IFERROR(INDEX('Resource Rate Library'!$I$5:$I$200,MATCH(P148,'Resource Rate Library'!$A$5:$A$200,0)),0)</f>
        <v/>
      </c>
      <c r="X148" s="1443" t="n"/>
      <c r="Y148" s="1442">
        <f>IF(X148&gt;0,X148,W148)</f>
        <v/>
      </c>
      <c r="Z148" s="1442">
        <f>IF(B148="","",IF(N148="Time x Count",M148*R148*IF(U148="",1,U148)*Y148,IF(N148="QS Qty x Factor",E148*R148*(1+IF(V148="",0,V148))*Y148,IF(N148="Direct Qty",S148*(1+IF(V148="",0,V148))*Y148,IF(N148="Lump Sum / Quote",S148*Y148,0)))))</f>
        <v/>
      </c>
      <c r="AA148" s="81">
        <f>IFERROR(INDEX('Resource Rate Library'!$N$5:$N$200,MATCH(P148,'Resource Rate Library'!$A$5:$A$200,0)),"")</f>
        <v/>
      </c>
      <c r="AB148" s="53" t="n"/>
      <c r="AC148" s="59" t="n"/>
      <c r="AD148" s="81">
        <f>IFERROR(INDEX('Resource Rate Library'!$G$5:$G$200,MATCH(P148,'Resource Rate Library'!$A$5:$A$200,0)),"")</f>
        <v/>
      </c>
      <c r="AE148" s="81">
        <f>IFERROR(INDEX('Resource Rate Library'!$H$5:$H$200,MATCH(P148,'Resource Rate Library'!$A$5:$A$200,0)),"")</f>
        <v/>
      </c>
      <c r="AF148" s="53" t="n"/>
      <c r="AG148" s="53" t="n"/>
      <c r="AH148" s="53" t="n"/>
      <c r="AI148" s="81">
        <f>IF(B148="","",IF(AND(P148="",N148&lt;&gt;"Lump Sum / Quote"),"RESOURCE CODE",IF(Y148=0,"RATE MISSING",IF(AND(O148="Plant",AD148="Yes",COUNTIFS($B$7:$B$306,B148,$O$7:$O$306,"Labour",$Q$7:$Q$306,"*Operator*")&gt;0),"OPERATOR DOUBLE-COUNT",IF(AND(O148="Plant",AE148="Yes",COUNTIFS($B$7:$B$306,B148,$Q$7:$Q$306,"*Fuel*")&gt;0),"FUEL DOUBLE-COUNT",IF(AH148&lt;&gt;"Yes","VERIFY","OK"))))))</f>
        <v/>
      </c>
      <c r="AJ148" s="54" t="n"/>
      <c r="AK148" s="473" t="n"/>
      <c r="AL148" s="473" t="n"/>
      <c r="AM148" s="473" t="n"/>
      <c r="AN148" s="1444">
        <f>IF(AND(AK148="Yes",OR(O148="Labour",O148="Plant")),Z148,0)</f>
        <v/>
      </c>
    </row>
    <row r="149">
      <c r="A149" s="80">
        <f>IF(B149="","",B149&amp;"-"&amp;TEXT(COUNTIF($B$7:B149,B149),"000"))</f>
        <v/>
      </c>
      <c r="B149" s="53" t="n"/>
      <c r="C149" s="81">
        <f>IFERROR(INDEX('QS Takeoff'!$A$3:$A$202,MATCH(B149,'QS Takeoff'!$B$3:$B$202,0)),"")</f>
        <v/>
      </c>
      <c r="D149" s="81">
        <f>IFERROR(INDEX('QS Takeoff'!$C$3:$C$202,MATCH(B149,'QS Takeoff'!$B$3:$B$202,0)),"")</f>
        <v/>
      </c>
      <c r="E149" s="81">
        <f>IFERROR(INDEX('QS Takeoff'!$E$3:$E$202,MATCH(B149,'QS Takeoff'!$B$3:$B$202,0)),"")</f>
        <v/>
      </c>
      <c r="F149" s="81">
        <f>IFERROR(INDEX('QS Takeoff'!$D$3:$D$202,MATCH(B149,'QS Takeoff'!$B$3:$B$202,0)),"")</f>
        <v/>
      </c>
      <c r="G149" s="81">
        <f>IFERROR(INDEX('QS Takeoff'!$J$3:$J$202,MATCH(B149,'QS Takeoff'!$B$3:$B$202,0)),"")</f>
        <v/>
      </c>
      <c r="H149" s="53" t="n"/>
      <c r="I149" s="60" t="n"/>
      <c r="J149" s="60" t="n"/>
      <c r="K149" s="82">
        <f>IF(OR(B149="",I149="",I149=0),"",E149/I149)</f>
        <v/>
      </c>
      <c r="L149" s="60" t="n"/>
      <c r="M149" s="82">
        <f>IF(L149&gt;0,L149,K149)</f>
        <v/>
      </c>
      <c r="N149" s="53" t="n"/>
      <c r="O149" s="53" t="n"/>
      <c r="P149" s="53" t="n"/>
      <c r="Q149" s="81">
        <f>IFERROR(INDEX('Resource Rate Library'!$C$5:$C$200,MATCH(P149,'Resource Rate Library'!$A$5:$A$200,0)),"")</f>
        <v/>
      </c>
      <c r="R149" s="53" t="n"/>
      <c r="S149" s="53" t="n"/>
      <c r="T149" s="81">
        <f>IFERROR(INDEX('Resource Rate Library'!$E$5:$E$200,MATCH(P149,'Resource Rate Library'!$A$5:$A$200,0)),"")</f>
        <v/>
      </c>
      <c r="U149" s="1441" t="n"/>
      <c r="V149" s="1441" t="n"/>
      <c r="W149" s="1442">
        <f>IFERROR(INDEX('Resource Rate Library'!$I$5:$I$200,MATCH(P149,'Resource Rate Library'!$A$5:$A$200,0)),0)</f>
        <v/>
      </c>
      <c r="X149" s="1443" t="n"/>
      <c r="Y149" s="1442">
        <f>IF(X149&gt;0,X149,W149)</f>
        <v/>
      </c>
      <c r="Z149" s="1442">
        <f>IF(B149="","",IF(N149="Time x Count",M149*R149*IF(U149="",1,U149)*Y149,IF(N149="QS Qty x Factor",E149*R149*(1+IF(V149="",0,V149))*Y149,IF(N149="Direct Qty",S149*(1+IF(V149="",0,V149))*Y149,IF(N149="Lump Sum / Quote",S149*Y149,0)))))</f>
        <v/>
      </c>
      <c r="AA149" s="81">
        <f>IFERROR(INDEX('Resource Rate Library'!$N$5:$N$200,MATCH(P149,'Resource Rate Library'!$A$5:$A$200,0)),"")</f>
        <v/>
      </c>
      <c r="AB149" s="53" t="n"/>
      <c r="AC149" s="59" t="n"/>
      <c r="AD149" s="81">
        <f>IFERROR(INDEX('Resource Rate Library'!$G$5:$G$200,MATCH(P149,'Resource Rate Library'!$A$5:$A$200,0)),"")</f>
        <v/>
      </c>
      <c r="AE149" s="81">
        <f>IFERROR(INDEX('Resource Rate Library'!$H$5:$H$200,MATCH(P149,'Resource Rate Library'!$A$5:$A$200,0)),"")</f>
        <v/>
      </c>
      <c r="AF149" s="53" t="n"/>
      <c r="AG149" s="53" t="n"/>
      <c r="AH149" s="53" t="n"/>
      <c r="AI149" s="81">
        <f>IF(B149="","",IF(AND(P149="",N149&lt;&gt;"Lump Sum / Quote"),"RESOURCE CODE",IF(Y149=0,"RATE MISSING",IF(AND(O149="Plant",AD149="Yes",COUNTIFS($B$7:$B$306,B149,$O$7:$O$306,"Labour",$Q$7:$Q$306,"*Operator*")&gt;0),"OPERATOR DOUBLE-COUNT",IF(AND(O149="Plant",AE149="Yes",COUNTIFS($B$7:$B$306,B149,$Q$7:$Q$306,"*Fuel*")&gt;0),"FUEL DOUBLE-COUNT",IF(AH149&lt;&gt;"Yes","VERIFY","OK"))))))</f>
        <v/>
      </c>
      <c r="AJ149" s="54" t="n"/>
      <c r="AK149" s="473" t="n"/>
      <c r="AL149" s="473" t="n"/>
      <c r="AM149" s="473" t="n"/>
      <c r="AN149" s="1444">
        <f>IF(AND(AK149="Yes",OR(O149="Labour",O149="Plant")),Z149,0)</f>
        <v/>
      </c>
    </row>
    <row r="150">
      <c r="A150" s="80">
        <f>IF(B150="","",B150&amp;"-"&amp;TEXT(COUNTIF($B$7:B150,B150),"000"))</f>
        <v/>
      </c>
      <c r="B150" s="53" t="n"/>
      <c r="C150" s="81">
        <f>IFERROR(INDEX('QS Takeoff'!$A$3:$A$202,MATCH(B150,'QS Takeoff'!$B$3:$B$202,0)),"")</f>
        <v/>
      </c>
      <c r="D150" s="81">
        <f>IFERROR(INDEX('QS Takeoff'!$C$3:$C$202,MATCH(B150,'QS Takeoff'!$B$3:$B$202,0)),"")</f>
        <v/>
      </c>
      <c r="E150" s="81">
        <f>IFERROR(INDEX('QS Takeoff'!$E$3:$E$202,MATCH(B150,'QS Takeoff'!$B$3:$B$202,0)),"")</f>
        <v/>
      </c>
      <c r="F150" s="81">
        <f>IFERROR(INDEX('QS Takeoff'!$D$3:$D$202,MATCH(B150,'QS Takeoff'!$B$3:$B$202,0)),"")</f>
        <v/>
      </c>
      <c r="G150" s="81">
        <f>IFERROR(INDEX('QS Takeoff'!$J$3:$J$202,MATCH(B150,'QS Takeoff'!$B$3:$B$202,0)),"")</f>
        <v/>
      </c>
      <c r="H150" s="53" t="n"/>
      <c r="I150" s="60" t="n"/>
      <c r="J150" s="60" t="n"/>
      <c r="K150" s="82">
        <f>IF(OR(B150="",I150="",I150=0),"",E150/I150)</f>
        <v/>
      </c>
      <c r="L150" s="60" t="n"/>
      <c r="M150" s="82">
        <f>IF(L150&gt;0,L150,K150)</f>
        <v/>
      </c>
      <c r="N150" s="53" t="n"/>
      <c r="O150" s="53" t="n"/>
      <c r="P150" s="53" t="n"/>
      <c r="Q150" s="81">
        <f>IFERROR(INDEX('Resource Rate Library'!$C$5:$C$200,MATCH(P150,'Resource Rate Library'!$A$5:$A$200,0)),"")</f>
        <v/>
      </c>
      <c r="R150" s="53" t="n"/>
      <c r="S150" s="53" t="n"/>
      <c r="T150" s="81">
        <f>IFERROR(INDEX('Resource Rate Library'!$E$5:$E$200,MATCH(P150,'Resource Rate Library'!$A$5:$A$200,0)),"")</f>
        <v/>
      </c>
      <c r="U150" s="1441" t="n"/>
      <c r="V150" s="1441" t="n"/>
      <c r="W150" s="1442">
        <f>IFERROR(INDEX('Resource Rate Library'!$I$5:$I$200,MATCH(P150,'Resource Rate Library'!$A$5:$A$200,0)),0)</f>
        <v/>
      </c>
      <c r="X150" s="1443" t="n"/>
      <c r="Y150" s="1442">
        <f>IF(X150&gt;0,X150,W150)</f>
        <v/>
      </c>
      <c r="Z150" s="1442">
        <f>IF(B150="","",IF(N150="Time x Count",M150*R150*IF(U150="",1,U150)*Y150,IF(N150="QS Qty x Factor",E150*R150*(1+IF(V150="",0,V150))*Y150,IF(N150="Direct Qty",S150*(1+IF(V150="",0,V150))*Y150,IF(N150="Lump Sum / Quote",S150*Y150,0)))))</f>
        <v/>
      </c>
      <c r="AA150" s="81">
        <f>IFERROR(INDEX('Resource Rate Library'!$N$5:$N$200,MATCH(P150,'Resource Rate Library'!$A$5:$A$200,0)),"")</f>
        <v/>
      </c>
      <c r="AB150" s="53" t="n"/>
      <c r="AC150" s="59" t="n"/>
      <c r="AD150" s="81">
        <f>IFERROR(INDEX('Resource Rate Library'!$G$5:$G$200,MATCH(P150,'Resource Rate Library'!$A$5:$A$200,0)),"")</f>
        <v/>
      </c>
      <c r="AE150" s="81">
        <f>IFERROR(INDEX('Resource Rate Library'!$H$5:$H$200,MATCH(P150,'Resource Rate Library'!$A$5:$A$200,0)),"")</f>
        <v/>
      </c>
      <c r="AF150" s="53" t="n"/>
      <c r="AG150" s="53" t="n"/>
      <c r="AH150" s="53" t="n"/>
      <c r="AI150" s="81">
        <f>IF(B150="","",IF(AND(P150="",N150&lt;&gt;"Lump Sum / Quote"),"RESOURCE CODE",IF(Y150=0,"RATE MISSING",IF(AND(O150="Plant",AD150="Yes",COUNTIFS($B$7:$B$306,B150,$O$7:$O$306,"Labour",$Q$7:$Q$306,"*Operator*")&gt;0),"OPERATOR DOUBLE-COUNT",IF(AND(O150="Plant",AE150="Yes",COUNTIFS($B$7:$B$306,B150,$Q$7:$Q$306,"*Fuel*")&gt;0),"FUEL DOUBLE-COUNT",IF(AH150&lt;&gt;"Yes","VERIFY","OK"))))))</f>
        <v/>
      </c>
      <c r="AJ150" s="54" t="n"/>
      <c r="AK150" s="473" t="n"/>
      <c r="AL150" s="473" t="n"/>
      <c r="AM150" s="473" t="n"/>
      <c r="AN150" s="1444">
        <f>IF(AND(AK150="Yes",OR(O150="Labour",O150="Plant")),Z150,0)</f>
        <v/>
      </c>
    </row>
    <row r="151">
      <c r="A151" s="80">
        <f>IF(B151="","",B151&amp;"-"&amp;TEXT(COUNTIF($B$7:B151,B151),"000"))</f>
        <v/>
      </c>
      <c r="B151" s="53" t="n"/>
      <c r="C151" s="81">
        <f>IFERROR(INDEX('QS Takeoff'!$A$3:$A$202,MATCH(B151,'QS Takeoff'!$B$3:$B$202,0)),"")</f>
        <v/>
      </c>
      <c r="D151" s="81">
        <f>IFERROR(INDEX('QS Takeoff'!$C$3:$C$202,MATCH(B151,'QS Takeoff'!$B$3:$B$202,0)),"")</f>
        <v/>
      </c>
      <c r="E151" s="81">
        <f>IFERROR(INDEX('QS Takeoff'!$E$3:$E$202,MATCH(B151,'QS Takeoff'!$B$3:$B$202,0)),"")</f>
        <v/>
      </c>
      <c r="F151" s="81">
        <f>IFERROR(INDEX('QS Takeoff'!$D$3:$D$202,MATCH(B151,'QS Takeoff'!$B$3:$B$202,0)),"")</f>
        <v/>
      </c>
      <c r="G151" s="81">
        <f>IFERROR(INDEX('QS Takeoff'!$J$3:$J$202,MATCH(B151,'QS Takeoff'!$B$3:$B$202,0)),"")</f>
        <v/>
      </c>
      <c r="H151" s="53" t="n"/>
      <c r="I151" s="60" t="n"/>
      <c r="J151" s="60" t="n"/>
      <c r="K151" s="82">
        <f>IF(OR(B151="",I151="",I151=0),"",E151/I151)</f>
        <v/>
      </c>
      <c r="L151" s="60" t="n"/>
      <c r="M151" s="82">
        <f>IF(L151&gt;0,L151,K151)</f>
        <v/>
      </c>
      <c r="N151" s="53" t="n"/>
      <c r="O151" s="53" t="n"/>
      <c r="P151" s="53" t="n"/>
      <c r="Q151" s="81">
        <f>IFERROR(INDEX('Resource Rate Library'!$C$5:$C$200,MATCH(P151,'Resource Rate Library'!$A$5:$A$200,0)),"")</f>
        <v/>
      </c>
      <c r="R151" s="53" t="n"/>
      <c r="S151" s="53" t="n"/>
      <c r="T151" s="81">
        <f>IFERROR(INDEX('Resource Rate Library'!$E$5:$E$200,MATCH(P151,'Resource Rate Library'!$A$5:$A$200,0)),"")</f>
        <v/>
      </c>
      <c r="U151" s="1441" t="n"/>
      <c r="V151" s="1441" t="n"/>
      <c r="W151" s="1442">
        <f>IFERROR(INDEX('Resource Rate Library'!$I$5:$I$200,MATCH(P151,'Resource Rate Library'!$A$5:$A$200,0)),0)</f>
        <v/>
      </c>
      <c r="X151" s="1443" t="n"/>
      <c r="Y151" s="1442">
        <f>IF(X151&gt;0,X151,W151)</f>
        <v/>
      </c>
      <c r="Z151" s="1442">
        <f>IF(B151="","",IF(N151="Time x Count",M151*R151*IF(U151="",1,U151)*Y151,IF(N151="QS Qty x Factor",E151*R151*(1+IF(V151="",0,V151))*Y151,IF(N151="Direct Qty",S151*(1+IF(V151="",0,V151))*Y151,IF(N151="Lump Sum / Quote",S151*Y151,0)))))</f>
        <v/>
      </c>
      <c r="AA151" s="81">
        <f>IFERROR(INDEX('Resource Rate Library'!$N$5:$N$200,MATCH(P151,'Resource Rate Library'!$A$5:$A$200,0)),"")</f>
        <v/>
      </c>
      <c r="AB151" s="53" t="n"/>
      <c r="AC151" s="59" t="n"/>
      <c r="AD151" s="81">
        <f>IFERROR(INDEX('Resource Rate Library'!$G$5:$G$200,MATCH(P151,'Resource Rate Library'!$A$5:$A$200,0)),"")</f>
        <v/>
      </c>
      <c r="AE151" s="81">
        <f>IFERROR(INDEX('Resource Rate Library'!$H$5:$H$200,MATCH(P151,'Resource Rate Library'!$A$5:$A$200,0)),"")</f>
        <v/>
      </c>
      <c r="AF151" s="53" t="n"/>
      <c r="AG151" s="53" t="n"/>
      <c r="AH151" s="53" t="n"/>
      <c r="AI151" s="81">
        <f>IF(B151="","",IF(AND(P151="",N151&lt;&gt;"Lump Sum / Quote"),"RESOURCE CODE",IF(Y151=0,"RATE MISSING",IF(AND(O151="Plant",AD151="Yes",COUNTIFS($B$7:$B$306,B151,$O$7:$O$306,"Labour",$Q$7:$Q$306,"*Operator*")&gt;0),"OPERATOR DOUBLE-COUNT",IF(AND(O151="Plant",AE151="Yes",COUNTIFS($B$7:$B$306,B151,$Q$7:$Q$306,"*Fuel*")&gt;0),"FUEL DOUBLE-COUNT",IF(AH151&lt;&gt;"Yes","VERIFY","OK"))))))</f>
        <v/>
      </c>
      <c r="AJ151" s="54" t="n"/>
      <c r="AK151" s="473" t="n"/>
      <c r="AL151" s="473" t="n"/>
      <c r="AM151" s="473" t="n"/>
      <c r="AN151" s="1444">
        <f>IF(AND(AK151="Yes",OR(O151="Labour",O151="Plant")),Z151,0)</f>
        <v/>
      </c>
    </row>
    <row r="152">
      <c r="A152" s="80">
        <f>IF(B152="","",B152&amp;"-"&amp;TEXT(COUNTIF($B$7:B152,B152),"000"))</f>
        <v/>
      </c>
      <c r="B152" s="53" t="n"/>
      <c r="C152" s="81">
        <f>IFERROR(INDEX('QS Takeoff'!$A$3:$A$202,MATCH(B152,'QS Takeoff'!$B$3:$B$202,0)),"")</f>
        <v/>
      </c>
      <c r="D152" s="81">
        <f>IFERROR(INDEX('QS Takeoff'!$C$3:$C$202,MATCH(B152,'QS Takeoff'!$B$3:$B$202,0)),"")</f>
        <v/>
      </c>
      <c r="E152" s="81">
        <f>IFERROR(INDEX('QS Takeoff'!$E$3:$E$202,MATCH(B152,'QS Takeoff'!$B$3:$B$202,0)),"")</f>
        <v/>
      </c>
      <c r="F152" s="81">
        <f>IFERROR(INDEX('QS Takeoff'!$D$3:$D$202,MATCH(B152,'QS Takeoff'!$B$3:$B$202,0)),"")</f>
        <v/>
      </c>
      <c r="G152" s="81">
        <f>IFERROR(INDEX('QS Takeoff'!$J$3:$J$202,MATCH(B152,'QS Takeoff'!$B$3:$B$202,0)),"")</f>
        <v/>
      </c>
      <c r="H152" s="53" t="n"/>
      <c r="I152" s="60" t="n"/>
      <c r="J152" s="60" t="n"/>
      <c r="K152" s="82">
        <f>IF(OR(B152="",I152="",I152=0),"",E152/I152)</f>
        <v/>
      </c>
      <c r="L152" s="60" t="n"/>
      <c r="M152" s="82">
        <f>IF(L152&gt;0,L152,K152)</f>
        <v/>
      </c>
      <c r="N152" s="53" t="n"/>
      <c r="O152" s="53" t="n"/>
      <c r="P152" s="53" t="n"/>
      <c r="Q152" s="81">
        <f>IFERROR(INDEX('Resource Rate Library'!$C$5:$C$200,MATCH(P152,'Resource Rate Library'!$A$5:$A$200,0)),"")</f>
        <v/>
      </c>
      <c r="R152" s="53" t="n"/>
      <c r="S152" s="53" t="n"/>
      <c r="T152" s="81">
        <f>IFERROR(INDEX('Resource Rate Library'!$E$5:$E$200,MATCH(P152,'Resource Rate Library'!$A$5:$A$200,0)),"")</f>
        <v/>
      </c>
      <c r="U152" s="1441" t="n"/>
      <c r="V152" s="1441" t="n"/>
      <c r="W152" s="1442">
        <f>IFERROR(INDEX('Resource Rate Library'!$I$5:$I$200,MATCH(P152,'Resource Rate Library'!$A$5:$A$200,0)),0)</f>
        <v/>
      </c>
      <c r="X152" s="1443" t="n"/>
      <c r="Y152" s="1442">
        <f>IF(X152&gt;0,X152,W152)</f>
        <v/>
      </c>
      <c r="Z152" s="1442">
        <f>IF(B152="","",IF(N152="Time x Count",M152*R152*IF(U152="",1,U152)*Y152,IF(N152="QS Qty x Factor",E152*R152*(1+IF(V152="",0,V152))*Y152,IF(N152="Direct Qty",S152*(1+IF(V152="",0,V152))*Y152,IF(N152="Lump Sum / Quote",S152*Y152,0)))))</f>
        <v/>
      </c>
      <c r="AA152" s="81">
        <f>IFERROR(INDEX('Resource Rate Library'!$N$5:$N$200,MATCH(P152,'Resource Rate Library'!$A$5:$A$200,0)),"")</f>
        <v/>
      </c>
      <c r="AB152" s="53" t="n"/>
      <c r="AC152" s="59" t="n"/>
      <c r="AD152" s="81">
        <f>IFERROR(INDEX('Resource Rate Library'!$G$5:$G$200,MATCH(P152,'Resource Rate Library'!$A$5:$A$200,0)),"")</f>
        <v/>
      </c>
      <c r="AE152" s="81">
        <f>IFERROR(INDEX('Resource Rate Library'!$H$5:$H$200,MATCH(P152,'Resource Rate Library'!$A$5:$A$200,0)),"")</f>
        <v/>
      </c>
      <c r="AF152" s="53" t="n"/>
      <c r="AG152" s="53" t="n"/>
      <c r="AH152" s="53" t="n"/>
      <c r="AI152" s="81">
        <f>IF(B152="","",IF(AND(P152="",N152&lt;&gt;"Lump Sum / Quote"),"RESOURCE CODE",IF(Y152=0,"RATE MISSING",IF(AND(O152="Plant",AD152="Yes",COUNTIFS($B$7:$B$306,B152,$O$7:$O$306,"Labour",$Q$7:$Q$306,"*Operator*")&gt;0),"OPERATOR DOUBLE-COUNT",IF(AND(O152="Plant",AE152="Yes",COUNTIFS($B$7:$B$306,B152,$Q$7:$Q$306,"*Fuel*")&gt;0),"FUEL DOUBLE-COUNT",IF(AH152&lt;&gt;"Yes","VERIFY","OK"))))))</f>
        <v/>
      </c>
      <c r="AJ152" s="54" t="n"/>
      <c r="AK152" s="473" t="n"/>
      <c r="AL152" s="473" t="n"/>
      <c r="AM152" s="473" t="n"/>
      <c r="AN152" s="1444">
        <f>IF(AND(AK152="Yes",OR(O152="Labour",O152="Plant")),Z152,0)</f>
        <v/>
      </c>
    </row>
    <row r="153">
      <c r="A153" s="80">
        <f>IF(B153="","",B153&amp;"-"&amp;TEXT(COUNTIF($B$7:B153,B153),"000"))</f>
        <v/>
      </c>
      <c r="B153" s="53" t="n"/>
      <c r="C153" s="81">
        <f>IFERROR(INDEX('QS Takeoff'!$A$3:$A$202,MATCH(B153,'QS Takeoff'!$B$3:$B$202,0)),"")</f>
        <v/>
      </c>
      <c r="D153" s="81">
        <f>IFERROR(INDEX('QS Takeoff'!$C$3:$C$202,MATCH(B153,'QS Takeoff'!$B$3:$B$202,0)),"")</f>
        <v/>
      </c>
      <c r="E153" s="81">
        <f>IFERROR(INDEX('QS Takeoff'!$E$3:$E$202,MATCH(B153,'QS Takeoff'!$B$3:$B$202,0)),"")</f>
        <v/>
      </c>
      <c r="F153" s="81">
        <f>IFERROR(INDEX('QS Takeoff'!$D$3:$D$202,MATCH(B153,'QS Takeoff'!$B$3:$B$202,0)),"")</f>
        <v/>
      </c>
      <c r="G153" s="81">
        <f>IFERROR(INDEX('QS Takeoff'!$J$3:$J$202,MATCH(B153,'QS Takeoff'!$B$3:$B$202,0)),"")</f>
        <v/>
      </c>
      <c r="H153" s="53" t="n"/>
      <c r="I153" s="60" t="n"/>
      <c r="J153" s="60" t="n"/>
      <c r="K153" s="82">
        <f>IF(OR(B153="",I153="",I153=0),"",E153/I153)</f>
        <v/>
      </c>
      <c r="L153" s="60" t="n"/>
      <c r="M153" s="82">
        <f>IF(L153&gt;0,L153,K153)</f>
        <v/>
      </c>
      <c r="N153" s="53" t="n"/>
      <c r="O153" s="53" t="n"/>
      <c r="P153" s="53" t="n"/>
      <c r="Q153" s="81">
        <f>IFERROR(INDEX('Resource Rate Library'!$C$5:$C$200,MATCH(P153,'Resource Rate Library'!$A$5:$A$200,0)),"")</f>
        <v/>
      </c>
      <c r="R153" s="53" t="n"/>
      <c r="S153" s="53" t="n"/>
      <c r="T153" s="81">
        <f>IFERROR(INDEX('Resource Rate Library'!$E$5:$E$200,MATCH(P153,'Resource Rate Library'!$A$5:$A$200,0)),"")</f>
        <v/>
      </c>
      <c r="U153" s="1441" t="n"/>
      <c r="V153" s="1441" t="n"/>
      <c r="W153" s="1442">
        <f>IFERROR(INDEX('Resource Rate Library'!$I$5:$I$200,MATCH(P153,'Resource Rate Library'!$A$5:$A$200,0)),0)</f>
        <v/>
      </c>
      <c r="X153" s="1443" t="n"/>
      <c r="Y153" s="1442">
        <f>IF(X153&gt;0,X153,W153)</f>
        <v/>
      </c>
      <c r="Z153" s="1442">
        <f>IF(B153="","",IF(N153="Time x Count",M153*R153*IF(U153="",1,U153)*Y153,IF(N153="QS Qty x Factor",E153*R153*(1+IF(V153="",0,V153))*Y153,IF(N153="Direct Qty",S153*(1+IF(V153="",0,V153))*Y153,IF(N153="Lump Sum / Quote",S153*Y153,0)))))</f>
        <v/>
      </c>
      <c r="AA153" s="81">
        <f>IFERROR(INDEX('Resource Rate Library'!$N$5:$N$200,MATCH(P153,'Resource Rate Library'!$A$5:$A$200,0)),"")</f>
        <v/>
      </c>
      <c r="AB153" s="53" t="n"/>
      <c r="AC153" s="59" t="n"/>
      <c r="AD153" s="81">
        <f>IFERROR(INDEX('Resource Rate Library'!$G$5:$G$200,MATCH(P153,'Resource Rate Library'!$A$5:$A$200,0)),"")</f>
        <v/>
      </c>
      <c r="AE153" s="81">
        <f>IFERROR(INDEX('Resource Rate Library'!$H$5:$H$200,MATCH(P153,'Resource Rate Library'!$A$5:$A$200,0)),"")</f>
        <v/>
      </c>
      <c r="AF153" s="53" t="n"/>
      <c r="AG153" s="53" t="n"/>
      <c r="AH153" s="53" t="n"/>
      <c r="AI153" s="81">
        <f>IF(B153="","",IF(AND(P153="",N153&lt;&gt;"Lump Sum / Quote"),"RESOURCE CODE",IF(Y153=0,"RATE MISSING",IF(AND(O153="Plant",AD153="Yes",COUNTIFS($B$7:$B$306,B153,$O$7:$O$306,"Labour",$Q$7:$Q$306,"*Operator*")&gt;0),"OPERATOR DOUBLE-COUNT",IF(AND(O153="Plant",AE153="Yes",COUNTIFS($B$7:$B$306,B153,$Q$7:$Q$306,"*Fuel*")&gt;0),"FUEL DOUBLE-COUNT",IF(AH153&lt;&gt;"Yes","VERIFY","OK"))))))</f>
        <v/>
      </c>
      <c r="AJ153" s="54" t="n"/>
      <c r="AK153" s="473" t="n"/>
      <c r="AL153" s="473" t="n"/>
      <c r="AM153" s="473" t="n"/>
      <c r="AN153" s="1444">
        <f>IF(AND(AK153="Yes",OR(O153="Labour",O153="Plant")),Z153,0)</f>
        <v/>
      </c>
    </row>
    <row r="154">
      <c r="A154" s="80">
        <f>IF(B154="","",B154&amp;"-"&amp;TEXT(COUNTIF($B$7:B154,B154),"000"))</f>
        <v/>
      </c>
      <c r="B154" s="53" t="n"/>
      <c r="C154" s="81">
        <f>IFERROR(INDEX('QS Takeoff'!$A$3:$A$202,MATCH(B154,'QS Takeoff'!$B$3:$B$202,0)),"")</f>
        <v/>
      </c>
      <c r="D154" s="81">
        <f>IFERROR(INDEX('QS Takeoff'!$C$3:$C$202,MATCH(B154,'QS Takeoff'!$B$3:$B$202,0)),"")</f>
        <v/>
      </c>
      <c r="E154" s="81">
        <f>IFERROR(INDEX('QS Takeoff'!$E$3:$E$202,MATCH(B154,'QS Takeoff'!$B$3:$B$202,0)),"")</f>
        <v/>
      </c>
      <c r="F154" s="81">
        <f>IFERROR(INDEX('QS Takeoff'!$D$3:$D$202,MATCH(B154,'QS Takeoff'!$B$3:$B$202,0)),"")</f>
        <v/>
      </c>
      <c r="G154" s="81">
        <f>IFERROR(INDEX('QS Takeoff'!$J$3:$J$202,MATCH(B154,'QS Takeoff'!$B$3:$B$202,0)),"")</f>
        <v/>
      </c>
      <c r="H154" s="53" t="n"/>
      <c r="I154" s="60" t="n"/>
      <c r="J154" s="60" t="n"/>
      <c r="K154" s="82">
        <f>IF(OR(B154="",I154="",I154=0),"",E154/I154)</f>
        <v/>
      </c>
      <c r="L154" s="60" t="n"/>
      <c r="M154" s="82">
        <f>IF(L154&gt;0,L154,K154)</f>
        <v/>
      </c>
      <c r="N154" s="53" t="n"/>
      <c r="O154" s="53" t="n"/>
      <c r="P154" s="53" t="n"/>
      <c r="Q154" s="81">
        <f>IFERROR(INDEX('Resource Rate Library'!$C$5:$C$200,MATCH(P154,'Resource Rate Library'!$A$5:$A$200,0)),"")</f>
        <v/>
      </c>
      <c r="R154" s="53" t="n"/>
      <c r="S154" s="53" t="n"/>
      <c r="T154" s="81">
        <f>IFERROR(INDEX('Resource Rate Library'!$E$5:$E$200,MATCH(P154,'Resource Rate Library'!$A$5:$A$200,0)),"")</f>
        <v/>
      </c>
      <c r="U154" s="1441" t="n"/>
      <c r="V154" s="1441" t="n"/>
      <c r="W154" s="1442">
        <f>IFERROR(INDEX('Resource Rate Library'!$I$5:$I$200,MATCH(P154,'Resource Rate Library'!$A$5:$A$200,0)),0)</f>
        <v/>
      </c>
      <c r="X154" s="1443" t="n"/>
      <c r="Y154" s="1442">
        <f>IF(X154&gt;0,X154,W154)</f>
        <v/>
      </c>
      <c r="Z154" s="1442">
        <f>IF(B154="","",IF(N154="Time x Count",M154*R154*IF(U154="",1,U154)*Y154,IF(N154="QS Qty x Factor",E154*R154*(1+IF(V154="",0,V154))*Y154,IF(N154="Direct Qty",S154*(1+IF(V154="",0,V154))*Y154,IF(N154="Lump Sum / Quote",S154*Y154,0)))))</f>
        <v/>
      </c>
      <c r="AA154" s="81">
        <f>IFERROR(INDEX('Resource Rate Library'!$N$5:$N$200,MATCH(P154,'Resource Rate Library'!$A$5:$A$200,0)),"")</f>
        <v/>
      </c>
      <c r="AB154" s="53" t="n"/>
      <c r="AC154" s="59" t="n"/>
      <c r="AD154" s="81">
        <f>IFERROR(INDEX('Resource Rate Library'!$G$5:$G$200,MATCH(P154,'Resource Rate Library'!$A$5:$A$200,0)),"")</f>
        <v/>
      </c>
      <c r="AE154" s="81">
        <f>IFERROR(INDEX('Resource Rate Library'!$H$5:$H$200,MATCH(P154,'Resource Rate Library'!$A$5:$A$200,0)),"")</f>
        <v/>
      </c>
      <c r="AF154" s="53" t="n"/>
      <c r="AG154" s="53" t="n"/>
      <c r="AH154" s="53" t="n"/>
      <c r="AI154" s="81">
        <f>IF(B154="","",IF(AND(P154="",N154&lt;&gt;"Lump Sum / Quote"),"RESOURCE CODE",IF(Y154=0,"RATE MISSING",IF(AND(O154="Plant",AD154="Yes",COUNTIFS($B$7:$B$306,B154,$O$7:$O$306,"Labour",$Q$7:$Q$306,"*Operator*")&gt;0),"OPERATOR DOUBLE-COUNT",IF(AND(O154="Plant",AE154="Yes",COUNTIFS($B$7:$B$306,B154,$Q$7:$Q$306,"*Fuel*")&gt;0),"FUEL DOUBLE-COUNT",IF(AH154&lt;&gt;"Yes","VERIFY","OK"))))))</f>
        <v/>
      </c>
      <c r="AJ154" s="54" t="n"/>
      <c r="AK154" s="473" t="n"/>
      <c r="AL154" s="473" t="n"/>
      <c r="AM154" s="473" t="n"/>
      <c r="AN154" s="1444">
        <f>IF(AND(AK154="Yes",OR(O154="Labour",O154="Plant")),Z154,0)</f>
        <v/>
      </c>
    </row>
    <row r="155">
      <c r="A155" s="80">
        <f>IF(B155="","",B155&amp;"-"&amp;TEXT(COUNTIF($B$7:B155,B155),"000"))</f>
        <v/>
      </c>
      <c r="B155" s="53" t="n"/>
      <c r="C155" s="81">
        <f>IFERROR(INDEX('QS Takeoff'!$A$3:$A$202,MATCH(B155,'QS Takeoff'!$B$3:$B$202,0)),"")</f>
        <v/>
      </c>
      <c r="D155" s="81">
        <f>IFERROR(INDEX('QS Takeoff'!$C$3:$C$202,MATCH(B155,'QS Takeoff'!$B$3:$B$202,0)),"")</f>
        <v/>
      </c>
      <c r="E155" s="81">
        <f>IFERROR(INDEX('QS Takeoff'!$E$3:$E$202,MATCH(B155,'QS Takeoff'!$B$3:$B$202,0)),"")</f>
        <v/>
      </c>
      <c r="F155" s="81">
        <f>IFERROR(INDEX('QS Takeoff'!$D$3:$D$202,MATCH(B155,'QS Takeoff'!$B$3:$B$202,0)),"")</f>
        <v/>
      </c>
      <c r="G155" s="81">
        <f>IFERROR(INDEX('QS Takeoff'!$J$3:$J$202,MATCH(B155,'QS Takeoff'!$B$3:$B$202,0)),"")</f>
        <v/>
      </c>
      <c r="H155" s="53" t="n"/>
      <c r="I155" s="60" t="n"/>
      <c r="J155" s="60" t="n"/>
      <c r="K155" s="82">
        <f>IF(OR(B155="",I155="",I155=0),"",E155/I155)</f>
        <v/>
      </c>
      <c r="L155" s="60" t="n"/>
      <c r="M155" s="82">
        <f>IF(L155&gt;0,L155,K155)</f>
        <v/>
      </c>
      <c r="N155" s="53" t="n"/>
      <c r="O155" s="53" t="n"/>
      <c r="P155" s="53" t="n"/>
      <c r="Q155" s="81">
        <f>IFERROR(INDEX('Resource Rate Library'!$C$5:$C$200,MATCH(P155,'Resource Rate Library'!$A$5:$A$200,0)),"")</f>
        <v/>
      </c>
      <c r="R155" s="53" t="n"/>
      <c r="S155" s="53" t="n"/>
      <c r="T155" s="81">
        <f>IFERROR(INDEX('Resource Rate Library'!$E$5:$E$200,MATCH(P155,'Resource Rate Library'!$A$5:$A$200,0)),"")</f>
        <v/>
      </c>
      <c r="U155" s="1441" t="n"/>
      <c r="V155" s="1441" t="n"/>
      <c r="W155" s="1442">
        <f>IFERROR(INDEX('Resource Rate Library'!$I$5:$I$200,MATCH(P155,'Resource Rate Library'!$A$5:$A$200,0)),0)</f>
        <v/>
      </c>
      <c r="X155" s="1443" t="n"/>
      <c r="Y155" s="1442">
        <f>IF(X155&gt;0,X155,W155)</f>
        <v/>
      </c>
      <c r="Z155" s="1442">
        <f>IF(B155="","",IF(N155="Time x Count",M155*R155*IF(U155="",1,U155)*Y155,IF(N155="QS Qty x Factor",E155*R155*(1+IF(V155="",0,V155))*Y155,IF(N155="Direct Qty",S155*(1+IF(V155="",0,V155))*Y155,IF(N155="Lump Sum / Quote",S155*Y155,0)))))</f>
        <v/>
      </c>
      <c r="AA155" s="81">
        <f>IFERROR(INDEX('Resource Rate Library'!$N$5:$N$200,MATCH(P155,'Resource Rate Library'!$A$5:$A$200,0)),"")</f>
        <v/>
      </c>
      <c r="AB155" s="53" t="n"/>
      <c r="AC155" s="59" t="n"/>
      <c r="AD155" s="81">
        <f>IFERROR(INDEX('Resource Rate Library'!$G$5:$G$200,MATCH(P155,'Resource Rate Library'!$A$5:$A$200,0)),"")</f>
        <v/>
      </c>
      <c r="AE155" s="81">
        <f>IFERROR(INDEX('Resource Rate Library'!$H$5:$H$200,MATCH(P155,'Resource Rate Library'!$A$5:$A$200,0)),"")</f>
        <v/>
      </c>
      <c r="AF155" s="53" t="n"/>
      <c r="AG155" s="53" t="n"/>
      <c r="AH155" s="53" t="n"/>
      <c r="AI155" s="81">
        <f>IF(B155="","",IF(AND(P155="",N155&lt;&gt;"Lump Sum / Quote"),"RESOURCE CODE",IF(Y155=0,"RATE MISSING",IF(AND(O155="Plant",AD155="Yes",COUNTIFS($B$7:$B$306,B155,$O$7:$O$306,"Labour",$Q$7:$Q$306,"*Operator*")&gt;0),"OPERATOR DOUBLE-COUNT",IF(AND(O155="Plant",AE155="Yes",COUNTIFS($B$7:$B$306,B155,$Q$7:$Q$306,"*Fuel*")&gt;0),"FUEL DOUBLE-COUNT",IF(AH155&lt;&gt;"Yes","VERIFY","OK"))))))</f>
        <v/>
      </c>
      <c r="AJ155" s="54" t="n"/>
      <c r="AK155" s="473" t="n"/>
      <c r="AL155" s="473" t="n"/>
      <c r="AM155" s="473" t="n"/>
      <c r="AN155" s="1444">
        <f>IF(AND(AK155="Yes",OR(O155="Labour",O155="Plant")),Z155,0)</f>
        <v/>
      </c>
    </row>
    <row r="156">
      <c r="A156" s="80">
        <f>IF(B156="","",B156&amp;"-"&amp;TEXT(COUNTIF($B$7:B156,B156),"000"))</f>
        <v/>
      </c>
      <c r="B156" s="53" t="n"/>
      <c r="C156" s="81">
        <f>IFERROR(INDEX('QS Takeoff'!$A$3:$A$202,MATCH(B156,'QS Takeoff'!$B$3:$B$202,0)),"")</f>
        <v/>
      </c>
      <c r="D156" s="81">
        <f>IFERROR(INDEX('QS Takeoff'!$C$3:$C$202,MATCH(B156,'QS Takeoff'!$B$3:$B$202,0)),"")</f>
        <v/>
      </c>
      <c r="E156" s="81">
        <f>IFERROR(INDEX('QS Takeoff'!$E$3:$E$202,MATCH(B156,'QS Takeoff'!$B$3:$B$202,0)),"")</f>
        <v/>
      </c>
      <c r="F156" s="81">
        <f>IFERROR(INDEX('QS Takeoff'!$D$3:$D$202,MATCH(B156,'QS Takeoff'!$B$3:$B$202,0)),"")</f>
        <v/>
      </c>
      <c r="G156" s="81">
        <f>IFERROR(INDEX('QS Takeoff'!$J$3:$J$202,MATCH(B156,'QS Takeoff'!$B$3:$B$202,0)),"")</f>
        <v/>
      </c>
      <c r="H156" s="53" t="n"/>
      <c r="I156" s="60" t="n"/>
      <c r="J156" s="60" t="n"/>
      <c r="K156" s="82">
        <f>IF(OR(B156="",I156="",I156=0),"",E156/I156)</f>
        <v/>
      </c>
      <c r="L156" s="60" t="n"/>
      <c r="M156" s="82">
        <f>IF(L156&gt;0,L156,K156)</f>
        <v/>
      </c>
      <c r="N156" s="53" t="n"/>
      <c r="O156" s="53" t="n"/>
      <c r="P156" s="53" t="n"/>
      <c r="Q156" s="81">
        <f>IFERROR(INDEX('Resource Rate Library'!$C$5:$C$200,MATCH(P156,'Resource Rate Library'!$A$5:$A$200,0)),"")</f>
        <v/>
      </c>
      <c r="R156" s="53" t="n"/>
      <c r="S156" s="53" t="n"/>
      <c r="T156" s="81">
        <f>IFERROR(INDEX('Resource Rate Library'!$E$5:$E$200,MATCH(P156,'Resource Rate Library'!$A$5:$A$200,0)),"")</f>
        <v/>
      </c>
      <c r="U156" s="1441" t="n"/>
      <c r="V156" s="1441" t="n"/>
      <c r="W156" s="1442">
        <f>IFERROR(INDEX('Resource Rate Library'!$I$5:$I$200,MATCH(P156,'Resource Rate Library'!$A$5:$A$200,0)),0)</f>
        <v/>
      </c>
      <c r="X156" s="1443" t="n"/>
      <c r="Y156" s="1442">
        <f>IF(X156&gt;0,X156,W156)</f>
        <v/>
      </c>
      <c r="Z156" s="1442">
        <f>IF(B156="","",IF(N156="Time x Count",M156*R156*IF(U156="",1,U156)*Y156,IF(N156="QS Qty x Factor",E156*R156*(1+IF(V156="",0,V156))*Y156,IF(N156="Direct Qty",S156*(1+IF(V156="",0,V156))*Y156,IF(N156="Lump Sum / Quote",S156*Y156,0)))))</f>
        <v/>
      </c>
      <c r="AA156" s="81">
        <f>IFERROR(INDEX('Resource Rate Library'!$N$5:$N$200,MATCH(P156,'Resource Rate Library'!$A$5:$A$200,0)),"")</f>
        <v/>
      </c>
      <c r="AB156" s="53" t="n"/>
      <c r="AC156" s="59" t="n"/>
      <c r="AD156" s="81">
        <f>IFERROR(INDEX('Resource Rate Library'!$G$5:$G$200,MATCH(P156,'Resource Rate Library'!$A$5:$A$200,0)),"")</f>
        <v/>
      </c>
      <c r="AE156" s="81">
        <f>IFERROR(INDEX('Resource Rate Library'!$H$5:$H$200,MATCH(P156,'Resource Rate Library'!$A$5:$A$200,0)),"")</f>
        <v/>
      </c>
      <c r="AF156" s="53" t="n"/>
      <c r="AG156" s="53" t="n"/>
      <c r="AH156" s="53" t="n"/>
      <c r="AI156" s="81">
        <f>IF(B156="","",IF(AND(P156="",N156&lt;&gt;"Lump Sum / Quote"),"RESOURCE CODE",IF(Y156=0,"RATE MISSING",IF(AND(O156="Plant",AD156="Yes",COUNTIFS($B$7:$B$306,B156,$O$7:$O$306,"Labour",$Q$7:$Q$306,"*Operator*")&gt;0),"OPERATOR DOUBLE-COUNT",IF(AND(O156="Plant",AE156="Yes",COUNTIFS($B$7:$B$306,B156,$Q$7:$Q$306,"*Fuel*")&gt;0),"FUEL DOUBLE-COUNT",IF(AH156&lt;&gt;"Yes","VERIFY","OK"))))))</f>
        <v/>
      </c>
      <c r="AJ156" s="54" t="n"/>
      <c r="AK156" s="473" t="n"/>
      <c r="AL156" s="473" t="n"/>
      <c r="AM156" s="473" t="n"/>
      <c r="AN156" s="1444">
        <f>IF(AND(AK156="Yes",OR(O156="Labour",O156="Plant")),Z156,0)</f>
        <v/>
      </c>
    </row>
    <row r="157">
      <c r="A157" s="80">
        <f>IF(B157="","",B157&amp;"-"&amp;TEXT(COUNTIF($B$7:B157,B157),"000"))</f>
        <v/>
      </c>
      <c r="B157" s="53" t="n"/>
      <c r="C157" s="81">
        <f>IFERROR(INDEX('QS Takeoff'!$A$3:$A$202,MATCH(B157,'QS Takeoff'!$B$3:$B$202,0)),"")</f>
        <v/>
      </c>
      <c r="D157" s="81">
        <f>IFERROR(INDEX('QS Takeoff'!$C$3:$C$202,MATCH(B157,'QS Takeoff'!$B$3:$B$202,0)),"")</f>
        <v/>
      </c>
      <c r="E157" s="81">
        <f>IFERROR(INDEX('QS Takeoff'!$E$3:$E$202,MATCH(B157,'QS Takeoff'!$B$3:$B$202,0)),"")</f>
        <v/>
      </c>
      <c r="F157" s="81">
        <f>IFERROR(INDEX('QS Takeoff'!$D$3:$D$202,MATCH(B157,'QS Takeoff'!$B$3:$B$202,0)),"")</f>
        <v/>
      </c>
      <c r="G157" s="81">
        <f>IFERROR(INDEX('QS Takeoff'!$J$3:$J$202,MATCH(B157,'QS Takeoff'!$B$3:$B$202,0)),"")</f>
        <v/>
      </c>
      <c r="H157" s="53" t="n"/>
      <c r="I157" s="60" t="n"/>
      <c r="J157" s="60" t="n"/>
      <c r="K157" s="82">
        <f>IF(OR(B157="",I157="",I157=0),"",E157/I157)</f>
        <v/>
      </c>
      <c r="L157" s="60" t="n"/>
      <c r="M157" s="82">
        <f>IF(L157&gt;0,L157,K157)</f>
        <v/>
      </c>
      <c r="N157" s="53" t="n"/>
      <c r="O157" s="53" t="n"/>
      <c r="P157" s="53" t="n"/>
      <c r="Q157" s="81">
        <f>IFERROR(INDEX('Resource Rate Library'!$C$5:$C$200,MATCH(P157,'Resource Rate Library'!$A$5:$A$200,0)),"")</f>
        <v/>
      </c>
      <c r="R157" s="53" t="n"/>
      <c r="S157" s="53" t="n"/>
      <c r="T157" s="81">
        <f>IFERROR(INDEX('Resource Rate Library'!$E$5:$E$200,MATCH(P157,'Resource Rate Library'!$A$5:$A$200,0)),"")</f>
        <v/>
      </c>
      <c r="U157" s="1441" t="n"/>
      <c r="V157" s="1441" t="n"/>
      <c r="W157" s="1442">
        <f>IFERROR(INDEX('Resource Rate Library'!$I$5:$I$200,MATCH(P157,'Resource Rate Library'!$A$5:$A$200,0)),0)</f>
        <v/>
      </c>
      <c r="X157" s="1443" t="n"/>
      <c r="Y157" s="1442">
        <f>IF(X157&gt;0,X157,W157)</f>
        <v/>
      </c>
      <c r="Z157" s="1442">
        <f>IF(B157="","",IF(N157="Time x Count",M157*R157*IF(U157="",1,U157)*Y157,IF(N157="QS Qty x Factor",E157*R157*(1+IF(V157="",0,V157))*Y157,IF(N157="Direct Qty",S157*(1+IF(V157="",0,V157))*Y157,IF(N157="Lump Sum / Quote",S157*Y157,0)))))</f>
        <v/>
      </c>
      <c r="AA157" s="81">
        <f>IFERROR(INDEX('Resource Rate Library'!$N$5:$N$200,MATCH(P157,'Resource Rate Library'!$A$5:$A$200,0)),"")</f>
        <v/>
      </c>
      <c r="AB157" s="53" t="n"/>
      <c r="AC157" s="59" t="n"/>
      <c r="AD157" s="81">
        <f>IFERROR(INDEX('Resource Rate Library'!$G$5:$G$200,MATCH(P157,'Resource Rate Library'!$A$5:$A$200,0)),"")</f>
        <v/>
      </c>
      <c r="AE157" s="81">
        <f>IFERROR(INDEX('Resource Rate Library'!$H$5:$H$200,MATCH(P157,'Resource Rate Library'!$A$5:$A$200,0)),"")</f>
        <v/>
      </c>
      <c r="AF157" s="53" t="n"/>
      <c r="AG157" s="53" t="n"/>
      <c r="AH157" s="53" t="n"/>
      <c r="AI157" s="81">
        <f>IF(B157="","",IF(AND(P157="",N157&lt;&gt;"Lump Sum / Quote"),"RESOURCE CODE",IF(Y157=0,"RATE MISSING",IF(AND(O157="Plant",AD157="Yes",COUNTIFS($B$7:$B$306,B157,$O$7:$O$306,"Labour",$Q$7:$Q$306,"*Operator*")&gt;0),"OPERATOR DOUBLE-COUNT",IF(AND(O157="Plant",AE157="Yes",COUNTIFS($B$7:$B$306,B157,$Q$7:$Q$306,"*Fuel*")&gt;0),"FUEL DOUBLE-COUNT",IF(AH157&lt;&gt;"Yes","VERIFY","OK"))))))</f>
        <v/>
      </c>
      <c r="AJ157" s="54" t="n"/>
      <c r="AK157" s="473" t="n"/>
      <c r="AL157" s="473" t="n"/>
      <c r="AM157" s="473" t="n"/>
      <c r="AN157" s="1444">
        <f>IF(AND(AK157="Yes",OR(O157="Labour",O157="Plant")),Z157,0)</f>
        <v/>
      </c>
    </row>
    <row r="158">
      <c r="A158" s="80">
        <f>IF(B158="","",B158&amp;"-"&amp;TEXT(COUNTIF($B$7:B158,B158),"000"))</f>
        <v/>
      </c>
      <c r="B158" s="53" t="n"/>
      <c r="C158" s="81">
        <f>IFERROR(INDEX('QS Takeoff'!$A$3:$A$202,MATCH(B158,'QS Takeoff'!$B$3:$B$202,0)),"")</f>
        <v/>
      </c>
      <c r="D158" s="81">
        <f>IFERROR(INDEX('QS Takeoff'!$C$3:$C$202,MATCH(B158,'QS Takeoff'!$B$3:$B$202,0)),"")</f>
        <v/>
      </c>
      <c r="E158" s="81">
        <f>IFERROR(INDEX('QS Takeoff'!$E$3:$E$202,MATCH(B158,'QS Takeoff'!$B$3:$B$202,0)),"")</f>
        <v/>
      </c>
      <c r="F158" s="81">
        <f>IFERROR(INDEX('QS Takeoff'!$D$3:$D$202,MATCH(B158,'QS Takeoff'!$B$3:$B$202,0)),"")</f>
        <v/>
      </c>
      <c r="G158" s="81">
        <f>IFERROR(INDEX('QS Takeoff'!$J$3:$J$202,MATCH(B158,'QS Takeoff'!$B$3:$B$202,0)),"")</f>
        <v/>
      </c>
      <c r="H158" s="53" t="n"/>
      <c r="I158" s="60" t="n"/>
      <c r="J158" s="60" t="n"/>
      <c r="K158" s="82">
        <f>IF(OR(B158="",I158="",I158=0),"",E158/I158)</f>
        <v/>
      </c>
      <c r="L158" s="60" t="n"/>
      <c r="M158" s="82">
        <f>IF(L158&gt;0,L158,K158)</f>
        <v/>
      </c>
      <c r="N158" s="53" t="n"/>
      <c r="O158" s="53" t="n"/>
      <c r="P158" s="53" t="n"/>
      <c r="Q158" s="81">
        <f>IFERROR(INDEX('Resource Rate Library'!$C$5:$C$200,MATCH(P158,'Resource Rate Library'!$A$5:$A$200,0)),"")</f>
        <v/>
      </c>
      <c r="R158" s="53" t="n"/>
      <c r="S158" s="53" t="n"/>
      <c r="T158" s="81">
        <f>IFERROR(INDEX('Resource Rate Library'!$E$5:$E$200,MATCH(P158,'Resource Rate Library'!$A$5:$A$200,0)),"")</f>
        <v/>
      </c>
      <c r="U158" s="1441" t="n"/>
      <c r="V158" s="1441" t="n"/>
      <c r="W158" s="1442">
        <f>IFERROR(INDEX('Resource Rate Library'!$I$5:$I$200,MATCH(P158,'Resource Rate Library'!$A$5:$A$200,0)),0)</f>
        <v/>
      </c>
      <c r="X158" s="1443" t="n"/>
      <c r="Y158" s="1442">
        <f>IF(X158&gt;0,X158,W158)</f>
        <v/>
      </c>
      <c r="Z158" s="1442">
        <f>IF(B158="","",IF(N158="Time x Count",M158*R158*IF(U158="",1,U158)*Y158,IF(N158="QS Qty x Factor",E158*R158*(1+IF(V158="",0,V158))*Y158,IF(N158="Direct Qty",S158*(1+IF(V158="",0,V158))*Y158,IF(N158="Lump Sum / Quote",S158*Y158,0)))))</f>
        <v/>
      </c>
      <c r="AA158" s="81">
        <f>IFERROR(INDEX('Resource Rate Library'!$N$5:$N$200,MATCH(P158,'Resource Rate Library'!$A$5:$A$200,0)),"")</f>
        <v/>
      </c>
      <c r="AB158" s="53" t="n"/>
      <c r="AC158" s="59" t="n"/>
      <c r="AD158" s="81">
        <f>IFERROR(INDEX('Resource Rate Library'!$G$5:$G$200,MATCH(P158,'Resource Rate Library'!$A$5:$A$200,0)),"")</f>
        <v/>
      </c>
      <c r="AE158" s="81">
        <f>IFERROR(INDEX('Resource Rate Library'!$H$5:$H$200,MATCH(P158,'Resource Rate Library'!$A$5:$A$200,0)),"")</f>
        <v/>
      </c>
      <c r="AF158" s="53" t="n"/>
      <c r="AG158" s="53" t="n"/>
      <c r="AH158" s="53" t="n"/>
      <c r="AI158" s="81">
        <f>IF(B158="","",IF(AND(P158="",N158&lt;&gt;"Lump Sum / Quote"),"RESOURCE CODE",IF(Y158=0,"RATE MISSING",IF(AND(O158="Plant",AD158="Yes",COUNTIFS($B$7:$B$306,B158,$O$7:$O$306,"Labour",$Q$7:$Q$306,"*Operator*")&gt;0),"OPERATOR DOUBLE-COUNT",IF(AND(O158="Plant",AE158="Yes",COUNTIFS($B$7:$B$306,B158,$Q$7:$Q$306,"*Fuel*")&gt;0),"FUEL DOUBLE-COUNT",IF(AH158&lt;&gt;"Yes","VERIFY","OK"))))))</f>
        <v/>
      </c>
      <c r="AJ158" s="54" t="n"/>
      <c r="AK158" s="473" t="n"/>
      <c r="AL158" s="473" t="n"/>
      <c r="AM158" s="473" t="n"/>
      <c r="AN158" s="1444">
        <f>IF(AND(AK158="Yes",OR(O158="Labour",O158="Plant")),Z158,0)</f>
        <v/>
      </c>
    </row>
    <row r="159">
      <c r="A159" s="80">
        <f>IF(B159="","",B159&amp;"-"&amp;TEXT(COUNTIF($B$7:B159,B159),"000"))</f>
        <v/>
      </c>
      <c r="B159" s="53" t="n"/>
      <c r="C159" s="81">
        <f>IFERROR(INDEX('QS Takeoff'!$A$3:$A$202,MATCH(B159,'QS Takeoff'!$B$3:$B$202,0)),"")</f>
        <v/>
      </c>
      <c r="D159" s="81">
        <f>IFERROR(INDEX('QS Takeoff'!$C$3:$C$202,MATCH(B159,'QS Takeoff'!$B$3:$B$202,0)),"")</f>
        <v/>
      </c>
      <c r="E159" s="81">
        <f>IFERROR(INDEX('QS Takeoff'!$E$3:$E$202,MATCH(B159,'QS Takeoff'!$B$3:$B$202,0)),"")</f>
        <v/>
      </c>
      <c r="F159" s="81">
        <f>IFERROR(INDEX('QS Takeoff'!$D$3:$D$202,MATCH(B159,'QS Takeoff'!$B$3:$B$202,0)),"")</f>
        <v/>
      </c>
      <c r="G159" s="81">
        <f>IFERROR(INDEX('QS Takeoff'!$J$3:$J$202,MATCH(B159,'QS Takeoff'!$B$3:$B$202,0)),"")</f>
        <v/>
      </c>
      <c r="H159" s="53" t="n"/>
      <c r="I159" s="60" t="n"/>
      <c r="J159" s="60" t="n"/>
      <c r="K159" s="82">
        <f>IF(OR(B159="",I159="",I159=0),"",E159/I159)</f>
        <v/>
      </c>
      <c r="L159" s="60" t="n"/>
      <c r="M159" s="82">
        <f>IF(L159&gt;0,L159,K159)</f>
        <v/>
      </c>
      <c r="N159" s="53" t="n"/>
      <c r="O159" s="53" t="n"/>
      <c r="P159" s="53" t="n"/>
      <c r="Q159" s="81">
        <f>IFERROR(INDEX('Resource Rate Library'!$C$5:$C$200,MATCH(P159,'Resource Rate Library'!$A$5:$A$200,0)),"")</f>
        <v/>
      </c>
      <c r="R159" s="53" t="n"/>
      <c r="S159" s="53" t="n"/>
      <c r="T159" s="81">
        <f>IFERROR(INDEX('Resource Rate Library'!$E$5:$E$200,MATCH(P159,'Resource Rate Library'!$A$5:$A$200,0)),"")</f>
        <v/>
      </c>
      <c r="U159" s="1441" t="n"/>
      <c r="V159" s="1441" t="n"/>
      <c r="W159" s="1442">
        <f>IFERROR(INDEX('Resource Rate Library'!$I$5:$I$200,MATCH(P159,'Resource Rate Library'!$A$5:$A$200,0)),0)</f>
        <v/>
      </c>
      <c r="X159" s="1443" t="n"/>
      <c r="Y159" s="1442">
        <f>IF(X159&gt;0,X159,W159)</f>
        <v/>
      </c>
      <c r="Z159" s="1442">
        <f>IF(B159="","",IF(N159="Time x Count",M159*R159*IF(U159="",1,U159)*Y159,IF(N159="QS Qty x Factor",E159*R159*(1+IF(V159="",0,V159))*Y159,IF(N159="Direct Qty",S159*(1+IF(V159="",0,V159))*Y159,IF(N159="Lump Sum / Quote",S159*Y159,0)))))</f>
        <v/>
      </c>
      <c r="AA159" s="81">
        <f>IFERROR(INDEX('Resource Rate Library'!$N$5:$N$200,MATCH(P159,'Resource Rate Library'!$A$5:$A$200,0)),"")</f>
        <v/>
      </c>
      <c r="AB159" s="53" t="n"/>
      <c r="AC159" s="59" t="n"/>
      <c r="AD159" s="81">
        <f>IFERROR(INDEX('Resource Rate Library'!$G$5:$G$200,MATCH(P159,'Resource Rate Library'!$A$5:$A$200,0)),"")</f>
        <v/>
      </c>
      <c r="AE159" s="81">
        <f>IFERROR(INDEX('Resource Rate Library'!$H$5:$H$200,MATCH(P159,'Resource Rate Library'!$A$5:$A$200,0)),"")</f>
        <v/>
      </c>
      <c r="AF159" s="53" t="n"/>
      <c r="AG159" s="53" t="n"/>
      <c r="AH159" s="53" t="n"/>
      <c r="AI159" s="81">
        <f>IF(B159="","",IF(AND(P159="",N159&lt;&gt;"Lump Sum / Quote"),"RESOURCE CODE",IF(Y159=0,"RATE MISSING",IF(AND(O159="Plant",AD159="Yes",COUNTIFS($B$7:$B$306,B159,$O$7:$O$306,"Labour",$Q$7:$Q$306,"*Operator*")&gt;0),"OPERATOR DOUBLE-COUNT",IF(AND(O159="Plant",AE159="Yes",COUNTIFS($B$7:$B$306,B159,$Q$7:$Q$306,"*Fuel*")&gt;0),"FUEL DOUBLE-COUNT",IF(AH159&lt;&gt;"Yes","VERIFY","OK"))))))</f>
        <v/>
      </c>
      <c r="AJ159" s="54" t="n"/>
      <c r="AK159" s="473" t="n"/>
      <c r="AL159" s="473" t="n"/>
      <c r="AM159" s="473" t="n"/>
      <c r="AN159" s="1444">
        <f>IF(AND(AK159="Yes",OR(O159="Labour",O159="Plant")),Z159,0)</f>
        <v/>
      </c>
    </row>
    <row r="160">
      <c r="A160" s="80">
        <f>IF(B160="","",B160&amp;"-"&amp;TEXT(COUNTIF($B$7:B160,B160),"000"))</f>
        <v/>
      </c>
      <c r="B160" s="53" t="n"/>
      <c r="C160" s="81">
        <f>IFERROR(INDEX('QS Takeoff'!$A$3:$A$202,MATCH(B160,'QS Takeoff'!$B$3:$B$202,0)),"")</f>
        <v/>
      </c>
      <c r="D160" s="81">
        <f>IFERROR(INDEX('QS Takeoff'!$C$3:$C$202,MATCH(B160,'QS Takeoff'!$B$3:$B$202,0)),"")</f>
        <v/>
      </c>
      <c r="E160" s="81">
        <f>IFERROR(INDEX('QS Takeoff'!$E$3:$E$202,MATCH(B160,'QS Takeoff'!$B$3:$B$202,0)),"")</f>
        <v/>
      </c>
      <c r="F160" s="81">
        <f>IFERROR(INDEX('QS Takeoff'!$D$3:$D$202,MATCH(B160,'QS Takeoff'!$B$3:$B$202,0)),"")</f>
        <v/>
      </c>
      <c r="G160" s="81">
        <f>IFERROR(INDEX('QS Takeoff'!$J$3:$J$202,MATCH(B160,'QS Takeoff'!$B$3:$B$202,0)),"")</f>
        <v/>
      </c>
      <c r="H160" s="53" t="n"/>
      <c r="I160" s="60" t="n"/>
      <c r="J160" s="60" t="n"/>
      <c r="K160" s="82">
        <f>IF(OR(B160="",I160="",I160=0),"",E160/I160)</f>
        <v/>
      </c>
      <c r="L160" s="60" t="n"/>
      <c r="M160" s="82">
        <f>IF(L160&gt;0,L160,K160)</f>
        <v/>
      </c>
      <c r="N160" s="53" t="n"/>
      <c r="O160" s="53" t="n"/>
      <c r="P160" s="53" t="n"/>
      <c r="Q160" s="81">
        <f>IFERROR(INDEX('Resource Rate Library'!$C$5:$C$200,MATCH(P160,'Resource Rate Library'!$A$5:$A$200,0)),"")</f>
        <v/>
      </c>
      <c r="R160" s="53" t="n"/>
      <c r="S160" s="53" t="n"/>
      <c r="T160" s="81">
        <f>IFERROR(INDEX('Resource Rate Library'!$E$5:$E$200,MATCH(P160,'Resource Rate Library'!$A$5:$A$200,0)),"")</f>
        <v/>
      </c>
      <c r="U160" s="1441" t="n"/>
      <c r="V160" s="1441" t="n"/>
      <c r="W160" s="1442">
        <f>IFERROR(INDEX('Resource Rate Library'!$I$5:$I$200,MATCH(P160,'Resource Rate Library'!$A$5:$A$200,0)),0)</f>
        <v/>
      </c>
      <c r="X160" s="1443" t="n"/>
      <c r="Y160" s="1442">
        <f>IF(X160&gt;0,X160,W160)</f>
        <v/>
      </c>
      <c r="Z160" s="1442">
        <f>IF(B160="","",IF(N160="Time x Count",M160*R160*IF(U160="",1,U160)*Y160,IF(N160="QS Qty x Factor",E160*R160*(1+IF(V160="",0,V160))*Y160,IF(N160="Direct Qty",S160*(1+IF(V160="",0,V160))*Y160,IF(N160="Lump Sum / Quote",S160*Y160,0)))))</f>
        <v/>
      </c>
      <c r="AA160" s="81">
        <f>IFERROR(INDEX('Resource Rate Library'!$N$5:$N$200,MATCH(P160,'Resource Rate Library'!$A$5:$A$200,0)),"")</f>
        <v/>
      </c>
      <c r="AB160" s="53" t="n"/>
      <c r="AC160" s="59" t="n"/>
      <c r="AD160" s="81">
        <f>IFERROR(INDEX('Resource Rate Library'!$G$5:$G$200,MATCH(P160,'Resource Rate Library'!$A$5:$A$200,0)),"")</f>
        <v/>
      </c>
      <c r="AE160" s="81">
        <f>IFERROR(INDEX('Resource Rate Library'!$H$5:$H$200,MATCH(P160,'Resource Rate Library'!$A$5:$A$200,0)),"")</f>
        <v/>
      </c>
      <c r="AF160" s="53" t="n"/>
      <c r="AG160" s="53" t="n"/>
      <c r="AH160" s="53" t="n"/>
      <c r="AI160" s="81">
        <f>IF(B160="","",IF(AND(P160="",N160&lt;&gt;"Lump Sum / Quote"),"RESOURCE CODE",IF(Y160=0,"RATE MISSING",IF(AND(O160="Plant",AD160="Yes",COUNTIFS($B$7:$B$306,B160,$O$7:$O$306,"Labour",$Q$7:$Q$306,"*Operator*")&gt;0),"OPERATOR DOUBLE-COUNT",IF(AND(O160="Plant",AE160="Yes",COUNTIFS($B$7:$B$306,B160,$Q$7:$Q$306,"*Fuel*")&gt;0),"FUEL DOUBLE-COUNT",IF(AH160&lt;&gt;"Yes","VERIFY","OK"))))))</f>
        <v/>
      </c>
      <c r="AJ160" s="54" t="n"/>
      <c r="AK160" s="473" t="n"/>
      <c r="AL160" s="473" t="n"/>
      <c r="AM160" s="473" t="n"/>
      <c r="AN160" s="1444">
        <f>IF(AND(AK160="Yes",OR(O160="Labour",O160="Plant")),Z160,0)</f>
        <v/>
      </c>
    </row>
    <row r="161">
      <c r="A161" s="80">
        <f>IF(B161="","",B161&amp;"-"&amp;TEXT(COUNTIF($B$7:B161,B161),"000"))</f>
        <v/>
      </c>
      <c r="B161" s="53" t="n"/>
      <c r="C161" s="81">
        <f>IFERROR(INDEX('QS Takeoff'!$A$3:$A$202,MATCH(B161,'QS Takeoff'!$B$3:$B$202,0)),"")</f>
        <v/>
      </c>
      <c r="D161" s="81">
        <f>IFERROR(INDEX('QS Takeoff'!$C$3:$C$202,MATCH(B161,'QS Takeoff'!$B$3:$B$202,0)),"")</f>
        <v/>
      </c>
      <c r="E161" s="81">
        <f>IFERROR(INDEX('QS Takeoff'!$E$3:$E$202,MATCH(B161,'QS Takeoff'!$B$3:$B$202,0)),"")</f>
        <v/>
      </c>
      <c r="F161" s="81">
        <f>IFERROR(INDEX('QS Takeoff'!$D$3:$D$202,MATCH(B161,'QS Takeoff'!$B$3:$B$202,0)),"")</f>
        <v/>
      </c>
      <c r="G161" s="81">
        <f>IFERROR(INDEX('QS Takeoff'!$J$3:$J$202,MATCH(B161,'QS Takeoff'!$B$3:$B$202,0)),"")</f>
        <v/>
      </c>
      <c r="H161" s="53" t="n"/>
      <c r="I161" s="60" t="n"/>
      <c r="J161" s="60" t="n"/>
      <c r="K161" s="82">
        <f>IF(OR(B161="",I161="",I161=0),"",E161/I161)</f>
        <v/>
      </c>
      <c r="L161" s="60" t="n"/>
      <c r="M161" s="82">
        <f>IF(L161&gt;0,L161,K161)</f>
        <v/>
      </c>
      <c r="N161" s="53" t="n"/>
      <c r="O161" s="53" t="n"/>
      <c r="P161" s="53" t="n"/>
      <c r="Q161" s="81">
        <f>IFERROR(INDEX('Resource Rate Library'!$C$5:$C$200,MATCH(P161,'Resource Rate Library'!$A$5:$A$200,0)),"")</f>
        <v/>
      </c>
      <c r="R161" s="53" t="n"/>
      <c r="S161" s="53" t="n"/>
      <c r="T161" s="81">
        <f>IFERROR(INDEX('Resource Rate Library'!$E$5:$E$200,MATCH(P161,'Resource Rate Library'!$A$5:$A$200,0)),"")</f>
        <v/>
      </c>
      <c r="U161" s="1441" t="n"/>
      <c r="V161" s="1441" t="n"/>
      <c r="W161" s="1442">
        <f>IFERROR(INDEX('Resource Rate Library'!$I$5:$I$200,MATCH(P161,'Resource Rate Library'!$A$5:$A$200,0)),0)</f>
        <v/>
      </c>
      <c r="X161" s="1443" t="n"/>
      <c r="Y161" s="1442">
        <f>IF(X161&gt;0,X161,W161)</f>
        <v/>
      </c>
      <c r="Z161" s="1442">
        <f>IF(B161="","",IF(N161="Time x Count",M161*R161*IF(U161="",1,U161)*Y161,IF(N161="QS Qty x Factor",E161*R161*(1+IF(V161="",0,V161))*Y161,IF(N161="Direct Qty",S161*(1+IF(V161="",0,V161))*Y161,IF(N161="Lump Sum / Quote",S161*Y161,0)))))</f>
        <v/>
      </c>
      <c r="AA161" s="81">
        <f>IFERROR(INDEX('Resource Rate Library'!$N$5:$N$200,MATCH(P161,'Resource Rate Library'!$A$5:$A$200,0)),"")</f>
        <v/>
      </c>
      <c r="AB161" s="53" t="n"/>
      <c r="AC161" s="59" t="n"/>
      <c r="AD161" s="81">
        <f>IFERROR(INDEX('Resource Rate Library'!$G$5:$G$200,MATCH(P161,'Resource Rate Library'!$A$5:$A$200,0)),"")</f>
        <v/>
      </c>
      <c r="AE161" s="81">
        <f>IFERROR(INDEX('Resource Rate Library'!$H$5:$H$200,MATCH(P161,'Resource Rate Library'!$A$5:$A$200,0)),"")</f>
        <v/>
      </c>
      <c r="AF161" s="53" t="n"/>
      <c r="AG161" s="53" t="n"/>
      <c r="AH161" s="53" t="n"/>
      <c r="AI161" s="81">
        <f>IF(B161="","",IF(AND(P161="",N161&lt;&gt;"Lump Sum / Quote"),"RESOURCE CODE",IF(Y161=0,"RATE MISSING",IF(AND(O161="Plant",AD161="Yes",COUNTIFS($B$7:$B$306,B161,$O$7:$O$306,"Labour",$Q$7:$Q$306,"*Operator*")&gt;0),"OPERATOR DOUBLE-COUNT",IF(AND(O161="Plant",AE161="Yes",COUNTIFS($B$7:$B$306,B161,$Q$7:$Q$306,"*Fuel*")&gt;0),"FUEL DOUBLE-COUNT",IF(AH161&lt;&gt;"Yes","VERIFY","OK"))))))</f>
        <v/>
      </c>
      <c r="AJ161" s="54" t="n"/>
      <c r="AK161" s="473" t="n"/>
      <c r="AL161" s="473" t="n"/>
      <c r="AM161" s="473" t="n"/>
      <c r="AN161" s="1444">
        <f>IF(AND(AK161="Yes",OR(O161="Labour",O161="Plant")),Z161,0)</f>
        <v/>
      </c>
    </row>
    <row r="162">
      <c r="A162" s="80">
        <f>IF(B162="","",B162&amp;"-"&amp;TEXT(COUNTIF($B$7:B162,B162),"000"))</f>
        <v/>
      </c>
      <c r="B162" s="53" t="n"/>
      <c r="C162" s="81">
        <f>IFERROR(INDEX('QS Takeoff'!$A$3:$A$202,MATCH(B162,'QS Takeoff'!$B$3:$B$202,0)),"")</f>
        <v/>
      </c>
      <c r="D162" s="81">
        <f>IFERROR(INDEX('QS Takeoff'!$C$3:$C$202,MATCH(B162,'QS Takeoff'!$B$3:$B$202,0)),"")</f>
        <v/>
      </c>
      <c r="E162" s="81">
        <f>IFERROR(INDEX('QS Takeoff'!$E$3:$E$202,MATCH(B162,'QS Takeoff'!$B$3:$B$202,0)),"")</f>
        <v/>
      </c>
      <c r="F162" s="81">
        <f>IFERROR(INDEX('QS Takeoff'!$D$3:$D$202,MATCH(B162,'QS Takeoff'!$B$3:$B$202,0)),"")</f>
        <v/>
      </c>
      <c r="G162" s="81">
        <f>IFERROR(INDEX('QS Takeoff'!$J$3:$J$202,MATCH(B162,'QS Takeoff'!$B$3:$B$202,0)),"")</f>
        <v/>
      </c>
      <c r="H162" s="53" t="n"/>
      <c r="I162" s="60" t="n"/>
      <c r="J162" s="60" t="n"/>
      <c r="K162" s="82">
        <f>IF(OR(B162="",I162="",I162=0),"",E162/I162)</f>
        <v/>
      </c>
      <c r="L162" s="60" t="n"/>
      <c r="M162" s="82">
        <f>IF(L162&gt;0,L162,K162)</f>
        <v/>
      </c>
      <c r="N162" s="53" t="n"/>
      <c r="O162" s="53" t="n"/>
      <c r="P162" s="53" t="n"/>
      <c r="Q162" s="81">
        <f>IFERROR(INDEX('Resource Rate Library'!$C$5:$C$200,MATCH(P162,'Resource Rate Library'!$A$5:$A$200,0)),"")</f>
        <v/>
      </c>
      <c r="R162" s="53" t="n"/>
      <c r="S162" s="53" t="n"/>
      <c r="T162" s="81">
        <f>IFERROR(INDEX('Resource Rate Library'!$E$5:$E$200,MATCH(P162,'Resource Rate Library'!$A$5:$A$200,0)),"")</f>
        <v/>
      </c>
      <c r="U162" s="1441" t="n"/>
      <c r="V162" s="1441" t="n"/>
      <c r="W162" s="1442">
        <f>IFERROR(INDEX('Resource Rate Library'!$I$5:$I$200,MATCH(P162,'Resource Rate Library'!$A$5:$A$200,0)),0)</f>
        <v/>
      </c>
      <c r="X162" s="1443" t="n"/>
      <c r="Y162" s="1442">
        <f>IF(X162&gt;0,X162,W162)</f>
        <v/>
      </c>
      <c r="Z162" s="1442">
        <f>IF(B162="","",IF(N162="Time x Count",M162*R162*IF(U162="",1,U162)*Y162,IF(N162="QS Qty x Factor",E162*R162*(1+IF(V162="",0,V162))*Y162,IF(N162="Direct Qty",S162*(1+IF(V162="",0,V162))*Y162,IF(N162="Lump Sum / Quote",S162*Y162,0)))))</f>
        <v/>
      </c>
      <c r="AA162" s="81">
        <f>IFERROR(INDEX('Resource Rate Library'!$N$5:$N$200,MATCH(P162,'Resource Rate Library'!$A$5:$A$200,0)),"")</f>
        <v/>
      </c>
      <c r="AB162" s="53" t="n"/>
      <c r="AC162" s="59" t="n"/>
      <c r="AD162" s="81">
        <f>IFERROR(INDEX('Resource Rate Library'!$G$5:$G$200,MATCH(P162,'Resource Rate Library'!$A$5:$A$200,0)),"")</f>
        <v/>
      </c>
      <c r="AE162" s="81">
        <f>IFERROR(INDEX('Resource Rate Library'!$H$5:$H$200,MATCH(P162,'Resource Rate Library'!$A$5:$A$200,0)),"")</f>
        <v/>
      </c>
      <c r="AF162" s="53" t="n"/>
      <c r="AG162" s="53" t="n"/>
      <c r="AH162" s="53" t="n"/>
      <c r="AI162" s="81">
        <f>IF(B162="","",IF(AND(P162="",N162&lt;&gt;"Lump Sum / Quote"),"RESOURCE CODE",IF(Y162=0,"RATE MISSING",IF(AND(O162="Plant",AD162="Yes",COUNTIFS($B$7:$B$306,B162,$O$7:$O$306,"Labour",$Q$7:$Q$306,"*Operator*")&gt;0),"OPERATOR DOUBLE-COUNT",IF(AND(O162="Plant",AE162="Yes",COUNTIFS($B$7:$B$306,B162,$Q$7:$Q$306,"*Fuel*")&gt;0),"FUEL DOUBLE-COUNT",IF(AH162&lt;&gt;"Yes","VERIFY","OK"))))))</f>
        <v/>
      </c>
      <c r="AJ162" s="54" t="n"/>
      <c r="AK162" s="473" t="n"/>
      <c r="AL162" s="473" t="n"/>
      <c r="AM162" s="473" t="n"/>
      <c r="AN162" s="1444">
        <f>IF(AND(AK162="Yes",OR(O162="Labour",O162="Plant")),Z162,0)</f>
        <v/>
      </c>
    </row>
    <row r="163">
      <c r="A163" s="80">
        <f>IF(B163="","",B163&amp;"-"&amp;TEXT(COUNTIF($B$7:B163,B163),"000"))</f>
        <v/>
      </c>
      <c r="B163" s="53" t="n"/>
      <c r="C163" s="81">
        <f>IFERROR(INDEX('QS Takeoff'!$A$3:$A$202,MATCH(B163,'QS Takeoff'!$B$3:$B$202,0)),"")</f>
        <v/>
      </c>
      <c r="D163" s="81">
        <f>IFERROR(INDEX('QS Takeoff'!$C$3:$C$202,MATCH(B163,'QS Takeoff'!$B$3:$B$202,0)),"")</f>
        <v/>
      </c>
      <c r="E163" s="81">
        <f>IFERROR(INDEX('QS Takeoff'!$E$3:$E$202,MATCH(B163,'QS Takeoff'!$B$3:$B$202,0)),"")</f>
        <v/>
      </c>
      <c r="F163" s="81">
        <f>IFERROR(INDEX('QS Takeoff'!$D$3:$D$202,MATCH(B163,'QS Takeoff'!$B$3:$B$202,0)),"")</f>
        <v/>
      </c>
      <c r="G163" s="81">
        <f>IFERROR(INDEX('QS Takeoff'!$J$3:$J$202,MATCH(B163,'QS Takeoff'!$B$3:$B$202,0)),"")</f>
        <v/>
      </c>
      <c r="H163" s="53" t="n"/>
      <c r="I163" s="60" t="n"/>
      <c r="J163" s="60" t="n"/>
      <c r="K163" s="82">
        <f>IF(OR(B163="",I163="",I163=0),"",E163/I163)</f>
        <v/>
      </c>
      <c r="L163" s="60" t="n"/>
      <c r="M163" s="82">
        <f>IF(L163&gt;0,L163,K163)</f>
        <v/>
      </c>
      <c r="N163" s="53" t="n"/>
      <c r="O163" s="53" t="n"/>
      <c r="P163" s="53" t="n"/>
      <c r="Q163" s="81">
        <f>IFERROR(INDEX('Resource Rate Library'!$C$5:$C$200,MATCH(P163,'Resource Rate Library'!$A$5:$A$200,0)),"")</f>
        <v/>
      </c>
      <c r="R163" s="53" t="n"/>
      <c r="S163" s="53" t="n"/>
      <c r="T163" s="81">
        <f>IFERROR(INDEX('Resource Rate Library'!$E$5:$E$200,MATCH(P163,'Resource Rate Library'!$A$5:$A$200,0)),"")</f>
        <v/>
      </c>
      <c r="U163" s="1441" t="n"/>
      <c r="V163" s="1441" t="n"/>
      <c r="W163" s="1442">
        <f>IFERROR(INDEX('Resource Rate Library'!$I$5:$I$200,MATCH(P163,'Resource Rate Library'!$A$5:$A$200,0)),0)</f>
        <v/>
      </c>
      <c r="X163" s="1443" t="n"/>
      <c r="Y163" s="1442">
        <f>IF(X163&gt;0,X163,W163)</f>
        <v/>
      </c>
      <c r="Z163" s="1442">
        <f>IF(B163="","",IF(N163="Time x Count",M163*R163*IF(U163="",1,U163)*Y163,IF(N163="QS Qty x Factor",E163*R163*(1+IF(V163="",0,V163))*Y163,IF(N163="Direct Qty",S163*(1+IF(V163="",0,V163))*Y163,IF(N163="Lump Sum / Quote",S163*Y163,0)))))</f>
        <v/>
      </c>
      <c r="AA163" s="81">
        <f>IFERROR(INDEX('Resource Rate Library'!$N$5:$N$200,MATCH(P163,'Resource Rate Library'!$A$5:$A$200,0)),"")</f>
        <v/>
      </c>
      <c r="AB163" s="53" t="n"/>
      <c r="AC163" s="59" t="n"/>
      <c r="AD163" s="81">
        <f>IFERROR(INDEX('Resource Rate Library'!$G$5:$G$200,MATCH(P163,'Resource Rate Library'!$A$5:$A$200,0)),"")</f>
        <v/>
      </c>
      <c r="AE163" s="81">
        <f>IFERROR(INDEX('Resource Rate Library'!$H$5:$H$200,MATCH(P163,'Resource Rate Library'!$A$5:$A$200,0)),"")</f>
        <v/>
      </c>
      <c r="AF163" s="53" t="n"/>
      <c r="AG163" s="53" t="n"/>
      <c r="AH163" s="53" t="n"/>
      <c r="AI163" s="81">
        <f>IF(B163="","",IF(AND(P163="",N163&lt;&gt;"Lump Sum / Quote"),"RESOURCE CODE",IF(Y163=0,"RATE MISSING",IF(AND(O163="Plant",AD163="Yes",COUNTIFS($B$7:$B$306,B163,$O$7:$O$306,"Labour",$Q$7:$Q$306,"*Operator*")&gt;0),"OPERATOR DOUBLE-COUNT",IF(AND(O163="Plant",AE163="Yes",COUNTIFS($B$7:$B$306,B163,$Q$7:$Q$306,"*Fuel*")&gt;0),"FUEL DOUBLE-COUNT",IF(AH163&lt;&gt;"Yes","VERIFY","OK"))))))</f>
        <v/>
      </c>
      <c r="AJ163" s="54" t="n"/>
      <c r="AK163" s="473" t="n"/>
      <c r="AL163" s="473" t="n"/>
      <c r="AM163" s="473" t="n"/>
      <c r="AN163" s="1444">
        <f>IF(AND(AK163="Yes",OR(O163="Labour",O163="Plant")),Z163,0)</f>
        <v/>
      </c>
    </row>
    <row r="164">
      <c r="A164" s="80">
        <f>IF(B164="","",B164&amp;"-"&amp;TEXT(COUNTIF($B$7:B164,B164),"000"))</f>
        <v/>
      </c>
      <c r="B164" s="53" t="n"/>
      <c r="C164" s="81">
        <f>IFERROR(INDEX('QS Takeoff'!$A$3:$A$202,MATCH(B164,'QS Takeoff'!$B$3:$B$202,0)),"")</f>
        <v/>
      </c>
      <c r="D164" s="81">
        <f>IFERROR(INDEX('QS Takeoff'!$C$3:$C$202,MATCH(B164,'QS Takeoff'!$B$3:$B$202,0)),"")</f>
        <v/>
      </c>
      <c r="E164" s="81">
        <f>IFERROR(INDEX('QS Takeoff'!$E$3:$E$202,MATCH(B164,'QS Takeoff'!$B$3:$B$202,0)),"")</f>
        <v/>
      </c>
      <c r="F164" s="81">
        <f>IFERROR(INDEX('QS Takeoff'!$D$3:$D$202,MATCH(B164,'QS Takeoff'!$B$3:$B$202,0)),"")</f>
        <v/>
      </c>
      <c r="G164" s="81">
        <f>IFERROR(INDEX('QS Takeoff'!$J$3:$J$202,MATCH(B164,'QS Takeoff'!$B$3:$B$202,0)),"")</f>
        <v/>
      </c>
      <c r="H164" s="53" t="n"/>
      <c r="I164" s="60" t="n"/>
      <c r="J164" s="60" t="n"/>
      <c r="K164" s="82">
        <f>IF(OR(B164="",I164="",I164=0),"",E164/I164)</f>
        <v/>
      </c>
      <c r="L164" s="60" t="n"/>
      <c r="M164" s="82">
        <f>IF(L164&gt;0,L164,K164)</f>
        <v/>
      </c>
      <c r="N164" s="53" t="n"/>
      <c r="O164" s="53" t="n"/>
      <c r="P164" s="53" t="n"/>
      <c r="Q164" s="81">
        <f>IFERROR(INDEX('Resource Rate Library'!$C$5:$C$200,MATCH(P164,'Resource Rate Library'!$A$5:$A$200,0)),"")</f>
        <v/>
      </c>
      <c r="R164" s="53" t="n"/>
      <c r="S164" s="53" t="n"/>
      <c r="T164" s="81">
        <f>IFERROR(INDEX('Resource Rate Library'!$E$5:$E$200,MATCH(P164,'Resource Rate Library'!$A$5:$A$200,0)),"")</f>
        <v/>
      </c>
      <c r="U164" s="1441" t="n"/>
      <c r="V164" s="1441" t="n"/>
      <c r="W164" s="1442">
        <f>IFERROR(INDEX('Resource Rate Library'!$I$5:$I$200,MATCH(P164,'Resource Rate Library'!$A$5:$A$200,0)),0)</f>
        <v/>
      </c>
      <c r="X164" s="1443" t="n"/>
      <c r="Y164" s="1442">
        <f>IF(X164&gt;0,X164,W164)</f>
        <v/>
      </c>
      <c r="Z164" s="1442">
        <f>IF(B164="","",IF(N164="Time x Count",M164*R164*IF(U164="",1,U164)*Y164,IF(N164="QS Qty x Factor",E164*R164*(1+IF(V164="",0,V164))*Y164,IF(N164="Direct Qty",S164*(1+IF(V164="",0,V164))*Y164,IF(N164="Lump Sum / Quote",S164*Y164,0)))))</f>
        <v/>
      </c>
      <c r="AA164" s="81">
        <f>IFERROR(INDEX('Resource Rate Library'!$N$5:$N$200,MATCH(P164,'Resource Rate Library'!$A$5:$A$200,0)),"")</f>
        <v/>
      </c>
      <c r="AB164" s="53" t="n"/>
      <c r="AC164" s="59" t="n"/>
      <c r="AD164" s="81">
        <f>IFERROR(INDEX('Resource Rate Library'!$G$5:$G$200,MATCH(P164,'Resource Rate Library'!$A$5:$A$200,0)),"")</f>
        <v/>
      </c>
      <c r="AE164" s="81">
        <f>IFERROR(INDEX('Resource Rate Library'!$H$5:$H$200,MATCH(P164,'Resource Rate Library'!$A$5:$A$200,0)),"")</f>
        <v/>
      </c>
      <c r="AF164" s="53" t="n"/>
      <c r="AG164" s="53" t="n"/>
      <c r="AH164" s="53" t="n"/>
      <c r="AI164" s="81">
        <f>IF(B164="","",IF(AND(P164="",N164&lt;&gt;"Lump Sum / Quote"),"RESOURCE CODE",IF(Y164=0,"RATE MISSING",IF(AND(O164="Plant",AD164="Yes",COUNTIFS($B$7:$B$306,B164,$O$7:$O$306,"Labour",$Q$7:$Q$306,"*Operator*")&gt;0),"OPERATOR DOUBLE-COUNT",IF(AND(O164="Plant",AE164="Yes",COUNTIFS($B$7:$B$306,B164,$Q$7:$Q$306,"*Fuel*")&gt;0),"FUEL DOUBLE-COUNT",IF(AH164&lt;&gt;"Yes","VERIFY","OK"))))))</f>
        <v/>
      </c>
      <c r="AJ164" s="54" t="n"/>
      <c r="AK164" s="473" t="n"/>
      <c r="AL164" s="473" t="n"/>
      <c r="AM164" s="473" t="n"/>
      <c r="AN164" s="1444">
        <f>IF(AND(AK164="Yes",OR(O164="Labour",O164="Plant")),Z164,0)</f>
        <v/>
      </c>
    </row>
    <row r="165">
      <c r="A165" s="80">
        <f>IF(B165="","",B165&amp;"-"&amp;TEXT(COUNTIF($B$7:B165,B165),"000"))</f>
        <v/>
      </c>
      <c r="B165" s="53" t="n"/>
      <c r="C165" s="81">
        <f>IFERROR(INDEX('QS Takeoff'!$A$3:$A$202,MATCH(B165,'QS Takeoff'!$B$3:$B$202,0)),"")</f>
        <v/>
      </c>
      <c r="D165" s="81">
        <f>IFERROR(INDEX('QS Takeoff'!$C$3:$C$202,MATCH(B165,'QS Takeoff'!$B$3:$B$202,0)),"")</f>
        <v/>
      </c>
      <c r="E165" s="81">
        <f>IFERROR(INDEX('QS Takeoff'!$E$3:$E$202,MATCH(B165,'QS Takeoff'!$B$3:$B$202,0)),"")</f>
        <v/>
      </c>
      <c r="F165" s="81">
        <f>IFERROR(INDEX('QS Takeoff'!$D$3:$D$202,MATCH(B165,'QS Takeoff'!$B$3:$B$202,0)),"")</f>
        <v/>
      </c>
      <c r="G165" s="81">
        <f>IFERROR(INDEX('QS Takeoff'!$J$3:$J$202,MATCH(B165,'QS Takeoff'!$B$3:$B$202,0)),"")</f>
        <v/>
      </c>
      <c r="H165" s="53" t="n"/>
      <c r="I165" s="60" t="n"/>
      <c r="J165" s="60" t="n"/>
      <c r="K165" s="82">
        <f>IF(OR(B165="",I165="",I165=0),"",E165/I165)</f>
        <v/>
      </c>
      <c r="L165" s="60" t="n"/>
      <c r="M165" s="82">
        <f>IF(L165&gt;0,L165,K165)</f>
        <v/>
      </c>
      <c r="N165" s="53" t="n"/>
      <c r="O165" s="53" t="n"/>
      <c r="P165" s="53" t="n"/>
      <c r="Q165" s="81">
        <f>IFERROR(INDEX('Resource Rate Library'!$C$5:$C$200,MATCH(P165,'Resource Rate Library'!$A$5:$A$200,0)),"")</f>
        <v/>
      </c>
      <c r="R165" s="53" t="n"/>
      <c r="S165" s="53" t="n"/>
      <c r="T165" s="81">
        <f>IFERROR(INDEX('Resource Rate Library'!$E$5:$E$200,MATCH(P165,'Resource Rate Library'!$A$5:$A$200,0)),"")</f>
        <v/>
      </c>
      <c r="U165" s="1441" t="n"/>
      <c r="V165" s="1441" t="n"/>
      <c r="W165" s="1442">
        <f>IFERROR(INDEX('Resource Rate Library'!$I$5:$I$200,MATCH(P165,'Resource Rate Library'!$A$5:$A$200,0)),0)</f>
        <v/>
      </c>
      <c r="X165" s="1443" t="n"/>
      <c r="Y165" s="1442">
        <f>IF(X165&gt;0,X165,W165)</f>
        <v/>
      </c>
      <c r="Z165" s="1442">
        <f>IF(B165="","",IF(N165="Time x Count",M165*R165*IF(U165="",1,U165)*Y165,IF(N165="QS Qty x Factor",E165*R165*(1+IF(V165="",0,V165))*Y165,IF(N165="Direct Qty",S165*(1+IF(V165="",0,V165))*Y165,IF(N165="Lump Sum / Quote",S165*Y165,0)))))</f>
        <v/>
      </c>
      <c r="AA165" s="81">
        <f>IFERROR(INDEX('Resource Rate Library'!$N$5:$N$200,MATCH(P165,'Resource Rate Library'!$A$5:$A$200,0)),"")</f>
        <v/>
      </c>
      <c r="AB165" s="53" t="n"/>
      <c r="AC165" s="59" t="n"/>
      <c r="AD165" s="81">
        <f>IFERROR(INDEX('Resource Rate Library'!$G$5:$G$200,MATCH(P165,'Resource Rate Library'!$A$5:$A$200,0)),"")</f>
        <v/>
      </c>
      <c r="AE165" s="81">
        <f>IFERROR(INDEX('Resource Rate Library'!$H$5:$H$200,MATCH(P165,'Resource Rate Library'!$A$5:$A$200,0)),"")</f>
        <v/>
      </c>
      <c r="AF165" s="53" t="n"/>
      <c r="AG165" s="53" t="n"/>
      <c r="AH165" s="53" t="n"/>
      <c r="AI165" s="81">
        <f>IF(B165="","",IF(AND(P165="",N165&lt;&gt;"Lump Sum / Quote"),"RESOURCE CODE",IF(Y165=0,"RATE MISSING",IF(AND(O165="Plant",AD165="Yes",COUNTIFS($B$7:$B$306,B165,$O$7:$O$306,"Labour",$Q$7:$Q$306,"*Operator*")&gt;0),"OPERATOR DOUBLE-COUNT",IF(AND(O165="Plant",AE165="Yes",COUNTIFS($B$7:$B$306,B165,$Q$7:$Q$306,"*Fuel*")&gt;0),"FUEL DOUBLE-COUNT",IF(AH165&lt;&gt;"Yes","VERIFY","OK"))))))</f>
        <v/>
      </c>
      <c r="AJ165" s="54" t="n"/>
      <c r="AK165" s="473" t="n"/>
      <c r="AL165" s="473" t="n"/>
      <c r="AM165" s="473" t="n"/>
      <c r="AN165" s="1444">
        <f>IF(AND(AK165="Yes",OR(O165="Labour",O165="Plant")),Z165,0)</f>
        <v/>
      </c>
    </row>
    <row r="166">
      <c r="A166" s="80">
        <f>IF(B166="","",B166&amp;"-"&amp;TEXT(COUNTIF($B$7:B166,B166),"000"))</f>
        <v/>
      </c>
      <c r="B166" s="53" t="n"/>
      <c r="C166" s="81">
        <f>IFERROR(INDEX('QS Takeoff'!$A$3:$A$202,MATCH(B166,'QS Takeoff'!$B$3:$B$202,0)),"")</f>
        <v/>
      </c>
      <c r="D166" s="81">
        <f>IFERROR(INDEX('QS Takeoff'!$C$3:$C$202,MATCH(B166,'QS Takeoff'!$B$3:$B$202,0)),"")</f>
        <v/>
      </c>
      <c r="E166" s="81">
        <f>IFERROR(INDEX('QS Takeoff'!$E$3:$E$202,MATCH(B166,'QS Takeoff'!$B$3:$B$202,0)),"")</f>
        <v/>
      </c>
      <c r="F166" s="81">
        <f>IFERROR(INDEX('QS Takeoff'!$D$3:$D$202,MATCH(B166,'QS Takeoff'!$B$3:$B$202,0)),"")</f>
        <v/>
      </c>
      <c r="G166" s="81">
        <f>IFERROR(INDEX('QS Takeoff'!$J$3:$J$202,MATCH(B166,'QS Takeoff'!$B$3:$B$202,0)),"")</f>
        <v/>
      </c>
      <c r="H166" s="53" t="n"/>
      <c r="I166" s="60" t="n"/>
      <c r="J166" s="60" t="n"/>
      <c r="K166" s="82">
        <f>IF(OR(B166="",I166="",I166=0),"",E166/I166)</f>
        <v/>
      </c>
      <c r="L166" s="60" t="n"/>
      <c r="M166" s="82">
        <f>IF(L166&gt;0,L166,K166)</f>
        <v/>
      </c>
      <c r="N166" s="53" t="n"/>
      <c r="O166" s="53" t="n"/>
      <c r="P166" s="53" t="n"/>
      <c r="Q166" s="81">
        <f>IFERROR(INDEX('Resource Rate Library'!$C$5:$C$200,MATCH(P166,'Resource Rate Library'!$A$5:$A$200,0)),"")</f>
        <v/>
      </c>
      <c r="R166" s="53" t="n"/>
      <c r="S166" s="53" t="n"/>
      <c r="T166" s="81">
        <f>IFERROR(INDEX('Resource Rate Library'!$E$5:$E$200,MATCH(P166,'Resource Rate Library'!$A$5:$A$200,0)),"")</f>
        <v/>
      </c>
      <c r="U166" s="1441" t="n"/>
      <c r="V166" s="1441" t="n"/>
      <c r="W166" s="1442">
        <f>IFERROR(INDEX('Resource Rate Library'!$I$5:$I$200,MATCH(P166,'Resource Rate Library'!$A$5:$A$200,0)),0)</f>
        <v/>
      </c>
      <c r="X166" s="1443" t="n"/>
      <c r="Y166" s="1442">
        <f>IF(X166&gt;0,X166,W166)</f>
        <v/>
      </c>
      <c r="Z166" s="1442">
        <f>IF(B166="","",IF(N166="Time x Count",M166*R166*IF(U166="",1,U166)*Y166,IF(N166="QS Qty x Factor",E166*R166*(1+IF(V166="",0,V166))*Y166,IF(N166="Direct Qty",S166*(1+IF(V166="",0,V166))*Y166,IF(N166="Lump Sum / Quote",S166*Y166,0)))))</f>
        <v/>
      </c>
      <c r="AA166" s="81">
        <f>IFERROR(INDEX('Resource Rate Library'!$N$5:$N$200,MATCH(P166,'Resource Rate Library'!$A$5:$A$200,0)),"")</f>
        <v/>
      </c>
      <c r="AB166" s="53" t="n"/>
      <c r="AC166" s="59" t="n"/>
      <c r="AD166" s="81">
        <f>IFERROR(INDEX('Resource Rate Library'!$G$5:$G$200,MATCH(P166,'Resource Rate Library'!$A$5:$A$200,0)),"")</f>
        <v/>
      </c>
      <c r="AE166" s="81">
        <f>IFERROR(INDEX('Resource Rate Library'!$H$5:$H$200,MATCH(P166,'Resource Rate Library'!$A$5:$A$200,0)),"")</f>
        <v/>
      </c>
      <c r="AF166" s="53" t="n"/>
      <c r="AG166" s="53" t="n"/>
      <c r="AH166" s="53" t="n"/>
      <c r="AI166" s="81">
        <f>IF(B166="","",IF(AND(P166="",N166&lt;&gt;"Lump Sum / Quote"),"RESOURCE CODE",IF(Y166=0,"RATE MISSING",IF(AND(O166="Plant",AD166="Yes",COUNTIFS($B$7:$B$306,B166,$O$7:$O$306,"Labour",$Q$7:$Q$306,"*Operator*")&gt;0),"OPERATOR DOUBLE-COUNT",IF(AND(O166="Plant",AE166="Yes",COUNTIFS($B$7:$B$306,B166,$Q$7:$Q$306,"*Fuel*")&gt;0),"FUEL DOUBLE-COUNT",IF(AH166&lt;&gt;"Yes","VERIFY","OK"))))))</f>
        <v/>
      </c>
      <c r="AJ166" s="54" t="n"/>
      <c r="AK166" s="473" t="n"/>
      <c r="AL166" s="473" t="n"/>
      <c r="AM166" s="473" t="n"/>
      <c r="AN166" s="1444">
        <f>IF(AND(AK166="Yes",OR(O166="Labour",O166="Plant")),Z166,0)</f>
        <v/>
      </c>
    </row>
    <row r="167">
      <c r="A167" s="80">
        <f>IF(B167="","",B167&amp;"-"&amp;TEXT(COUNTIF($B$7:B167,B167),"000"))</f>
        <v/>
      </c>
      <c r="B167" s="53" t="n"/>
      <c r="C167" s="81">
        <f>IFERROR(INDEX('QS Takeoff'!$A$3:$A$202,MATCH(B167,'QS Takeoff'!$B$3:$B$202,0)),"")</f>
        <v/>
      </c>
      <c r="D167" s="81">
        <f>IFERROR(INDEX('QS Takeoff'!$C$3:$C$202,MATCH(B167,'QS Takeoff'!$B$3:$B$202,0)),"")</f>
        <v/>
      </c>
      <c r="E167" s="81">
        <f>IFERROR(INDEX('QS Takeoff'!$E$3:$E$202,MATCH(B167,'QS Takeoff'!$B$3:$B$202,0)),"")</f>
        <v/>
      </c>
      <c r="F167" s="81">
        <f>IFERROR(INDEX('QS Takeoff'!$D$3:$D$202,MATCH(B167,'QS Takeoff'!$B$3:$B$202,0)),"")</f>
        <v/>
      </c>
      <c r="G167" s="81">
        <f>IFERROR(INDEX('QS Takeoff'!$J$3:$J$202,MATCH(B167,'QS Takeoff'!$B$3:$B$202,0)),"")</f>
        <v/>
      </c>
      <c r="H167" s="53" t="n"/>
      <c r="I167" s="60" t="n"/>
      <c r="J167" s="60" t="n"/>
      <c r="K167" s="82">
        <f>IF(OR(B167="",I167="",I167=0),"",E167/I167)</f>
        <v/>
      </c>
      <c r="L167" s="60" t="n"/>
      <c r="M167" s="82">
        <f>IF(L167&gt;0,L167,K167)</f>
        <v/>
      </c>
      <c r="N167" s="53" t="n"/>
      <c r="O167" s="53" t="n"/>
      <c r="P167" s="53" t="n"/>
      <c r="Q167" s="81">
        <f>IFERROR(INDEX('Resource Rate Library'!$C$5:$C$200,MATCH(P167,'Resource Rate Library'!$A$5:$A$200,0)),"")</f>
        <v/>
      </c>
      <c r="R167" s="53" t="n"/>
      <c r="S167" s="53" t="n"/>
      <c r="T167" s="81">
        <f>IFERROR(INDEX('Resource Rate Library'!$E$5:$E$200,MATCH(P167,'Resource Rate Library'!$A$5:$A$200,0)),"")</f>
        <v/>
      </c>
      <c r="U167" s="1441" t="n"/>
      <c r="V167" s="1441" t="n"/>
      <c r="W167" s="1442">
        <f>IFERROR(INDEX('Resource Rate Library'!$I$5:$I$200,MATCH(P167,'Resource Rate Library'!$A$5:$A$200,0)),0)</f>
        <v/>
      </c>
      <c r="X167" s="1443" t="n"/>
      <c r="Y167" s="1442">
        <f>IF(X167&gt;0,X167,W167)</f>
        <v/>
      </c>
      <c r="Z167" s="1442">
        <f>IF(B167="","",IF(N167="Time x Count",M167*R167*IF(U167="",1,U167)*Y167,IF(N167="QS Qty x Factor",E167*R167*(1+IF(V167="",0,V167))*Y167,IF(N167="Direct Qty",S167*(1+IF(V167="",0,V167))*Y167,IF(N167="Lump Sum / Quote",S167*Y167,0)))))</f>
        <v/>
      </c>
      <c r="AA167" s="81">
        <f>IFERROR(INDEX('Resource Rate Library'!$N$5:$N$200,MATCH(P167,'Resource Rate Library'!$A$5:$A$200,0)),"")</f>
        <v/>
      </c>
      <c r="AB167" s="53" t="n"/>
      <c r="AC167" s="59" t="n"/>
      <c r="AD167" s="81">
        <f>IFERROR(INDEX('Resource Rate Library'!$G$5:$G$200,MATCH(P167,'Resource Rate Library'!$A$5:$A$200,0)),"")</f>
        <v/>
      </c>
      <c r="AE167" s="81">
        <f>IFERROR(INDEX('Resource Rate Library'!$H$5:$H$200,MATCH(P167,'Resource Rate Library'!$A$5:$A$200,0)),"")</f>
        <v/>
      </c>
      <c r="AF167" s="53" t="n"/>
      <c r="AG167" s="53" t="n"/>
      <c r="AH167" s="53" t="n"/>
      <c r="AI167" s="81">
        <f>IF(B167="","",IF(AND(P167="",N167&lt;&gt;"Lump Sum / Quote"),"RESOURCE CODE",IF(Y167=0,"RATE MISSING",IF(AND(O167="Plant",AD167="Yes",COUNTIFS($B$7:$B$306,B167,$O$7:$O$306,"Labour",$Q$7:$Q$306,"*Operator*")&gt;0),"OPERATOR DOUBLE-COUNT",IF(AND(O167="Plant",AE167="Yes",COUNTIFS($B$7:$B$306,B167,$Q$7:$Q$306,"*Fuel*")&gt;0),"FUEL DOUBLE-COUNT",IF(AH167&lt;&gt;"Yes","VERIFY","OK"))))))</f>
        <v/>
      </c>
      <c r="AJ167" s="54" t="n"/>
      <c r="AK167" s="473" t="n"/>
      <c r="AL167" s="473" t="n"/>
      <c r="AM167" s="473" t="n"/>
      <c r="AN167" s="1444">
        <f>IF(AND(AK167="Yes",OR(O167="Labour",O167="Plant")),Z167,0)</f>
        <v/>
      </c>
    </row>
    <row r="168">
      <c r="A168" s="80">
        <f>IF(B168="","",B168&amp;"-"&amp;TEXT(COUNTIF($B$7:B168,B168),"000"))</f>
        <v/>
      </c>
      <c r="B168" s="53" t="n"/>
      <c r="C168" s="81">
        <f>IFERROR(INDEX('QS Takeoff'!$A$3:$A$202,MATCH(B168,'QS Takeoff'!$B$3:$B$202,0)),"")</f>
        <v/>
      </c>
      <c r="D168" s="81">
        <f>IFERROR(INDEX('QS Takeoff'!$C$3:$C$202,MATCH(B168,'QS Takeoff'!$B$3:$B$202,0)),"")</f>
        <v/>
      </c>
      <c r="E168" s="81">
        <f>IFERROR(INDEX('QS Takeoff'!$E$3:$E$202,MATCH(B168,'QS Takeoff'!$B$3:$B$202,0)),"")</f>
        <v/>
      </c>
      <c r="F168" s="81">
        <f>IFERROR(INDEX('QS Takeoff'!$D$3:$D$202,MATCH(B168,'QS Takeoff'!$B$3:$B$202,0)),"")</f>
        <v/>
      </c>
      <c r="G168" s="81">
        <f>IFERROR(INDEX('QS Takeoff'!$J$3:$J$202,MATCH(B168,'QS Takeoff'!$B$3:$B$202,0)),"")</f>
        <v/>
      </c>
      <c r="H168" s="53" t="n"/>
      <c r="I168" s="60" t="n"/>
      <c r="J168" s="60" t="n"/>
      <c r="K168" s="82">
        <f>IF(OR(B168="",I168="",I168=0),"",E168/I168)</f>
        <v/>
      </c>
      <c r="L168" s="60" t="n"/>
      <c r="M168" s="82">
        <f>IF(L168&gt;0,L168,K168)</f>
        <v/>
      </c>
      <c r="N168" s="53" t="n"/>
      <c r="O168" s="53" t="n"/>
      <c r="P168" s="53" t="n"/>
      <c r="Q168" s="81">
        <f>IFERROR(INDEX('Resource Rate Library'!$C$5:$C$200,MATCH(P168,'Resource Rate Library'!$A$5:$A$200,0)),"")</f>
        <v/>
      </c>
      <c r="R168" s="53" t="n"/>
      <c r="S168" s="53" t="n"/>
      <c r="T168" s="81">
        <f>IFERROR(INDEX('Resource Rate Library'!$E$5:$E$200,MATCH(P168,'Resource Rate Library'!$A$5:$A$200,0)),"")</f>
        <v/>
      </c>
      <c r="U168" s="1441" t="n"/>
      <c r="V168" s="1441" t="n"/>
      <c r="W168" s="1442">
        <f>IFERROR(INDEX('Resource Rate Library'!$I$5:$I$200,MATCH(P168,'Resource Rate Library'!$A$5:$A$200,0)),0)</f>
        <v/>
      </c>
      <c r="X168" s="1443" t="n"/>
      <c r="Y168" s="1442">
        <f>IF(X168&gt;0,X168,W168)</f>
        <v/>
      </c>
      <c r="Z168" s="1442">
        <f>IF(B168="","",IF(N168="Time x Count",M168*R168*IF(U168="",1,U168)*Y168,IF(N168="QS Qty x Factor",E168*R168*(1+IF(V168="",0,V168))*Y168,IF(N168="Direct Qty",S168*(1+IF(V168="",0,V168))*Y168,IF(N168="Lump Sum / Quote",S168*Y168,0)))))</f>
        <v/>
      </c>
      <c r="AA168" s="81">
        <f>IFERROR(INDEX('Resource Rate Library'!$N$5:$N$200,MATCH(P168,'Resource Rate Library'!$A$5:$A$200,0)),"")</f>
        <v/>
      </c>
      <c r="AB168" s="53" t="n"/>
      <c r="AC168" s="59" t="n"/>
      <c r="AD168" s="81">
        <f>IFERROR(INDEX('Resource Rate Library'!$G$5:$G$200,MATCH(P168,'Resource Rate Library'!$A$5:$A$200,0)),"")</f>
        <v/>
      </c>
      <c r="AE168" s="81">
        <f>IFERROR(INDEX('Resource Rate Library'!$H$5:$H$200,MATCH(P168,'Resource Rate Library'!$A$5:$A$200,0)),"")</f>
        <v/>
      </c>
      <c r="AF168" s="53" t="n"/>
      <c r="AG168" s="53" t="n"/>
      <c r="AH168" s="53" t="n"/>
      <c r="AI168" s="81">
        <f>IF(B168="","",IF(AND(P168="",N168&lt;&gt;"Lump Sum / Quote"),"RESOURCE CODE",IF(Y168=0,"RATE MISSING",IF(AND(O168="Plant",AD168="Yes",COUNTIFS($B$7:$B$306,B168,$O$7:$O$306,"Labour",$Q$7:$Q$306,"*Operator*")&gt;0),"OPERATOR DOUBLE-COUNT",IF(AND(O168="Plant",AE168="Yes",COUNTIFS($B$7:$B$306,B168,$Q$7:$Q$306,"*Fuel*")&gt;0),"FUEL DOUBLE-COUNT",IF(AH168&lt;&gt;"Yes","VERIFY","OK"))))))</f>
        <v/>
      </c>
      <c r="AJ168" s="54" t="n"/>
      <c r="AK168" s="473" t="n"/>
      <c r="AL168" s="473" t="n"/>
      <c r="AM168" s="473" t="n"/>
      <c r="AN168" s="1444">
        <f>IF(AND(AK168="Yes",OR(O168="Labour",O168="Plant")),Z168,0)</f>
        <v/>
      </c>
    </row>
    <row r="169">
      <c r="A169" s="80">
        <f>IF(B169="","",B169&amp;"-"&amp;TEXT(COUNTIF($B$7:B169,B169),"000"))</f>
        <v/>
      </c>
      <c r="B169" s="53" t="n"/>
      <c r="C169" s="81">
        <f>IFERROR(INDEX('QS Takeoff'!$A$3:$A$202,MATCH(B169,'QS Takeoff'!$B$3:$B$202,0)),"")</f>
        <v/>
      </c>
      <c r="D169" s="81">
        <f>IFERROR(INDEX('QS Takeoff'!$C$3:$C$202,MATCH(B169,'QS Takeoff'!$B$3:$B$202,0)),"")</f>
        <v/>
      </c>
      <c r="E169" s="81">
        <f>IFERROR(INDEX('QS Takeoff'!$E$3:$E$202,MATCH(B169,'QS Takeoff'!$B$3:$B$202,0)),"")</f>
        <v/>
      </c>
      <c r="F169" s="81">
        <f>IFERROR(INDEX('QS Takeoff'!$D$3:$D$202,MATCH(B169,'QS Takeoff'!$B$3:$B$202,0)),"")</f>
        <v/>
      </c>
      <c r="G169" s="81">
        <f>IFERROR(INDEX('QS Takeoff'!$J$3:$J$202,MATCH(B169,'QS Takeoff'!$B$3:$B$202,0)),"")</f>
        <v/>
      </c>
      <c r="H169" s="53" t="n"/>
      <c r="I169" s="60" t="n"/>
      <c r="J169" s="60" t="n"/>
      <c r="K169" s="82">
        <f>IF(OR(B169="",I169="",I169=0),"",E169/I169)</f>
        <v/>
      </c>
      <c r="L169" s="60" t="n"/>
      <c r="M169" s="82">
        <f>IF(L169&gt;0,L169,K169)</f>
        <v/>
      </c>
      <c r="N169" s="53" t="n"/>
      <c r="O169" s="53" t="n"/>
      <c r="P169" s="53" t="n"/>
      <c r="Q169" s="81">
        <f>IFERROR(INDEX('Resource Rate Library'!$C$5:$C$200,MATCH(P169,'Resource Rate Library'!$A$5:$A$200,0)),"")</f>
        <v/>
      </c>
      <c r="R169" s="53" t="n"/>
      <c r="S169" s="53" t="n"/>
      <c r="T169" s="81">
        <f>IFERROR(INDEX('Resource Rate Library'!$E$5:$E$200,MATCH(P169,'Resource Rate Library'!$A$5:$A$200,0)),"")</f>
        <v/>
      </c>
      <c r="U169" s="1441" t="n"/>
      <c r="V169" s="1441" t="n"/>
      <c r="W169" s="1442">
        <f>IFERROR(INDEX('Resource Rate Library'!$I$5:$I$200,MATCH(P169,'Resource Rate Library'!$A$5:$A$200,0)),0)</f>
        <v/>
      </c>
      <c r="X169" s="1443" t="n"/>
      <c r="Y169" s="1442">
        <f>IF(X169&gt;0,X169,W169)</f>
        <v/>
      </c>
      <c r="Z169" s="1442">
        <f>IF(B169="","",IF(N169="Time x Count",M169*R169*IF(U169="",1,U169)*Y169,IF(N169="QS Qty x Factor",E169*R169*(1+IF(V169="",0,V169))*Y169,IF(N169="Direct Qty",S169*(1+IF(V169="",0,V169))*Y169,IF(N169="Lump Sum / Quote",S169*Y169,0)))))</f>
        <v/>
      </c>
      <c r="AA169" s="81">
        <f>IFERROR(INDEX('Resource Rate Library'!$N$5:$N$200,MATCH(P169,'Resource Rate Library'!$A$5:$A$200,0)),"")</f>
        <v/>
      </c>
      <c r="AB169" s="53" t="n"/>
      <c r="AC169" s="59" t="n"/>
      <c r="AD169" s="81">
        <f>IFERROR(INDEX('Resource Rate Library'!$G$5:$G$200,MATCH(P169,'Resource Rate Library'!$A$5:$A$200,0)),"")</f>
        <v/>
      </c>
      <c r="AE169" s="81">
        <f>IFERROR(INDEX('Resource Rate Library'!$H$5:$H$200,MATCH(P169,'Resource Rate Library'!$A$5:$A$200,0)),"")</f>
        <v/>
      </c>
      <c r="AF169" s="53" t="n"/>
      <c r="AG169" s="53" t="n"/>
      <c r="AH169" s="53" t="n"/>
      <c r="AI169" s="81">
        <f>IF(B169="","",IF(AND(P169="",N169&lt;&gt;"Lump Sum / Quote"),"RESOURCE CODE",IF(Y169=0,"RATE MISSING",IF(AND(O169="Plant",AD169="Yes",COUNTIFS($B$7:$B$306,B169,$O$7:$O$306,"Labour",$Q$7:$Q$306,"*Operator*")&gt;0),"OPERATOR DOUBLE-COUNT",IF(AND(O169="Plant",AE169="Yes",COUNTIFS($B$7:$B$306,B169,$Q$7:$Q$306,"*Fuel*")&gt;0),"FUEL DOUBLE-COUNT",IF(AH169&lt;&gt;"Yes","VERIFY","OK"))))))</f>
        <v/>
      </c>
      <c r="AJ169" s="54" t="n"/>
      <c r="AK169" s="473" t="n"/>
      <c r="AL169" s="473" t="n"/>
      <c r="AM169" s="473" t="n"/>
      <c r="AN169" s="1444">
        <f>IF(AND(AK169="Yes",OR(O169="Labour",O169="Plant")),Z169,0)</f>
        <v/>
      </c>
    </row>
    <row r="170">
      <c r="A170" s="80">
        <f>IF(B170="","",B170&amp;"-"&amp;TEXT(COUNTIF($B$7:B170,B170),"000"))</f>
        <v/>
      </c>
      <c r="B170" s="53" t="n"/>
      <c r="C170" s="81">
        <f>IFERROR(INDEX('QS Takeoff'!$A$3:$A$202,MATCH(B170,'QS Takeoff'!$B$3:$B$202,0)),"")</f>
        <v/>
      </c>
      <c r="D170" s="81">
        <f>IFERROR(INDEX('QS Takeoff'!$C$3:$C$202,MATCH(B170,'QS Takeoff'!$B$3:$B$202,0)),"")</f>
        <v/>
      </c>
      <c r="E170" s="81">
        <f>IFERROR(INDEX('QS Takeoff'!$E$3:$E$202,MATCH(B170,'QS Takeoff'!$B$3:$B$202,0)),"")</f>
        <v/>
      </c>
      <c r="F170" s="81">
        <f>IFERROR(INDEX('QS Takeoff'!$D$3:$D$202,MATCH(B170,'QS Takeoff'!$B$3:$B$202,0)),"")</f>
        <v/>
      </c>
      <c r="G170" s="81">
        <f>IFERROR(INDEX('QS Takeoff'!$J$3:$J$202,MATCH(B170,'QS Takeoff'!$B$3:$B$202,0)),"")</f>
        <v/>
      </c>
      <c r="H170" s="53" t="n"/>
      <c r="I170" s="60" t="n"/>
      <c r="J170" s="60" t="n"/>
      <c r="K170" s="82">
        <f>IF(OR(B170="",I170="",I170=0),"",E170/I170)</f>
        <v/>
      </c>
      <c r="L170" s="60" t="n"/>
      <c r="M170" s="82">
        <f>IF(L170&gt;0,L170,K170)</f>
        <v/>
      </c>
      <c r="N170" s="53" t="n"/>
      <c r="O170" s="53" t="n"/>
      <c r="P170" s="53" t="n"/>
      <c r="Q170" s="81">
        <f>IFERROR(INDEX('Resource Rate Library'!$C$5:$C$200,MATCH(P170,'Resource Rate Library'!$A$5:$A$200,0)),"")</f>
        <v/>
      </c>
      <c r="R170" s="53" t="n"/>
      <c r="S170" s="53" t="n"/>
      <c r="T170" s="81">
        <f>IFERROR(INDEX('Resource Rate Library'!$E$5:$E$200,MATCH(P170,'Resource Rate Library'!$A$5:$A$200,0)),"")</f>
        <v/>
      </c>
      <c r="U170" s="1441" t="n"/>
      <c r="V170" s="1441" t="n"/>
      <c r="W170" s="1442">
        <f>IFERROR(INDEX('Resource Rate Library'!$I$5:$I$200,MATCH(P170,'Resource Rate Library'!$A$5:$A$200,0)),0)</f>
        <v/>
      </c>
      <c r="X170" s="1443" t="n"/>
      <c r="Y170" s="1442">
        <f>IF(X170&gt;0,X170,W170)</f>
        <v/>
      </c>
      <c r="Z170" s="1442">
        <f>IF(B170="","",IF(N170="Time x Count",M170*R170*IF(U170="",1,U170)*Y170,IF(N170="QS Qty x Factor",E170*R170*(1+IF(V170="",0,V170))*Y170,IF(N170="Direct Qty",S170*(1+IF(V170="",0,V170))*Y170,IF(N170="Lump Sum / Quote",S170*Y170,0)))))</f>
        <v/>
      </c>
      <c r="AA170" s="81">
        <f>IFERROR(INDEX('Resource Rate Library'!$N$5:$N$200,MATCH(P170,'Resource Rate Library'!$A$5:$A$200,0)),"")</f>
        <v/>
      </c>
      <c r="AB170" s="53" t="n"/>
      <c r="AC170" s="59" t="n"/>
      <c r="AD170" s="81">
        <f>IFERROR(INDEX('Resource Rate Library'!$G$5:$G$200,MATCH(P170,'Resource Rate Library'!$A$5:$A$200,0)),"")</f>
        <v/>
      </c>
      <c r="AE170" s="81">
        <f>IFERROR(INDEX('Resource Rate Library'!$H$5:$H$200,MATCH(P170,'Resource Rate Library'!$A$5:$A$200,0)),"")</f>
        <v/>
      </c>
      <c r="AF170" s="53" t="n"/>
      <c r="AG170" s="53" t="n"/>
      <c r="AH170" s="53" t="n"/>
      <c r="AI170" s="81">
        <f>IF(B170="","",IF(AND(P170="",N170&lt;&gt;"Lump Sum / Quote"),"RESOURCE CODE",IF(Y170=0,"RATE MISSING",IF(AND(O170="Plant",AD170="Yes",COUNTIFS($B$7:$B$306,B170,$O$7:$O$306,"Labour",$Q$7:$Q$306,"*Operator*")&gt;0),"OPERATOR DOUBLE-COUNT",IF(AND(O170="Plant",AE170="Yes",COUNTIFS($B$7:$B$306,B170,$Q$7:$Q$306,"*Fuel*")&gt;0),"FUEL DOUBLE-COUNT",IF(AH170&lt;&gt;"Yes","VERIFY","OK"))))))</f>
        <v/>
      </c>
      <c r="AJ170" s="54" t="n"/>
      <c r="AK170" s="473" t="n"/>
      <c r="AL170" s="473" t="n"/>
      <c r="AM170" s="473" t="n"/>
      <c r="AN170" s="1444">
        <f>IF(AND(AK170="Yes",OR(O170="Labour",O170="Plant")),Z170,0)</f>
        <v/>
      </c>
    </row>
    <row r="171">
      <c r="A171" s="80">
        <f>IF(B171="","",B171&amp;"-"&amp;TEXT(COUNTIF($B$7:B171,B171),"000"))</f>
        <v/>
      </c>
      <c r="B171" s="53" t="n"/>
      <c r="C171" s="81">
        <f>IFERROR(INDEX('QS Takeoff'!$A$3:$A$202,MATCH(B171,'QS Takeoff'!$B$3:$B$202,0)),"")</f>
        <v/>
      </c>
      <c r="D171" s="81">
        <f>IFERROR(INDEX('QS Takeoff'!$C$3:$C$202,MATCH(B171,'QS Takeoff'!$B$3:$B$202,0)),"")</f>
        <v/>
      </c>
      <c r="E171" s="81">
        <f>IFERROR(INDEX('QS Takeoff'!$E$3:$E$202,MATCH(B171,'QS Takeoff'!$B$3:$B$202,0)),"")</f>
        <v/>
      </c>
      <c r="F171" s="81">
        <f>IFERROR(INDEX('QS Takeoff'!$D$3:$D$202,MATCH(B171,'QS Takeoff'!$B$3:$B$202,0)),"")</f>
        <v/>
      </c>
      <c r="G171" s="81">
        <f>IFERROR(INDEX('QS Takeoff'!$J$3:$J$202,MATCH(B171,'QS Takeoff'!$B$3:$B$202,0)),"")</f>
        <v/>
      </c>
      <c r="H171" s="53" t="n"/>
      <c r="I171" s="60" t="n"/>
      <c r="J171" s="60" t="n"/>
      <c r="K171" s="82">
        <f>IF(OR(B171="",I171="",I171=0),"",E171/I171)</f>
        <v/>
      </c>
      <c r="L171" s="60" t="n"/>
      <c r="M171" s="82">
        <f>IF(L171&gt;0,L171,K171)</f>
        <v/>
      </c>
      <c r="N171" s="53" t="n"/>
      <c r="O171" s="53" t="n"/>
      <c r="P171" s="53" t="n"/>
      <c r="Q171" s="81">
        <f>IFERROR(INDEX('Resource Rate Library'!$C$5:$C$200,MATCH(P171,'Resource Rate Library'!$A$5:$A$200,0)),"")</f>
        <v/>
      </c>
      <c r="R171" s="53" t="n"/>
      <c r="S171" s="53" t="n"/>
      <c r="T171" s="81">
        <f>IFERROR(INDEX('Resource Rate Library'!$E$5:$E$200,MATCH(P171,'Resource Rate Library'!$A$5:$A$200,0)),"")</f>
        <v/>
      </c>
      <c r="U171" s="1441" t="n"/>
      <c r="V171" s="1441" t="n"/>
      <c r="W171" s="1442">
        <f>IFERROR(INDEX('Resource Rate Library'!$I$5:$I$200,MATCH(P171,'Resource Rate Library'!$A$5:$A$200,0)),0)</f>
        <v/>
      </c>
      <c r="X171" s="1443" t="n"/>
      <c r="Y171" s="1442">
        <f>IF(X171&gt;0,X171,W171)</f>
        <v/>
      </c>
      <c r="Z171" s="1442">
        <f>IF(B171="","",IF(N171="Time x Count",M171*R171*IF(U171="",1,U171)*Y171,IF(N171="QS Qty x Factor",E171*R171*(1+IF(V171="",0,V171))*Y171,IF(N171="Direct Qty",S171*(1+IF(V171="",0,V171))*Y171,IF(N171="Lump Sum / Quote",S171*Y171,0)))))</f>
        <v/>
      </c>
      <c r="AA171" s="81">
        <f>IFERROR(INDEX('Resource Rate Library'!$N$5:$N$200,MATCH(P171,'Resource Rate Library'!$A$5:$A$200,0)),"")</f>
        <v/>
      </c>
      <c r="AB171" s="53" t="n"/>
      <c r="AC171" s="59" t="n"/>
      <c r="AD171" s="81">
        <f>IFERROR(INDEX('Resource Rate Library'!$G$5:$G$200,MATCH(P171,'Resource Rate Library'!$A$5:$A$200,0)),"")</f>
        <v/>
      </c>
      <c r="AE171" s="81">
        <f>IFERROR(INDEX('Resource Rate Library'!$H$5:$H$200,MATCH(P171,'Resource Rate Library'!$A$5:$A$200,0)),"")</f>
        <v/>
      </c>
      <c r="AF171" s="53" t="n"/>
      <c r="AG171" s="53" t="n"/>
      <c r="AH171" s="53" t="n"/>
      <c r="AI171" s="81">
        <f>IF(B171="","",IF(AND(P171="",N171&lt;&gt;"Lump Sum / Quote"),"RESOURCE CODE",IF(Y171=0,"RATE MISSING",IF(AND(O171="Plant",AD171="Yes",COUNTIFS($B$7:$B$306,B171,$O$7:$O$306,"Labour",$Q$7:$Q$306,"*Operator*")&gt;0),"OPERATOR DOUBLE-COUNT",IF(AND(O171="Plant",AE171="Yes",COUNTIFS($B$7:$B$306,B171,$Q$7:$Q$306,"*Fuel*")&gt;0),"FUEL DOUBLE-COUNT",IF(AH171&lt;&gt;"Yes","VERIFY","OK"))))))</f>
        <v/>
      </c>
      <c r="AJ171" s="54" t="n"/>
      <c r="AK171" s="473" t="n"/>
      <c r="AL171" s="473" t="n"/>
      <c r="AM171" s="473" t="n"/>
      <c r="AN171" s="1444">
        <f>IF(AND(AK171="Yes",OR(O171="Labour",O171="Plant")),Z171,0)</f>
        <v/>
      </c>
    </row>
    <row r="172">
      <c r="A172" s="80">
        <f>IF(B172="","",B172&amp;"-"&amp;TEXT(COUNTIF($B$7:B172,B172),"000"))</f>
        <v/>
      </c>
      <c r="B172" s="53" t="n"/>
      <c r="C172" s="81">
        <f>IFERROR(INDEX('QS Takeoff'!$A$3:$A$202,MATCH(B172,'QS Takeoff'!$B$3:$B$202,0)),"")</f>
        <v/>
      </c>
      <c r="D172" s="81">
        <f>IFERROR(INDEX('QS Takeoff'!$C$3:$C$202,MATCH(B172,'QS Takeoff'!$B$3:$B$202,0)),"")</f>
        <v/>
      </c>
      <c r="E172" s="81">
        <f>IFERROR(INDEX('QS Takeoff'!$E$3:$E$202,MATCH(B172,'QS Takeoff'!$B$3:$B$202,0)),"")</f>
        <v/>
      </c>
      <c r="F172" s="81">
        <f>IFERROR(INDEX('QS Takeoff'!$D$3:$D$202,MATCH(B172,'QS Takeoff'!$B$3:$B$202,0)),"")</f>
        <v/>
      </c>
      <c r="G172" s="81">
        <f>IFERROR(INDEX('QS Takeoff'!$J$3:$J$202,MATCH(B172,'QS Takeoff'!$B$3:$B$202,0)),"")</f>
        <v/>
      </c>
      <c r="H172" s="53" t="n"/>
      <c r="I172" s="60" t="n"/>
      <c r="J172" s="60" t="n"/>
      <c r="K172" s="82">
        <f>IF(OR(B172="",I172="",I172=0),"",E172/I172)</f>
        <v/>
      </c>
      <c r="L172" s="60" t="n"/>
      <c r="M172" s="82">
        <f>IF(L172&gt;0,L172,K172)</f>
        <v/>
      </c>
      <c r="N172" s="53" t="n"/>
      <c r="O172" s="53" t="n"/>
      <c r="P172" s="53" t="n"/>
      <c r="Q172" s="81">
        <f>IFERROR(INDEX('Resource Rate Library'!$C$5:$C$200,MATCH(P172,'Resource Rate Library'!$A$5:$A$200,0)),"")</f>
        <v/>
      </c>
      <c r="R172" s="53" t="n"/>
      <c r="S172" s="53" t="n"/>
      <c r="T172" s="81">
        <f>IFERROR(INDEX('Resource Rate Library'!$E$5:$E$200,MATCH(P172,'Resource Rate Library'!$A$5:$A$200,0)),"")</f>
        <v/>
      </c>
      <c r="U172" s="1441" t="n"/>
      <c r="V172" s="1441" t="n"/>
      <c r="W172" s="1442">
        <f>IFERROR(INDEX('Resource Rate Library'!$I$5:$I$200,MATCH(P172,'Resource Rate Library'!$A$5:$A$200,0)),0)</f>
        <v/>
      </c>
      <c r="X172" s="1443" t="n"/>
      <c r="Y172" s="1442">
        <f>IF(X172&gt;0,X172,W172)</f>
        <v/>
      </c>
      <c r="Z172" s="1442">
        <f>IF(B172="","",IF(N172="Time x Count",M172*R172*IF(U172="",1,U172)*Y172,IF(N172="QS Qty x Factor",E172*R172*(1+IF(V172="",0,V172))*Y172,IF(N172="Direct Qty",S172*(1+IF(V172="",0,V172))*Y172,IF(N172="Lump Sum / Quote",S172*Y172,0)))))</f>
        <v/>
      </c>
      <c r="AA172" s="81">
        <f>IFERROR(INDEX('Resource Rate Library'!$N$5:$N$200,MATCH(P172,'Resource Rate Library'!$A$5:$A$200,0)),"")</f>
        <v/>
      </c>
      <c r="AB172" s="53" t="n"/>
      <c r="AC172" s="59" t="n"/>
      <c r="AD172" s="81">
        <f>IFERROR(INDEX('Resource Rate Library'!$G$5:$G$200,MATCH(P172,'Resource Rate Library'!$A$5:$A$200,0)),"")</f>
        <v/>
      </c>
      <c r="AE172" s="81">
        <f>IFERROR(INDEX('Resource Rate Library'!$H$5:$H$200,MATCH(P172,'Resource Rate Library'!$A$5:$A$200,0)),"")</f>
        <v/>
      </c>
      <c r="AF172" s="53" t="n"/>
      <c r="AG172" s="53" t="n"/>
      <c r="AH172" s="53" t="n"/>
      <c r="AI172" s="81">
        <f>IF(B172="","",IF(AND(P172="",N172&lt;&gt;"Lump Sum / Quote"),"RESOURCE CODE",IF(Y172=0,"RATE MISSING",IF(AND(O172="Plant",AD172="Yes",COUNTIFS($B$7:$B$306,B172,$O$7:$O$306,"Labour",$Q$7:$Q$306,"*Operator*")&gt;0),"OPERATOR DOUBLE-COUNT",IF(AND(O172="Plant",AE172="Yes",COUNTIFS($B$7:$B$306,B172,$Q$7:$Q$306,"*Fuel*")&gt;0),"FUEL DOUBLE-COUNT",IF(AH172&lt;&gt;"Yes","VERIFY","OK"))))))</f>
        <v/>
      </c>
      <c r="AJ172" s="54" t="n"/>
      <c r="AK172" s="473" t="n"/>
      <c r="AL172" s="473" t="n"/>
      <c r="AM172" s="473" t="n"/>
      <c r="AN172" s="1444">
        <f>IF(AND(AK172="Yes",OR(O172="Labour",O172="Plant")),Z172,0)</f>
        <v/>
      </c>
    </row>
    <row r="173">
      <c r="A173" s="80">
        <f>IF(B173="","",B173&amp;"-"&amp;TEXT(COUNTIF($B$7:B173,B173),"000"))</f>
        <v/>
      </c>
      <c r="B173" s="53" t="n"/>
      <c r="C173" s="81">
        <f>IFERROR(INDEX('QS Takeoff'!$A$3:$A$202,MATCH(B173,'QS Takeoff'!$B$3:$B$202,0)),"")</f>
        <v/>
      </c>
      <c r="D173" s="81">
        <f>IFERROR(INDEX('QS Takeoff'!$C$3:$C$202,MATCH(B173,'QS Takeoff'!$B$3:$B$202,0)),"")</f>
        <v/>
      </c>
      <c r="E173" s="81">
        <f>IFERROR(INDEX('QS Takeoff'!$E$3:$E$202,MATCH(B173,'QS Takeoff'!$B$3:$B$202,0)),"")</f>
        <v/>
      </c>
      <c r="F173" s="81">
        <f>IFERROR(INDEX('QS Takeoff'!$D$3:$D$202,MATCH(B173,'QS Takeoff'!$B$3:$B$202,0)),"")</f>
        <v/>
      </c>
      <c r="G173" s="81">
        <f>IFERROR(INDEX('QS Takeoff'!$J$3:$J$202,MATCH(B173,'QS Takeoff'!$B$3:$B$202,0)),"")</f>
        <v/>
      </c>
      <c r="H173" s="53" t="n"/>
      <c r="I173" s="60" t="n"/>
      <c r="J173" s="60" t="n"/>
      <c r="K173" s="82">
        <f>IF(OR(B173="",I173="",I173=0),"",E173/I173)</f>
        <v/>
      </c>
      <c r="L173" s="60" t="n"/>
      <c r="M173" s="82">
        <f>IF(L173&gt;0,L173,K173)</f>
        <v/>
      </c>
      <c r="N173" s="53" t="n"/>
      <c r="O173" s="53" t="n"/>
      <c r="P173" s="53" t="n"/>
      <c r="Q173" s="81">
        <f>IFERROR(INDEX('Resource Rate Library'!$C$5:$C$200,MATCH(P173,'Resource Rate Library'!$A$5:$A$200,0)),"")</f>
        <v/>
      </c>
      <c r="R173" s="53" t="n"/>
      <c r="S173" s="53" t="n"/>
      <c r="T173" s="81">
        <f>IFERROR(INDEX('Resource Rate Library'!$E$5:$E$200,MATCH(P173,'Resource Rate Library'!$A$5:$A$200,0)),"")</f>
        <v/>
      </c>
      <c r="U173" s="1441" t="n"/>
      <c r="V173" s="1441" t="n"/>
      <c r="W173" s="1442">
        <f>IFERROR(INDEX('Resource Rate Library'!$I$5:$I$200,MATCH(P173,'Resource Rate Library'!$A$5:$A$200,0)),0)</f>
        <v/>
      </c>
      <c r="X173" s="1443" t="n"/>
      <c r="Y173" s="1442">
        <f>IF(X173&gt;0,X173,W173)</f>
        <v/>
      </c>
      <c r="Z173" s="1442">
        <f>IF(B173="","",IF(N173="Time x Count",M173*R173*IF(U173="",1,U173)*Y173,IF(N173="QS Qty x Factor",E173*R173*(1+IF(V173="",0,V173))*Y173,IF(N173="Direct Qty",S173*(1+IF(V173="",0,V173))*Y173,IF(N173="Lump Sum / Quote",S173*Y173,0)))))</f>
        <v/>
      </c>
      <c r="AA173" s="81">
        <f>IFERROR(INDEX('Resource Rate Library'!$N$5:$N$200,MATCH(P173,'Resource Rate Library'!$A$5:$A$200,0)),"")</f>
        <v/>
      </c>
      <c r="AB173" s="53" t="n"/>
      <c r="AC173" s="59" t="n"/>
      <c r="AD173" s="81">
        <f>IFERROR(INDEX('Resource Rate Library'!$G$5:$G$200,MATCH(P173,'Resource Rate Library'!$A$5:$A$200,0)),"")</f>
        <v/>
      </c>
      <c r="AE173" s="81">
        <f>IFERROR(INDEX('Resource Rate Library'!$H$5:$H$200,MATCH(P173,'Resource Rate Library'!$A$5:$A$200,0)),"")</f>
        <v/>
      </c>
      <c r="AF173" s="53" t="n"/>
      <c r="AG173" s="53" t="n"/>
      <c r="AH173" s="53" t="n"/>
      <c r="AI173" s="81">
        <f>IF(B173="","",IF(AND(P173="",N173&lt;&gt;"Lump Sum / Quote"),"RESOURCE CODE",IF(Y173=0,"RATE MISSING",IF(AND(O173="Plant",AD173="Yes",COUNTIFS($B$7:$B$306,B173,$O$7:$O$306,"Labour",$Q$7:$Q$306,"*Operator*")&gt;0),"OPERATOR DOUBLE-COUNT",IF(AND(O173="Plant",AE173="Yes",COUNTIFS($B$7:$B$306,B173,$Q$7:$Q$306,"*Fuel*")&gt;0),"FUEL DOUBLE-COUNT",IF(AH173&lt;&gt;"Yes","VERIFY","OK"))))))</f>
        <v/>
      </c>
      <c r="AJ173" s="54" t="n"/>
      <c r="AK173" s="473" t="n"/>
      <c r="AL173" s="473" t="n"/>
      <c r="AM173" s="473" t="n"/>
      <c r="AN173" s="1444">
        <f>IF(AND(AK173="Yes",OR(O173="Labour",O173="Plant")),Z173,0)</f>
        <v/>
      </c>
    </row>
    <row r="174">
      <c r="A174" s="80">
        <f>IF(B174="","",B174&amp;"-"&amp;TEXT(COUNTIF($B$7:B174,B174),"000"))</f>
        <v/>
      </c>
      <c r="B174" s="53" t="n"/>
      <c r="C174" s="81">
        <f>IFERROR(INDEX('QS Takeoff'!$A$3:$A$202,MATCH(B174,'QS Takeoff'!$B$3:$B$202,0)),"")</f>
        <v/>
      </c>
      <c r="D174" s="81">
        <f>IFERROR(INDEX('QS Takeoff'!$C$3:$C$202,MATCH(B174,'QS Takeoff'!$B$3:$B$202,0)),"")</f>
        <v/>
      </c>
      <c r="E174" s="81">
        <f>IFERROR(INDEX('QS Takeoff'!$E$3:$E$202,MATCH(B174,'QS Takeoff'!$B$3:$B$202,0)),"")</f>
        <v/>
      </c>
      <c r="F174" s="81">
        <f>IFERROR(INDEX('QS Takeoff'!$D$3:$D$202,MATCH(B174,'QS Takeoff'!$B$3:$B$202,0)),"")</f>
        <v/>
      </c>
      <c r="G174" s="81">
        <f>IFERROR(INDEX('QS Takeoff'!$J$3:$J$202,MATCH(B174,'QS Takeoff'!$B$3:$B$202,0)),"")</f>
        <v/>
      </c>
      <c r="H174" s="53" t="n"/>
      <c r="I174" s="60" t="n"/>
      <c r="J174" s="60" t="n"/>
      <c r="K174" s="82">
        <f>IF(OR(B174="",I174="",I174=0),"",E174/I174)</f>
        <v/>
      </c>
      <c r="L174" s="60" t="n"/>
      <c r="M174" s="82">
        <f>IF(L174&gt;0,L174,K174)</f>
        <v/>
      </c>
      <c r="N174" s="53" t="n"/>
      <c r="O174" s="53" t="n"/>
      <c r="P174" s="53" t="n"/>
      <c r="Q174" s="81">
        <f>IFERROR(INDEX('Resource Rate Library'!$C$5:$C$200,MATCH(P174,'Resource Rate Library'!$A$5:$A$200,0)),"")</f>
        <v/>
      </c>
      <c r="R174" s="53" t="n"/>
      <c r="S174" s="53" t="n"/>
      <c r="T174" s="81">
        <f>IFERROR(INDEX('Resource Rate Library'!$E$5:$E$200,MATCH(P174,'Resource Rate Library'!$A$5:$A$200,0)),"")</f>
        <v/>
      </c>
      <c r="U174" s="1441" t="n"/>
      <c r="V174" s="1441" t="n"/>
      <c r="W174" s="1442">
        <f>IFERROR(INDEX('Resource Rate Library'!$I$5:$I$200,MATCH(P174,'Resource Rate Library'!$A$5:$A$200,0)),0)</f>
        <v/>
      </c>
      <c r="X174" s="1443" t="n"/>
      <c r="Y174" s="1442">
        <f>IF(X174&gt;0,X174,W174)</f>
        <v/>
      </c>
      <c r="Z174" s="1442">
        <f>IF(B174="","",IF(N174="Time x Count",M174*R174*IF(U174="",1,U174)*Y174,IF(N174="QS Qty x Factor",E174*R174*(1+IF(V174="",0,V174))*Y174,IF(N174="Direct Qty",S174*(1+IF(V174="",0,V174))*Y174,IF(N174="Lump Sum / Quote",S174*Y174,0)))))</f>
        <v/>
      </c>
      <c r="AA174" s="81">
        <f>IFERROR(INDEX('Resource Rate Library'!$N$5:$N$200,MATCH(P174,'Resource Rate Library'!$A$5:$A$200,0)),"")</f>
        <v/>
      </c>
      <c r="AB174" s="53" t="n"/>
      <c r="AC174" s="59" t="n"/>
      <c r="AD174" s="81">
        <f>IFERROR(INDEX('Resource Rate Library'!$G$5:$G$200,MATCH(P174,'Resource Rate Library'!$A$5:$A$200,0)),"")</f>
        <v/>
      </c>
      <c r="AE174" s="81">
        <f>IFERROR(INDEX('Resource Rate Library'!$H$5:$H$200,MATCH(P174,'Resource Rate Library'!$A$5:$A$200,0)),"")</f>
        <v/>
      </c>
      <c r="AF174" s="53" t="n"/>
      <c r="AG174" s="53" t="n"/>
      <c r="AH174" s="53" t="n"/>
      <c r="AI174" s="81">
        <f>IF(B174="","",IF(AND(P174="",N174&lt;&gt;"Lump Sum / Quote"),"RESOURCE CODE",IF(Y174=0,"RATE MISSING",IF(AND(O174="Plant",AD174="Yes",COUNTIFS($B$7:$B$306,B174,$O$7:$O$306,"Labour",$Q$7:$Q$306,"*Operator*")&gt;0),"OPERATOR DOUBLE-COUNT",IF(AND(O174="Plant",AE174="Yes",COUNTIFS($B$7:$B$306,B174,$Q$7:$Q$306,"*Fuel*")&gt;0),"FUEL DOUBLE-COUNT",IF(AH174&lt;&gt;"Yes","VERIFY","OK"))))))</f>
        <v/>
      </c>
      <c r="AJ174" s="54" t="n"/>
      <c r="AK174" s="473" t="n"/>
      <c r="AL174" s="473" t="n"/>
      <c r="AM174" s="473" t="n"/>
      <c r="AN174" s="1444">
        <f>IF(AND(AK174="Yes",OR(O174="Labour",O174="Plant")),Z174,0)</f>
        <v/>
      </c>
    </row>
    <row r="175">
      <c r="A175" s="80">
        <f>IF(B175="","",B175&amp;"-"&amp;TEXT(COUNTIF($B$7:B175,B175),"000"))</f>
        <v/>
      </c>
      <c r="B175" s="53" t="n"/>
      <c r="C175" s="81">
        <f>IFERROR(INDEX('QS Takeoff'!$A$3:$A$202,MATCH(B175,'QS Takeoff'!$B$3:$B$202,0)),"")</f>
        <v/>
      </c>
      <c r="D175" s="81">
        <f>IFERROR(INDEX('QS Takeoff'!$C$3:$C$202,MATCH(B175,'QS Takeoff'!$B$3:$B$202,0)),"")</f>
        <v/>
      </c>
      <c r="E175" s="81">
        <f>IFERROR(INDEX('QS Takeoff'!$E$3:$E$202,MATCH(B175,'QS Takeoff'!$B$3:$B$202,0)),"")</f>
        <v/>
      </c>
      <c r="F175" s="81">
        <f>IFERROR(INDEX('QS Takeoff'!$D$3:$D$202,MATCH(B175,'QS Takeoff'!$B$3:$B$202,0)),"")</f>
        <v/>
      </c>
      <c r="G175" s="81">
        <f>IFERROR(INDEX('QS Takeoff'!$J$3:$J$202,MATCH(B175,'QS Takeoff'!$B$3:$B$202,0)),"")</f>
        <v/>
      </c>
      <c r="H175" s="53" t="n"/>
      <c r="I175" s="60" t="n"/>
      <c r="J175" s="60" t="n"/>
      <c r="K175" s="82">
        <f>IF(OR(B175="",I175="",I175=0),"",E175/I175)</f>
        <v/>
      </c>
      <c r="L175" s="60" t="n"/>
      <c r="M175" s="82">
        <f>IF(L175&gt;0,L175,K175)</f>
        <v/>
      </c>
      <c r="N175" s="53" t="n"/>
      <c r="O175" s="53" t="n"/>
      <c r="P175" s="53" t="n"/>
      <c r="Q175" s="81">
        <f>IFERROR(INDEX('Resource Rate Library'!$C$5:$C$200,MATCH(P175,'Resource Rate Library'!$A$5:$A$200,0)),"")</f>
        <v/>
      </c>
      <c r="R175" s="53" t="n"/>
      <c r="S175" s="53" t="n"/>
      <c r="T175" s="81">
        <f>IFERROR(INDEX('Resource Rate Library'!$E$5:$E$200,MATCH(P175,'Resource Rate Library'!$A$5:$A$200,0)),"")</f>
        <v/>
      </c>
      <c r="U175" s="1441" t="n"/>
      <c r="V175" s="1441" t="n"/>
      <c r="W175" s="1442">
        <f>IFERROR(INDEX('Resource Rate Library'!$I$5:$I$200,MATCH(P175,'Resource Rate Library'!$A$5:$A$200,0)),0)</f>
        <v/>
      </c>
      <c r="X175" s="1443" t="n"/>
      <c r="Y175" s="1442">
        <f>IF(X175&gt;0,X175,W175)</f>
        <v/>
      </c>
      <c r="Z175" s="1442">
        <f>IF(B175="","",IF(N175="Time x Count",M175*R175*IF(U175="",1,U175)*Y175,IF(N175="QS Qty x Factor",E175*R175*(1+IF(V175="",0,V175))*Y175,IF(N175="Direct Qty",S175*(1+IF(V175="",0,V175))*Y175,IF(N175="Lump Sum / Quote",S175*Y175,0)))))</f>
        <v/>
      </c>
      <c r="AA175" s="81">
        <f>IFERROR(INDEX('Resource Rate Library'!$N$5:$N$200,MATCH(P175,'Resource Rate Library'!$A$5:$A$200,0)),"")</f>
        <v/>
      </c>
      <c r="AB175" s="53" t="n"/>
      <c r="AC175" s="59" t="n"/>
      <c r="AD175" s="81">
        <f>IFERROR(INDEX('Resource Rate Library'!$G$5:$G$200,MATCH(P175,'Resource Rate Library'!$A$5:$A$200,0)),"")</f>
        <v/>
      </c>
      <c r="AE175" s="81">
        <f>IFERROR(INDEX('Resource Rate Library'!$H$5:$H$200,MATCH(P175,'Resource Rate Library'!$A$5:$A$200,0)),"")</f>
        <v/>
      </c>
      <c r="AF175" s="53" t="n"/>
      <c r="AG175" s="53" t="n"/>
      <c r="AH175" s="53" t="n"/>
      <c r="AI175" s="81">
        <f>IF(B175="","",IF(AND(P175="",N175&lt;&gt;"Lump Sum / Quote"),"RESOURCE CODE",IF(Y175=0,"RATE MISSING",IF(AND(O175="Plant",AD175="Yes",COUNTIFS($B$7:$B$306,B175,$O$7:$O$306,"Labour",$Q$7:$Q$306,"*Operator*")&gt;0),"OPERATOR DOUBLE-COUNT",IF(AND(O175="Plant",AE175="Yes",COUNTIFS($B$7:$B$306,B175,$Q$7:$Q$306,"*Fuel*")&gt;0),"FUEL DOUBLE-COUNT",IF(AH175&lt;&gt;"Yes","VERIFY","OK"))))))</f>
        <v/>
      </c>
      <c r="AJ175" s="54" t="n"/>
      <c r="AK175" s="473" t="n"/>
      <c r="AL175" s="473" t="n"/>
      <c r="AM175" s="473" t="n"/>
      <c r="AN175" s="1444">
        <f>IF(AND(AK175="Yes",OR(O175="Labour",O175="Plant")),Z175,0)</f>
        <v/>
      </c>
    </row>
    <row r="176">
      <c r="A176" s="80">
        <f>IF(B176="","",B176&amp;"-"&amp;TEXT(COUNTIF($B$7:B176,B176),"000"))</f>
        <v/>
      </c>
      <c r="B176" s="53" t="n"/>
      <c r="C176" s="81">
        <f>IFERROR(INDEX('QS Takeoff'!$A$3:$A$202,MATCH(B176,'QS Takeoff'!$B$3:$B$202,0)),"")</f>
        <v/>
      </c>
      <c r="D176" s="81">
        <f>IFERROR(INDEX('QS Takeoff'!$C$3:$C$202,MATCH(B176,'QS Takeoff'!$B$3:$B$202,0)),"")</f>
        <v/>
      </c>
      <c r="E176" s="81">
        <f>IFERROR(INDEX('QS Takeoff'!$E$3:$E$202,MATCH(B176,'QS Takeoff'!$B$3:$B$202,0)),"")</f>
        <v/>
      </c>
      <c r="F176" s="81">
        <f>IFERROR(INDEX('QS Takeoff'!$D$3:$D$202,MATCH(B176,'QS Takeoff'!$B$3:$B$202,0)),"")</f>
        <v/>
      </c>
      <c r="G176" s="81">
        <f>IFERROR(INDEX('QS Takeoff'!$J$3:$J$202,MATCH(B176,'QS Takeoff'!$B$3:$B$202,0)),"")</f>
        <v/>
      </c>
      <c r="H176" s="53" t="n"/>
      <c r="I176" s="60" t="n"/>
      <c r="J176" s="60" t="n"/>
      <c r="K176" s="82">
        <f>IF(OR(B176="",I176="",I176=0),"",E176/I176)</f>
        <v/>
      </c>
      <c r="L176" s="60" t="n"/>
      <c r="M176" s="82">
        <f>IF(L176&gt;0,L176,K176)</f>
        <v/>
      </c>
      <c r="N176" s="53" t="n"/>
      <c r="O176" s="53" t="n"/>
      <c r="P176" s="53" t="n"/>
      <c r="Q176" s="81">
        <f>IFERROR(INDEX('Resource Rate Library'!$C$5:$C$200,MATCH(P176,'Resource Rate Library'!$A$5:$A$200,0)),"")</f>
        <v/>
      </c>
      <c r="R176" s="53" t="n"/>
      <c r="S176" s="53" t="n"/>
      <c r="T176" s="81">
        <f>IFERROR(INDEX('Resource Rate Library'!$E$5:$E$200,MATCH(P176,'Resource Rate Library'!$A$5:$A$200,0)),"")</f>
        <v/>
      </c>
      <c r="U176" s="1441" t="n"/>
      <c r="V176" s="1441" t="n"/>
      <c r="W176" s="1442">
        <f>IFERROR(INDEX('Resource Rate Library'!$I$5:$I$200,MATCH(P176,'Resource Rate Library'!$A$5:$A$200,0)),0)</f>
        <v/>
      </c>
      <c r="X176" s="1443" t="n"/>
      <c r="Y176" s="1442">
        <f>IF(X176&gt;0,X176,W176)</f>
        <v/>
      </c>
      <c r="Z176" s="1442">
        <f>IF(B176="","",IF(N176="Time x Count",M176*R176*IF(U176="",1,U176)*Y176,IF(N176="QS Qty x Factor",E176*R176*(1+IF(V176="",0,V176))*Y176,IF(N176="Direct Qty",S176*(1+IF(V176="",0,V176))*Y176,IF(N176="Lump Sum / Quote",S176*Y176,0)))))</f>
        <v/>
      </c>
      <c r="AA176" s="81">
        <f>IFERROR(INDEX('Resource Rate Library'!$N$5:$N$200,MATCH(P176,'Resource Rate Library'!$A$5:$A$200,0)),"")</f>
        <v/>
      </c>
      <c r="AB176" s="53" t="n"/>
      <c r="AC176" s="59" t="n"/>
      <c r="AD176" s="81">
        <f>IFERROR(INDEX('Resource Rate Library'!$G$5:$G$200,MATCH(P176,'Resource Rate Library'!$A$5:$A$200,0)),"")</f>
        <v/>
      </c>
      <c r="AE176" s="81">
        <f>IFERROR(INDEX('Resource Rate Library'!$H$5:$H$200,MATCH(P176,'Resource Rate Library'!$A$5:$A$200,0)),"")</f>
        <v/>
      </c>
      <c r="AF176" s="53" t="n"/>
      <c r="AG176" s="53" t="n"/>
      <c r="AH176" s="53" t="n"/>
      <c r="AI176" s="81">
        <f>IF(B176="","",IF(AND(P176="",N176&lt;&gt;"Lump Sum / Quote"),"RESOURCE CODE",IF(Y176=0,"RATE MISSING",IF(AND(O176="Plant",AD176="Yes",COUNTIFS($B$7:$B$306,B176,$O$7:$O$306,"Labour",$Q$7:$Q$306,"*Operator*")&gt;0),"OPERATOR DOUBLE-COUNT",IF(AND(O176="Plant",AE176="Yes",COUNTIFS($B$7:$B$306,B176,$Q$7:$Q$306,"*Fuel*")&gt;0),"FUEL DOUBLE-COUNT",IF(AH176&lt;&gt;"Yes","VERIFY","OK"))))))</f>
        <v/>
      </c>
      <c r="AJ176" s="54" t="n"/>
      <c r="AK176" s="473" t="n"/>
      <c r="AL176" s="473" t="n"/>
      <c r="AM176" s="473" t="n"/>
      <c r="AN176" s="1444">
        <f>IF(AND(AK176="Yes",OR(O176="Labour",O176="Plant")),Z176,0)</f>
        <v/>
      </c>
    </row>
    <row r="177">
      <c r="A177" s="80">
        <f>IF(B177="","",B177&amp;"-"&amp;TEXT(COUNTIF($B$7:B177,B177),"000"))</f>
        <v/>
      </c>
      <c r="B177" s="53" t="n"/>
      <c r="C177" s="81">
        <f>IFERROR(INDEX('QS Takeoff'!$A$3:$A$202,MATCH(B177,'QS Takeoff'!$B$3:$B$202,0)),"")</f>
        <v/>
      </c>
      <c r="D177" s="81">
        <f>IFERROR(INDEX('QS Takeoff'!$C$3:$C$202,MATCH(B177,'QS Takeoff'!$B$3:$B$202,0)),"")</f>
        <v/>
      </c>
      <c r="E177" s="81">
        <f>IFERROR(INDEX('QS Takeoff'!$E$3:$E$202,MATCH(B177,'QS Takeoff'!$B$3:$B$202,0)),"")</f>
        <v/>
      </c>
      <c r="F177" s="81">
        <f>IFERROR(INDEX('QS Takeoff'!$D$3:$D$202,MATCH(B177,'QS Takeoff'!$B$3:$B$202,0)),"")</f>
        <v/>
      </c>
      <c r="G177" s="81">
        <f>IFERROR(INDEX('QS Takeoff'!$J$3:$J$202,MATCH(B177,'QS Takeoff'!$B$3:$B$202,0)),"")</f>
        <v/>
      </c>
      <c r="H177" s="53" t="n"/>
      <c r="I177" s="60" t="n"/>
      <c r="J177" s="60" t="n"/>
      <c r="K177" s="82">
        <f>IF(OR(B177="",I177="",I177=0),"",E177/I177)</f>
        <v/>
      </c>
      <c r="L177" s="60" t="n"/>
      <c r="M177" s="82">
        <f>IF(L177&gt;0,L177,K177)</f>
        <v/>
      </c>
      <c r="N177" s="53" t="n"/>
      <c r="O177" s="53" t="n"/>
      <c r="P177" s="53" t="n"/>
      <c r="Q177" s="81">
        <f>IFERROR(INDEX('Resource Rate Library'!$C$5:$C$200,MATCH(P177,'Resource Rate Library'!$A$5:$A$200,0)),"")</f>
        <v/>
      </c>
      <c r="R177" s="53" t="n"/>
      <c r="S177" s="53" t="n"/>
      <c r="T177" s="81">
        <f>IFERROR(INDEX('Resource Rate Library'!$E$5:$E$200,MATCH(P177,'Resource Rate Library'!$A$5:$A$200,0)),"")</f>
        <v/>
      </c>
      <c r="U177" s="1441" t="n"/>
      <c r="V177" s="1441" t="n"/>
      <c r="W177" s="1442">
        <f>IFERROR(INDEX('Resource Rate Library'!$I$5:$I$200,MATCH(P177,'Resource Rate Library'!$A$5:$A$200,0)),0)</f>
        <v/>
      </c>
      <c r="X177" s="1443" t="n"/>
      <c r="Y177" s="1442">
        <f>IF(X177&gt;0,X177,W177)</f>
        <v/>
      </c>
      <c r="Z177" s="1442">
        <f>IF(B177="","",IF(N177="Time x Count",M177*R177*IF(U177="",1,U177)*Y177,IF(N177="QS Qty x Factor",E177*R177*(1+IF(V177="",0,V177))*Y177,IF(N177="Direct Qty",S177*(1+IF(V177="",0,V177))*Y177,IF(N177="Lump Sum / Quote",S177*Y177,0)))))</f>
        <v/>
      </c>
      <c r="AA177" s="81">
        <f>IFERROR(INDEX('Resource Rate Library'!$N$5:$N$200,MATCH(P177,'Resource Rate Library'!$A$5:$A$200,0)),"")</f>
        <v/>
      </c>
      <c r="AB177" s="53" t="n"/>
      <c r="AC177" s="59" t="n"/>
      <c r="AD177" s="81">
        <f>IFERROR(INDEX('Resource Rate Library'!$G$5:$G$200,MATCH(P177,'Resource Rate Library'!$A$5:$A$200,0)),"")</f>
        <v/>
      </c>
      <c r="AE177" s="81">
        <f>IFERROR(INDEX('Resource Rate Library'!$H$5:$H$200,MATCH(P177,'Resource Rate Library'!$A$5:$A$200,0)),"")</f>
        <v/>
      </c>
      <c r="AF177" s="53" t="n"/>
      <c r="AG177" s="53" t="n"/>
      <c r="AH177" s="53" t="n"/>
      <c r="AI177" s="81">
        <f>IF(B177="","",IF(AND(P177="",N177&lt;&gt;"Lump Sum / Quote"),"RESOURCE CODE",IF(Y177=0,"RATE MISSING",IF(AND(O177="Plant",AD177="Yes",COUNTIFS($B$7:$B$306,B177,$O$7:$O$306,"Labour",$Q$7:$Q$306,"*Operator*")&gt;0),"OPERATOR DOUBLE-COUNT",IF(AND(O177="Plant",AE177="Yes",COUNTIFS($B$7:$B$306,B177,$Q$7:$Q$306,"*Fuel*")&gt;0),"FUEL DOUBLE-COUNT",IF(AH177&lt;&gt;"Yes","VERIFY","OK"))))))</f>
        <v/>
      </c>
      <c r="AJ177" s="54" t="n"/>
      <c r="AK177" s="473" t="n"/>
      <c r="AL177" s="473" t="n"/>
      <c r="AM177" s="473" t="n"/>
      <c r="AN177" s="1444">
        <f>IF(AND(AK177="Yes",OR(O177="Labour",O177="Plant")),Z177,0)</f>
        <v/>
      </c>
    </row>
    <row r="178">
      <c r="A178" s="80">
        <f>IF(B178="","",B178&amp;"-"&amp;TEXT(COUNTIF($B$7:B178,B178),"000"))</f>
        <v/>
      </c>
      <c r="B178" s="53" t="n"/>
      <c r="C178" s="81">
        <f>IFERROR(INDEX('QS Takeoff'!$A$3:$A$202,MATCH(B178,'QS Takeoff'!$B$3:$B$202,0)),"")</f>
        <v/>
      </c>
      <c r="D178" s="81">
        <f>IFERROR(INDEX('QS Takeoff'!$C$3:$C$202,MATCH(B178,'QS Takeoff'!$B$3:$B$202,0)),"")</f>
        <v/>
      </c>
      <c r="E178" s="81">
        <f>IFERROR(INDEX('QS Takeoff'!$E$3:$E$202,MATCH(B178,'QS Takeoff'!$B$3:$B$202,0)),"")</f>
        <v/>
      </c>
      <c r="F178" s="81">
        <f>IFERROR(INDEX('QS Takeoff'!$D$3:$D$202,MATCH(B178,'QS Takeoff'!$B$3:$B$202,0)),"")</f>
        <v/>
      </c>
      <c r="G178" s="81">
        <f>IFERROR(INDEX('QS Takeoff'!$J$3:$J$202,MATCH(B178,'QS Takeoff'!$B$3:$B$202,0)),"")</f>
        <v/>
      </c>
      <c r="H178" s="53" t="n"/>
      <c r="I178" s="60" t="n"/>
      <c r="J178" s="60" t="n"/>
      <c r="K178" s="82">
        <f>IF(OR(B178="",I178="",I178=0),"",E178/I178)</f>
        <v/>
      </c>
      <c r="L178" s="60" t="n"/>
      <c r="M178" s="82">
        <f>IF(L178&gt;0,L178,K178)</f>
        <v/>
      </c>
      <c r="N178" s="53" t="n"/>
      <c r="O178" s="53" t="n"/>
      <c r="P178" s="53" t="n"/>
      <c r="Q178" s="81">
        <f>IFERROR(INDEX('Resource Rate Library'!$C$5:$C$200,MATCH(P178,'Resource Rate Library'!$A$5:$A$200,0)),"")</f>
        <v/>
      </c>
      <c r="R178" s="53" t="n"/>
      <c r="S178" s="53" t="n"/>
      <c r="T178" s="81">
        <f>IFERROR(INDEX('Resource Rate Library'!$E$5:$E$200,MATCH(P178,'Resource Rate Library'!$A$5:$A$200,0)),"")</f>
        <v/>
      </c>
      <c r="U178" s="1441" t="n"/>
      <c r="V178" s="1441" t="n"/>
      <c r="W178" s="1442">
        <f>IFERROR(INDEX('Resource Rate Library'!$I$5:$I$200,MATCH(P178,'Resource Rate Library'!$A$5:$A$200,0)),0)</f>
        <v/>
      </c>
      <c r="X178" s="1443" t="n"/>
      <c r="Y178" s="1442">
        <f>IF(X178&gt;0,X178,W178)</f>
        <v/>
      </c>
      <c r="Z178" s="1442">
        <f>IF(B178="","",IF(N178="Time x Count",M178*R178*IF(U178="",1,U178)*Y178,IF(N178="QS Qty x Factor",E178*R178*(1+IF(V178="",0,V178))*Y178,IF(N178="Direct Qty",S178*(1+IF(V178="",0,V178))*Y178,IF(N178="Lump Sum / Quote",S178*Y178,0)))))</f>
        <v/>
      </c>
      <c r="AA178" s="81">
        <f>IFERROR(INDEX('Resource Rate Library'!$N$5:$N$200,MATCH(P178,'Resource Rate Library'!$A$5:$A$200,0)),"")</f>
        <v/>
      </c>
      <c r="AB178" s="53" t="n"/>
      <c r="AC178" s="59" t="n"/>
      <c r="AD178" s="81">
        <f>IFERROR(INDEX('Resource Rate Library'!$G$5:$G$200,MATCH(P178,'Resource Rate Library'!$A$5:$A$200,0)),"")</f>
        <v/>
      </c>
      <c r="AE178" s="81">
        <f>IFERROR(INDEX('Resource Rate Library'!$H$5:$H$200,MATCH(P178,'Resource Rate Library'!$A$5:$A$200,0)),"")</f>
        <v/>
      </c>
      <c r="AF178" s="53" t="n"/>
      <c r="AG178" s="53" t="n"/>
      <c r="AH178" s="53" t="n"/>
      <c r="AI178" s="81">
        <f>IF(B178="","",IF(AND(P178="",N178&lt;&gt;"Lump Sum / Quote"),"RESOURCE CODE",IF(Y178=0,"RATE MISSING",IF(AND(O178="Plant",AD178="Yes",COUNTIFS($B$7:$B$306,B178,$O$7:$O$306,"Labour",$Q$7:$Q$306,"*Operator*")&gt;0),"OPERATOR DOUBLE-COUNT",IF(AND(O178="Plant",AE178="Yes",COUNTIFS($B$7:$B$306,B178,$Q$7:$Q$306,"*Fuel*")&gt;0),"FUEL DOUBLE-COUNT",IF(AH178&lt;&gt;"Yes","VERIFY","OK"))))))</f>
        <v/>
      </c>
      <c r="AJ178" s="54" t="n"/>
      <c r="AK178" s="473" t="n"/>
      <c r="AL178" s="473" t="n"/>
      <c r="AM178" s="473" t="n"/>
      <c r="AN178" s="1444">
        <f>IF(AND(AK178="Yes",OR(O178="Labour",O178="Plant")),Z178,0)</f>
        <v/>
      </c>
    </row>
    <row r="179">
      <c r="A179" s="80">
        <f>IF(B179="","",B179&amp;"-"&amp;TEXT(COUNTIF($B$7:B179,B179),"000"))</f>
        <v/>
      </c>
      <c r="B179" s="53" t="n"/>
      <c r="C179" s="81">
        <f>IFERROR(INDEX('QS Takeoff'!$A$3:$A$202,MATCH(B179,'QS Takeoff'!$B$3:$B$202,0)),"")</f>
        <v/>
      </c>
      <c r="D179" s="81">
        <f>IFERROR(INDEX('QS Takeoff'!$C$3:$C$202,MATCH(B179,'QS Takeoff'!$B$3:$B$202,0)),"")</f>
        <v/>
      </c>
      <c r="E179" s="81">
        <f>IFERROR(INDEX('QS Takeoff'!$E$3:$E$202,MATCH(B179,'QS Takeoff'!$B$3:$B$202,0)),"")</f>
        <v/>
      </c>
      <c r="F179" s="81">
        <f>IFERROR(INDEX('QS Takeoff'!$D$3:$D$202,MATCH(B179,'QS Takeoff'!$B$3:$B$202,0)),"")</f>
        <v/>
      </c>
      <c r="G179" s="81">
        <f>IFERROR(INDEX('QS Takeoff'!$J$3:$J$202,MATCH(B179,'QS Takeoff'!$B$3:$B$202,0)),"")</f>
        <v/>
      </c>
      <c r="H179" s="53" t="n"/>
      <c r="I179" s="60" t="n"/>
      <c r="J179" s="60" t="n"/>
      <c r="K179" s="82">
        <f>IF(OR(B179="",I179="",I179=0),"",E179/I179)</f>
        <v/>
      </c>
      <c r="L179" s="60" t="n"/>
      <c r="M179" s="82">
        <f>IF(L179&gt;0,L179,K179)</f>
        <v/>
      </c>
      <c r="N179" s="53" t="n"/>
      <c r="O179" s="53" t="n"/>
      <c r="P179" s="53" t="n"/>
      <c r="Q179" s="81">
        <f>IFERROR(INDEX('Resource Rate Library'!$C$5:$C$200,MATCH(P179,'Resource Rate Library'!$A$5:$A$200,0)),"")</f>
        <v/>
      </c>
      <c r="R179" s="53" t="n"/>
      <c r="S179" s="53" t="n"/>
      <c r="T179" s="81">
        <f>IFERROR(INDEX('Resource Rate Library'!$E$5:$E$200,MATCH(P179,'Resource Rate Library'!$A$5:$A$200,0)),"")</f>
        <v/>
      </c>
      <c r="U179" s="1441" t="n"/>
      <c r="V179" s="1441" t="n"/>
      <c r="W179" s="1442">
        <f>IFERROR(INDEX('Resource Rate Library'!$I$5:$I$200,MATCH(P179,'Resource Rate Library'!$A$5:$A$200,0)),0)</f>
        <v/>
      </c>
      <c r="X179" s="1443" t="n"/>
      <c r="Y179" s="1442">
        <f>IF(X179&gt;0,X179,W179)</f>
        <v/>
      </c>
      <c r="Z179" s="1442">
        <f>IF(B179="","",IF(N179="Time x Count",M179*R179*IF(U179="",1,U179)*Y179,IF(N179="QS Qty x Factor",E179*R179*(1+IF(V179="",0,V179))*Y179,IF(N179="Direct Qty",S179*(1+IF(V179="",0,V179))*Y179,IF(N179="Lump Sum / Quote",S179*Y179,0)))))</f>
        <v/>
      </c>
      <c r="AA179" s="81">
        <f>IFERROR(INDEX('Resource Rate Library'!$N$5:$N$200,MATCH(P179,'Resource Rate Library'!$A$5:$A$200,0)),"")</f>
        <v/>
      </c>
      <c r="AB179" s="53" t="n"/>
      <c r="AC179" s="59" t="n"/>
      <c r="AD179" s="81">
        <f>IFERROR(INDEX('Resource Rate Library'!$G$5:$G$200,MATCH(P179,'Resource Rate Library'!$A$5:$A$200,0)),"")</f>
        <v/>
      </c>
      <c r="AE179" s="81">
        <f>IFERROR(INDEX('Resource Rate Library'!$H$5:$H$200,MATCH(P179,'Resource Rate Library'!$A$5:$A$200,0)),"")</f>
        <v/>
      </c>
      <c r="AF179" s="53" t="n"/>
      <c r="AG179" s="53" t="n"/>
      <c r="AH179" s="53" t="n"/>
      <c r="AI179" s="81">
        <f>IF(B179="","",IF(AND(P179="",N179&lt;&gt;"Lump Sum / Quote"),"RESOURCE CODE",IF(Y179=0,"RATE MISSING",IF(AND(O179="Plant",AD179="Yes",COUNTIFS($B$7:$B$306,B179,$O$7:$O$306,"Labour",$Q$7:$Q$306,"*Operator*")&gt;0),"OPERATOR DOUBLE-COUNT",IF(AND(O179="Plant",AE179="Yes",COUNTIFS($B$7:$B$306,B179,$Q$7:$Q$306,"*Fuel*")&gt;0),"FUEL DOUBLE-COUNT",IF(AH179&lt;&gt;"Yes","VERIFY","OK"))))))</f>
        <v/>
      </c>
      <c r="AJ179" s="54" t="n"/>
      <c r="AK179" s="473" t="n"/>
      <c r="AL179" s="473" t="n"/>
      <c r="AM179" s="473" t="n"/>
      <c r="AN179" s="1444">
        <f>IF(AND(AK179="Yes",OR(O179="Labour",O179="Plant")),Z179,0)</f>
        <v/>
      </c>
    </row>
    <row r="180">
      <c r="A180" s="80">
        <f>IF(B180="","",B180&amp;"-"&amp;TEXT(COUNTIF($B$7:B180,B180),"000"))</f>
        <v/>
      </c>
      <c r="B180" s="53" t="n"/>
      <c r="C180" s="81">
        <f>IFERROR(INDEX('QS Takeoff'!$A$3:$A$202,MATCH(B180,'QS Takeoff'!$B$3:$B$202,0)),"")</f>
        <v/>
      </c>
      <c r="D180" s="81">
        <f>IFERROR(INDEX('QS Takeoff'!$C$3:$C$202,MATCH(B180,'QS Takeoff'!$B$3:$B$202,0)),"")</f>
        <v/>
      </c>
      <c r="E180" s="81">
        <f>IFERROR(INDEX('QS Takeoff'!$E$3:$E$202,MATCH(B180,'QS Takeoff'!$B$3:$B$202,0)),"")</f>
        <v/>
      </c>
      <c r="F180" s="81">
        <f>IFERROR(INDEX('QS Takeoff'!$D$3:$D$202,MATCH(B180,'QS Takeoff'!$B$3:$B$202,0)),"")</f>
        <v/>
      </c>
      <c r="G180" s="81">
        <f>IFERROR(INDEX('QS Takeoff'!$J$3:$J$202,MATCH(B180,'QS Takeoff'!$B$3:$B$202,0)),"")</f>
        <v/>
      </c>
      <c r="H180" s="53" t="n"/>
      <c r="I180" s="60" t="n"/>
      <c r="J180" s="60" t="n"/>
      <c r="K180" s="82">
        <f>IF(OR(B180="",I180="",I180=0),"",E180/I180)</f>
        <v/>
      </c>
      <c r="L180" s="60" t="n"/>
      <c r="M180" s="82">
        <f>IF(L180&gt;0,L180,K180)</f>
        <v/>
      </c>
      <c r="N180" s="53" t="n"/>
      <c r="O180" s="53" t="n"/>
      <c r="P180" s="53" t="n"/>
      <c r="Q180" s="81">
        <f>IFERROR(INDEX('Resource Rate Library'!$C$5:$C$200,MATCH(P180,'Resource Rate Library'!$A$5:$A$200,0)),"")</f>
        <v/>
      </c>
      <c r="R180" s="53" t="n"/>
      <c r="S180" s="53" t="n"/>
      <c r="T180" s="81">
        <f>IFERROR(INDEX('Resource Rate Library'!$E$5:$E$200,MATCH(P180,'Resource Rate Library'!$A$5:$A$200,0)),"")</f>
        <v/>
      </c>
      <c r="U180" s="1441" t="n"/>
      <c r="V180" s="1441" t="n"/>
      <c r="W180" s="1442">
        <f>IFERROR(INDEX('Resource Rate Library'!$I$5:$I$200,MATCH(P180,'Resource Rate Library'!$A$5:$A$200,0)),0)</f>
        <v/>
      </c>
      <c r="X180" s="1443" t="n"/>
      <c r="Y180" s="1442">
        <f>IF(X180&gt;0,X180,W180)</f>
        <v/>
      </c>
      <c r="Z180" s="1442">
        <f>IF(B180="","",IF(N180="Time x Count",M180*R180*IF(U180="",1,U180)*Y180,IF(N180="QS Qty x Factor",E180*R180*(1+IF(V180="",0,V180))*Y180,IF(N180="Direct Qty",S180*(1+IF(V180="",0,V180))*Y180,IF(N180="Lump Sum / Quote",S180*Y180,0)))))</f>
        <v/>
      </c>
      <c r="AA180" s="81">
        <f>IFERROR(INDEX('Resource Rate Library'!$N$5:$N$200,MATCH(P180,'Resource Rate Library'!$A$5:$A$200,0)),"")</f>
        <v/>
      </c>
      <c r="AB180" s="53" t="n"/>
      <c r="AC180" s="59" t="n"/>
      <c r="AD180" s="81">
        <f>IFERROR(INDEX('Resource Rate Library'!$G$5:$G$200,MATCH(P180,'Resource Rate Library'!$A$5:$A$200,0)),"")</f>
        <v/>
      </c>
      <c r="AE180" s="81">
        <f>IFERROR(INDEX('Resource Rate Library'!$H$5:$H$200,MATCH(P180,'Resource Rate Library'!$A$5:$A$200,0)),"")</f>
        <v/>
      </c>
      <c r="AF180" s="53" t="n"/>
      <c r="AG180" s="53" t="n"/>
      <c r="AH180" s="53" t="n"/>
      <c r="AI180" s="81">
        <f>IF(B180="","",IF(AND(P180="",N180&lt;&gt;"Lump Sum / Quote"),"RESOURCE CODE",IF(Y180=0,"RATE MISSING",IF(AND(O180="Plant",AD180="Yes",COUNTIFS($B$7:$B$306,B180,$O$7:$O$306,"Labour",$Q$7:$Q$306,"*Operator*")&gt;0),"OPERATOR DOUBLE-COUNT",IF(AND(O180="Plant",AE180="Yes",COUNTIFS($B$7:$B$306,B180,$Q$7:$Q$306,"*Fuel*")&gt;0),"FUEL DOUBLE-COUNT",IF(AH180&lt;&gt;"Yes","VERIFY","OK"))))))</f>
        <v/>
      </c>
      <c r="AJ180" s="54" t="n"/>
      <c r="AK180" s="473" t="n"/>
      <c r="AL180" s="473" t="n"/>
      <c r="AM180" s="473" t="n"/>
      <c r="AN180" s="1444">
        <f>IF(AND(AK180="Yes",OR(O180="Labour",O180="Plant")),Z180,0)</f>
        <v/>
      </c>
    </row>
    <row r="181">
      <c r="A181" s="80">
        <f>IF(B181="","",B181&amp;"-"&amp;TEXT(COUNTIF($B$7:B181,B181),"000"))</f>
        <v/>
      </c>
      <c r="B181" s="53" t="n"/>
      <c r="C181" s="81">
        <f>IFERROR(INDEX('QS Takeoff'!$A$3:$A$202,MATCH(B181,'QS Takeoff'!$B$3:$B$202,0)),"")</f>
        <v/>
      </c>
      <c r="D181" s="81">
        <f>IFERROR(INDEX('QS Takeoff'!$C$3:$C$202,MATCH(B181,'QS Takeoff'!$B$3:$B$202,0)),"")</f>
        <v/>
      </c>
      <c r="E181" s="81">
        <f>IFERROR(INDEX('QS Takeoff'!$E$3:$E$202,MATCH(B181,'QS Takeoff'!$B$3:$B$202,0)),"")</f>
        <v/>
      </c>
      <c r="F181" s="81">
        <f>IFERROR(INDEX('QS Takeoff'!$D$3:$D$202,MATCH(B181,'QS Takeoff'!$B$3:$B$202,0)),"")</f>
        <v/>
      </c>
      <c r="G181" s="81">
        <f>IFERROR(INDEX('QS Takeoff'!$J$3:$J$202,MATCH(B181,'QS Takeoff'!$B$3:$B$202,0)),"")</f>
        <v/>
      </c>
      <c r="H181" s="53" t="n"/>
      <c r="I181" s="60" t="n"/>
      <c r="J181" s="60" t="n"/>
      <c r="K181" s="82">
        <f>IF(OR(B181="",I181="",I181=0),"",E181/I181)</f>
        <v/>
      </c>
      <c r="L181" s="60" t="n"/>
      <c r="M181" s="82">
        <f>IF(L181&gt;0,L181,K181)</f>
        <v/>
      </c>
      <c r="N181" s="53" t="n"/>
      <c r="O181" s="53" t="n"/>
      <c r="P181" s="53" t="n"/>
      <c r="Q181" s="81">
        <f>IFERROR(INDEX('Resource Rate Library'!$C$5:$C$200,MATCH(P181,'Resource Rate Library'!$A$5:$A$200,0)),"")</f>
        <v/>
      </c>
      <c r="R181" s="53" t="n"/>
      <c r="S181" s="53" t="n"/>
      <c r="T181" s="81">
        <f>IFERROR(INDEX('Resource Rate Library'!$E$5:$E$200,MATCH(P181,'Resource Rate Library'!$A$5:$A$200,0)),"")</f>
        <v/>
      </c>
      <c r="U181" s="1441" t="n"/>
      <c r="V181" s="1441" t="n"/>
      <c r="W181" s="1442">
        <f>IFERROR(INDEX('Resource Rate Library'!$I$5:$I$200,MATCH(P181,'Resource Rate Library'!$A$5:$A$200,0)),0)</f>
        <v/>
      </c>
      <c r="X181" s="1443" t="n"/>
      <c r="Y181" s="1442">
        <f>IF(X181&gt;0,X181,W181)</f>
        <v/>
      </c>
      <c r="Z181" s="1442">
        <f>IF(B181="","",IF(N181="Time x Count",M181*R181*IF(U181="",1,U181)*Y181,IF(N181="QS Qty x Factor",E181*R181*(1+IF(V181="",0,V181))*Y181,IF(N181="Direct Qty",S181*(1+IF(V181="",0,V181))*Y181,IF(N181="Lump Sum / Quote",S181*Y181,0)))))</f>
        <v/>
      </c>
      <c r="AA181" s="81">
        <f>IFERROR(INDEX('Resource Rate Library'!$N$5:$N$200,MATCH(P181,'Resource Rate Library'!$A$5:$A$200,0)),"")</f>
        <v/>
      </c>
      <c r="AB181" s="53" t="n"/>
      <c r="AC181" s="59" t="n"/>
      <c r="AD181" s="81">
        <f>IFERROR(INDEX('Resource Rate Library'!$G$5:$G$200,MATCH(P181,'Resource Rate Library'!$A$5:$A$200,0)),"")</f>
        <v/>
      </c>
      <c r="AE181" s="81">
        <f>IFERROR(INDEX('Resource Rate Library'!$H$5:$H$200,MATCH(P181,'Resource Rate Library'!$A$5:$A$200,0)),"")</f>
        <v/>
      </c>
      <c r="AF181" s="53" t="n"/>
      <c r="AG181" s="53" t="n"/>
      <c r="AH181" s="53" t="n"/>
      <c r="AI181" s="81">
        <f>IF(B181="","",IF(AND(P181="",N181&lt;&gt;"Lump Sum / Quote"),"RESOURCE CODE",IF(Y181=0,"RATE MISSING",IF(AND(O181="Plant",AD181="Yes",COUNTIFS($B$7:$B$306,B181,$O$7:$O$306,"Labour",$Q$7:$Q$306,"*Operator*")&gt;0),"OPERATOR DOUBLE-COUNT",IF(AND(O181="Plant",AE181="Yes",COUNTIFS($B$7:$B$306,B181,$Q$7:$Q$306,"*Fuel*")&gt;0),"FUEL DOUBLE-COUNT",IF(AH181&lt;&gt;"Yes","VERIFY","OK"))))))</f>
        <v/>
      </c>
      <c r="AJ181" s="54" t="n"/>
      <c r="AK181" s="473" t="n"/>
      <c r="AL181" s="473" t="n"/>
      <c r="AM181" s="473" t="n"/>
      <c r="AN181" s="1444">
        <f>IF(AND(AK181="Yes",OR(O181="Labour",O181="Plant")),Z181,0)</f>
        <v/>
      </c>
    </row>
    <row r="182">
      <c r="A182" s="80">
        <f>IF(B182="","",B182&amp;"-"&amp;TEXT(COUNTIF($B$7:B182,B182),"000"))</f>
        <v/>
      </c>
      <c r="B182" s="53" t="n"/>
      <c r="C182" s="81">
        <f>IFERROR(INDEX('QS Takeoff'!$A$3:$A$202,MATCH(B182,'QS Takeoff'!$B$3:$B$202,0)),"")</f>
        <v/>
      </c>
      <c r="D182" s="81">
        <f>IFERROR(INDEX('QS Takeoff'!$C$3:$C$202,MATCH(B182,'QS Takeoff'!$B$3:$B$202,0)),"")</f>
        <v/>
      </c>
      <c r="E182" s="81">
        <f>IFERROR(INDEX('QS Takeoff'!$E$3:$E$202,MATCH(B182,'QS Takeoff'!$B$3:$B$202,0)),"")</f>
        <v/>
      </c>
      <c r="F182" s="81">
        <f>IFERROR(INDEX('QS Takeoff'!$D$3:$D$202,MATCH(B182,'QS Takeoff'!$B$3:$B$202,0)),"")</f>
        <v/>
      </c>
      <c r="G182" s="81">
        <f>IFERROR(INDEX('QS Takeoff'!$J$3:$J$202,MATCH(B182,'QS Takeoff'!$B$3:$B$202,0)),"")</f>
        <v/>
      </c>
      <c r="H182" s="53" t="n"/>
      <c r="I182" s="60" t="n"/>
      <c r="J182" s="60" t="n"/>
      <c r="K182" s="82">
        <f>IF(OR(B182="",I182="",I182=0),"",E182/I182)</f>
        <v/>
      </c>
      <c r="L182" s="60" t="n"/>
      <c r="M182" s="82">
        <f>IF(L182&gt;0,L182,K182)</f>
        <v/>
      </c>
      <c r="N182" s="53" t="n"/>
      <c r="O182" s="53" t="n"/>
      <c r="P182" s="53" t="n"/>
      <c r="Q182" s="81">
        <f>IFERROR(INDEX('Resource Rate Library'!$C$5:$C$200,MATCH(P182,'Resource Rate Library'!$A$5:$A$200,0)),"")</f>
        <v/>
      </c>
      <c r="R182" s="53" t="n"/>
      <c r="S182" s="53" t="n"/>
      <c r="T182" s="81">
        <f>IFERROR(INDEX('Resource Rate Library'!$E$5:$E$200,MATCH(P182,'Resource Rate Library'!$A$5:$A$200,0)),"")</f>
        <v/>
      </c>
      <c r="U182" s="1441" t="n"/>
      <c r="V182" s="1441" t="n"/>
      <c r="W182" s="1442">
        <f>IFERROR(INDEX('Resource Rate Library'!$I$5:$I$200,MATCH(P182,'Resource Rate Library'!$A$5:$A$200,0)),0)</f>
        <v/>
      </c>
      <c r="X182" s="1443" t="n"/>
      <c r="Y182" s="1442">
        <f>IF(X182&gt;0,X182,W182)</f>
        <v/>
      </c>
      <c r="Z182" s="1442">
        <f>IF(B182="","",IF(N182="Time x Count",M182*R182*IF(U182="",1,U182)*Y182,IF(N182="QS Qty x Factor",E182*R182*(1+IF(V182="",0,V182))*Y182,IF(N182="Direct Qty",S182*(1+IF(V182="",0,V182))*Y182,IF(N182="Lump Sum / Quote",S182*Y182,0)))))</f>
        <v/>
      </c>
      <c r="AA182" s="81">
        <f>IFERROR(INDEX('Resource Rate Library'!$N$5:$N$200,MATCH(P182,'Resource Rate Library'!$A$5:$A$200,0)),"")</f>
        <v/>
      </c>
      <c r="AB182" s="53" t="n"/>
      <c r="AC182" s="59" t="n"/>
      <c r="AD182" s="81">
        <f>IFERROR(INDEX('Resource Rate Library'!$G$5:$G$200,MATCH(P182,'Resource Rate Library'!$A$5:$A$200,0)),"")</f>
        <v/>
      </c>
      <c r="AE182" s="81">
        <f>IFERROR(INDEX('Resource Rate Library'!$H$5:$H$200,MATCH(P182,'Resource Rate Library'!$A$5:$A$200,0)),"")</f>
        <v/>
      </c>
      <c r="AF182" s="53" t="n"/>
      <c r="AG182" s="53" t="n"/>
      <c r="AH182" s="53" t="n"/>
      <c r="AI182" s="81">
        <f>IF(B182="","",IF(AND(P182="",N182&lt;&gt;"Lump Sum / Quote"),"RESOURCE CODE",IF(Y182=0,"RATE MISSING",IF(AND(O182="Plant",AD182="Yes",COUNTIFS($B$7:$B$306,B182,$O$7:$O$306,"Labour",$Q$7:$Q$306,"*Operator*")&gt;0),"OPERATOR DOUBLE-COUNT",IF(AND(O182="Plant",AE182="Yes",COUNTIFS($B$7:$B$306,B182,$Q$7:$Q$306,"*Fuel*")&gt;0),"FUEL DOUBLE-COUNT",IF(AH182&lt;&gt;"Yes","VERIFY","OK"))))))</f>
        <v/>
      </c>
      <c r="AJ182" s="54" t="n"/>
      <c r="AK182" s="473" t="n"/>
      <c r="AL182" s="473" t="n"/>
      <c r="AM182" s="473" t="n"/>
      <c r="AN182" s="1444">
        <f>IF(AND(AK182="Yes",OR(O182="Labour",O182="Plant")),Z182,0)</f>
        <v/>
      </c>
    </row>
    <row r="183">
      <c r="A183" s="80">
        <f>IF(B183="","",B183&amp;"-"&amp;TEXT(COUNTIF($B$7:B183,B183),"000"))</f>
        <v/>
      </c>
      <c r="B183" s="53" t="n"/>
      <c r="C183" s="81">
        <f>IFERROR(INDEX('QS Takeoff'!$A$3:$A$202,MATCH(B183,'QS Takeoff'!$B$3:$B$202,0)),"")</f>
        <v/>
      </c>
      <c r="D183" s="81">
        <f>IFERROR(INDEX('QS Takeoff'!$C$3:$C$202,MATCH(B183,'QS Takeoff'!$B$3:$B$202,0)),"")</f>
        <v/>
      </c>
      <c r="E183" s="81">
        <f>IFERROR(INDEX('QS Takeoff'!$E$3:$E$202,MATCH(B183,'QS Takeoff'!$B$3:$B$202,0)),"")</f>
        <v/>
      </c>
      <c r="F183" s="81">
        <f>IFERROR(INDEX('QS Takeoff'!$D$3:$D$202,MATCH(B183,'QS Takeoff'!$B$3:$B$202,0)),"")</f>
        <v/>
      </c>
      <c r="G183" s="81">
        <f>IFERROR(INDEX('QS Takeoff'!$J$3:$J$202,MATCH(B183,'QS Takeoff'!$B$3:$B$202,0)),"")</f>
        <v/>
      </c>
      <c r="H183" s="53" t="n"/>
      <c r="I183" s="60" t="n"/>
      <c r="J183" s="60" t="n"/>
      <c r="K183" s="82">
        <f>IF(OR(B183="",I183="",I183=0),"",E183/I183)</f>
        <v/>
      </c>
      <c r="L183" s="60" t="n"/>
      <c r="M183" s="82">
        <f>IF(L183&gt;0,L183,K183)</f>
        <v/>
      </c>
      <c r="N183" s="53" t="n"/>
      <c r="O183" s="53" t="n"/>
      <c r="P183" s="53" t="n"/>
      <c r="Q183" s="81">
        <f>IFERROR(INDEX('Resource Rate Library'!$C$5:$C$200,MATCH(P183,'Resource Rate Library'!$A$5:$A$200,0)),"")</f>
        <v/>
      </c>
      <c r="R183" s="53" t="n"/>
      <c r="S183" s="53" t="n"/>
      <c r="T183" s="81">
        <f>IFERROR(INDEX('Resource Rate Library'!$E$5:$E$200,MATCH(P183,'Resource Rate Library'!$A$5:$A$200,0)),"")</f>
        <v/>
      </c>
      <c r="U183" s="1441" t="n"/>
      <c r="V183" s="1441" t="n"/>
      <c r="W183" s="1442">
        <f>IFERROR(INDEX('Resource Rate Library'!$I$5:$I$200,MATCH(P183,'Resource Rate Library'!$A$5:$A$200,0)),0)</f>
        <v/>
      </c>
      <c r="X183" s="1443" t="n"/>
      <c r="Y183" s="1442">
        <f>IF(X183&gt;0,X183,W183)</f>
        <v/>
      </c>
      <c r="Z183" s="1442">
        <f>IF(B183="","",IF(N183="Time x Count",M183*R183*IF(U183="",1,U183)*Y183,IF(N183="QS Qty x Factor",E183*R183*(1+IF(V183="",0,V183))*Y183,IF(N183="Direct Qty",S183*(1+IF(V183="",0,V183))*Y183,IF(N183="Lump Sum / Quote",S183*Y183,0)))))</f>
        <v/>
      </c>
      <c r="AA183" s="81">
        <f>IFERROR(INDEX('Resource Rate Library'!$N$5:$N$200,MATCH(P183,'Resource Rate Library'!$A$5:$A$200,0)),"")</f>
        <v/>
      </c>
      <c r="AB183" s="53" t="n"/>
      <c r="AC183" s="59" t="n"/>
      <c r="AD183" s="81">
        <f>IFERROR(INDEX('Resource Rate Library'!$G$5:$G$200,MATCH(P183,'Resource Rate Library'!$A$5:$A$200,0)),"")</f>
        <v/>
      </c>
      <c r="AE183" s="81">
        <f>IFERROR(INDEX('Resource Rate Library'!$H$5:$H$200,MATCH(P183,'Resource Rate Library'!$A$5:$A$200,0)),"")</f>
        <v/>
      </c>
      <c r="AF183" s="53" t="n"/>
      <c r="AG183" s="53" t="n"/>
      <c r="AH183" s="53" t="n"/>
      <c r="AI183" s="81">
        <f>IF(B183="","",IF(AND(P183="",N183&lt;&gt;"Lump Sum / Quote"),"RESOURCE CODE",IF(Y183=0,"RATE MISSING",IF(AND(O183="Plant",AD183="Yes",COUNTIFS($B$7:$B$306,B183,$O$7:$O$306,"Labour",$Q$7:$Q$306,"*Operator*")&gt;0),"OPERATOR DOUBLE-COUNT",IF(AND(O183="Plant",AE183="Yes",COUNTIFS($B$7:$B$306,B183,$Q$7:$Q$306,"*Fuel*")&gt;0),"FUEL DOUBLE-COUNT",IF(AH183&lt;&gt;"Yes","VERIFY","OK"))))))</f>
        <v/>
      </c>
      <c r="AJ183" s="54" t="n"/>
      <c r="AK183" s="473" t="n"/>
      <c r="AL183" s="473" t="n"/>
      <c r="AM183" s="473" t="n"/>
      <c r="AN183" s="1444">
        <f>IF(AND(AK183="Yes",OR(O183="Labour",O183="Plant")),Z183,0)</f>
        <v/>
      </c>
    </row>
    <row r="184">
      <c r="A184" s="80">
        <f>IF(B184="","",B184&amp;"-"&amp;TEXT(COUNTIF($B$7:B184,B184),"000"))</f>
        <v/>
      </c>
      <c r="B184" s="53" t="n"/>
      <c r="C184" s="81">
        <f>IFERROR(INDEX('QS Takeoff'!$A$3:$A$202,MATCH(B184,'QS Takeoff'!$B$3:$B$202,0)),"")</f>
        <v/>
      </c>
      <c r="D184" s="81">
        <f>IFERROR(INDEX('QS Takeoff'!$C$3:$C$202,MATCH(B184,'QS Takeoff'!$B$3:$B$202,0)),"")</f>
        <v/>
      </c>
      <c r="E184" s="81">
        <f>IFERROR(INDEX('QS Takeoff'!$E$3:$E$202,MATCH(B184,'QS Takeoff'!$B$3:$B$202,0)),"")</f>
        <v/>
      </c>
      <c r="F184" s="81">
        <f>IFERROR(INDEX('QS Takeoff'!$D$3:$D$202,MATCH(B184,'QS Takeoff'!$B$3:$B$202,0)),"")</f>
        <v/>
      </c>
      <c r="G184" s="81">
        <f>IFERROR(INDEX('QS Takeoff'!$J$3:$J$202,MATCH(B184,'QS Takeoff'!$B$3:$B$202,0)),"")</f>
        <v/>
      </c>
      <c r="H184" s="53" t="n"/>
      <c r="I184" s="60" t="n"/>
      <c r="J184" s="60" t="n"/>
      <c r="K184" s="82">
        <f>IF(OR(B184="",I184="",I184=0),"",E184/I184)</f>
        <v/>
      </c>
      <c r="L184" s="60" t="n"/>
      <c r="M184" s="82">
        <f>IF(L184&gt;0,L184,K184)</f>
        <v/>
      </c>
      <c r="N184" s="53" t="n"/>
      <c r="O184" s="53" t="n"/>
      <c r="P184" s="53" t="n"/>
      <c r="Q184" s="81">
        <f>IFERROR(INDEX('Resource Rate Library'!$C$5:$C$200,MATCH(P184,'Resource Rate Library'!$A$5:$A$200,0)),"")</f>
        <v/>
      </c>
      <c r="R184" s="53" t="n"/>
      <c r="S184" s="53" t="n"/>
      <c r="T184" s="81">
        <f>IFERROR(INDEX('Resource Rate Library'!$E$5:$E$200,MATCH(P184,'Resource Rate Library'!$A$5:$A$200,0)),"")</f>
        <v/>
      </c>
      <c r="U184" s="1441" t="n"/>
      <c r="V184" s="1441" t="n"/>
      <c r="W184" s="1442">
        <f>IFERROR(INDEX('Resource Rate Library'!$I$5:$I$200,MATCH(P184,'Resource Rate Library'!$A$5:$A$200,0)),0)</f>
        <v/>
      </c>
      <c r="X184" s="1443" t="n"/>
      <c r="Y184" s="1442">
        <f>IF(X184&gt;0,X184,W184)</f>
        <v/>
      </c>
      <c r="Z184" s="1442">
        <f>IF(B184="","",IF(N184="Time x Count",M184*R184*IF(U184="",1,U184)*Y184,IF(N184="QS Qty x Factor",E184*R184*(1+IF(V184="",0,V184))*Y184,IF(N184="Direct Qty",S184*(1+IF(V184="",0,V184))*Y184,IF(N184="Lump Sum / Quote",S184*Y184,0)))))</f>
        <v/>
      </c>
      <c r="AA184" s="81">
        <f>IFERROR(INDEX('Resource Rate Library'!$N$5:$N$200,MATCH(P184,'Resource Rate Library'!$A$5:$A$200,0)),"")</f>
        <v/>
      </c>
      <c r="AB184" s="53" t="n"/>
      <c r="AC184" s="59" t="n"/>
      <c r="AD184" s="81">
        <f>IFERROR(INDEX('Resource Rate Library'!$G$5:$G$200,MATCH(P184,'Resource Rate Library'!$A$5:$A$200,0)),"")</f>
        <v/>
      </c>
      <c r="AE184" s="81">
        <f>IFERROR(INDEX('Resource Rate Library'!$H$5:$H$200,MATCH(P184,'Resource Rate Library'!$A$5:$A$200,0)),"")</f>
        <v/>
      </c>
      <c r="AF184" s="53" t="n"/>
      <c r="AG184" s="53" t="n"/>
      <c r="AH184" s="53" t="n"/>
      <c r="AI184" s="81">
        <f>IF(B184="","",IF(AND(P184="",N184&lt;&gt;"Lump Sum / Quote"),"RESOURCE CODE",IF(Y184=0,"RATE MISSING",IF(AND(O184="Plant",AD184="Yes",COUNTIFS($B$7:$B$306,B184,$O$7:$O$306,"Labour",$Q$7:$Q$306,"*Operator*")&gt;0),"OPERATOR DOUBLE-COUNT",IF(AND(O184="Plant",AE184="Yes",COUNTIFS($B$7:$B$306,B184,$Q$7:$Q$306,"*Fuel*")&gt;0),"FUEL DOUBLE-COUNT",IF(AH184&lt;&gt;"Yes","VERIFY","OK"))))))</f>
        <v/>
      </c>
      <c r="AJ184" s="54" t="n"/>
      <c r="AK184" s="473" t="n"/>
      <c r="AL184" s="473" t="n"/>
      <c r="AM184" s="473" t="n"/>
      <c r="AN184" s="1444">
        <f>IF(AND(AK184="Yes",OR(O184="Labour",O184="Plant")),Z184,0)</f>
        <v/>
      </c>
    </row>
    <row r="185">
      <c r="A185" s="80">
        <f>IF(B185="","",B185&amp;"-"&amp;TEXT(COUNTIF($B$7:B185,B185),"000"))</f>
        <v/>
      </c>
      <c r="B185" s="53" t="n"/>
      <c r="C185" s="81">
        <f>IFERROR(INDEX('QS Takeoff'!$A$3:$A$202,MATCH(B185,'QS Takeoff'!$B$3:$B$202,0)),"")</f>
        <v/>
      </c>
      <c r="D185" s="81">
        <f>IFERROR(INDEX('QS Takeoff'!$C$3:$C$202,MATCH(B185,'QS Takeoff'!$B$3:$B$202,0)),"")</f>
        <v/>
      </c>
      <c r="E185" s="81">
        <f>IFERROR(INDEX('QS Takeoff'!$E$3:$E$202,MATCH(B185,'QS Takeoff'!$B$3:$B$202,0)),"")</f>
        <v/>
      </c>
      <c r="F185" s="81">
        <f>IFERROR(INDEX('QS Takeoff'!$D$3:$D$202,MATCH(B185,'QS Takeoff'!$B$3:$B$202,0)),"")</f>
        <v/>
      </c>
      <c r="G185" s="81">
        <f>IFERROR(INDEX('QS Takeoff'!$J$3:$J$202,MATCH(B185,'QS Takeoff'!$B$3:$B$202,0)),"")</f>
        <v/>
      </c>
      <c r="H185" s="53" t="n"/>
      <c r="I185" s="60" t="n"/>
      <c r="J185" s="60" t="n"/>
      <c r="K185" s="82">
        <f>IF(OR(B185="",I185="",I185=0),"",E185/I185)</f>
        <v/>
      </c>
      <c r="L185" s="60" t="n"/>
      <c r="M185" s="82">
        <f>IF(L185&gt;0,L185,K185)</f>
        <v/>
      </c>
      <c r="N185" s="53" t="n"/>
      <c r="O185" s="53" t="n"/>
      <c r="P185" s="53" t="n"/>
      <c r="Q185" s="81">
        <f>IFERROR(INDEX('Resource Rate Library'!$C$5:$C$200,MATCH(P185,'Resource Rate Library'!$A$5:$A$200,0)),"")</f>
        <v/>
      </c>
      <c r="R185" s="53" t="n"/>
      <c r="S185" s="53" t="n"/>
      <c r="T185" s="81">
        <f>IFERROR(INDEX('Resource Rate Library'!$E$5:$E$200,MATCH(P185,'Resource Rate Library'!$A$5:$A$200,0)),"")</f>
        <v/>
      </c>
      <c r="U185" s="1441" t="n"/>
      <c r="V185" s="1441" t="n"/>
      <c r="W185" s="1442">
        <f>IFERROR(INDEX('Resource Rate Library'!$I$5:$I$200,MATCH(P185,'Resource Rate Library'!$A$5:$A$200,0)),0)</f>
        <v/>
      </c>
      <c r="X185" s="1443" t="n"/>
      <c r="Y185" s="1442">
        <f>IF(X185&gt;0,X185,W185)</f>
        <v/>
      </c>
      <c r="Z185" s="1442">
        <f>IF(B185="","",IF(N185="Time x Count",M185*R185*IF(U185="",1,U185)*Y185,IF(N185="QS Qty x Factor",E185*R185*(1+IF(V185="",0,V185))*Y185,IF(N185="Direct Qty",S185*(1+IF(V185="",0,V185))*Y185,IF(N185="Lump Sum / Quote",S185*Y185,0)))))</f>
        <v/>
      </c>
      <c r="AA185" s="81">
        <f>IFERROR(INDEX('Resource Rate Library'!$N$5:$N$200,MATCH(P185,'Resource Rate Library'!$A$5:$A$200,0)),"")</f>
        <v/>
      </c>
      <c r="AB185" s="53" t="n"/>
      <c r="AC185" s="59" t="n"/>
      <c r="AD185" s="81">
        <f>IFERROR(INDEX('Resource Rate Library'!$G$5:$G$200,MATCH(P185,'Resource Rate Library'!$A$5:$A$200,0)),"")</f>
        <v/>
      </c>
      <c r="AE185" s="81">
        <f>IFERROR(INDEX('Resource Rate Library'!$H$5:$H$200,MATCH(P185,'Resource Rate Library'!$A$5:$A$200,0)),"")</f>
        <v/>
      </c>
      <c r="AF185" s="53" t="n"/>
      <c r="AG185" s="53" t="n"/>
      <c r="AH185" s="53" t="n"/>
      <c r="AI185" s="81">
        <f>IF(B185="","",IF(AND(P185="",N185&lt;&gt;"Lump Sum / Quote"),"RESOURCE CODE",IF(Y185=0,"RATE MISSING",IF(AND(O185="Plant",AD185="Yes",COUNTIFS($B$7:$B$306,B185,$O$7:$O$306,"Labour",$Q$7:$Q$306,"*Operator*")&gt;0),"OPERATOR DOUBLE-COUNT",IF(AND(O185="Plant",AE185="Yes",COUNTIFS($B$7:$B$306,B185,$Q$7:$Q$306,"*Fuel*")&gt;0),"FUEL DOUBLE-COUNT",IF(AH185&lt;&gt;"Yes","VERIFY","OK"))))))</f>
        <v/>
      </c>
      <c r="AJ185" s="54" t="n"/>
      <c r="AK185" s="473" t="n"/>
      <c r="AL185" s="473" t="n"/>
      <c r="AM185" s="473" t="n"/>
      <c r="AN185" s="1444">
        <f>IF(AND(AK185="Yes",OR(O185="Labour",O185="Plant")),Z185,0)</f>
        <v/>
      </c>
    </row>
    <row r="186">
      <c r="A186" s="80">
        <f>IF(B186="","",B186&amp;"-"&amp;TEXT(COUNTIF($B$7:B186,B186),"000"))</f>
        <v/>
      </c>
      <c r="B186" s="53" t="n"/>
      <c r="C186" s="81">
        <f>IFERROR(INDEX('QS Takeoff'!$A$3:$A$202,MATCH(B186,'QS Takeoff'!$B$3:$B$202,0)),"")</f>
        <v/>
      </c>
      <c r="D186" s="81">
        <f>IFERROR(INDEX('QS Takeoff'!$C$3:$C$202,MATCH(B186,'QS Takeoff'!$B$3:$B$202,0)),"")</f>
        <v/>
      </c>
      <c r="E186" s="81">
        <f>IFERROR(INDEX('QS Takeoff'!$E$3:$E$202,MATCH(B186,'QS Takeoff'!$B$3:$B$202,0)),"")</f>
        <v/>
      </c>
      <c r="F186" s="81">
        <f>IFERROR(INDEX('QS Takeoff'!$D$3:$D$202,MATCH(B186,'QS Takeoff'!$B$3:$B$202,0)),"")</f>
        <v/>
      </c>
      <c r="G186" s="81">
        <f>IFERROR(INDEX('QS Takeoff'!$J$3:$J$202,MATCH(B186,'QS Takeoff'!$B$3:$B$202,0)),"")</f>
        <v/>
      </c>
      <c r="H186" s="53" t="n"/>
      <c r="I186" s="60" t="n"/>
      <c r="J186" s="60" t="n"/>
      <c r="K186" s="82">
        <f>IF(OR(B186="",I186="",I186=0),"",E186/I186)</f>
        <v/>
      </c>
      <c r="L186" s="60" t="n"/>
      <c r="M186" s="82">
        <f>IF(L186&gt;0,L186,K186)</f>
        <v/>
      </c>
      <c r="N186" s="53" t="n"/>
      <c r="O186" s="53" t="n"/>
      <c r="P186" s="53" t="n"/>
      <c r="Q186" s="81">
        <f>IFERROR(INDEX('Resource Rate Library'!$C$5:$C$200,MATCH(P186,'Resource Rate Library'!$A$5:$A$200,0)),"")</f>
        <v/>
      </c>
      <c r="R186" s="53" t="n"/>
      <c r="S186" s="53" t="n"/>
      <c r="T186" s="81">
        <f>IFERROR(INDEX('Resource Rate Library'!$E$5:$E$200,MATCH(P186,'Resource Rate Library'!$A$5:$A$200,0)),"")</f>
        <v/>
      </c>
      <c r="U186" s="1441" t="n"/>
      <c r="V186" s="1441" t="n"/>
      <c r="W186" s="1442">
        <f>IFERROR(INDEX('Resource Rate Library'!$I$5:$I$200,MATCH(P186,'Resource Rate Library'!$A$5:$A$200,0)),0)</f>
        <v/>
      </c>
      <c r="X186" s="1443" t="n"/>
      <c r="Y186" s="1442">
        <f>IF(X186&gt;0,X186,W186)</f>
        <v/>
      </c>
      <c r="Z186" s="1442">
        <f>IF(B186="","",IF(N186="Time x Count",M186*R186*IF(U186="",1,U186)*Y186,IF(N186="QS Qty x Factor",E186*R186*(1+IF(V186="",0,V186))*Y186,IF(N186="Direct Qty",S186*(1+IF(V186="",0,V186))*Y186,IF(N186="Lump Sum / Quote",S186*Y186,0)))))</f>
        <v/>
      </c>
      <c r="AA186" s="81">
        <f>IFERROR(INDEX('Resource Rate Library'!$N$5:$N$200,MATCH(P186,'Resource Rate Library'!$A$5:$A$200,0)),"")</f>
        <v/>
      </c>
      <c r="AB186" s="53" t="n"/>
      <c r="AC186" s="59" t="n"/>
      <c r="AD186" s="81">
        <f>IFERROR(INDEX('Resource Rate Library'!$G$5:$G$200,MATCH(P186,'Resource Rate Library'!$A$5:$A$200,0)),"")</f>
        <v/>
      </c>
      <c r="AE186" s="81">
        <f>IFERROR(INDEX('Resource Rate Library'!$H$5:$H$200,MATCH(P186,'Resource Rate Library'!$A$5:$A$200,0)),"")</f>
        <v/>
      </c>
      <c r="AF186" s="53" t="n"/>
      <c r="AG186" s="53" t="n"/>
      <c r="AH186" s="53" t="n"/>
      <c r="AI186" s="81">
        <f>IF(B186="","",IF(AND(P186="",N186&lt;&gt;"Lump Sum / Quote"),"RESOURCE CODE",IF(Y186=0,"RATE MISSING",IF(AND(O186="Plant",AD186="Yes",COUNTIFS($B$7:$B$306,B186,$O$7:$O$306,"Labour",$Q$7:$Q$306,"*Operator*")&gt;0),"OPERATOR DOUBLE-COUNT",IF(AND(O186="Plant",AE186="Yes",COUNTIFS($B$7:$B$306,B186,$Q$7:$Q$306,"*Fuel*")&gt;0),"FUEL DOUBLE-COUNT",IF(AH186&lt;&gt;"Yes","VERIFY","OK"))))))</f>
        <v/>
      </c>
      <c r="AJ186" s="54" t="n"/>
      <c r="AK186" s="473" t="n"/>
      <c r="AL186" s="473" t="n"/>
      <c r="AM186" s="473" t="n"/>
      <c r="AN186" s="1444">
        <f>IF(AND(AK186="Yes",OR(O186="Labour",O186="Plant")),Z186,0)</f>
        <v/>
      </c>
    </row>
    <row r="187">
      <c r="A187" s="80">
        <f>IF(B187="","",B187&amp;"-"&amp;TEXT(COUNTIF($B$7:B187,B187),"000"))</f>
        <v/>
      </c>
      <c r="B187" s="53" t="n"/>
      <c r="C187" s="81">
        <f>IFERROR(INDEX('QS Takeoff'!$A$3:$A$202,MATCH(B187,'QS Takeoff'!$B$3:$B$202,0)),"")</f>
        <v/>
      </c>
      <c r="D187" s="81">
        <f>IFERROR(INDEX('QS Takeoff'!$C$3:$C$202,MATCH(B187,'QS Takeoff'!$B$3:$B$202,0)),"")</f>
        <v/>
      </c>
      <c r="E187" s="81">
        <f>IFERROR(INDEX('QS Takeoff'!$E$3:$E$202,MATCH(B187,'QS Takeoff'!$B$3:$B$202,0)),"")</f>
        <v/>
      </c>
      <c r="F187" s="81">
        <f>IFERROR(INDEX('QS Takeoff'!$D$3:$D$202,MATCH(B187,'QS Takeoff'!$B$3:$B$202,0)),"")</f>
        <v/>
      </c>
      <c r="G187" s="81">
        <f>IFERROR(INDEX('QS Takeoff'!$J$3:$J$202,MATCH(B187,'QS Takeoff'!$B$3:$B$202,0)),"")</f>
        <v/>
      </c>
      <c r="H187" s="53" t="n"/>
      <c r="I187" s="60" t="n"/>
      <c r="J187" s="60" t="n"/>
      <c r="K187" s="82">
        <f>IF(OR(B187="",I187="",I187=0),"",E187/I187)</f>
        <v/>
      </c>
      <c r="L187" s="60" t="n"/>
      <c r="M187" s="82">
        <f>IF(L187&gt;0,L187,K187)</f>
        <v/>
      </c>
      <c r="N187" s="53" t="n"/>
      <c r="O187" s="53" t="n"/>
      <c r="P187" s="53" t="n"/>
      <c r="Q187" s="81">
        <f>IFERROR(INDEX('Resource Rate Library'!$C$5:$C$200,MATCH(P187,'Resource Rate Library'!$A$5:$A$200,0)),"")</f>
        <v/>
      </c>
      <c r="R187" s="53" t="n"/>
      <c r="S187" s="53" t="n"/>
      <c r="T187" s="81">
        <f>IFERROR(INDEX('Resource Rate Library'!$E$5:$E$200,MATCH(P187,'Resource Rate Library'!$A$5:$A$200,0)),"")</f>
        <v/>
      </c>
      <c r="U187" s="1441" t="n"/>
      <c r="V187" s="1441" t="n"/>
      <c r="W187" s="1442">
        <f>IFERROR(INDEX('Resource Rate Library'!$I$5:$I$200,MATCH(P187,'Resource Rate Library'!$A$5:$A$200,0)),0)</f>
        <v/>
      </c>
      <c r="X187" s="1443" t="n"/>
      <c r="Y187" s="1442">
        <f>IF(X187&gt;0,X187,W187)</f>
        <v/>
      </c>
      <c r="Z187" s="1442">
        <f>IF(B187="","",IF(N187="Time x Count",M187*R187*IF(U187="",1,U187)*Y187,IF(N187="QS Qty x Factor",E187*R187*(1+IF(V187="",0,V187))*Y187,IF(N187="Direct Qty",S187*(1+IF(V187="",0,V187))*Y187,IF(N187="Lump Sum / Quote",S187*Y187,0)))))</f>
        <v/>
      </c>
      <c r="AA187" s="81">
        <f>IFERROR(INDEX('Resource Rate Library'!$N$5:$N$200,MATCH(P187,'Resource Rate Library'!$A$5:$A$200,0)),"")</f>
        <v/>
      </c>
      <c r="AB187" s="53" t="n"/>
      <c r="AC187" s="59" t="n"/>
      <c r="AD187" s="81">
        <f>IFERROR(INDEX('Resource Rate Library'!$G$5:$G$200,MATCH(P187,'Resource Rate Library'!$A$5:$A$200,0)),"")</f>
        <v/>
      </c>
      <c r="AE187" s="81">
        <f>IFERROR(INDEX('Resource Rate Library'!$H$5:$H$200,MATCH(P187,'Resource Rate Library'!$A$5:$A$200,0)),"")</f>
        <v/>
      </c>
      <c r="AF187" s="53" t="n"/>
      <c r="AG187" s="53" t="n"/>
      <c r="AH187" s="53" t="n"/>
      <c r="AI187" s="81">
        <f>IF(B187="","",IF(AND(P187="",N187&lt;&gt;"Lump Sum / Quote"),"RESOURCE CODE",IF(Y187=0,"RATE MISSING",IF(AND(O187="Plant",AD187="Yes",COUNTIFS($B$7:$B$306,B187,$O$7:$O$306,"Labour",$Q$7:$Q$306,"*Operator*")&gt;0),"OPERATOR DOUBLE-COUNT",IF(AND(O187="Plant",AE187="Yes",COUNTIFS($B$7:$B$306,B187,$Q$7:$Q$306,"*Fuel*")&gt;0),"FUEL DOUBLE-COUNT",IF(AH187&lt;&gt;"Yes","VERIFY","OK"))))))</f>
        <v/>
      </c>
      <c r="AJ187" s="54" t="n"/>
      <c r="AK187" s="473" t="n"/>
      <c r="AL187" s="473" t="n"/>
      <c r="AM187" s="473" t="n"/>
      <c r="AN187" s="1444">
        <f>IF(AND(AK187="Yes",OR(O187="Labour",O187="Plant")),Z187,0)</f>
        <v/>
      </c>
    </row>
    <row r="188">
      <c r="A188" s="80">
        <f>IF(B188="","",B188&amp;"-"&amp;TEXT(COUNTIF($B$7:B188,B188),"000"))</f>
        <v/>
      </c>
      <c r="B188" s="53" t="n"/>
      <c r="C188" s="81">
        <f>IFERROR(INDEX('QS Takeoff'!$A$3:$A$202,MATCH(B188,'QS Takeoff'!$B$3:$B$202,0)),"")</f>
        <v/>
      </c>
      <c r="D188" s="81">
        <f>IFERROR(INDEX('QS Takeoff'!$C$3:$C$202,MATCH(B188,'QS Takeoff'!$B$3:$B$202,0)),"")</f>
        <v/>
      </c>
      <c r="E188" s="81">
        <f>IFERROR(INDEX('QS Takeoff'!$E$3:$E$202,MATCH(B188,'QS Takeoff'!$B$3:$B$202,0)),"")</f>
        <v/>
      </c>
      <c r="F188" s="81">
        <f>IFERROR(INDEX('QS Takeoff'!$D$3:$D$202,MATCH(B188,'QS Takeoff'!$B$3:$B$202,0)),"")</f>
        <v/>
      </c>
      <c r="G188" s="81">
        <f>IFERROR(INDEX('QS Takeoff'!$J$3:$J$202,MATCH(B188,'QS Takeoff'!$B$3:$B$202,0)),"")</f>
        <v/>
      </c>
      <c r="H188" s="53" t="n"/>
      <c r="I188" s="60" t="n"/>
      <c r="J188" s="60" t="n"/>
      <c r="K188" s="82">
        <f>IF(OR(B188="",I188="",I188=0),"",E188/I188)</f>
        <v/>
      </c>
      <c r="L188" s="60" t="n"/>
      <c r="M188" s="82">
        <f>IF(L188&gt;0,L188,K188)</f>
        <v/>
      </c>
      <c r="N188" s="53" t="n"/>
      <c r="O188" s="53" t="n"/>
      <c r="P188" s="53" t="n"/>
      <c r="Q188" s="81">
        <f>IFERROR(INDEX('Resource Rate Library'!$C$5:$C$200,MATCH(P188,'Resource Rate Library'!$A$5:$A$200,0)),"")</f>
        <v/>
      </c>
      <c r="R188" s="53" t="n"/>
      <c r="S188" s="53" t="n"/>
      <c r="T188" s="81">
        <f>IFERROR(INDEX('Resource Rate Library'!$E$5:$E$200,MATCH(P188,'Resource Rate Library'!$A$5:$A$200,0)),"")</f>
        <v/>
      </c>
      <c r="U188" s="1441" t="n"/>
      <c r="V188" s="1441" t="n"/>
      <c r="W188" s="1442">
        <f>IFERROR(INDEX('Resource Rate Library'!$I$5:$I$200,MATCH(P188,'Resource Rate Library'!$A$5:$A$200,0)),0)</f>
        <v/>
      </c>
      <c r="X188" s="1443" t="n"/>
      <c r="Y188" s="1442">
        <f>IF(X188&gt;0,X188,W188)</f>
        <v/>
      </c>
      <c r="Z188" s="1442">
        <f>IF(B188="","",IF(N188="Time x Count",M188*R188*IF(U188="",1,U188)*Y188,IF(N188="QS Qty x Factor",E188*R188*(1+IF(V188="",0,V188))*Y188,IF(N188="Direct Qty",S188*(1+IF(V188="",0,V188))*Y188,IF(N188="Lump Sum / Quote",S188*Y188,0)))))</f>
        <v/>
      </c>
      <c r="AA188" s="81">
        <f>IFERROR(INDEX('Resource Rate Library'!$N$5:$N$200,MATCH(P188,'Resource Rate Library'!$A$5:$A$200,0)),"")</f>
        <v/>
      </c>
      <c r="AB188" s="53" t="n"/>
      <c r="AC188" s="59" t="n"/>
      <c r="AD188" s="81">
        <f>IFERROR(INDEX('Resource Rate Library'!$G$5:$G$200,MATCH(P188,'Resource Rate Library'!$A$5:$A$200,0)),"")</f>
        <v/>
      </c>
      <c r="AE188" s="81">
        <f>IFERROR(INDEX('Resource Rate Library'!$H$5:$H$200,MATCH(P188,'Resource Rate Library'!$A$5:$A$200,0)),"")</f>
        <v/>
      </c>
      <c r="AF188" s="53" t="n"/>
      <c r="AG188" s="53" t="n"/>
      <c r="AH188" s="53" t="n"/>
      <c r="AI188" s="81">
        <f>IF(B188="","",IF(AND(P188="",N188&lt;&gt;"Lump Sum / Quote"),"RESOURCE CODE",IF(Y188=0,"RATE MISSING",IF(AND(O188="Plant",AD188="Yes",COUNTIFS($B$7:$B$306,B188,$O$7:$O$306,"Labour",$Q$7:$Q$306,"*Operator*")&gt;0),"OPERATOR DOUBLE-COUNT",IF(AND(O188="Plant",AE188="Yes",COUNTIFS($B$7:$B$306,B188,$Q$7:$Q$306,"*Fuel*")&gt;0),"FUEL DOUBLE-COUNT",IF(AH188&lt;&gt;"Yes","VERIFY","OK"))))))</f>
        <v/>
      </c>
      <c r="AJ188" s="54" t="n"/>
      <c r="AK188" s="473" t="n"/>
      <c r="AL188" s="473" t="n"/>
      <c r="AM188" s="473" t="n"/>
      <c r="AN188" s="1444">
        <f>IF(AND(AK188="Yes",OR(O188="Labour",O188="Plant")),Z188,0)</f>
        <v/>
      </c>
    </row>
    <row r="189">
      <c r="A189" s="80">
        <f>IF(B189="","",B189&amp;"-"&amp;TEXT(COUNTIF($B$7:B189,B189),"000"))</f>
        <v/>
      </c>
      <c r="B189" s="53" t="n"/>
      <c r="C189" s="81">
        <f>IFERROR(INDEX('QS Takeoff'!$A$3:$A$202,MATCH(B189,'QS Takeoff'!$B$3:$B$202,0)),"")</f>
        <v/>
      </c>
      <c r="D189" s="81">
        <f>IFERROR(INDEX('QS Takeoff'!$C$3:$C$202,MATCH(B189,'QS Takeoff'!$B$3:$B$202,0)),"")</f>
        <v/>
      </c>
      <c r="E189" s="81">
        <f>IFERROR(INDEX('QS Takeoff'!$E$3:$E$202,MATCH(B189,'QS Takeoff'!$B$3:$B$202,0)),"")</f>
        <v/>
      </c>
      <c r="F189" s="81">
        <f>IFERROR(INDEX('QS Takeoff'!$D$3:$D$202,MATCH(B189,'QS Takeoff'!$B$3:$B$202,0)),"")</f>
        <v/>
      </c>
      <c r="G189" s="81">
        <f>IFERROR(INDEX('QS Takeoff'!$J$3:$J$202,MATCH(B189,'QS Takeoff'!$B$3:$B$202,0)),"")</f>
        <v/>
      </c>
      <c r="H189" s="53" t="n"/>
      <c r="I189" s="60" t="n"/>
      <c r="J189" s="60" t="n"/>
      <c r="K189" s="82">
        <f>IF(OR(B189="",I189="",I189=0),"",E189/I189)</f>
        <v/>
      </c>
      <c r="L189" s="60" t="n"/>
      <c r="M189" s="82">
        <f>IF(L189&gt;0,L189,K189)</f>
        <v/>
      </c>
      <c r="N189" s="53" t="n"/>
      <c r="O189" s="53" t="n"/>
      <c r="P189" s="53" t="n"/>
      <c r="Q189" s="81">
        <f>IFERROR(INDEX('Resource Rate Library'!$C$5:$C$200,MATCH(P189,'Resource Rate Library'!$A$5:$A$200,0)),"")</f>
        <v/>
      </c>
      <c r="R189" s="53" t="n"/>
      <c r="S189" s="53" t="n"/>
      <c r="T189" s="81">
        <f>IFERROR(INDEX('Resource Rate Library'!$E$5:$E$200,MATCH(P189,'Resource Rate Library'!$A$5:$A$200,0)),"")</f>
        <v/>
      </c>
      <c r="U189" s="1441" t="n"/>
      <c r="V189" s="1441" t="n"/>
      <c r="W189" s="1442">
        <f>IFERROR(INDEX('Resource Rate Library'!$I$5:$I$200,MATCH(P189,'Resource Rate Library'!$A$5:$A$200,0)),0)</f>
        <v/>
      </c>
      <c r="X189" s="1443" t="n"/>
      <c r="Y189" s="1442">
        <f>IF(X189&gt;0,X189,W189)</f>
        <v/>
      </c>
      <c r="Z189" s="1442">
        <f>IF(B189="","",IF(N189="Time x Count",M189*R189*IF(U189="",1,U189)*Y189,IF(N189="QS Qty x Factor",E189*R189*(1+IF(V189="",0,V189))*Y189,IF(N189="Direct Qty",S189*(1+IF(V189="",0,V189))*Y189,IF(N189="Lump Sum / Quote",S189*Y189,0)))))</f>
        <v/>
      </c>
      <c r="AA189" s="81">
        <f>IFERROR(INDEX('Resource Rate Library'!$N$5:$N$200,MATCH(P189,'Resource Rate Library'!$A$5:$A$200,0)),"")</f>
        <v/>
      </c>
      <c r="AB189" s="53" t="n"/>
      <c r="AC189" s="59" t="n"/>
      <c r="AD189" s="81">
        <f>IFERROR(INDEX('Resource Rate Library'!$G$5:$G$200,MATCH(P189,'Resource Rate Library'!$A$5:$A$200,0)),"")</f>
        <v/>
      </c>
      <c r="AE189" s="81">
        <f>IFERROR(INDEX('Resource Rate Library'!$H$5:$H$200,MATCH(P189,'Resource Rate Library'!$A$5:$A$200,0)),"")</f>
        <v/>
      </c>
      <c r="AF189" s="53" t="n"/>
      <c r="AG189" s="53" t="n"/>
      <c r="AH189" s="53" t="n"/>
      <c r="AI189" s="81">
        <f>IF(B189="","",IF(AND(P189="",N189&lt;&gt;"Lump Sum / Quote"),"RESOURCE CODE",IF(Y189=0,"RATE MISSING",IF(AND(O189="Plant",AD189="Yes",COUNTIFS($B$7:$B$306,B189,$O$7:$O$306,"Labour",$Q$7:$Q$306,"*Operator*")&gt;0),"OPERATOR DOUBLE-COUNT",IF(AND(O189="Plant",AE189="Yes",COUNTIFS($B$7:$B$306,B189,$Q$7:$Q$306,"*Fuel*")&gt;0),"FUEL DOUBLE-COUNT",IF(AH189&lt;&gt;"Yes","VERIFY","OK"))))))</f>
        <v/>
      </c>
      <c r="AJ189" s="54" t="n"/>
      <c r="AK189" s="473" t="n"/>
      <c r="AL189" s="473" t="n"/>
      <c r="AM189" s="473" t="n"/>
      <c r="AN189" s="1444">
        <f>IF(AND(AK189="Yes",OR(O189="Labour",O189="Plant")),Z189,0)</f>
        <v/>
      </c>
    </row>
    <row r="190">
      <c r="A190" s="80">
        <f>IF(B190="","",B190&amp;"-"&amp;TEXT(COUNTIF($B$7:B190,B190),"000"))</f>
        <v/>
      </c>
      <c r="B190" s="53" t="n"/>
      <c r="C190" s="81">
        <f>IFERROR(INDEX('QS Takeoff'!$A$3:$A$202,MATCH(B190,'QS Takeoff'!$B$3:$B$202,0)),"")</f>
        <v/>
      </c>
      <c r="D190" s="81">
        <f>IFERROR(INDEX('QS Takeoff'!$C$3:$C$202,MATCH(B190,'QS Takeoff'!$B$3:$B$202,0)),"")</f>
        <v/>
      </c>
      <c r="E190" s="81">
        <f>IFERROR(INDEX('QS Takeoff'!$E$3:$E$202,MATCH(B190,'QS Takeoff'!$B$3:$B$202,0)),"")</f>
        <v/>
      </c>
      <c r="F190" s="81">
        <f>IFERROR(INDEX('QS Takeoff'!$D$3:$D$202,MATCH(B190,'QS Takeoff'!$B$3:$B$202,0)),"")</f>
        <v/>
      </c>
      <c r="G190" s="81">
        <f>IFERROR(INDEX('QS Takeoff'!$J$3:$J$202,MATCH(B190,'QS Takeoff'!$B$3:$B$202,0)),"")</f>
        <v/>
      </c>
      <c r="H190" s="53" t="n"/>
      <c r="I190" s="60" t="n"/>
      <c r="J190" s="60" t="n"/>
      <c r="K190" s="82">
        <f>IF(OR(B190="",I190="",I190=0),"",E190/I190)</f>
        <v/>
      </c>
      <c r="L190" s="60" t="n"/>
      <c r="M190" s="82">
        <f>IF(L190&gt;0,L190,K190)</f>
        <v/>
      </c>
      <c r="N190" s="53" t="n"/>
      <c r="O190" s="53" t="n"/>
      <c r="P190" s="53" t="n"/>
      <c r="Q190" s="81">
        <f>IFERROR(INDEX('Resource Rate Library'!$C$5:$C$200,MATCH(P190,'Resource Rate Library'!$A$5:$A$200,0)),"")</f>
        <v/>
      </c>
      <c r="R190" s="53" t="n"/>
      <c r="S190" s="53" t="n"/>
      <c r="T190" s="81">
        <f>IFERROR(INDEX('Resource Rate Library'!$E$5:$E$200,MATCH(P190,'Resource Rate Library'!$A$5:$A$200,0)),"")</f>
        <v/>
      </c>
      <c r="U190" s="1441" t="n"/>
      <c r="V190" s="1441" t="n"/>
      <c r="W190" s="1442">
        <f>IFERROR(INDEX('Resource Rate Library'!$I$5:$I$200,MATCH(P190,'Resource Rate Library'!$A$5:$A$200,0)),0)</f>
        <v/>
      </c>
      <c r="X190" s="1443" t="n"/>
      <c r="Y190" s="1442">
        <f>IF(X190&gt;0,X190,W190)</f>
        <v/>
      </c>
      <c r="Z190" s="1442">
        <f>IF(B190="","",IF(N190="Time x Count",M190*R190*IF(U190="",1,U190)*Y190,IF(N190="QS Qty x Factor",E190*R190*(1+IF(V190="",0,V190))*Y190,IF(N190="Direct Qty",S190*(1+IF(V190="",0,V190))*Y190,IF(N190="Lump Sum / Quote",S190*Y190,0)))))</f>
        <v/>
      </c>
      <c r="AA190" s="81">
        <f>IFERROR(INDEX('Resource Rate Library'!$N$5:$N$200,MATCH(P190,'Resource Rate Library'!$A$5:$A$200,0)),"")</f>
        <v/>
      </c>
      <c r="AB190" s="53" t="n"/>
      <c r="AC190" s="59" t="n"/>
      <c r="AD190" s="81">
        <f>IFERROR(INDEX('Resource Rate Library'!$G$5:$G$200,MATCH(P190,'Resource Rate Library'!$A$5:$A$200,0)),"")</f>
        <v/>
      </c>
      <c r="AE190" s="81">
        <f>IFERROR(INDEX('Resource Rate Library'!$H$5:$H$200,MATCH(P190,'Resource Rate Library'!$A$5:$A$200,0)),"")</f>
        <v/>
      </c>
      <c r="AF190" s="53" t="n"/>
      <c r="AG190" s="53" t="n"/>
      <c r="AH190" s="53" t="n"/>
      <c r="AI190" s="81">
        <f>IF(B190="","",IF(AND(P190="",N190&lt;&gt;"Lump Sum / Quote"),"RESOURCE CODE",IF(Y190=0,"RATE MISSING",IF(AND(O190="Plant",AD190="Yes",COUNTIFS($B$7:$B$306,B190,$O$7:$O$306,"Labour",$Q$7:$Q$306,"*Operator*")&gt;0),"OPERATOR DOUBLE-COUNT",IF(AND(O190="Plant",AE190="Yes",COUNTIFS($B$7:$B$306,B190,$Q$7:$Q$306,"*Fuel*")&gt;0),"FUEL DOUBLE-COUNT",IF(AH190&lt;&gt;"Yes","VERIFY","OK"))))))</f>
        <v/>
      </c>
      <c r="AJ190" s="54" t="n"/>
      <c r="AK190" s="473" t="n"/>
      <c r="AL190" s="473" t="n"/>
      <c r="AM190" s="473" t="n"/>
      <c r="AN190" s="1444">
        <f>IF(AND(AK190="Yes",OR(O190="Labour",O190="Plant")),Z190,0)</f>
        <v/>
      </c>
    </row>
    <row r="191">
      <c r="A191" s="80">
        <f>IF(B191="","",B191&amp;"-"&amp;TEXT(COUNTIF($B$7:B191,B191),"000"))</f>
        <v/>
      </c>
      <c r="B191" s="53" t="n"/>
      <c r="C191" s="81">
        <f>IFERROR(INDEX('QS Takeoff'!$A$3:$A$202,MATCH(B191,'QS Takeoff'!$B$3:$B$202,0)),"")</f>
        <v/>
      </c>
      <c r="D191" s="81">
        <f>IFERROR(INDEX('QS Takeoff'!$C$3:$C$202,MATCH(B191,'QS Takeoff'!$B$3:$B$202,0)),"")</f>
        <v/>
      </c>
      <c r="E191" s="81">
        <f>IFERROR(INDEX('QS Takeoff'!$E$3:$E$202,MATCH(B191,'QS Takeoff'!$B$3:$B$202,0)),"")</f>
        <v/>
      </c>
      <c r="F191" s="81">
        <f>IFERROR(INDEX('QS Takeoff'!$D$3:$D$202,MATCH(B191,'QS Takeoff'!$B$3:$B$202,0)),"")</f>
        <v/>
      </c>
      <c r="G191" s="81">
        <f>IFERROR(INDEX('QS Takeoff'!$J$3:$J$202,MATCH(B191,'QS Takeoff'!$B$3:$B$202,0)),"")</f>
        <v/>
      </c>
      <c r="H191" s="53" t="n"/>
      <c r="I191" s="60" t="n"/>
      <c r="J191" s="60" t="n"/>
      <c r="K191" s="82">
        <f>IF(OR(B191="",I191="",I191=0),"",E191/I191)</f>
        <v/>
      </c>
      <c r="L191" s="60" t="n"/>
      <c r="M191" s="82">
        <f>IF(L191&gt;0,L191,K191)</f>
        <v/>
      </c>
      <c r="N191" s="53" t="n"/>
      <c r="O191" s="53" t="n"/>
      <c r="P191" s="53" t="n"/>
      <c r="Q191" s="81">
        <f>IFERROR(INDEX('Resource Rate Library'!$C$5:$C$200,MATCH(P191,'Resource Rate Library'!$A$5:$A$200,0)),"")</f>
        <v/>
      </c>
      <c r="R191" s="53" t="n"/>
      <c r="S191" s="53" t="n"/>
      <c r="T191" s="81">
        <f>IFERROR(INDEX('Resource Rate Library'!$E$5:$E$200,MATCH(P191,'Resource Rate Library'!$A$5:$A$200,0)),"")</f>
        <v/>
      </c>
      <c r="U191" s="1441" t="n"/>
      <c r="V191" s="1441" t="n"/>
      <c r="W191" s="1442">
        <f>IFERROR(INDEX('Resource Rate Library'!$I$5:$I$200,MATCH(P191,'Resource Rate Library'!$A$5:$A$200,0)),0)</f>
        <v/>
      </c>
      <c r="X191" s="1443" t="n"/>
      <c r="Y191" s="1442">
        <f>IF(X191&gt;0,X191,W191)</f>
        <v/>
      </c>
      <c r="Z191" s="1442">
        <f>IF(B191="","",IF(N191="Time x Count",M191*R191*IF(U191="",1,U191)*Y191,IF(N191="QS Qty x Factor",E191*R191*(1+IF(V191="",0,V191))*Y191,IF(N191="Direct Qty",S191*(1+IF(V191="",0,V191))*Y191,IF(N191="Lump Sum / Quote",S191*Y191,0)))))</f>
        <v/>
      </c>
      <c r="AA191" s="81">
        <f>IFERROR(INDEX('Resource Rate Library'!$N$5:$N$200,MATCH(P191,'Resource Rate Library'!$A$5:$A$200,0)),"")</f>
        <v/>
      </c>
      <c r="AB191" s="53" t="n"/>
      <c r="AC191" s="59" t="n"/>
      <c r="AD191" s="81">
        <f>IFERROR(INDEX('Resource Rate Library'!$G$5:$G$200,MATCH(P191,'Resource Rate Library'!$A$5:$A$200,0)),"")</f>
        <v/>
      </c>
      <c r="AE191" s="81">
        <f>IFERROR(INDEX('Resource Rate Library'!$H$5:$H$200,MATCH(P191,'Resource Rate Library'!$A$5:$A$200,0)),"")</f>
        <v/>
      </c>
      <c r="AF191" s="53" t="n"/>
      <c r="AG191" s="53" t="n"/>
      <c r="AH191" s="53" t="n"/>
      <c r="AI191" s="81">
        <f>IF(B191="","",IF(AND(P191="",N191&lt;&gt;"Lump Sum / Quote"),"RESOURCE CODE",IF(Y191=0,"RATE MISSING",IF(AND(O191="Plant",AD191="Yes",COUNTIFS($B$7:$B$306,B191,$O$7:$O$306,"Labour",$Q$7:$Q$306,"*Operator*")&gt;0),"OPERATOR DOUBLE-COUNT",IF(AND(O191="Plant",AE191="Yes",COUNTIFS($B$7:$B$306,B191,$Q$7:$Q$306,"*Fuel*")&gt;0),"FUEL DOUBLE-COUNT",IF(AH191&lt;&gt;"Yes","VERIFY","OK"))))))</f>
        <v/>
      </c>
      <c r="AJ191" s="54" t="n"/>
      <c r="AK191" s="473" t="n"/>
      <c r="AL191" s="473" t="n"/>
      <c r="AM191" s="473" t="n"/>
      <c r="AN191" s="1444">
        <f>IF(AND(AK191="Yes",OR(O191="Labour",O191="Plant")),Z191,0)</f>
        <v/>
      </c>
    </row>
    <row r="192">
      <c r="A192" s="80">
        <f>IF(B192="","",B192&amp;"-"&amp;TEXT(COUNTIF($B$7:B192,B192),"000"))</f>
        <v/>
      </c>
      <c r="B192" s="53" t="n"/>
      <c r="C192" s="81">
        <f>IFERROR(INDEX('QS Takeoff'!$A$3:$A$202,MATCH(B192,'QS Takeoff'!$B$3:$B$202,0)),"")</f>
        <v/>
      </c>
      <c r="D192" s="81">
        <f>IFERROR(INDEX('QS Takeoff'!$C$3:$C$202,MATCH(B192,'QS Takeoff'!$B$3:$B$202,0)),"")</f>
        <v/>
      </c>
      <c r="E192" s="81">
        <f>IFERROR(INDEX('QS Takeoff'!$E$3:$E$202,MATCH(B192,'QS Takeoff'!$B$3:$B$202,0)),"")</f>
        <v/>
      </c>
      <c r="F192" s="81">
        <f>IFERROR(INDEX('QS Takeoff'!$D$3:$D$202,MATCH(B192,'QS Takeoff'!$B$3:$B$202,0)),"")</f>
        <v/>
      </c>
      <c r="G192" s="81">
        <f>IFERROR(INDEX('QS Takeoff'!$J$3:$J$202,MATCH(B192,'QS Takeoff'!$B$3:$B$202,0)),"")</f>
        <v/>
      </c>
      <c r="H192" s="53" t="n"/>
      <c r="I192" s="60" t="n"/>
      <c r="J192" s="60" t="n"/>
      <c r="K192" s="82">
        <f>IF(OR(B192="",I192="",I192=0),"",E192/I192)</f>
        <v/>
      </c>
      <c r="L192" s="60" t="n"/>
      <c r="M192" s="82">
        <f>IF(L192&gt;0,L192,K192)</f>
        <v/>
      </c>
      <c r="N192" s="53" t="n"/>
      <c r="O192" s="53" t="n"/>
      <c r="P192" s="53" t="n"/>
      <c r="Q192" s="81">
        <f>IFERROR(INDEX('Resource Rate Library'!$C$5:$C$200,MATCH(P192,'Resource Rate Library'!$A$5:$A$200,0)),"")</f>
        <v/>
      </c>
      <c r="R192" s="53" t="n"/>
      <c r="S192" s="53" t="n"/>
      <c r="T192" s="81">
        <f>IFERROR(INDEX('Resource Rate Library'!$E$5:$E$200,MATCH(P192,'Resource Rate Library'!$A$5:$A$200,0)),"")</f>
        <v/>
      </c>
      <c r="U192" s="1441" t="n"/>
      <c r="V192" s="1441" t="n"/>
      <c r="W192" s="1442">
        <f>IFERROR(INDEX('Resource Rate Library'!$I$5:$I$200,MATCH(P192,'Resource Rate Library'!$A$5:$A$200,0)),0)</f>
        <v/>
      </c>
      <c r="X192" s="1443" t="n"/>
      <c r="Y192" s="1442">
        <f>IF(X192&gt;0,X192,W192)</f>
        <v/>
      </c>
      <c r="Z192" s="1442">
        <f>IF(B192="","",IF(N192="Time x Count",M192*R192*IF(U192="",1,U192)*Y192,IF(N192="QS Qty x Factor",E192*R192*(1+IF(V192="",0,V192))*Y192,IF(N192="Direct Qty",S192*(1+IF(V192="",0,V192))*Y192,IF(N192="Lump Sum / Quote",S192*Y192,0)))))</f>
        <v/>
      </c>
      <c r="AA192" s="81">
        <f>IFERROR(INDEX('Resource Rate Library'!$N$5:$N$200,MATCH(P192,'Resource Rate Library'!$A$5:$A$200,0)),"")</f>
        <v/>
      </c>
      <c r="AB192" s="53" t="n"/>
      <c r="AC192" s="59" t="n"/>
      <c r="AD192" s="81">
        <f>IFERROR(INDEX('Resource Rate Library'!$G$5:$G$200,MATCH(P192,'Resource Rate Library'!$A$5:$A$200,0)),"")</f>
        <v/>
      </c>
      <c r="AE192" s="81">
        <f>IFERROR(INDEX('Resource Rate Library'!$H$5:$H$200,MATCH(P192,'Resource Rate Library'!$A$5:$A$200,0)),"")</f>
        <v/>
      </c>
      <c r="AF192" s="53" t="n"/>
      <c r="AG192" s="53" t="n"/>
      <c r="AH192" s="53" t="n"/>
      <c r="AI192" s="81">
        <f>IF(B192="","",IF(AND(P192="",N192&lt;&gt;"Lump Sum / Quote"),"RESOURCE CODE",IF(Y192=0,"RATE MISSING",IF(AND(O192="Plant",AD192="Yes",COUNTIFS($B$7:$B$306,B192,$O$7:$O$306,"Labour",$Q$7:$Q$306,"*Operator*")&gt;0),"OPERATOR DOUBLE-COUNT",IF(AND(O192="Plant",AE192="Yes",COUNTIFS($B$7:$B$306,B192,$Q$7:$Q$306,"*Fuel*")&gt;0),"FUEL DOUBLE-COUNT",IF(AH192&lt;&gt;"Yes","VERIFY","OK"))))))</f>
        <v/>
      </c>
      <c r="AJ192" s="54" t="n"/>
      <c r="AK192" s="473" t="n"/>
      <c r="AL192" s="473" t="n"/>
      <c r="AM192" s="473" t="n"/>
      <c r="AN192" s="1444">
        <f>IF(AND(AK192="Yes",OR(O192="Labour",O192="Plant")),Z192,0)</f>
        <v/>
      </c>
    </row>
    <row r="193">
      <c r="A193" s="80">
        <f>IF(B193="","",B193&amp;"-"&amp;TEXT(COUNTIF($B$7:B193,B193),"000"))</f>
        <v/>
      </c>
      <c r="B193" s="53" t="n"/>
      <c r="C193" s="81">
        <f>IFERROR(INDEX('QS Takeoff'!$A$3:$A$202,MATCH(B193,'QS Takeoff'!$B$3:$B$202,0)),"")</f>
        <v/>
      </c>
      <c r="D193" s="81">
        <f>IFERROR(INDEX('QS Takeoff'!$C$3:$C$202,MATCH(B193,'QS Takeoff'!$B$3:$B$202,0)),"")</f>
        <v/>
      </c>
      <c r="E193" s="81">
        <f>IFERROR(INDEX('QS Takeoff'!$E$3:$E$202,MATCH(B193,'QS Takeoff'!$B$3:$B$202,0)),"")</f>
        <v/>
      </c>
      <c r="F193" s="81">
        <f>IFERROR(INDEX('QS Takeoff'!$D$3:$D$202,MATCH(B193,'QS Takeoff'!$B$3:$B$202,0)),"")</f>
        <v/>
      </c>
      <c r="G193" s="81">
        <f>IFERROR(INDEX('QS Takeoff'!$J$3:$J$202,MATCH(B193,'QS Takeoff'!$B$3:$B$202,0)),"")</f>
        <v/>
      </c>
      <c r="H193" s="53" t="n"/>
      <c r="I193" s="60" t="n"/>
      <c r="J193" s="60" t="n"/>
      <c r="K193" s="82">
        <f>IF(OR(B193="",I193="",I193=0),"",E193/I193)</f>
        <v/>
      </c>
      <c r="L193" s="60" t="n"/>
      <c r="M193" s="82">
        <f>IF(L193&gt;0,L193,K193)</f>
        <v/>
      </c>
      <c r="N193" s="53" t="n"/>
      <c r="O193" s="53" t="n"/>
      <c r="P193" s="53" t="n"/>
      <c r="Q193" s="81">
        <f>IFERROR(INDEX('Resource Rate Library'!$C$5:$C$200,MATCH(P193,'Resource Rate Library'!$A$5:$A$200,0)),"")</f>
        <v/>
      </c>
      <c r="R193" s="53" t="n"/>
      <c r="S193" s="53" t="n"/>
      <c r="T193" s="81">
        <f>IFERROR(INDEX('Resource Rate Library'!$E$5:$E$200,MATCH(P193,'Resource Rate Library'!$A$5:$A$200,0)),"")</f>
        <v/>
      </c>
      <c r="U193" s="1441" t="n"/>
      <c r="V193" s="1441" t="n"/>
      <c r="W193" s="1442">
        <f>IFERROR(INDEX('Resource Rate Library'!$I$5:$I$200,MATCH(P193,'Resource Rate Library'!$A$5:$A$200,0)),0)</f>
        <v/>
      </c>
      <c r="X193" s="1443" t="n"/>
      <c r="Y193" s="1442">
        <f>IF(X193&gt;0,X193,W193)</f>
        <v/>
      </c>
      <c r="Z193" s="1442">
        <f>IF(B193="","",IF(N193="Time x Count",M193*R193*IF(U193="",1,U193)*Y193,IF(N193="QS Qty x Factor",E193*R193*(1+IF(V193="",0,V193))*Y193,IF(N193="Direct Qty",S193*(1+IF(V193="",0,V193))*Y193,IF(N193="Lump Sum / Quote",S193*Y193,0)))))</f>
        <v/>
      </c>
      <c r="AA193" s="81">
        <f>IFERROR(INDEX('Resource Rate Library'!$N$5:$N$200,MATCH(P193,'Resource Rate Library'!$A$5:$A$200,0)),"")</f>
        <v/>
      </c>
      <c r="AB193" s="53" t="n"/>
      <c r="AC193" s="59" t="n"/>
      <c r="AD193" s="81">
        <f>IFERROR(INDEX('Resource Rate Library'!$G$5:$G$200,MATCH(P193,'Resource Rate Library'!$A$5:$A$200,0)),"")</f>
        <v/>
      </c>
      <c r="AE193" s="81">
        <f>IFERROR(INDEX('Resource Rate Library'!$H$5:$H$200,MATCH(P193,'Resource Rate Library'!$A$5:$A$200,0)),"")</f>
        <v/>
      </c>
      <c r="AF193" s="53" t="n"/>
      <c r="AG193" s="53" t="n"/>
      <c r="AH193" s="53" t="n"/>
      <c r="AI193" s="81">
        <f>IF(B193="","",IF(AND(P193="",N193&lt;&gt;"Lump Sum / Quote"),"RESOURCE CODE",IF(Y193=0,"RATE MISSING",IF(AND(O193="Plant",AD193="Yes",COUNTIFS($B$7:$B$306,B193,$O$7:$O$306,"Labour",$Q$7:$Q$306,"*Operator*")&gt;0),"OPERATOR DOUBLE-COUNT",IF(AND(O193="Plant",AE193="Yes",COUNTIFS($B$7:$B$306,B193,$Q$7:$Q$306,"*Fuel*")&gt;0),"FUEL DOUBLE-COUNT",IF(AH193&lt;&gt;"Yes","VERIFY","OK"))))))</f>
        <v/>
      </c>
      <c r="AJ193" s="54" t="n"/>
      <c r="AK193" s="473" t="n"/>
      <c r="AL193" s="473" t="n"/>
      <c r="AM193" s="473" t="n"/>
      <c r="AN193" s="1444">
        <f>IF(AND(AK193="Yes",OR(O193="Labour",O193="Plant")),Z193,0)</f>
        <v/>
      </c>
    </row>
    <row r="194">
      <c r="A194" s="80">
        <f>IF(B194="","",B194&amp;"-"&amp;TEXT(COUNTIF($B$7:B194,B194),"000"))</f>
        <v/>
      </c>
      <c r="B194" s="53" t="n"/>
      <c r="C194" s="81">
        <f>IFERROR(INDEX('QS Takeoff'!$A$3:$A$202,MATCH(B194,'QS Takeoff'!$B$3:$B$202,0)),"")</f>
        <v/>
      </c>
      <c r="D194" s="81">
        <f>IFERROR(INDEX('QS Takeoff'!$C$3:$C$202,MATCH(B194,'QS Takeoff'!$B$3:$B$202,0)),"")</f>
        <v/>
      </c>
      <c r="E194" s="81">
        <f>IFERROR(INDEX('QS Takeoff'!$E$3:$E$202,MATCH(B194,'QS Takeoff'!$B$3:$B$202,0)),"")</f>
        <v/>
      </c>
      <c r="F194" s="81">
        <f>IFERROR(INDEX('QS Takeoff'!$D$3:$D$202,MATCH(B194,'QS Takeoff'!$B$3:$B$202,0)),"")</f>
        <v/>
      </c>
      <c r="G194" s="81">
        <f>IFERROR(INDEX('QS Takeoff'!$J$3:$J$202,MATCH(B194,'QS Takeoff'!$B$3:$B$202,0)),"")</f>
        <v/>
      </c>
      <c r="H194" s="53" t="n"/>
      <c r="I194" s="60" t="n"/>
      <c r="J194" s="60" t="n"/>
      <c r="K194" s="82">
        <f>IF(OR(B194="",I194="",I194=0),"",E194/I194)</f>
        <v/>
      </c>
      <c r="L194" s="60" t="n"/>
      <c r="M194" s="82">
        <f>IF(L194&gt;0,L194,K194)</f>
        <v/>
      </c>
      <c r="N194" s="53" t="n"/>
      <c r="O194" s="53" t="n"/>
      <c r="P194" s="53" t="n"/>
      <c r="Q194" s="81">
        <f>IFERROR(INDEX('Resource Rate Library'!$C$5:$C$200,MATCH(P194,'Resource Rate Library'!$A$5:$A$200,0)),"")</f>
        <v/>
      </c>
      <c r="R194" s="53" t="n"/>
      <c r="S194" s="53" t="n"/>
      <c r="T194" s="81">
        <f>IFERROR(INDEX('Resource Rate Library'!$E$5:$E$200,MATCH(P194,'Resource Rate Library'!$A$5:$A$200,0)),"")</f>
        <v/>
      </c>
      <c r="U194" s="1441" t="n"/>
      <c r="V194" s="1441" t="n"/>
      <c r="W194" s="1442">
        <f>IFERROR(INDEX('Resource Rate Library'!$I$5:$I$200,MATCH(P194,'Resource Rate Library'!$A$5:$A$200,0)),0)</f>
        <v/>
      </c>
      <c r="X194" s="1443" t="n"/>
      <c r="Y194" s="1442">
        <f>IF(X194&gt;0,X194,W194)</f>
        <v/>
      </c>
      <c r="Z194" s="1442">
        <f>IF(B194="","",IF(N194="Time x Count",M194*R194*IF(U194="",1,U194)*Y194,IF(N194="QS Qty x Factor",E194*R194*(1+IF(V194="",0,V194))*Y194,IF(N194="Direct Qty",S194*(1+IF(V194="",0,V194))*Y194,IF(N194="Lump Sum / Quote",S194*Y194,0)))))</f>
        <v/>
      </c>
      <c r="AA194" s="81">
        <f>IFERROR(INDEX('Resource Rate Library'!$N$5:$N$200,MATCH(P194,'Resource Rate Library'!$A$5:$A$200,0)),"")</f>
        <v/>
      </c>
      <c r="AB194" s="53" t="n"/>
      <c r="AC194" s="59" t="n"/>
      <c r="AD194" s="81">
        <f>IFERROR(INDEX('Resource Rate Library'!$G$5:$G$200,MATCH(P194,'Resource Rate Library'!$A$5:$A$200,0)),"")</f>
        <v/>
      </c>
      <c r="AE194" s="81">
        <f>IFERROR(INDEX('Resource Rate Library'!$H$5:$H$200,MATCH(P194,'Resource Rate Library'!$A$5:$A$200,0)),"")</f>
        <v/>
      </c>
      <c r="AF194" s="53" t="n"/>
      <c r="AG194" s="53" t="n"/>
      <c r="AH194" s="53" t="n"/>
      <c r="AI194" s="81">
        <f>IF(B194="","",IF(AND(P194="",N194&lt;&gt;"Lump Sum / Quote"),"RESOURCE CODE",IF(Y194=0,"RATE MISSING",IF(AND(O194="Plant",AD194="Yes",COUNTIFS($B$7:$B$306,B194,$O$7:$O$306,"Labour",$Q$7:$Q$306,"*Operator*")&gt;0),"OPERATOR DOUBLE-COUNT",IF(AND(O194="Plant",AE194="Yes",COUNTIFS($B$7:$B$306,B194,$Q$7:$Q$306,"*Fuel*")&gt;0),"FUEL DOUBLE-COUNT",IF(AH194&lt;&gt;"Yes","VERIFY","OK"))))))</f>
        <v/>
      </c>
      <c r="AJ194" s="54" t="n"/>
      <c r="AK194" s="473" t="n"/>
      <c r="AL194" s="473" t="n"/>
      <c r="AM194" s="473" t="n"/>
      <c r="AN194" s="1444">
        <f>IF(AND(AK194="Yes",OR(O194="Labour",O194="Plant")),Z194,0)</f>
        <v/>
      </c>
    </row>
    <row r="195">
      <c r="A195" s="80">
        <f>IF(B195="","",B195&amp;"-"&amp;TEXT(COUNTIF($B$7:B195,B195),"000"))</f>
        <v/>
      </c>
      <c r="B195" s="53" t="n"/>
      <c r="C195" s="81">
        <f>IFERROR(INDEX('QS Takeoff'!$A$3:$A$202,MATCH(B195,'QS Takeoff'!$B$3:$B$202,0)),"")</f>
        <v/>
      </c>
      <c r="D195" s="81">
        <f>IFERROR(INDEX('QS Takeoff'!$C$3:$C$202,MATCH(B195,'QS Takeoff'!$B$3:$B$202,0)),"")</f>
        <v/>
      </c>
      <c r="E195" s="81">
        <f>IFERROR(INDEX('QS Takeoff'!$E$3:$E$202,MATCH(B195,'QS Takeoff'!$B$3:$B$202,0)),"")</f>
        <v/>
      </c>
      <c r="F195" s="81">
        <f>IFERROR(INDEX('QS Takeoff'!$D$3:$D$202,MATCH(B195,'QS Takeoff'!$B$3:$B$202,0)),"")</f>
        <v/>
      </c>
      <c r="G195" s="81">
        <f>IFERROR(INDEX('QS Takeoff'!$J$3:$J$202,MATCH(B195,'QS Takeoff'!$B$3:$B$202,0)),"")</f>
        <v/>
      </c>
      <c r="H195" s="53" t="n"/>
      <c r="I195" s="60" t="n"/>
      <c r="J195" s="60" t="n"/>
      <c r="K195" s="82">
        <f>IF(OR(B195="",I195="",I195=0),"",E195/I195)</f>
        <v/>
      </c>
      <c r="L195" s="60" t="n"/>
      <c r="M195" s="82">
        <f>IF(L195&gt;0,L195,K195)</f>
        <v/>
      </c>
      <c r="N195" s="53" t="n"/>
      <c r="O195" s="53" t="n"/>
      <c r="P195" s="53" t="n"/>
      <c r="Q195" s="81">
        <f>IFERROR(INDEX('Resource Rate Library'!$C$5:$C$200,MATCH(P195,'Resource Rate Library'!$A$5:$A$200,0)),"")</f>
        <v/>
      </c>
      <c r="R195" s="53" t="n"/>
      <c r="S195" s="53" t="n"/>
      <c r="T195" s="81">
        <f>IFERROR(INDEX('Resource Rate Library'!$E$5:$E$200,MATCH(P195,'Resource Rate Library'!$A$5:$A$200,0)),"")</f>
        <v/>
      </c>
      <c r="U195" s="1441" t="n"/>
      <c r="V195" s="1441" t="n"/>
      <c r="W195" s="1442">
        <f>IFERROR(INDEX('Resource Rate Library'!$I$5:$I$200,MATCH(P195,'Resource Rate Library'!$A$5:$A$200,0)),0)</f>
        <v/>
      </c>
      <c r="X195" s="1443" t="n"/>
      <c r="Y195" s="1442">
        <f>IF(X195&gt;0,X195,W195)</f>
        <v/>
      </c>
      <c r="Z195" s="1442">
        <f>IF(B195="","",IF(N195="Time x Count",M195*R195*IF(U195="",1,U195)*Y195,IF(N195="QS Qty x Factor",E195*R195*(1+IF(V195="",0,V195))*Y195,IF(N195="Direct Qty",S195*(1+IF(V195="",0,V195))*Y195,IF(N195="Lump Sum / Quote",S195*Y195,0)))))</f>
        <v/>
      </c>
      <c r="AA195" s="81">
        <f>IFERROR(INDEX('Resource Rate Library'!$N$5:$N$200,MATCH(P195,'Resource Rate Library'!$A$5:$A$200,0)),"")</f>
        <v/>
      </c>
      <c r="AB195" s="53" t="n"/>
      <c r="AC195" s="59" t="n"/>
      <c r="AD195" s="81">
        <f>IFERROR(INDEX('Resource Rate Library'!$G$5:$G$200,MATCH(P195,'Resource Rate Library'!$A$5:$A$200,0)),"")</f>
        <v/>
      </c>
      <c r="AE195" s="81">
        <f>IFERROR(INDEX('Resource Rate Library'!$H$5:$H$200,MATCH(P195,'Resource Rate Library'!$A$5:$A$200,0)),"")</f>
        <v/>
      </c>
      <c r="AF195" s="53" t="n"/>
      <c r="AG195" s="53" t="n"/>
      <c r="AH195" s="53" t="n"/>
      <c r="AI195" s="81">
        <f>IF(B195="","",IF(AND(P195="",N195&lt;&gt;"Lump Sum / Quote"),"RESOURCE CODE",IF(Y195=0,"RATE MISSING",IF(AND(O195="Plant",AD195="Yes",COUNTIFS($B$7:$B$306,B195,$O$7:$O$306,"Labour",$Q$7:$Q$306,"*Operator*")&gt;0),"OPERATOR DOUBLE-COUNT",IF(AND(O195="Plant",AE195="Yes",COUNTIFS($B$7:$B$306,B195,$Q$7:$Q$306,"*Fuel*")&gt;0),"FUEL DOUBLE-COUNT",IF(AH195&lt;&gt;"Yes","VERIFY","OK"))))))</f>
        <v/>
      </c>
      <c r="AJ195" s="54" t="n"/>
      <c r="AK195" s="473" t="n"/>
      <c r="AL195" s="473" t="n"/>
      <c r="AM195" s="473" t="n"/>
      <c r="AN195" s="1444">
        <f>IF(AND(AK195="Yes",OR(O195="Labour",O195="Plant")),Z195,0)</f>
        <v/>
      </c>
    </row>
    <row r="196">
      <c r="A196" s="80">
        <f>IF(B196="","",B196&amp;"-"&amp;TEXT(COUNTIF($B$7:B196,B196),"000"))</f>
        <v/>
      </c>
      <c r="B196" s="53" t="n"/>
      <c r="C196" s="81">
        <f>IFERROR(INDEX('QS Takeoff'!$A$3:$A$202,MATCH(B196,'QS Takeoff'!$B$3:$B$202,0)),"")</f>
        <v/>
      </c>
      <c r="D196" s="81">
        <f>IFERROR(INDEX('QS Takeoff'!$C$3:$C$202,MATCH(B196,'QS Takeoff'!$B$3:$B$202,0)),"")</f>
        <v/>
      </c>
      <c r="E196" s="81">
        <f>IFERROR(INDEX('QS Takeoff'!$E$3:$E$202,MATCH(B196,'QS Takeoff'!$B$3:$B$202,0)),"")</f>
        <v/>
      </c>
      <c r="F196" s="81">
        <f>IFERROR(INDEX('QS Takeoff'!$D$3:$D$202,MATCH(B196,'QS Takeoff'!$B$3:$B$202,0)),"")</f>
        <v/>
      </c>
      <c r="G196" s="81">
        <f>IFERROR(INDEX('QS Takeoff'!$J$3:$J$202,MATCH(B196,'QS Takeoff'!$B$3:$B$202,0)),"")</f>
        <v/>
      </c>
      <c r="H196" s="53" t="n"/>
      <c r="I196" s="60" t="n"/>
      <c r="J196" s="60" t="n"/>
      <c r="K196" s="82">
        <f>IF(OR(B196="",I196="",I196=0),"",E196/I196)</f>
        <v/>
      </c>
      <c r="L196" s="60" t="n"/>
      <c r="M196" s="82">
        <f>IF(L196&gt;0,L196,K196)</f>
        <v/>
      </c>
      <c r="N196" s="53" t="n"/>
      <c r="O196" s="53" t="n"/>
      <c r="P196" s="53" t="n"/>
      <c r="Q196" s="81">
        <f>IFERROR(INDEX('Resource Rate Library'!$C$5:$C$200,MATCH(P196,'Resource Rate Library'!$A$5:$A$200,0)),"")</f>
        <v/>
      </c>
      <c r="R196" s="53" t="n"/>
      <c r="S196" s="53" t="n"/>
      <c r="T196" s="81">
        <f>IFERROR(INDEX('Resource Rate Library'!$E$5:$E$200,MATCH(P196,'Resource Rate Library'!$A$5:$A$200,0)),"")</f>
        <v/>
      </c>
      <c r="U196" s="1441" t="n"/>
      <c r="V196" s="1441" t="n"/>
      <c r="W196" s="1442">
        <f>IFERROR(INDEX('Resource Rate Library'!$I$5:$I$200,MATCH(P196,'Resource Rate Library'!$A$5:$A$200,0)),0)</f>
        <v/>
      </c>
      <c r="X196" s="1443" t="n"/>
      <c r="Y196" s="1442">
        <f>IF(X196&gt;0,X196,W196)</f>
        <v/>
      </c>
      <c r="Z196" s="1442">
        <f>IF(B196="","",IF(N196="Time x Count",M196*R196*IF(U196="",1,U196)*Y196,IF(N196="QS Qty x Factor",E196*R196*(1+IF(V196="",0,V196))*Y196,IF(N196="Direct Qty",S196*(1+IF(V196="",0,V196))*Y196,IF(N196="Lump Sum / Quote",S196*Y196,0)))))</f>
        <v/>
      </c>
      <c r="AA196" s="81">
        <f>IFERROR(INDEX('Resource Rate Library'!$N$5:$N$200,MATCH(P196,'Resource Rate Library'!$A$5:$A$200,0)),"")</f>
        <v/>
      </c>
      <c r="AB196" s="53" t="n"/>
      <c r="AC196" s="59" t="n"/>
      <c r="AD196" s="81">
        <f>IFERROR(INDEX('Resource Rate Library'!$G$5:$G$200,MATCH(P196,'Resource Rate Library'!$A$5:$A$200,0)),"")</f>
        <v/>
      </c>
      <c r="AE196" s="81">
        <f>IFERROR(INDEX('Resource Rate Library'!$H$5:$H$200,MATCH(P196,'Resource Rate Library'!$A$5:$A$200,0)),"")</f>
        <v/>
      </c>
      <c r="AF196" s="53" t="n"/>
      <c r="AG196" s="53" t="n"/>
      <c r="AH196" s="53" t="n"/>
      <c r="AI196" s="81">
        <f>IF(B196="","",IF(AND(P196="",N196&lt;&gt;"Lump Sum / Quote"),"RESOURCE CODE",IF(Y196=0,"RATE MISSING",IF(AND(O196="Plant",AD196="Yes",COUNTIFS($B$7:$B$306,B196,$O$7:$O$306,"Labour",$Q$7:$Q$306,"*Operator*")&gt;0),"OPERATOR DOUBLE-COUNT",IF(AND(O196="Plant",AE196="Yes",COUNTIFS($B$7:$B$306,B196,$Q$7:$Q$306,"*Fuel*")&gt;0),"FUEL DOUBLE-COUNT",IF(AH196&lt;&gt;"Yes","VERIFY","OK"))))))</f>
        <v/>
      </c>
      <c r="AJ196" s="54" t="n"/>
      <c r="AK196" s="473" t="n"/>
      <c r="AL196" s="473" t="n"/>
      <c r="AM196" s="473" t="n"/>
      <c r="AN196" s="1444">
        <f>IF(AND(AK196="Yes",OR(O196="Labour",O196="Plant")),Z196,0)</f>
        <v/>
      </c>
    </row>
    <row r="197">
      <c r="A197" s="80">
        <f>IF(B197="","",B197&amp;"-"&amp;TEXT(COUNTIF($B$7:B197,B197),"000"))</f>
        <v/>
      </c>
      <c r="B197" s="53" t="n"/>
      <c r="C197" s="81">
        <f>IFERROR(INDEX('QS Takeoff'!$A$3:$A$202,MATCH(B197,'QS Takeoff'!$B$3:$B$202,0)),"")</f>
        <v/>
      </c>
      <c r="D197" s="81">
        <f>IFERROR(INDEX('QS Takeoff'!$C$3:$C$202,MATCH(B197,'QS Takeoff'!$B$3:$B$202,0)),"")</f>
        <v/>
      </c>
      <c r="E197" s="81">
        <f>IFERROR(INDEX('QS Takeoff'!$E$3:$E$202,MATCH(B197,'QS Takeoff'!$B$3:$B$202,0)),"")</f>
        <v/>
      </c>
      <c r="F197" s="81">
        <f>IFERROR(INDEX('QS Takeoff'!$D$3:$D$202,MATCH(B197,'QS Takeoff'!$B$3:$B$202,0)),"")</f>
        <v/>
      </c>
      <c r="G197" s="81">
        <f>IFERROR(INDEX('QS Takeoff'!$J$3:$J$202,MATCH(B197,'QS Takeoff'!$B$3:$B$202,0)),"")</f>
        <v/>
      </c>
      <c r="H197" s="53" t="n"/>
      <c r="I197" s="60" t="n"/>
      <c r="J197" s="60" t="n"/>
      <c r="K197" s="82">
        <f>IF(OR(B197="",I197="",I197=0),"",E197/I197)</f>
        <v/>
      </c>
      <c r="L197" s="60" t="n"/>
      <c r="M197" s="82">
        <f>IF(L197&gt;0,L197,K197)</f>
        <v/>
      </c>
      <c r="N197" s="53" t="n"/>
      <c r="O197" s="53" t="n"/>
      <c r="P197" s="53" t="n"/>
      <c r="Q197" s="81">
        <f>IFERROR(INDEX('Resource Rate Library'!$C$5:$C$200,MATCH(P197,'Resource Rate Library'!$A$5:$A$200,0)),"")</f>
        <v/>
      </c>
      <c r="R197" s="53" t="n"/>
      <c r="S197" s="53" t="n"/>
      <c r="T197" s="81">
        <f>IFERROR(INDEX('Resource Rate Library'!$E$5:$E$200,MATCH(P197,'Resource Rate Library'!$A$5:$A$200,0)),"")</f>
        <v/>
      </c>
      <c r="U197" s="1441" t="n"/>
      <c r="V197" s="1441" t="n"/>
      <c r="W197" s="1442">
        <f>IFERROR(INDEX('Resource Rate Library'!$I$5:$I$200,MATCH(P197,'Resource Rate Library'!$A$5:$A$200,0)),0)</f>
        <v/>
      </c>
      <c r="X197" s="1443" t="n"/>
      <c r="Y197" s="1442">
        <f>IF(X197&gt;0,X197,W197)</f>
        <v/>
      </c>
      <c r="Z197" s="1442">
        <f>IF(B197="","",IF(N197="Time x Count",M197*R197*IF(U197="",1,U197)*Y197,IF(N197="QS Qty x Factor",E197*R197*(1+IF(V197="",0,V197))*Y197,IF(N197="Direct Qty",S197*(1+IF(V197="",0,V197))*Y197,IF(N197="Lump Sum / Quote",S197*Y197,0)))))</f>
        <v/>
      </c>
      <c r="AA197" s="81">
        <f>IFERROR(INDEX('Resource Rate Library'!$N$5:$N$200,MATCH(P197,'Resource Rate Library'!$A$5:$A$200,0)),"")</f>
        <v/>
      </c>
      <c r="AB197" s="53" t="n"/>
      <c r="AC197" s="59" t="n"/>
      <c r="AD197" s="81">
        <f>IFERROR(INDEX('Resource Rate Library'!$G$5:$G$200,MATCH(P197,'Resource Rate Library'!$A$5:$A$200,0)),"")</f>
        <v/>
      </c>
      <c r="AE197" s="81">
        <f>IFERROR(INDEX('Resource Rate Library'!$H$5:$H$200,MATCH(P197,'Resource Rate Library'!$A$5:$A$200,0)),"")</f>
        <v/>
      </c>
      <c r="AF197" s="53" t="n"/>
      <c r="AG197" s="53" t="n"/>
      <c r="AH197" s="53" t="n"/>
      <c r="AI197" s="81">
        <f>IF(B197="","",IF(AND(P197="",N197&lt;&gt;"Lump Sum / Quote"),"RESOURCE CODE",IF(Y197=0,"RATE MISSING",IF(AND(O197="Plant",AD197="Yes",COUNTIFS($B$7:$B$306,B197,$O$7:$O$306,"Labour",$Q$7:$Q$306,"*Operator*")&gt;0),"OPERATOR DOUBLE-COUNT",IF(AND(O197="Plant",AE197="Yes",COUNTIFS($B$7:$B$306,B197,$Q$7:$Q$306,"*Fuel*")&gt;0),"FUEL DOUBLE-COUNT",IF(AH197&lt;&gt;"Yes","VERIFY","OK"))))))</f>
        <v/>
      </c>
      <c r="AJ197" s="54" t="n"/>
      <c r="AK197" s="473" t="n"/>
      <c r="AL197" s="473" t="n"/>
      <c r="AM197" s="473" t="n"/>
      <c r="AN197" s="1444">
        <f>IF(AND(AK197="Yes",OR(O197="Labour",O197="Plant")),Z197,0)</f>
        <v/>
      </c>
    </row>
    <row r="198">
      <c r="A198" s="80">
        <f>IF(B198="","",B198&amp;"-"&amp;TEXT(COUNTIF($B$7:B198,B198),"000"))</f>
        <v/>
      </c>
      <c r="B198" s="53" t="n"/>
      <c r="C198" s="81">
        <f>IFERROR(INDEX('QS Takeoff'!$A$3:$A$202,MATCH(B198,'QS Takeoff'!$B$3:$B$202,0)),"")</f>
        <v/>
      </c>
      <c r="D198" s="81">
        <f>IFERROR(INDEX('QS Takeoff'!$C$3:$C$202,MATCH(B198,'QS Takeoff'!$B$3:$B$202,0)),"")</f>
        <v/>
      </c>
      <c r="E198" s="81">
        <f>IFERROR(INDEX('QS Takeoff'!$E$3:$E$202,MATCH(B198,'QS Takeoff'!$B$3:$B$202,0)),"")</f>
        <v/>
      </c>
      <c r="F198" s="81">
        <f>IFERROR(INDEX('QS Takeoff'!$D$3:$D$202,MATCH(B198,'QS Takeoff'!$B$3:$B$202,0)),"")</f>
        <v/>
      </c>
      <c r="G198" s="81">
        <f>IFERROR(INDEX('QS Takeoff'!$J$3:$J$202,MATCH(B198,'QS Takeoff'!$B$3:$B$202,0)),"")</f>
        <v/>
      </c>
      <c r="H198" s="53" t="n"/>
      <c r="I198" s="60" t="n"/>
      <c r="J198" s="60" t="n"/>
      <c r="K198" s="82">
        <f>IF(OR(B198="",I198="",I198=0),"",E198/I198)</f>
        <v/>
      </c>
      <c r="L198" s="60" t="n"/>
      <c r="M198" s="82">
        <f>IF(L198&gt;0,L198,K198)</f>
        <v/>
      </c>
      <c r="N198" s="53" t="n"/>
      <c r="O198" s="53" t="n"/>
      <c r="P198" s="53" t="n"/>
      <c r="Q198" s="81">
        <f>IFERROR(INDEX('Resource Rate Library'!$C$5:$C$200,MATCH(P198,'Resource Rate Library'!$A$5:$A$200,0)),"")</f>
        <v/>
      </c>
      <c r="R198" s="53" t="n"/>
      <c r="S198" s="53" t="n"/>
      <c r="T198" s="81">
        <f>IFERROR(INDEX('Resource Rate Library'!$E$5:$E$200,MATCH(P198,'Resource Rate Library'!$A$5:$A$200,0)),"")</f>
        <v/>
      </c>
      <c r="U198" s="1441" t="n"/>
      <c r="V198" s="1441" t="n"/>
      <c r="W198" s="1442">
        <f>IFERROR(INDEX('Resource Rate Library'!$I$5:$I$200,MATCH(P198,'Resource Rate Library'!$A$5:$A$200,0)),0)</f>
        <v/>
      </c>
      <c r="X198" s="1443" t="n"/>
      <c r="Y198" s="1442">
        <f>IF(X198&gt;0,X198,W198)</f>
        <v/>
      </c>
      <c r="Z198" s="1442">
        <f>IF(B198="","",IF(N198="Time x Count",M198*R198*IF(U198="",1,U198)*Y198,IF(N198="QS Qty x Factor",E198*R198*(1+IF(V198="",0,V198))*Y198,IF(N198="Direct Qty",S198*(1+IF(V198="",0,V198))*Y198,IF(N198="Lump Sum / Quote",S198*Y198,0)))))</f>
        <v/>
      </c>
      <c r="AA198" s="81">
        <f>IFERROR(INDEX('Resource Rate Library'!$N$5:$N$200,MATCH(P198,'Resource Rate Library'!$A$5:$A$200,0)),"")</f>
        <v/>
      </c>
      <c r="AB198" s="53" t="n"/>
      <c r="AC198" s="59" t="n"/>
      <c r="AD198" s="81">
        <f>IFERROR(INDEX('Resource Rate Library'!$G$5:$G$200,MATCH(P198,'Resource Rate Library'!$A$5:$A$200,0)),"")</f>
        <v/>
      </c>
      <c r="AE198" s="81">
        <f>IFERROR(INDEX('Resource Rate Library'!$H$5:$H$200,MATCH(P198,'Resource Rate Library'!$A$5:$A$200,0)),"")</f>
        <v/>
      </c>
      <c r="AF198" s="53" t="n"/>
      <c r="AG198" s="53" t="n"/>
      <c r="AH198" s="53" t="n"/>
      <c r="AI198" s="81">
        <f>IF(B198="","",IF(AND(P198="",N198&lt;&gt;"Lump Sum / Quote"),"RESOURCE CODE",IF(Y198=0,"RATE MISSING",IF(AND(O198="Plant",AD198="Yes",COUNTIFS($B$7:$B$306,B198,$O$7:$O$306,"Labour",$Q$7:$Q$306,"*Operator*")&gt;0),"OPERATOR DOUBLE-COUNT",IF(AND(O198="Plant",AE198="Yes",COUNTIFS($B$7:$B$306,B198,$Q$7:$Q$306,"*Fuel*")&gt;0),"FUEL DOUBLE-COUNT",IF(AH198&lt;&gt;"Yes","VERIFY","OK"))))))</f>
        <v/>
      </c>
      <c r="AJ198" s="54" t="n"/>
      <c r="AK198" s="473" t="n"/>
      <c r="AL198" s="473" t="n"/>
      <c r="AM198" s="473" t="n"/>
      <c r="AN198" s="1444">
        <f>IF(AND(AK198="Yes",OR(O198="Labour",O198="Plant")),Z198,0)</f>
        <v/>
      </c>
    </row>
    <row r="199">
      <c r="A199" s="80">
        <f>IF(B199="","",B199&amp;"-"&amp;TEXT(COUNTIF($B$7:B199,B199),"000"))</f>
        <v/>
      </c>
      <c r="B199" s="53" t="n"/>
      <c r="C199" s="81">
        <f>IFERROR(INDEX('QS Takeoff'!$A$3:$A$202,MATCH(B199,'QS Takeoff'!$B$3:$B$202,0)),"")</f>
        <v/>
      </c>
      <c r="D199" s="81">
        <f>IFERROR(INDEX('QS Takeoff'!$C$3:$C$202,MATCH(B199,'QS Takeoff'!$B$3:$B$202,0)),"")</f>
        <v/>
      </c>
      <c r="E199" s="81">
        <f>IFERROR(INDEX('QS Takeoff'!$E$3:$E$202,MATCH(B199,'QS Takeoff'!$B$3:$B$202,0)),"")</f>
        <v/>
      </c>
      <c r="F199" s="81">
        <f>IFERROR(INDEX('QS Takeoff'!$D$3:$D$202,MATCH(B199,'QS Takeoff'!$B$3:$B$202,0)),"")</f>
        <v/>
      </c>
      <c r="G199" s="81">
        <f>IFERROR(INDEX('QS Takeoff'!$J$3:$J$202,MATCH(B199,'QS Takeoff'!$B$3:$B$202,0)),"")</f>
        <v/>
      </c>
      <c r="H199" s="53" t="n"/>
      <c r="I199" s="60" t="n"/>
      <c r="J199" s="60" t="n"/>
      <c r="K199" s="82">
        <f>IF(OR(B199="",I199="",I199=0),"",E199/I199)</f>
        <v/>
      </c>
      <c r="L199" s="60" t="n"/>
      <c r="M199" s="82">
        <f>IF(L199&gt;0,L199,K199)</f>
        <v/>
      </c>
      <c r="N199" s="53" t="n"/>
      <c r="O199" s="53" t="n"/>
      <c r="P199" s="53" t="n"/>
      <c r="Q199" s="81">
        <f>IFERROR(INDEX('Resource Rate Library'!$C$5:$C$200,MATCH(P199,'Resource Rate Library'!$A$5:$A$200,0)),"")</f>
        <v/>
      </c>
      <c r="R199" s="53" t="n"/>
      <c r="S199" s="53" t="n"/>
      <c r="T199" s="81">
        <f>IFERROR(INDEX('Resource Rate Library'!$E$5:$E$200,MATCH(P199,'Resource Rate Library'!$A$5:$A$200,0)),"")</f>
        <v/>
      </c>
      <c r="U199" s="1441" t="n"/>
      <c r="V199" s="1441" t="n"/>
      <c r="W199" s="1442">
        <f>IFERROR(INDEX('Resource Rate Library'!$I$5:$I$200,MATCH(P199,'Resource Rate Library'!$A$5:$A$200,0)),0)</f>
        <v/>
      </c>
      <c r="X199" s="1443" t="n"/>
      <c r="Y199" s="1442">
        <f>IF(X199&gt;0,X199,W199)</f>
        <v/>
      </c>
      <c r="Z199" s="1442">
        <f>IF(B199="","",IF(N199="Time x Count",M199*R199*IF(U199="",1,U199)*Y199,IF(N199="QS Qty x Factor",E199*R199*(1+IF(V199="",0,V199))*Y199,IF(N199="Direct Qty",S199*(1+IF(V199="",0,V199))*Y199,IF(N199="Lump Sum / Quote",S199*Y199,0)))))</f>
        <v/>
      </c>
      <c r="AA199" s="81">
        <f>IFERROR(INDEX('Resource Rate Library'!$N$5:$N$200,MATCH(P199,'Resource Rate Library'!$A$5:$A$200,0)),"")</f>
        <v/>
      </c>
      <c r="AB199" s="53" t="n"/>
      <c r="AC199" s="59" t="n"/>
      <c r="AD199" s="81">
        <f>IFERROR(INDEX('Resource Rate Library'!$G$5:$G$200,MATCH(P199,'Resource Rate Library'!$A$5:$A$200,0)),"")</f>
        <v/>
      </c>
      <c r="AE199" s="81">
        <f>IFERROR(INDEX('Resource Rate Library'!$H$5:$H$200,MATCH(P199,'Resource Rate Library'!$A$5:$A$200,0)),"")</f>
        <v/>
      </c>
      <c r="AF199" s="53" t="n"/>
      <c r="AG199" s="53" t="n"/>
      <c r="AH199" s="53" t="n"/>
      <c r="AI199" s="81">
        <f>IF(B199="","",IF(AND(P199="",N199&lt;&gt;"Lump Sum / Quote"),"RESOURCE CODE",IF(Y199=0,"RATE MISSING",IF(AND(O199="Plant",AD199="Yes",COUNTIFS($B$7:$B$306,B199,$O$7:$O$306,"Labour",$Q$7:$Q$306,"*Operator*")&gt;0),"OPERATOR DOUBLE-COUNT",IF(AND(O199="Plant",AE199="Yes",COUNTIFS($B$7:$B$306,B199,$Q$7:$Q$306,"*Fuel*")&gt;0),"FUEL DOUBLE-COUNT",IF(AH199&lt;&gt;"Yes","VERIFY","OK"))))))</f>
        <v/>
      </c>
      <c r="AJ199" s="54" t="n"/>
      <c r="AK199" s="473" t="n"/>
      <c r="AL199" s="473" t="n"/>
      <c r="AM199" s="473" t="n"/>
      <c r="AN199" s="1444">
        <f>IF(AND(AK199="Yes",OR(O199="Labour",O199="Plant")),Z199,0)</f>
        <v/>
      </c>
    </row>
    <row r="200">
      <c r="A200" s="80">
        <f>IF(B200="","",B200&amp;"-"&amp;TEXT(COUNTIF($B$7:B200,B200),"000"))</f>
        <v/>
      </c>
      <c r="B200" s="53" t="n"/>
      <c r="C200" s="81">
        <f>IFERROR(INDEX('QS Takeoff'!$A$3:$A$202,MATCH(B200,'QS Takeoff'!$B$3:$B$202,0)),"")</f>
        <v/>
      </c>
      <c r="D200" s="81">
        <f>IFERROR(INDEX('QS Takeoff'!$C$3:$C$202,MATCH(B200,'QS Takeoff'!$B$3:$B$202,0)),"")</f>
        <v/>
      </c>
      <c r="E200" s="81">
        <f>IFERROR(INDEX('QS Takeoff'!$E$3:$E$202,MATCH(B200,'QS Takeoff'!$B$3:$B$202,0)),"")</f>
        <v/>
      </c>
      <c r="F200" s="81">
        <f>IFERROR(INDEX('QS Takeoff'!$D$3:$D$202,MATCH(B200,'QS Takeoff'!$B$3:$B$202,0)),"")</f>
        <v/>
      </c>
      <c r="G200" s="81">
        <f>IFERROR(INDEX('QS Takeoff'!$J$3:$J$202,MATCH(B200,'QS Takeoff'!$B$3:$B$202,0)),"")</f>
        <v/>
      </c>
      <c r="H200" s="53" t="n"/>
      <c r="I200" s="60" t="n"/>
      <c r="J200" s="60" t="n"/>
      <c r="K200" s="82">
        <f>IF(OR(B200="",I200="",I200=0),"",E200/I200)</f>
        <v/>
      </c>
      <c r="L200" s="60" t="n"/>
      <c r="M200" s="82">
        <f>IF(L200&gt;0,L200,K200)</f>
        <v/>
      </c>
      <c r="N200" s="53" t="n"/>
      <c r="O200" s="53" t="n"/>
      <c r="P200" s="53" t="n"/>
      <c r="Q200" s="81">
        <f>IFERROR(INDEX('Resource Rate Library'!$C$5:$C$200,MATCH(P200,'Resource Rate Library'!$A$5:$A$200,0)),"")</f>
        <v/>
      </c>
      <c r="R200" s="53" t="n"/>
      <c r="S200" s="53" t="n"/>
      <c r="T200" s="81">
        <f>IFERROR(INDEX('Resource Rate Library'!$E$5:$E$200,MATCH(P200,'Resource Rate Library'!$A$5:$A$200,0)),"")</f>
        <v/>
      </c>
      <c r="U200" s="1441" t="n"/>
      <c r="V200" s="1441" t="n"/>
      <c r="W200" s="1442">
        <f>IFERROR(INDEX('Resource Rate Library'!$I$5:$I$200,MATCH(P200,'Resource Rate Library'!$A$5:$A$200,0)),0)</f>
        <v/>
      </c>
      <c r="X200" s="1443" t="n"/>
      <c r="Y200" s="1442">
        <f>IF(X200&gt;0,X200,W200)</f>
        <v/>
      </c>
      <c r="Z200" s="1442">
        <f>IF(B200="","",IF(N200="Time x Count",M200*R200*IF(U200="",1,U200)*Y200,IF(N200="QS Qty x Factor",E200*R200*(1+IF(V200="",0,V200))*Y200,IF(N200="Direct Qty",S200*(1+IF(V200="",0,V200))*Y200,IF(N200="Lump Sum / Quote",S200*Y200,0)))))</f>
        <v/>
      </c>
      <c r="AA200" s="81">
        <f>IFERROR(INDEX('Resource Rate Library'!$N$5:$N$200,MATCH(P200,'Resource Rate Library'!$A$5:$A$200,0)),"")</f>
        <v/>
      </c>
      <c r="AB200" s="53" t="n"/>
      <c r="AC200" s="59" t="n"/>
      <c r="AD200" s="81">
        <f>IFERROR(INDEX('Resource Rate Library'!$G$5:$G$200,MATCH(P200,'Resource Rate Library'!$A$5:$A$200,0)),"")</f>
        <v/>
      </c>
      <c r="AE200" s="81">
        <f>IFERROR(INDEX('Resource Rate Library'!$H$5:$H$200,MATCH(P200,'Resource Rate Library'!$A$5:$A$200,0)),"")</f>
        <v/>
      </c>
      <c r="AF200" s="53" t="n"/>
      <c r="AG200" s="53" t="n"/>
      <c r="AH200" s="53" t="n"/>
      <c r="AI200" s="81">
        <f>IF(B200="","",IF(AND(P200="",N200&lt;&gt;"Lump Sum / Quote"),"RESOURCE CODE",IF(Y200=0,"RATE MISSING",IF(AND(O200="Plant",AD200="Yes",COUNTIFS($B$7:$B$306,B200,$O$7:$O$306,"Labour",$Q$7:$Q$306,"*Operator*")&gt;0),"OPERATOR DOUBLE-COUNT",IF(AND(O200="Plant",AE200="Yes",COUNTIFS($B$7:$B$306,B200,$Q$7:$Q$306,"*Fuel*")&gt;0),"FUEL DOUBLE-COUNT",IF(AH200&lt;&gt;"Yes","VERIFY","OK"))))))</f>
        <v/>
      </c>
      <c r="AJ200" s="54" t="n"/>
      <c r="AK200" s="473" t="n"/>
      <c r="AL200" s="473" t="n"/>
      <c r="AM200" s="473" t="n"/>
      <c r="AN200" s="1444">
        <f>IF(AND(AK200="Yes",OR(O200="Labour",O200="Plant")),Z200,0)</f>
        <v/>
      </c>
    </row>
    <row r="201">
      <c r="A201" s="80">
        <f>IF(B201="","",B201&amp;"-"&amp;TEXT(COUNTIF($B$7:B201,B201),"000"))</f>
        <v/>
      </c>
      <c r="B201" s="53" t="n"/>
      <c r="C201" s="81">
        <f>IFERROR(INDEX('QS Takeoff'!$A$3:$A$202,MATCH(B201,'QS Takeoff'!$B$3:$B$202,0)),"")</f>
        <v/>
      </c>
      <c r="D201" s="81">
        <f>IFERROR(INDEX('QS Takeoff'!$C$3:$C$202,MATCH(B201,'QS Takeoff'!$B$3:$B$202,0)),"")</f>
        <v/>
      </c>
      <c r="E201" s="81">
        <f>IFERROR(INDEX('QS Takeoff'!$E$3:$E$202,MATCH(B201,'QS Takeoff'!$B$3:$B$202,0)),"")</f>
        <v/>
      </c>
      <c r="F201" s="81">
        <f>IFERROR(INDEX('QS Takeoff'!$D$3:$D$202,MATCH(B201,'QS Takeoff'!$B$3:$B$202,0)),"")</f>
        <v/>
      </c>
      <c r="G201" s="81">
        <f>IFERROR(INDEX('QS Takeoff'!$J$3:$J$202,MATCH(B201,'QS Takeoff'!$B$3:$B$202,0)),"")</f>
        <v/>
      </c>
      <c r="H201" s="53" t="n"/>
      <c r="I201" s="60" t="n"/>
      <c r="J201" s="60" t="n"/>
      <c r="K201" s="82">
        <f>IF(OR(B201="",I201="",I201=0),"",E201/I201)</f>
        <v/>
      </c>
      <c r="L201" s="60" t="n"/>
      <c r="M201" s="82">
        <f>IF(L201&gt;0,L201,K201)</f>
        <v/>
      </c>
      <c r="N201" s="53" t="n"/>
      <c r="O201" s="53" t="n"/>
      <c r="P201" s="53" t="n"/>
      <c r="Q201" s="81">
        <f>IFERROR(INDEX('Resource Rate Library'!$C$5:$C$200,MATCH(P201,'Resource Rate Library'!$A$5:$A$200,0)),"")</f>
        <v/>
      </c>
      <c r="R201" s="53" t="n"/>
      <c r="S201" s="53" t="n"/>
      <c r="T201" s="81">
        <f>IFERROR(INDEX('Resource Rate Library'!$E$5:$E$200,MATCH(P201,'Resource Rate Library'!$A$5:$A$200,0)),"")</f>
        <v/>
      </c>
      <c r="U201" s="1441" t="n"/>
      <c r="V201" s="1441" t="n"/>
      <c r="W201" s="1442">
        <f>IFERROR(INDEX('Resource Rate Library'!$I$5:$I$200,MATCH(P201,'Resource Rate Library'!$A$5:$A$200,0)),0)</f>
        <v/>
      </c>
      <c r="X201" s="1443" t="n"/>
      <c r="Y201" s="1442">
        <f>IF(X201&gt;0,X201,W201)</f>
        <v/>
      </c>
      <c r="Z201" s="1442">
        <f>IF(B201="","",IF(N201="Time x Count",M201*R201*IF(U201="",1,U201)*Y201,IF(N201="QS Qty x Factor",E201*R201*(1+IF(V201="",0,V201))*Y201,IF(N201="Direct Qty",S201*(1+IF(V201="",0,V201))*Y201,IF(N201="Lump Sum / Quote",S201*Y201,0)))))</f>
        <v/>
      </c>
      <c r="AA201" s="81">
        <f>IFERROR(INDEX('Resource Rate Library'!$N$5:$N$200,MATCH(P201,'Resource Rate Library'!$A$5:$A$200,0)),"")</f>
        <v/>
      </c>
      <c r="AB201" s="53" t="n"/>
      <c r="AC201" s="59" t="n"/>
      <c r="AD201" s="81">
        <f>IFERROR(INDEX('Resource Rate Library'!$G$5:$G$200,MATCH(P201,'Resource Rate Library'!$A$5:$A$200,0)),"")</f>
        <v/>
      </c>
      <c r="AE201" s="81">
        <f>IFERROR(INDEX('Resource Rate Library'!$H$5:$H$200,MATCH(P201,'Resource Rate Library'!$A$5:$A$200,0)),"")</f>
        <v/>
      </c>
      <c r="AF201" s="53" t="n"/>
      <c r="AG201" s="53" t="n"/>
      <c r="AH201" s="53" t="n"/>
      <c r="AI201" s="81">
        <f>IF(B201="","",IF(AND(P201="",N201&lt;&gt;"Lump Sum / Quote"),"RESOURCE CODE",IF(Y201=0,"RATE MISSING",IF(AND(O201="Plant",AD201="Yes",COUNTIFS($B$7:$B$306,B201,$O$7:$O$306,"Labour",$Q$7:$Q$306,"*Operator*")&gt;0),"OPERATOR DOUBLE-COUNT",IF(AND(O201="Plant",AE201="Yes",COUNTIFS($B$7:$B$306,B201,$Q$7:$Q$306,"*Fuel*")&gt;0),"FUEL DOUBLE-COUNT",IF(AH201&lt;&gt;"Yes","VERIFY","OK"))))))</f>
        <v/>
      </c>
      <c r="AJ201" s="54" t="n"/>
      <c r="AK201" s="473" t="n"/>
      <c r="AL201" s="473" t="n"/>
      <c r="AM201" s="473" t="n"/>
      <c r="AN201" s="1444">
        <f>IF(AND(AK201="Yes",OR(O201="Labour",O201="Plant")),Z201,0)</f>
        <v/>
      </c>
    </row>
    <row r="202">
      <c r="A202" s="80">
        <f>IF(B202="","",B202&amp;"-"&amp;TEXT(COUNTIF($B$7:B202,B202),"000"))</f>
        <v/>
      </c>
      <c r="B202" s="53" t="n"/>
      <c r="C202" s="81">
        <f>IFERROR(INDEX('QS Takeoff'!$A$3:$A$202,MATCH(B202,'QS Takeoff'!$B$3:$B$202,0)),"")</f>
        <v/>
      </c>
      <c r="D202" s="81">
        <f>IFERROR(INDEX('QS Takeoff'!$C$3:$C$202,MATCH(B202,'QS Takeoff'!$B$3:$B$202,0)),"")</f>
        <v/>
      </c>
      <c r="E202" s="81">
        <f>IFERROR(INDEX('QS Takeoff'!$E$3:$E$202,MATCH(B202,'QS Takeoff'!$B$3:$B$202,0)),"")</f>
        <v/>
      </c>
      <c r="F202" s="81">
        <f>IFERROR(INDEX('QS Takeoff'!$D$3:$D$202,MATCH(B202,'QS Takeoff'!$B$3:$B$202,0)),"")</f>
        <v/>
      </c>
      <c r="G202" s="81">
        <f>IFERROR(INDEX('QS Takeoff'!$J$3:$J$202,MATCH(B202,'QS Takeoff'!$B$3:$B$202,0)),"")</f>
        <v/>
      </c>
      <c r="H202" s="53" t="n"/>
      <c r="I202" s="60" t="n"/>
      <c r="J202" s="60" t="n"/>
      <c r="K202" s="82">
        <f>IF(OR(B202="",I202="",I202=0),"",E202/I202)</f>
        <v/>
      </c>
      <c r="L202" s="60" t="n"/>
      <c r="M202" s="82">
        <f>IF(L202&gt;0,L202,K202)</f>
        <v/>
      </c>
      <c r="N202" s="53" t="n"/>
      <c r="O202" s="53" t="n"/>
      <c r="P202" s="53" t="n"/>
      <c r="Q202" s="81">
        <f>IFERROR(INDEX('Resource Rate Library'!$C$5:$C$200,MATCH(P202,'Resource Rate Library'!$A$5:$A$200,0)),"")</f>
        <v/>
      </c>
      <c r="R202" s="53" t="n"/>
      <c r="S202" s="53" t="n"/>
      <c r="T202" s="81">
        <f>IFERROR(INDEX('Resource Rate Library'!$E$5:$E$200,MATCH(P202,'Resource Rate Library'!$A$5:$A$200,0)),"")</f>
        <v/>
      </c>
      <c r="U202" s="1441" t="n"/>
      <c r="V202" s="1441" t="n"/>
      <c r="W202" s="1442">
        <f>IFERROR(INDEX('Resource Rate Library'!$I$5:$I$200,MATCH(P202,'Resource Rate Library'!$A$5:$A$200,0)),0)</f>
        <v/>
      </c>
      <c r="X202" s="1443" t="n"/>
      <c r="Y202" s="1442">
        <f>IF(X202&gt;0,X202,W202)</f>
        <v/>
      </c>
      <c r="Z202" s="1442">
        <f>IF(B202="","",IF(N202="Time x Count",M202*R202*IF(U202="",1,U202)*Y202,IF(N202="QS Qty x Factor",E202*R202*(1+IF(V202="",0,V202))*Y202,IF(N202="Direct Qty",S202*(1+IF(V202="",0,V202))*Y202,IF(N202="Lump Sum / Quote",S202*Y202,0)))))</f>
        <v/>
      </c>
      <c r="AA202" s="81">
        <f>IFERROR(INDEX('Resource Rate Library'!$N$5:$N$200,MATCH(P202,'Resource Rate Library'!$A$5:$A$200,0)),"")</f>
        <v/>
      </c>
      <c r="AB202" s="53" t="n"/>
      <c r="AC202" s="59" t="n"/>
      <c r="AD202" s="81">
        <f>IFERROR(INDEX('Resource Rate Library'!$G$5:$G$200,MATCH(P202,'Resource Rate Library'!$A$5:$A$200,0)),"")</f>
        <v/>
      </c>
      <c r="AE202" s="81">
        <f>IFERROR(INDEX('Resource Rate Library'!$H$5:$H$200,MATCH(P202,'Resource Rate Library'!$A$5:$A$200,0)),"")</f>
        <v/>
      </c>
      <c r="AF202" s="53" t="n"/>
      <c r="AG202" s="53" t="n"/>
      <c r="AH202" s="53" t="n"/>
      <c r="AI202" s="81">
        <f>IF(B202="","",IF(AND(P202="",N202&lt;&gt;"Lump Sum / Quote"),"RESOURCE CODE",IF(Y202=0,"RATE MISSING",IF(AND(O202="Plant",AD202="Yes",COUNTIFS($B$7:$B$306,B202,$O$7:$O$306,"Labour",$Q$7:$Q$306,"*Operator*")&gt;0),"OPERATOR DOUBLE-COUNT",IF(AND(O202="Plant",AE202="Yes",COUNTIFS($B$7:$B$306,B202,$Q$7:$Q$306,"*Fuel*")&gt;0),"FUEL DOUBLE-COUNT",IF(AH202&lt;&gt;"Yes","VERIFY","OK"))))))</f>
        <v/>
      </c>
      <c r="AJ202" s="54" t="n"/>
      <c r="AK202" s="473" t="n"/>
      <c r="AL202" s="473" t="n"/>
      <c r="AM202" s="473" t="n"/>
      <c r="AN202" s="1444">
        <f>IF(AND(AK202="Yes",OR(O202="Labour",O202="Plant")),Z202,0)</f>
        <v/>
      </c>
    </row>
    <row r="203">
      <c r="A203" s="80">
        <f>IF(B203="","",B203&amp;"-"&amp;TEXT(COUNTIF($B$7:B203,B203),"000"))</f>
        <v/>
      </c>
      <c r="B203" s="53" t="n"/>
      <c r="C203" s="81">
        <f>IFERROR(INDEX('QS Takeoff'!$A$3:$A$202,MATCH(B203,'QS Takeoff'!$B$3:$B$202,0)),"")</f>
        <v/>
      </c>
      <c r="D203" s="81">
        <f>IFERROR(INDEX('QS Takeoff'!$C$3:$C$202,MATCH(B203,'QS Takeoff'!$B$3:$B$202,0)),"")</f>
        <v/>
      </c>
      <c r="E203" s="81">
        <f>IFERROR(INDEX('QS Takeoff'!$E$3:$E$202,MATCH(B203,'QS Takeoff'!$B$3:$B$202,0)),"")</f>
        <v/>
      </c>
      <c r="F203" s="81">
        <f>IFERROR(INDEX('QS Takeoff'!$D$3:$D$202,MATCH(B203,'QS Takeoff'!$B$3:$B$202,0)),"")</f>
        <v/>
      </c>
      <c r="G203" s="81">
        <f>IFERROR(INDEX('QS Takeoff'!$J$3:$J$202,MATCH(B203,'QS Takeoff'!$B$3:$B$202,0)),"")</f>
        <v/>
      </c>
      <c r="H203" s="53" t="n"/>
      <c r="I203" s="60" t="n"/>
      <c r="J203" s="60" t="n"/>
      <c r="K203" s="82">
        <f>IF(OR(B203="",I203="",I203=0),"",E203/I203)</f>
        <v/>
      </c>
      <c r="L203" s="60" t="n"/>
      <c r="M203" s="82">
        <f>IF(L203&gt;0,L203,K203)</f>
        <v/>
      </c>
      <c r="N203" s="53" t="n"/>
      <c r="O203" s="53" t="n"/>
      <c r="P203" s="53" t="n"/>
      <c r="Q203" s="81">
        <f>IFERROR(INDEX('Resource Rate Library'!$C$5:$C$200,MATCH(P203,'Resource Rate Library'!$A$5:$A$200,0)),"")</f>
        <v/>
      </c>
      <c r="R203" s="53" t="n"/>
      <c r="S203" s="53" t="n"/>
      <c r="T203" s="81">
        <f>IFERROR(INDEX('Resource Rate Library'!$E$5:$E$200,MATCH(P203,'Resource Rate Library'!$A$5:$A$200,0)),"")</f>
        <v/>
      </c>
      <c r="U203" s="1441" t="n"/>
      <c r="V203" s="1441" t="n"/>
      <c r="W203" s="1442">
        <f>IFERROR(INDEX('Resource Rate Library'!$I$5:$I$200,MATCH(P203,'Resource Rate Library'!$A$5:$A$200,0)),0)</f>
        <v/>
      </c>
      <c r="X203" s="1443" t="n"/>
      <c r="Y203" s="1442">
        <f>IF(X203&gt;0,X203,W203)</f>
        <v/>
      </c>
      <c r="Z203" s="1442">
        <f>IF(B203="","",IF(N203="Time x Count",M203*R203*IF(U203="",1,U203)*Y203,IF(N203="QS Qty x Factor",E203*R203*(1+IF(V203="",0,V203))*Y203,IF(N203="Direct Qty",S203*(1+IF(V203="",0,V203))*Y203,IF(N203="Lump Sum / Quote",S203*Y203,0)))))</f>
        <v/>
      </c>
      <c r="AA203" s="81">
        <f>IFERROR(INDEX('Resource Rate Library'!$N$5:$N$200,MATCH(P203,'Resource Rate Library'!$A$5:$A$200,0)),"")</f>
        <v/>
      </c>
      <c r="AB203" s="53" t="n"/>
      <c r="AC203" s="59" t="n"/>
      <c r="AD203" s="81">
        <f>IFERROR(INDEX('Resource Rate Library'!$G$5:$G$200,MATCH(P203,'Resource Rate Library'!$A$5:$A$200,0)),"")</f>
        <v/>
      </c>
      <c r="AE203" s="81">
        <f>IFERROR(INDEX('Resource Rate Library'!$H$5:$H$200,MATCH(P203,'Resource Rate Library'!$A$5:$A$200,0)),"")</f>
        <v/>
      </c>
      <c r="AF203" s="53" t="n"/>
      <c r="AG203" s="53" t="n"/>
      <c r="AH203" s="53" t="n"/>
      <c r="AI203" s="81">
        <f>IF(B203="","",IF(AND(P203="",N203&lt;&gt;"Lump Sum / Quote"),"RESOURCE CODE",IF(Y203=0,"RATE MISSING",IF(AND(O203="Plant",AD203="Yes",COUNTIFS($B$7:$B$306,B203,$O$7:$O$306,"Labour",$Q$7:$Q$306,"*Operator*")&gt;0),"OPERATOR DOUBLE-COUNT",IF(AND(O203="Plant",AE203="Yes",COUNTIFS($B$7:$B$306,B203,$Q$7:$Q$306,"*Fuel*")&gt;0),"FUEL DOUBLE-COUNT",IF(AH203&lt;&gt;"Yes","VERIFY","OK"))))))</f>
        <v/>
      </c>
      <c r="AJ203" s="54" t="n"/>
      <c r="AK203" s="473" t="n"/>
      <c r="AL203" s="473" t="n"/>
      <c r="AM203" s="473" t="n"/>
      <c r="AN203" s="1444">
        <f>IF(AND(AK203="Yes",OR(O203="Labour",O203="Plant")),Z203,0)</f>
        <v/>
      </c>
    </row>
    <row r="204">
      <c r="A204" s="80">
        <f>IF(B204="","",B204&amp;"-"&amp;TEXT(COUNTIF($B$7:B204,B204),"000"))</f>
        <v/>
      </c>
      <c r="B204" s="53" t="n"/>
      <c r="C204" s="81">
        <f>IFERROR(INDEX('QS Takeoff'!$A$3:$A$202,MATCH(B204,'QS Takeoff'!$B$3:$B$202,0)),"")</f>
        <v/>
      </c>
      <c r="D204" s="81">
        <f>IFERROR(INDEX('QS Takeoff'!$C$3:$C$202,MATCH(B204,'QS Takeoff'!$B$3:$B$202,0)),"")</f>
        <v/>
      </c>
      <c r="E204" s="81">
        <f>IFERROR(INDEX('QS Takeoff'!$E$3:$E$202,MATCH(B204,'QS Takeoff'!$B$3:$B$202,0)),"")</f>
        <v/>
      </c>
      <c r="F204" s="81">
        <f>IFERROR(INDEX('QS Takeoff'!$D$3:$D$202,MATCH(B204,'QS Takeoff'!$B$3:$B$202,0)),"")</f>
        <v/>
      </c>
      <c r="G204" s="81">
        <f>IFERROR(INDEX('QS Takeoff'!$J$3:$J$202,MATCH(B204,'QS Takeoff'!$B$3:$B$202,0)),"")</f>
        <v/>
      </c>
      <c r="H204" s="53" t="n"/>
      <c r="I204" s="60" t="n"/>
      <c r="J204" s="60" t="n"/>
      <c r="K204" s="82">
        <f>IF(OR(B204="",I204="",I204=0),"",E204/I204)</f>
        <v/>
      </c>
      <c r="L204" s="60" t="n"/>
      <c r="M204" s="82">
        <f>IF(L204&gt;0,L204,K204)</f>
        <v/>
      </c>
      <c r="N204" s="53" t="n"/>
      <c r="O204" s="53" t="n"/>
      <c r="P204" s="53" t="n"/>
      <c r="Q204" s="81">
        <f>IFERROR(INDEX('Resource Rate Library'!$C$5:$C$200,MATCH(P204,'Resource Rate Library'!$A$5:$A$200,0)),"")</f>
        <v/>
      </c>
      <c r="R204" s="53" t="n"/>
      <c r="S204" s="53" t="n"/>
      <c r="T204" s="81">
        <f>IFERROR(INDEX('Resource Rate Library'!$E$5:$E$200,MATCH(P204,'Resource Rate Library'!$A$5:$A$200,0)),"")</f>
        <v/>
      </c>
      <c r="U204" s="1441" t="n"/>
      <c r="V204" s="1441" t="n"/>
      <c r="W204" s="1442">
        <f>IFERROR(INDEX('Resource Rate Library'!$I$5:$I$200,MATCH(P204,'Resource Rate Library'!$A$5:$A$200,0)),0)</f>
        <v/>
      </c>
      <c r="X204" s="1443" t="n"/>
      <c r="Y204" s="1442">
        <f>IF(X204&gt;0,X204,W204)</f>
        <v/>
      </c>
      <c r="Z204" s="1442">
        <f>IF(B204="","",IF(N204="Time x Count",M204*R204*IF(U204="",1,U204)*Y204,IF(N204="QS Qty x Factor",E204*R204*(1+IF(V204="",0,V204))*Y204,IF(N204="Direct Qty",S204*(1+IF(V204="",0,V204))*Y204,IF(N204="Lump Sum / Quote",S204*Y204,0)))))</f>
        <v/>
      </c>
      <c r="AA204" s="81">
        <f>IFERROR(INDEX('Resource Rate Library'!$N$5:$N$200,MATCH(P204,'Resource Rate Library'!$A$5:$A$200,0)),"")</f>
        <v/>
      </c>
      <c r="AB204" s="53" t="n"/>
      <c r="AC204" s="59" t="n"/>
      <c r="AD204" s="81">
        <f>IFERROR(INDEX('Resource Rate Library'!$G$5:$G$200,MATCH(P204,'Resource Rate Library'!$A$5:$A$200,0)),"")</f>
        <v/>
      </c>
      <c r="AE204" s="81">
        <f>IFERROR(INDEX('Resource Rate Library'!$H$5:$H$200,MATCH(P204,'Resource Rate Library'!$A$5:$A$200,0)),"")</f>
        <v/>
      </c>
      <c r="AF204" s="53" t="n"/>
      <c r="AG204" s="53" t="n"/>
      <c r="AH204" s="53" t="n"/>
      <c r="AI204" s="81">
        <f>IF(B204="","",IF(AND(P204="",N204&lt;&gt;"Lump Sum / Quote"),"RESOURCE CODE",IF(Y204=0,"RATE MISSING",IF(AND(O204="Plant",AD204="Yes",COUNTIFS($B$7:$B$306,B204,$O$7:$O$306,"Labour",$Q$7:$Q$306,"*Operator*")&gt;0),"OPERATOR DOUBLE-COUNT",IF(AND(O204="Plant",AE204="Yes",COUNTIFS($B$7:$B$306,B204,$Q$7:$Q$306,"*Fuel*")&gt;0),"FUEL DOUBLE-COUNT",IF(AH204&lt;&gt;"Yes","VERIFY","OK"))))))</f>
        <v/>
      </c>
      <c r="AJ204" s="54" t="n"/>
      <c r="AK204" s="473" t="n"/>
      <c r="AL204" s="473" t="n"/>
      <c r="AM204" s="473" t="n"/>
      <c r="AN204" s="1444">
        <f>IF(AND(AK204="Yes",OR(O204="Labour",O204="Plant")),Z204,0)</f>
        <v/>
      </c>
    </row>
    <row r="205">
      <c r="A205" s="80">
        <f>IF(B205="","",B205&amp;"-"&amp;TEXT(COUNTIF($B$7:B205,B205),"000"))</f>
        <v/>
      </c>
      <c r="B205" s="53" t="n"/>
      <c r="C205" s="81">
        <f>IFERROR(INDEX('QS Takeoff'!$A$3:$A$202,MATCH(B205,'QS Takeoff'!$B$3:$B$202,0)),"")</f>
        <v/>
      </c>
      <c r="D205" s="81">
        <f>IFERROR(INDEX('QS Takeoff'!$C$3:$C$202,MATCH(B205,'QS Takeoff'!$B$3:$B$202,0)),"")</f>
        <v/>
      </c>
      <c r="E205" s="81">
        <f>IFERROR(INDEX('QS Takeoff'!$E$3:$E$202,MATCH(B205,'QS Takeoff'!$B$3:$B$202,0)),"")</f>
        <v/>
      </c>
      <c r="F205" s="81">
        <f>IFERROR(INDEX('QS Takeoff'!$D$3:$D$202,MATCH(B205,'QS Takeoff'!$B$3:$B$202,0)),"")</f>
        <v/>
      </c>
      <c r="G205" s="81">
        <f>IFERROR(INDEX('QS Takeoff'!$J$3:$J$202,MATCH(B205,'QS Takeoff'!$B$3:$B$202,0)),"")</f>
        <v/>
      </c>
      <c r="H205" s="53" t="n"/>
      <c r="I205" s="60" t="n"/>
      <c r="J205" s="60" t="n"/>
      <c r="K205" s="82">
        <f>IF(OR(B205="",I205="",I205=0),"",E205/I205)</f>
        <v/>
      </c>
      <c r="L205" s="60" t="n"/>
      <c r="M205" s="82">
        <f>IF(L205&gt;0,L205,K205)</f>
        <v/>
      </c>
      <c r="N205" s="53" t="n"/>
      <c r="O205" s="53" t="n"/>
      <c r="P205" s="53" t="n"/>
      <c r="Q205" s="81">
        <f>IFERROR(INDEX('Resource Rate Library'!$C$5:$C$200,MATCH(P205,'Resource Rate Library'!$A$5:$A$200,0)),"")</f>
        <v/>
      </c>
      <c r="R205" s="53" t="n"/>
      <c r="S205" s="53" t="n"/>
      <c r="T205" s="81">
        <f>IFERROR(INDEX('Resource Rate Library'!$E$5:$E$200,MATCH(P205,'Resource Rate Library'!$A$5:$A$200,0)),"")</f>
        <v/>
      </c>
      <c r="U205" s="1441" t="n"/>
      <c r="V205" s="1441" t="n"/>
      <c r="W205" s="1442">
        <f>IFERROR(INDEX('Resource Rate Library'!$I$5:$I$200,MATCH(P205,'Resource Rate Library'!$A$5:$A$200,0)),0)</f>
        <v/>
      </c>
      <c r="X205" s="1443" t="n"/>
      <c r="Y205" s="1442">
        <f>IF(X205&gt;0,X205,W205)</f>
        <v/>
      </c>
      <c r="Z205" s="1442">
        <f>IF(B205="","",IF(N205="Time x Count",M205*R205*IF(U205="",1,U205)*Y205,IF(N205="QS Qty x Factor",E205*R205*(1+IF(V205="",0,V205))*Y205,IF(N205="Direct Qty",S205*(1+IF(V205="",0,V205))*Y205,IF(N205="Lump Sum / Quote",S205*Y205,0)))))</f>
        <v/>
      </c>
      <c r="AA205" s="81">
        <f>IFERROR(INDEX('Resource Rate Library'!$N$5:$N$200,MATCH(P205,'Resource Rate Library'!$A$5:$A$200,0)),"")</f>
        <v/>
      </c>
      <c r="AB205" s="53" t="n"/>
      <c r="AC205" s="59" t="n"/>
      <c r="AD205" s="81">
        <f>IFERROR(INDEX('Resource Rate Library'!$G$5:$G$200,MATCH(P205,'Resource Rate Library'!$A$5:$A$200,0)),"")</f>
        <v/>
      </c>
      <c r="AE205" s="81">
        <f>IFERROR(INDEX('Resource Rate Library'!$H$5:$H$200,MATCH(P205,'Resource Rate Library'!$A$5:$A$200,0)),"")</f>
        <v/>
      </c>
      <c r="AF205" s="53" t="n"/>
      <c r="AG205" s="53" t="n"/>
      <c r="AH205" s="53" t="n"/>
      <c r="AI205" s="81">
        <f>IF(B205="","",IF(AND(P205="",N205&lt;&gt;"Lump Sum / Quote"),"RESOURCE CODE",IF(Y205=0,"RATE MISSING",IF(AND(O205="Plant",AD205="Yes",COUNTIFS($B$7:$B$306,B205,$O$7:$O$306,"Labour",$Q$7:$Q$306,"*Operator*")&gt;0),"OPERATOR DOUBLE-COUNT",IF(AND(O205="Plant",AE205="Yes",COUNTIFS($B$7:$B$306,B205,$Q$7:$Q$306,"*Fuel*")&gt;0),"FUEL DOUBLE-COUNT",IF(AH205&lt;&gt;"Yes","VERIFY","OK"))))))</f>
        <v/>
      </c>
      <c r="AJ205" s="54" t="n"/>
      <c r="AK205" s="473" t="n"/>
      <c r="AL205" s="473" t="n"/>
      <c r="AM205" s="473" t="n"/>
      <c r="AN205" s="1444">
        <f>IF(AND(AK205="Yes",OR(O205="Labour",O205="Plant")),Z205,0)</f>
        <v/>
      </c>
    </row>
    <row r="206">
      <c r="A206" s="80">
        <f>IF(B206="","",B206&amp;"-"&amp;TEXT(COUNTIF($B$7:B206,B206),"000"))</f>
        <v/>
      </c>
      <c r="B206" s="53" t="n"/>
      <c r="C206" s="81">
        <f>IFERROR(INDEX('QS Takeoff'!$A$3:$A$202,MATCH(B206,'QS Takeoff'!$B$3:$B$202,0)),"")</f>
        <v/>
      </c>
      <c r="D206" s="81">
        <f>IFERROR(INDEX('QS Takeoff'!$C$3:$C$202,MATCH(B206,'QS Takeoff'!$B$3:$B$202,0)),"")</f>
        <v/>
      </c>
      <c r="E206" s="81">
        <f>IFERROR(INDEX('QS Takeoff'!$E$3:$E$202,MATCH(B206,'QS Takeoff'!$B$3:$B$202,0)),"")</f>
        <v/>
      </c>
      <c r="F206" s="81">
        <f>IFERROR(INDEX('QS Takeoff'!$D$3:$D$202,MATCH(B206,'QS Takeoff'!$B$3:$B$202,0)),"")</f>
        <v/>
      </c>
      <c r="G206" s="81">
        <f>IFERROR(INDEX('QS Takeoff'!$J$3:$J$202,MATCH(B206,'QS Takeoff'!$B$3:$B$202,0)),"")</f>
        <v/>
      </c>
      <c r="H206" s="53" t="n"/>
      <c r="I206" s="60" t="n"/>
      <c r="J206" s="60" t="n"/>
      <c r="K206" s="82">
        <f>IF(OR(B206="",I206="",I206=0),"",E206/I206)</f>
        <v/>
      </c>
      <c r="L206" s="60" t="n"/>
      <c r="M206" s="82">
        <f>IF(L206&gt;0,L206,K206)</f>
        <v/>
      </c>
      <c r="N206" s="53" t="n"/>
      <c r="O206" s="53" t="n"/>
      <c r="P206" s="53" t="n"/>
      <c r="Q206" s="81">
        <f>IFERROR(INDEX('Resource Rate Library'!$C$5:$C$200,MATCH(P206,'Resource Rate Library'!$A$5:$A$200,0)),"")</f>
        <v/>
      </c>
      <c r="R206" s="53" t="n"/>
      <c r="S206" s="53" t="n"/>
      <c r="T206" s="81">
        <f>IFERROR(INDEX('Resource Rate Library'!$E$5:$E$200,MATCH(P206,'Resource Rate Library'!$A$5:$A$200,0)),"")</f>
        <v/>
      </c>
      <c r="U206" s="1441" t="n"/>
      <c r="V206" s="1441" t="n"/>
      <c r="W206" s="1442">
        <f>IFERROR(INDEX('Resource Rate Library'!$I$5:$I$200,MATCH(P206,'Resource Rate Library'!$A$5:$A$200,0)),0)</f>
        <v/>
      </c>
      <c r="X206" s="1443" t="n"/>
      <c r="Y206" s="1442">
        <f>IF(X206&gt;0,X206,W206)</f>
        <v/>
      </c>
      <c r="Z206" s="1442">
        <f>IF(B206="","",IF(N206="Time x Count",M206*R206*IF(U206="",1,U206)*Y206,IF(N206="QS Qty x Factor",E206*R206*(1+IF(V206="",0,V206))*Y206,IF(N206="Direct Qty",S206*(1+IF(V206="",0,V206))*Y206,IF(N206="Lump Sum / Quote",S206*Y206,0)))))</f>
        <v/>
      </c>
      <c r="AA206" s="81">
        <f>IFERROR(INDEX('Resource Rate Library'!$N$5:$N$200,MATCH(P206,'Resource Rate Library'!$A$5:$A$200,0)),"")</f>
        <v/>
      </c>
      <c r="AB206" s="53" t="n"/>
      <c r="AC206" s="59" t="n"/>
      <c r="AD206" s="81">
        <f>IFERROR(INDEX('Resource Rate Library'!$G$5:$G$200,MATCH(P206,'Resource Rate Library'!$A$5:$A$200,0)),"")</f>
        <v/>
      </c>
      <c r="AE206" s="81">
        <f>IFERROR(INDEX('Resource Rate Library'!$H$5:$H$200,MATCH(P206,'Resource Rate Library'!$A$5:$A$200,0)),"")</f>
        <v/>
      </c>
      <c r="AF206" s="53" t="n"/>
      <c r="AG206" s="53" t="n"/>
      <c r="AH206" s="53" t="n"/>
      <c r="AI206" s="81">
        <f>IF(B206="","",IF(AND(P206="",N206&lt;&gt;"Lump Sum / Quote"),"RESOURCE CODE",IF(Y206=0,"RATE MISSING",IF(AND(O206="Plant",AD206="Yes",COUNTIFS($B$7:$B$306,B206,$O$7:$O$306,"Labour",$Q$7:$Q$306,"*Operator*")&gt;0),"OPERATOR DOUBLE-COUNT",IF(AND(O206="Plant",AE206="Yes",COUNTIFS($B$7:$B$306,B206,$Q$7:$Q$306,"*Fuel*")&gt;0),"FUEL DOUBLE-COUNT",IF(AH206&lt;&gt;"Yes","VERIFY","OK"))))))</f>
        <v/>
      </c>
      <c r="AJ206" s="54" t="n"/>
      <c r="AK206" s="473" t="n"/>
      <c r="AL206" s="473" t="n"/>
      <c r="AM206" s="473" t="n"/>
      <c r="AN206" s="1444">
        <f>IF(AND(AK206="Yes",OR(O206="Labour",O206="Plant")),Z206,0)</f>
        <v/>
      </c>
    </row>
    <row r="207">
      <c r="A207" s="80">
        <f>IF(B207="","",B207&amp;"-"&amp;TEXT(COUNTIF($B$7:B207,B207),"000"))</f>
        <v/>
      </c>
      <c r="B207" s="53" t="n"/>
      <c r="C207" s="81">
        <f>IFERROR(INDEX('QS Takeoff'!$A$3:$A$202,MATCH(B207,'QS Takeoff'!$B$3:$B$202,0)),"")</f>
        <v/>
      </c>
      <c r="D207" s="81">
        <f>IFERROR(INDEX('QS Takeoff'!$C$3:$C$202,MATCH(B207,'QS Takeoff'!$B$3:$B$202,0)),"")</f>
        <v/>
      </c>
      <c r="E207" s="81">
        <f>IFERROR(INDEX('QS Takeoff'!$E$3:$E$202,MATCH(B207,'QS Takeoff'!$B$3:$B$202,0)),"")</f>
        <v/>
      </c>
      <c r="F207" s="81">
        <f>IFERROR(INDEX('QS Takeoff'!$D$3:$D$202,MATCH(B207,'QS Takeoff'!$B$3:$B$202,0)),"")</f>
        <v/>
      </c>
      <c r="G207" s="81">
        <f>IFERROR(INDEX('QS Takeoff'!$J$3:$J$202,MATCH(B207,'QS Takeoff'!$B$3:$B$202,0)),"")</f>
        <v/>
      </c>
      <c r="H207" s="53" t="n"/>
      <c r="I207" s="60" t="n"/>
      <c r="J207" s="60" t="n"/>
      <c r="K207" s="82">
        <f>IF(OR(B207="",I207="",I207=0),"",E207/I207)</f>
        <v/>
      </c>
      <c r="L207" s="60" t="n"/>
      <c r="M207" s="82">
        <f>IF(L207&gt;0,L207,K207)</f>
        <v/>
      </c>
      <c r="N207" s="53" t="n"/>
      <c r="O207" s="53" t="n"/>
      <c r="P207" s="53" t="n"/>
      <c r="Q207" s="81">
        <f>IFERROR(INDEX('Resource Rate Library'!$C$5:$C$200,MATCH(P207,'Resource Rate Library'!$A$5:$A$200,0)),"")</f>
        <v/>
      </c>
      <c r="R207" s="53" t="n"/>
      <c r="S207" s="53" t="n"/>
      <c r="T207" s="81">
        <f>IFERROR(INDEX('Resource Rate Library'!$E$5:$E$200,MATCH(P207,'Resource Rate Library'!$A$5:$A$200,0)),"")</f>
        <v/>
      </c>
      <c r="U207" s="1441" t="n"/>
      <c r="V207" s="1441" t="n"/>
      <c r="W207" s="1442">
        <f>IFERROR(INDEX('Resource Rate Library'!$I$5:$I$200,MATCH(P207,'Resource Rate Library'!$A$5:$A$200,0)),0)</f>
        <v/>
      </c>
      <c r="X207" s="1443" t="n"/>
      <c r="Y207" s="1442">
        <f>IF(X207&gt;0,X207,W207)</f>
        <v/>
      </c>
      <c r="Z207" s="1442">
        <f>IF(B207="","",IF(N207="Time x Count",M207*R207*IF(U207="",1,U207)*Y207,IF(N207="QS Qty x Factor",E207*R207*(1+IF(V207="",0,V207))*Y207,IF(N207="Direct Qty",S207*(1+IF(V207="",0,V207))*Y207,IF(N207="Lump Sum / Quote",S207*Y207,0)))))</f>
        <v/>
      </c>
      <c r="AA207" s="81">
        <f>IFERROR(INDEX('Resource Rate Library'!$N$5:$N$200,MATCH(P207,'Resource Rate Library'!$A$5:$A$200,0)),"")</f>
        <v/>
      </c>
      <c r="AB207" s="53" t="n"/>
      <c r="AC207" s="59" t="n"/>
      <c r="AD207" s="81">
        <f>IFERROR(INDEX('Resource Rate Library'!$G$5:$G$200,MATCH(P207,'Resource Rate Library'!$A$5:$A$200,0)),"")</f>
        <v/>
      </c>
      <c r="AE207" s="81">
        <f>IFERROR(INDEX('Resource Rate Library'!$H$5:$H$200,MATCH(P207,'Resource Rate Library'!$A$5:$A$200,0)),"")</f>
        <v/>
      </c>
      <c r="AF207" s="53" t="n"/>
      <c r="AG207" s="53" t="n"/>
      <c r="AH207" s="53" t="n"/>
      <c r="AI207" s="81">
        <f>IF(B207="","",IF(AND(P207="",N207&lt;&gt;"Lump Sum / Quote"),"RESOURCE CODE",IF(Y207=0,"RATE MISSING",IF(AND(O207="Plant",AD207="Yes",COUNTIFS($B$7:$B$306,B207,$O$7:$O$306,"Labour",$Q$7:$Q$306,"*Operator*")&gt;0),"OPERATOR DOUBLE-COUNT",IF(AND(O207="Plant",AE207="Yes",COUNTIFS($B$7:$B$306,B207,$Q$7:$Q$306,"*Fuel*")&gt;0),"FUEL DOUBLE-COUNT",IF(AH207&lt;&gt;"Yes","VERIFY","OK"))))))</f>
        <v/>
      </c>
      <c r="AJ207" s="54" t="n"/>
      <c r="AK207" s="473" t="n"/>
      <c r="AL207" s="473" t="n"/>
      <c r="AM207" s="473" t="n"/>
      <c r="AN207" s="1444">
        <f>IF(AND(AK207="Yes",OR(O207="Labour",O207="Plant")),Z207,0)</f>
        <v/>
      </c>
    </row>
    <row r="208">
      <c r="A208" s="80">
        <f>IF(B208="","",B208&amp;"-"&amp;TEXT(COUNTIF($B$7:B208,B208),"000"))</f>
        <v/>
      </c>
      <c r="B208" s="53" t="n"/>
      <c r="C208" s="81">
        <f>IFERROR(INDEX('QS Takeoff'!$A$3:$A$202,MATCH(B208,'QS Takeoff'!$B$3:$B$202,0)),"")</f>
        <v/>
      </c>
      <c r="D208" s="81">
        <f>IFERROR(INDEX('QS Takeoff'!$C$3:$C$202,MATCH(B208,'QS Takeoff'!$B$3:$B$202,0)),"")</f>
        <v/>
      </c>
      <c r="E208" s="81">
        <f>IFERROR(INDEX('QS Takeoff'!$E$3:$E$202,MATCH(B208,'QS Takeoff'!$B$3:$B$202,0)),"")</f>
        <v/>
      </c>
      <c r="F208" s="81">
        <f>IFERROR(INDEX('QS Takeoff'!$D$3:$D$202,MATCH(B208,'QS Takeoff'!$B$3:$B$202,0)),"")</f>
        <v/>
      </c>
      <c r="G208" s="81">
        <f>IFERROR(INDEX('QS Takeoff'!$J$3:$J$202,MATCH(B208,'QS Takeoff'!$B$3:$B$202,0)),"")</f>
        <v/>
      </c>
      <c r="H208" s="53" t="n"/>
      <c r="I208" s="60" t="n"/>
      <c r="J208" s="60" t="n"/>
      <c r="K208" s="82">
        <f>IF(OR(B208="",I208="",I208=0),"",E208/I208)</f>
        <v/>
      </c>
      <c r="L208" s="60" t="n"/>
      <c r="M208" s="82">
        <f>IF(L208&gt;0,L208,K208)</f>
        <v/>
      </c>
      <c r="N208" s="53" t="n"/>
      <c r="O208" s="53" t="n"/>
      <c r="P208" s="53" t="n"/>
      <c r="Q208" s="81">
        <f>IFERROR(INDEX('Resource Rate Library'!$C$5:$C$200,MATCH(P208,'Resource Rate Library'!$A$5:$A$200,0)),"")</f>
        <v/>
      </c>
      <c r="R208" s="53" t="n"/>
      <c r="S208" s="53" t="n"/>
      <c r="T208" s="81">
        <f>IFERROR(INDEX('Resource Rate Library'!$E$5:$E$200,MATCH(P208,'Resource Rate Library'!$A$5:$A$200,0)),"")</f>
        <v/>
      </c>
      <c r="U208" s="1441" t="n"/>
      <c r="V208" s="1441" t="n"/>
      <c r="W208" s="1442">
        <f>IFERROR(INDEX('Resource Rate Library'!$I$5:$I$200,MATCH(P208,'Resource Rate Library'!$A$5:$A$200,0)),0)</f>
        <v/>
      </c>
      <c r="X208" s="1443" t="n"/>
      <c r="Y208" s="1442">
        <f>IF(X208&gt;0,X208,W208)</f>
        <v/>
      </c>
      <c r="Z208" s="1442">
        <f>IF(B208="","",IF(N208="Time x Count",M208*R208*IF(U208="",1,U208)*Y208,IF(N208="QS Qty x Factor",E208*R208*(1+IF(V208="",0,V208))*Y208,IF(N208="Direct Qty",S208*(1+IF(V208="",0,V208))*Y208,IF(N208="Lump Sum / Quote",S208*Y208,0)))))</f>
        <v/>
      </c>
      <c r="AA208" s="81">
        <f>IFERROR(INDEX('Resource Rate Library'!$N$5:$N$200,MATCH(P208,'Resource Rate Library'!$A$5:$A$200,0)),"")</f>
        <v/>
      </c>
      <c r="AB208" s="53" t="n"/>
      <c r="AC208" s="59" t="n"/>
      <c r="AD208" s="81">
        <f>IFERROR(INDEX('Resource Rate Library'!$G$5:$G$200,MATCH(P208,'Resource Rate Library'!$A$5:$A$200,0)),"")</f>
        <v/>
      </c>
      <c r="AE208" s="81">
        <f>IFERROR(INDEX('Resource Rate Library'!$H$5:$H$200,MATCH(P208,'Resource Rate Library'!$A$5:$A$200,0)),"")</f>
        <v/>
      </c>
      <c r="AF208" s="53" t="n"/>
      <c r="AG208" s="53" t="n"/>
      <c r="AH208" s="53" t="n"/>
      <c r="AI208" s="81">
        <f>IF(B208="","",IF(AND(P208="",N208&lt;&gt;"Lump Sum / Quote"),"RESOURCE CODE",IF(Y208=0,"RATE MISSING",IF(AND(O208="Plant",AD208="Yes",COUNTIFS($B$7:$B$306,B208,$O$7:$O$306,"Labour",$Q$7:$Q$306,"*Operator*")&gt;0),"OPERATOR DOUBLE-COUNT",IF(AND(O208="Plant",AE208="Yes",COUNTIFS($B$7:$B$306,B208,$Q$7:$Q$306,"*Fuel*")&gt;0),"FUEL DOUBLE-COUNT",IF(AH208&lt;&gt;"Yes","VERIFY","OK"))))))</f>
        <v/>
      </c>
      <c r="AJ208" s="54" t="n"/>
      <c r="AK208" s="473" t="n"/>
      <c r="AL208" s="473" t="n"/>
      <c r="AM208" s="473" t="n"/>
      <c r="AN208" s="1444">
        <f>IF(AND(AK208="Yes",OR(O208="Labour",O208="Plant")),Z208,0)</f>
        <v/>
      </c>
    </row>
    <row r="209">
      <c r="A209" s="80">
        <f>IF(B209="","",B209&amp;"-"&amp;TEXT(COUNTIF($B$7:B209,B209),"000"))</f>
        <v/>
      </c>
      <c r="B209" s="53" t="n"/>
      <c r="C209" s="81">
        <f>IFERROR(INDEX('QS Takeoff'!$A$3:$A$202,MATCH(B209,'QS Takeoff'!$B$3:$B$202,0)),"")</f>
        <v/>
      </c>
      <c r="D209" s="81">
        <f>IFERROR(INDEX('QS Takeoff'!$C$3:$C$202,MATCH(B209,'QS Takeoff'!$B$3:$B$202,0)),"")</f>
        <v/>
      </c>
      <c r="E209" s="81">
        <f>IFERROR(INDEX('QS Takeoff'!$E$3:$E$202,MATCH(B209,'QS Takeoff'!$B$3:$B$202,0)),"")</f>
        <v/>
      </c>
      <c r="F209" s="81">
        <f>IFERROR(INDEX('QS Takeoff'!$D$3:$D$202,MATCH(B209,'QS Takeoff'!$B$3:$B$202,0)),"")</f>
        <v/>
      </c>
      <c r="G209" s="81">
        <f>IFERROR(INDEX('QS Takeoff'!$J$3:$J$202,MATCH(B209,'QS Takeoff'!$B$3:$B$202,0)),"")</f>
        <v/>
      </c>
      <c r="H209" s="53" t="n"/>
      <c r="I209" s="60" t="n"/>
      <c r="J209" s="60" t="n"/>
      <c r="K209" s="82">
        <f>IF(OR(B209="",I209="",I209=0),"",E209/I209)</f>
        <v/>
      </c>
      <c r="L209" s="60" t="n"/>
      <c r="M209" s="82">
        <f>IF(L209&gt;0,L209,K209)</f>
        <v/>
      </c>
      <c r="N209" s="53" t="n"/>
      <c r="O209" s="53" t="n"/>
      <c r="P209" s="53" t="n"/>
      <c r="Q209" s="81">
        <f>IFERROR(INDEX('Resource Rate Library'!$C$5:$C$200,MATCH(P209,'Resource Rate Library'!$A$5:$A$200,0)),"")</f>
        <v/>
      </c>
      <c r="R209" s="53" t="n"/>
      <c r="S209" s="53" t="n"/>
      <c r="T209" s="81">
        <f>IFERROR(INDEX('Resource Rate Library'!$E$5:$E$200,MATCH(P209,'Resource Rate Library'!$A$5:$A$200,0)),"")</f>
        <v/>
      </c>
      <c r="U209" s="1441" t="n"/>
      <c r="V209" s="1441" t="n"/>
      <c r="W209" s="1442">
        <f>IFERROR(INDEX('Resource Rate Library'!$I$5:$I$200,MATCH(P209,'Resource Rate Library'!$A$5:$A$200,0)),0)</f>
        <v/>
      </c>
      <c r="X209" s="1443" t="n"/>
      <c r="Y209" s="1442">
        <f>IF(X209&gt;0,X209,W209)</f>
        <v/>
      </c>
      <c r="Z209" s="1442">
        <f>IF(B209="","",IF(N209="Time x Count",M209*R209*IF(U209="",1,U209)*Y209,IF(N209="QS Qty x Factor",E209*R209*(1+IF(V209="",0,V209))*Y209,IF(N209="Direct Qty",S209*(1+IF(V209="",0,V209))*Y209,IF(N209="Lump Sum / Quote",S209*Y209,0)))))</f>
        <v/>
      </c>
      <c r="AA209" s="81">
        <f>IFERROR(INDEX('Resource Rate Library'!$N$5:$N$200,MATCH(P209,'Resource Rate Library'!$A$5:$A$200,0)),"")</f>
        <v/>
      </c>
      <c r="AB209" s="53" t="n"/>
      <c r="AC209" s="59" t="n"/>
      <c r="AD209" s="81">
        <f>IFERROR(INDEX('Resource Rate Library'!$G$5:$G$200,MATCH(P209,'Resource Rate Library'!$A$5:$A$200,0)),"")</f>
        <v/>
      </c>
      <c r="AE209" s="81">
        <f>IFERROR(INDEX('Resource Rate Library'!$H$5:$H$200,MATCH(P209,'Resource Rate Library'!$A$5:$A$200,0)),"")</f>
        <v/>
      </c>
      <c r="AF209" s="53" t="n"/>
      <c r="AG209" s="53" t="n"/>
      <c r="AH209" s="53" t="n"/>
      <c r="AI209" s="81">
        <f>IF(B209="","",IF(AND(P209="",N209&lt;&gt;"Lump Sum / Quote"),"RESOURCE CODE",IF(Y209=0,"RATE MISSING",IF(AND(O209="Plant",AD209="Yes",COUNTIFS($B$7:$B$306,B209,$O$7:$O$306,"Labour",$Q$7:$Q$306,"*Operator*")&gt;0),"OPERATOR DOUBLE-COUNT",IF(AND(O209="Plant",AE209="Yes",COUNTIFS($B$7:$B$306,B209,$Q$7:$Q$306,"*Fuel*")&gt;0),"FUEL DOUBLE-COUNT",IF(AH209&lt;&gt;"Yes","VERIFY","OK"))))))</f>
        <v/>
      </c>
      <c r="AJ209" s="54" t="n"/>
      <c r="AK209" s="473" t="n"/>
      <c r="AL209" s="473" t="n"/>
      <c r="AM209" s="473" t="n"/>
      <c r="AN209" s="1444">
        <f>IF(AND(AK209="Yes",OR(O209="Labour",O209="Plant")),Z209,0)</f>
        <v/>
      </c>
    </row>
    <row r="210">
      <c r="A210" s="80">
        <f>IF(B210="","",B210&amp;"-"&amp;TEXT(COUNTIF($B$7:B210,B210),"000"))</f>
        <v/>
      </c>
      <c r="B210" s="53" t="n"/>
      <c r="C210" s="81">
        <f>IFERROR(INDEX('QS Takeoff'!$A$3:$A$202,MATCH(B210,'QS Takeoff'!$B$3:$B$202,0)),"")</f>
        <v/>
      </c>
      <c r="D210" s="81">
        <f>IFERROR(INDEX('QS Takeoff'!$C$3:$C$202,MATCH(B210,'QS Takeoff'!$B$3:$B$202,0)),"")</f>
        <v/>
      </c>
      <c r="E210" s="81">
        <f>IFERROR(INDEX('QS Takeoff'!$E$3:$E$202,MATCH(B210,'QS Takeoff'!$B$3:$B$202,0)),"")</f>
        <v/>
      </c>
      <c r="F210" s="81">
        <f>IFERROR(INDEX('QS Takeoff'!$D$3:$D$202,MATCH(B210,'QS Takeoff'!$B$3:$B$202,0)),"")</f>
        <v/>
      </c>
      <c r="G210" s="81">
        <f>IFERROR(INDEX('QS Takeoff'!$J$3:$J$202,MATCH(B210,'QS Takeoff'!$B$3:$B$202,0)),"")</f>
        <v/>
      </c>
      <c r="H210" s="53" t="n"/>
      <c r="I210" s="60" t="n"/>
      <c r="J210" s="60" t="n"/>
      <c r="K210" s="82">
        <f>IF(OR(B210="",I210="",I210=0),"",E210/I210)</f>
        <v/>
      </c>
      <c r="L210" s="60" t="n"/>
      <c r="M210" s="82">
        <f>IF(L210&gt;0,L210,K210)</f>
        <v/>
      </c>
      <c r="N210" s="53" t="n"/>
      <c r="O210" s="53" t="n"/>
      <c r="P210" s="53" t="n"/>
      <c r="Q210" s="81">
        <f>IFERROR(INDEX('Resource Rate Library'!$C$5:$C$200,MATCH(P210,'Resource Rate Library'!$A$5:$A$200,0)),"")</f>
        <v/>
      </c>
      <c r="R210" s="53" t="n"/>
      <c r="S210" s="53" t="n"/>
      <c r="T210" s="81">
        <f>IFERROR(INDEX('Resource Rate Library'!$E$5:$E$200,MATCH(P210,'Resource Rate Library'!$A$5:$A$200,0)),"")</f>
        <v/>
      </c>
      <c r="U210" s="1441" t="n"/>
      <c r="V210" s="1441" t="n"/>
      <c r="W210" s="1442">
        <f>IFERROR(INDEX('Resource Rate Library'!$I$5:$I$200,MATCH(P210,'Resource Rate Library'!$A$5:$A$200,0)),0)</f>
        <v/>
      </c>
      <c r="X210" s="1443" t="n"/>
      <c r="Y210" s="1442">
        <f>IF(X210&gt;0,X210,W210)</f>
        <v/>
      </c>
      <c r="Z210" s="1442">
        <f>IF(B210="","",IF(N210="Time x Count",M210*R210*IF(U210="",1,U210)*Y210,IF(N210="QS Qty x Factor",E210*R210*(1+IF(V210="",0,V210))*Y210,IF(N210="Direct Qty",S210*(1+IF(V210="",0,V210))*Y210,IF(N210="Lump Sum / Quote",S210*Y210,0)))))</f>
        <v/>
      </c>
      <c r="AA210" s="81">
        <f>IFERROR(INDEX('Resource Rate Library'!$N$5:$N$200,MATCH(P210,'Resource Rate Library'!$A$5:$A$200,0)),"")</f>
        <v/>
      </c>
      <c r="AB210" s="53" t="n"/>
      <c r="AC210" s="59" t="n"/>
      <c r="AD210" s="81">
        <f>IFERROR(INDEX('Resource Rate Library'!$G$5:$G$200,MATCH(P210,'Resource Rate Library'!$A$5:$A$200,0)),"")</f>
        <v/>
      </c>
      <c r="AE210" s="81">
        <f>IFERROR(INDEX('Resource Rate Library'!$H$5:$H$200,MATCH(P210,'Resource Rate Library'!$A$5:$A$200,0)),"")</f>
        <v/>
      </c>
      <c r="AF210" s="53" t="n"/>
      <c r="AG210" s="53" t="n"/>
      <c r="AH210" s="53" t="n"/>
      <c r="AI210" s="81">
        <f>IF(B210="","",IF(AND(P210="",N210&lt;&gt;"Lump Sum / Quote"),"RESOURCE CODE",IF(Y210=0,"RATE MISSING",IF(AND(O210="Plant",AD210="Yes",COUNTIFS($B$7:$B$306,B210,$O$7:$O$306,"Labour",$Q$7:$Q$306,"*Operator*")&gt;0),"OPERATOR DOUBLE-COUNT",IF(AND(O210="Plant",AE210="Yes",COUNTIFS($B$7:$B$306,B210,$Q$7:$Q$306,"*Fuel*")&gt;0),"FUEL DOUBLE-COUNT",IF(AH210&lt;&gt;"Yes","VERIFY","OK"))))))</f>
        <v/>
      </c>
      <c r="AJ210" s="54" t="n"/>
      <c r="AK210" s="473" t="n"/>
      <c r="AL210" s="473" t="n"/>
      <c r="AM210" s="473" t="n"/>
      <c r="AN210" s="1444">
        <f>IF(AND(AK210="Yes",OR(O210="Labour",O210="Plant")),Z210,0)</f>
        <v/>
      </c>
    </row>
    <row r="211">
      <c r="A211" s="80">
        <f>IF(B211="","",B211&amp;"-"&amp;TEXT(COUNTIF($B$7:B211,B211),"000"))</f>
        <v/>
      </c>
      <c r="B211" s="53" t="n"/>
      <c r="C211" s="81">
        <f>IFERROR(INDEX('QS Takeoff'!$A$3:$A$202,MATCH(B211,'QS Takeoff'!$B$3:$B$202,0)),"")</f>
        <v/>
      </c>
      <c r="D211" s="81">
        <f>IFERROR(INDEX('QS Takeoff'!$C$3:$C$202,MATCH(B211,'QS Takeoff'!$B$3:$B$202,0)),"")</f>
        <v/>
      </c>
      <c r="E211" s="81">
        <f>IFERROR(INDEX('QS Takeoff'!$E$3:$E$202,MATCH(B211,'QS Takeoff'!$B$3:$B$202,0)),"")</f>
        <v/>
      </c>
      <c r="F211" s="81">
        <f>IFERROR(INDEX('QS Takeoff'!$D$3:$D$202,MATCH(B211,'QS Takeoff'!$B$3:$B$202,0)),"")</f>
        <v/>
      </c>
      <c r="G211" s="81">
        <f>IFERROR(INDEX('QS Takeoff'!$J$3:$J$202,MATCH(B211,'QS Takeoff'!$B$3:$B$202,0)),"")</f>
        <v/>
      </c>
      <c r="H211" s="53" t="n"/>
      <c r="I211" s="60" t="n"/>
      <c r="J211" s="60" t="n"/>
      <c r="K211" s="82">
        <f>IF(OR(B211="",I211="",I211=0),"",E211/I211)</f>
        <v/>
      </c>
      <c r="L211" s="60" t="n"/>
      <c r="M211" s="82">
        <f>IF(L211&gt;0,L211,K211)</f>
        <v/>
      </c>
      <c r="N211" s="53" t="n"/>
      <c r="O211" s="53" t="n"/>
      <c r="P211" s="53" t="n"/>
      <c r="Q211" s="81">
        <f>IFERROR(INDEX('Resource Rate Library'!$C$5:$C$200,MATCH(P211,'Resource Rate Library'!$A$5:$A$200,0)),"")</f>
        <v/>
      </c>
      <c r="R211" s="53" t="n"/>
      <c r="S211" s="53" t="n"/>
      <c r="T211" s="81">
        <f>IFERROR(INDEX('Resource Rate Library'!$E$5:$E$200,MATCH(P211,'Resource Rate Library'!$A$5:$A$200,0)),"")</f>
        <v/>
      </c>
      <c r="U211" s="1441" t="n"/>
      <c r="V211" s="1441" t="n"/>
      <c r="W211" s="1442">
        <f>IFERROR(INDEX('Resource Rate Library'!$I$5:$I$200,MATCH(P211,'Resource Rate Library'!$A$5:$A$200,0)),0)</f>
        <v/>
      </c>
      <c r="X211" s="1443" t="n"/>
      <c r="Y211" s="1442">
        <f>IF(X211&gt;0,X211,W211)</f>
        <v/>
      </c>
      <c r="Z211" s="1442">
        <f>IF(B211="","",IF(N211="Time x Count",M211*R211*IF(U211="",1,U211)*Y211,IF(N211="QS Qty x Factor",E211*R211*(1+IF(V211="",0,V211))*Y211,IF(N211="Direct Qty",S211*(1+IF(V211="",0,V211))*Y211,IF(N211="Lump Sum / Quote",S211*Y211,0)))))</f>
        <v/>
      </c>
      <c r="AA211" s="81">
        <f>IFERROR(INDEX('Resource Rate Library'!$N$5:$N$200,MATCH(P211,'Resource Rate Library'!$A$5:$A$200,0)),"")</f>
        <v/>
      </c>
      <c r="AB211" s="53" t="n"/>
      <c r="AC211" s="59" t="n"/>
      <c r="AD211" s="81">
        <f>IFERROR(INDEX('Resource Rate Library'!$G$5:$G$200,MATCH(P211,'Resource Rate Library'!$A$5:$A$200,0)),"")</f>
        <v/>
      </c>
      <c r="AE211" s="81">
        <f>IFERROR(INDEX('Resource Rate Library'!$H$5:$H$200,MATCH(P211,'Resource Rate Library'!$A$5:$A$200,0)),"")</f>
        <v/>
      </c>
      <c r="AF211" s="53" t="n"/>
      <c r="AG211" s="53" t="n"/>
      <c r="AH211" s="53" t="n"/>
      <c r="AI211" s="81">
        <f>IF(B211="","",IF(AND(P211="",N211&lt;&gt;"Lump Sum / Quote"),"RESOURCE CODE",IF(Y211=0,"RATE MISSING",IF(AND(O211="Plant",AD211="Yes",COUNTIFS($B$7:$B$306,B211,$O$7:$O$306,"Labour",$Q$7:$Q$306,"*Operator*")&gt;0),"OPERATOR DOUBLE-COUNT",IF(AND(O211="Plant",AE211="Yes",COUNTIFS($B$7:$B$306,B211,$Q$7:$Q$306,"*Fuel*")&gt;0),"FUEL DOUBLE-COUNT",IF(AH211&lt;&gt;"Yes","VERIFY","OK"))))))</f>
        <v/>
      </c>
      <c r="AJ211" s="54" t="n"/>
      <c r="AK211" s="473" t="n"/>
      <c r="AL211" s="473" t="n"/>
      <c r="AM211" s="473" t="n"/>
      <c r="AN211" s="1444">
        <f>IF(AND(AK211="Yes",OR(O211="Labour",O211="Plant")),Z211,0)</f>
        <v/>
      </c>
    </row>
    <row r="212">
      <c r="A212" s="80">
        <f>IF(B212="","",B212&amp;"-"&amp;TEXT(COUNTIF($B$7:B212,B212),"000"))</f>
        <v/>
      </c>
      <c r="B212" s="53" t="n"/>
      <c r="C212" s="81">
        <f>IFERROR(INDEX('QS Takeoff'!$A$3:$A$202,MATCH(B212,'QS Takeoff'!$B$3:$B$202,0)),"")</f>
        <v/>
      </c>
      <c r="D212" s="81">
        <f>IFERROR(INDEX('QS Takeoff'!$C$3:$C$202,MATCH(B212,'QS Takeoff'!$B$3:$B$202,0)),"")</f>
        <v/>
      </c>
      <c r="E212" s="81">
        <f>IFERROR(INDEX('QS Takeoff'!$E$3:$E$202,MATCH(B212,'QS Takeoff'!$B$3:$B$202,0)),"")</f>
        <v/>
      </c>
      <c r="F212" s="81">
        <f>IFERROR(INDEX('QS Takeoff'!$D$3:$D$202,MATCH(B212,'QS Takeoff'!$B$3:$B$202,0)),"")</f>
        <v/>
      </c>
      <c r="G212" s="81">
        <f>IFERROR(INDEX('QS Takeoff'!$J$3:$J$202,MATCH(B212,'QS Takeoff'!$B$3:$B$202,0)),"")</f>
        <v/>
      </c>
      <c r="H212" s="53" t="n"/>
      <c r="I212" s="60" t="n"/>
      <c r="J212" s="60" t="n"/>
      <c r="K212" s="82">
        <f>IF(OR(B212="",I212="",I212=0),"",E212/I212)</f>
        <v/>
      </c>
      <c r="L212" s="60" t="n"/>
      <c r="M212" s="82">
        <f>IF(L212&gt;0,L212,K212)</f>
        <v/>
      </c>
      <c r="N212" s="53" t="n"/>
      <c r="O212" s="53" t="n"/>
      <c r="P212" s="53" t="n"/>
      <c r="Q212" s="81">
        <f>IFERROR(INDEX('Resource Rate Library'!$C$5:$C$200,MATCH(P212,'Resource Rate Library'!$A$5:$A$200,0)),"")</f>
        <v/>
      </c>
      <c r="R212" s="53" t="n"/>
      <c r="S212" s="53" t="n"/>
      <c r="T212" s="81">
        <f>IFERROR(INDEX('Resource Rate Library'!$E$5:$E$200,MATCH(P212,'Resource Rate Library'!$A$5:$A$200,0)),"")</f>
        <v/>
      </c>
      <c r="U212" s="1441" t="n"/>
      <c r="V212" s="1441" t="n"/>
      <c r="W212" s="1442">
        <f>IFERROR(INDEX('Resource Rate Library'!$I$5:$I$200,MATCH(P212,'Resource Rate Library'!$A$5:$A$200,0)),0)</f>
        <v/>
      </c>
      <c r="X212" s="1443" t="n"/>
      <c r="Y212" s="1442">
        <f>IF(X212&gt;0,X212,W212)</f>
        <v/>
      </c>
      <c r="Z212" s="1442">
        <f>IF(B212="","",IF(N212="Time x Count",M212*R212*IF(U212="",1,U212)*Y212,IF(N212="QS Qty x Factor",E212*R212*(1+IF(V212="",0,V212))*Y212,IF(N212="Direct Qty",S212*(1+IF(V212="",0,V212))*Y212,IF(N212="Lump Sum / Quote",S212*Y212,0)))))</f>
        <v/>
      </c>
      <c r="AA212" s="81">
        <f>IFERROR(INDEX('Resource Rate Library'!$N$5:$N$200,MATCH(P212,'Resource Rate Library'!$A$5:$A$200,0)),"")</f>
        <v/>
      </c>
      <c r="AB212" s="53" t="n"/>
      <c r="AC212" s="59" t="n"/>
      <c r="AD212" s="81">
        <f>IFERROR(INDEX('Resource Rate Library'!$G$5:$G$200,MATCH(P212,'Resource Rate Library'!$A$5:$A$200,0)),"")</f>
        <v/>
      </c>
      <c r="AE212" s="81">
        <f>IFERROR(INDEX('Resource Rate Library'!$H$5:$H$200,MATCH(P212,'Resource Rate Library'!$A$5:$A$200,0)),"")</f>
        <v/>
      </c>
      <c r="AF212" s="53" t="n"/>
      <c r="AG212" s="53" t="n"/>
      <c r="AH212" s="53" t="n"/>
      <c r="AI212" s="81">
        <f>IF(B212="","",IF(AND(P212="",N212&lt;&gt;"Lump Sum / Quote"),"RESOURCE CODE",IF(Y212=0,"RATE MISSING",IF(AND(O212="Plant",AD212="Yes",COUNTIFS($B$7:$B$306,B212,$O$7:$O$306,"Labour",$Q$7:$Q$306,"*Operator*")&gt;0),"OPERATOR DOUBLE-COUNT",IF(AND(O212="Plant",AE212="Yes",COUNTIFS($B$7:$B$306,B212,$Q$7:$Q$306,"*Fuel*")&gt;0),"FUEL DOUBLE-COUNT",IF(AH212&lt;&gt;"Yes","VERIFY","OK"))))))</f>
        <v/>
      </c>
      <c r="AJ212" s="54" t="n"/>
      <c r="AK212" s="473" t="n"/>
      <c r="AL212" s="473" t="n"/>
      <c r="AM212" s="473" t="n"/>
      <c r="AN212" s="1444">
        <f>IF(AND(AK212="Yes",OR(O212="Labour",O212="Plant")),Z212,0)</f>
        <v/>
      </c>
    </row>
    <row r="213">
      <c r="A213" s="80">
        <f>IF(B213="","",B213&amp;"-"&amp;TEXT(COUNTIF($B$7:B213,B213),"000"))</f>
        <v/>
      </c>
      <c r="B213" s="53" t="n"/>
      <c r="C213" s="81">
        <f>IFERROR(INDEX('QS Takeoff'!$A$3:$A$202,MATCH(B213,'QS Takeoff'!$B$3:$B$202,0)),"")</f>
        <v/>
      </c>
      <c r="D213" s="81">
        <f>IFERROR(INDEX('QS Takeoff'!$C$3:$C$202,MATCH(B213,'QS Takeoff'!$B$3:$B$202,0)),"")</f>
        <v/>
      </c>
      <c r="E213" s="81">
        <f>IFERROR(INDEX('QS Takeoff'!$E$3:$E$202,MATCH(B213,'QS Takeoff'!$B$3:$B$202,0)),"")</f>
        <v/>
      </c>
      <c r="F213" s="81">
        <f>IFERROR(INDEX('QS Takeoff'!$D$3:$D$202,MATCH(B213,'QS Takeoff'!$B$3:$B$202,0)),"")</f>
        <v/>
      </c>
      <c r="G213" s="81">
        <f>IFERROR(INDEX('QS Takeoff'!$J$3:$J$202,MATCH(B213,'QS Takeoff'!$B$3:$B$202,0)),"")</f>
        <v/>
      </c>
      <c r="H213" s="53" t="n"/>
      <c r="I213" s="60" t="n"/>
      <c r="J213" s="60" t="n"/>
      <c r="K213" s="82">
        <f>IF(OR(B213="",I213="",I213=0),"",E213/I213)</f>
        <v/>
      </c>
      <c r="L213" s="60" t="n"/>
      <c r="M213" s="82">
        <f>IF(L213&gt;0,L213,K213)</f>
        <v/>
      </c>
      <c r="N213" s="53" t="n"/>
      <c r="O213" s="53" t="n"/>
      <c r="P213" s="53" t="n"/>
      <c r="Q213" s="81">
        <f>IFERROR(INDEX('Resource Rate Library'!$C$5:$C$200,MATCH(P213,'Resource Rate Library'!$A$5:$A$200,0)),"")</f>
        <v/>
      </c>
      <c r="R213" s="53" t="n"/>
      <c r="S213" s="53" t="n"/>
      <c r="T213" s="81">
        <f>IFERROR(INDEX('Resource Rate Library'!$E$5:$E$200,MATCH(P213,'Resource Rate Library'!$A$5:$A$200,0)),"")</f>
        <v/>
      </c>
      <c r="U213" s="1441" t="n"/>
      <c r="V213" s="1441" t="n"/>
      <c r="W213" s="1442">
        <f>IFERROR(INDEX('Resource Rate Library'!$I$5:$I$200,MATCH(P213,'Resource Rate Library'!$A$5:$A$200,0)),0)</f>
        <v/>
      </c>
      <c r="X213" s="1443" t="n"/>
      <c r="Y213" s="1442">
        <f>IF(X213&gt;0,X213,W213)</f>
        <v/>
      </c>
      <c r="Z213" s="1442">
        <f>IF(B213="","",IF(N213="Time x Count",M213*R213*IF(U213="",1,U213)*Y213,IF(N213="QS Qty x Factor",E213*R213*(1+IF(V213="",0,V213))*Y213,IF(N213="Direct Qty",S213*(1+IF(V213="",0,V213))*Y213,IF(N213="Lump Sum / Quote",S213*Y213,0)))))</f>
        <v/>
      </c>
      <c r="AA213" s="81">
        <f>IFERROR(INDEX('Resource Rate Library'!$N$5:$N$200,MATCH(P213,'Resource Rate Library'!$A$5:$A$200,0)),"")</f>
        <v/>
      </c>
      <c r="AB213" s="53" t="n"/>
      <c r="AC213" s="59" t="n"/>
      <c r="AD213" s="81">
        <f>IFERROR(INDEX('Resource Rate Library'!$G$5:$G$200,MATCH(P213,'Resource Rate Library'!$A$5:$A$200,0)),"")</f>
        <v/>
      </c>
      <c r="AE213" s="81">
        <f>IFERROR(INDEX('Resource Rate Library'!$H$5:$H$200,MATCH(P213,'Resource Rate Library'!$A$5:$A$200,0)),"")</f>
        <v/>
      </c>
      <c r="AF213" s="53" t="n"/>
      <c r="AG213" s="53" t="n"/>
      <c r="AH213" s="53" t="n"/>
      <c r="AI213" s="81">
        <f>IF(B213="","",IF(AND(P213="",N213&lt;&gt;"Lump Sum / Quote"),"RESOURCE CODE",IF(Y213=0,"RATE MISSING",IF(AND(O213="Plant",AD213="Yes",COUNTIFS($B$7:$B$306,B213,$O$7:$O$306,"Labour",$Q$7:$Q$306,"*Operator*")&gt;0),"OPERATOR DOUBLE-COUNT",IF(AND(O213="Plant",AE213="Yes",COUNTIFS($B$7:$B$306,B213,$Q$7:$Q$306,"*Fuel*")&gt;0),"FUEL DOUBLE-COUNT",IF(AH213&lt;&gt;"Yes","VERIFY","OK"))))))</f>
        <v/>
      </c>
      <c r="AJ213" s="54" t="n"/>
      <c r="AK213" s="473" t="n"/>
      <c r="AL213" s="473" t="n"/>
      <c r="AM213" s="473" t="n"/>
      <c r="AN213" s="1444">
        <f>IF(AND(AK213="Yes",OR(O213="Labour",O213="Plant")),Z213,0)</f>
        <v/>
      </c>
    </row>
    <row r="214">
      <c r="A214" s="80">
        <f>IF(B214="","",B214&amp;"-"&amp;TEXT(COUNTIF($B$7:B214,B214),"000"))</f>
        <v/>
      </c>
      <c r="B214" s="53" t="n"/>
      <c r="C214" s="81">
        <f>IFERROR(INDEX('QS Takeoff'!$A$3:$A$202,MATCH(B214,'QS Takeoff'!$B$3:$B$202,0)),"")</f>
        <v/>
      </c>
      <c r="D214" s="81">
        <f>IFERROR(INDEX('QS Takeoff'!$C$3:$C$202,MATCH(B214,'QS Takeoff'!$B$3:$B$202,0)),"")</f>
        <v/>
      </c>
      <c r="E214" s="81">
        <f>IFERROR(INDEX('QS Takeoff'!$E$3:$E$202,MATCH(B214,'QS Takeoff'!$B$3:$B$202,0)),"")</f>
        <v/>
      </c>
      <c r="F214" s="81">
        <f>IFERROR(INDEX('QS Takeoff'!$D$3:$D$202,MATCH(B214,'QS Takeoff'!$B$3:$B$202,0)),"")</f>
        <v/>
      </c>
      <c r="G214" s="81">
        <f>IFERROR(INDEX('QS Takeoff'!$J$3:$J$202,MATCH(B214,'QS Takeoff'!$B$3:$B$202,0)),"")</f>
        <v/>
      </c>
      <c r="H214" s="53" t="n"/>
      <c r="I214" s="60" t="n"/>
      <c r="J214" s="60" t="n"/>
      <c r="K214" s="82">
        <f>IF(OR(B214="",I214="",I214=0),"",E214/I214)</f>
        <v/>
      </c>
      <c r="L214" s="60" t="n"/>
      <c r="M214" s="82">
        <f>IF(L214&gt;0,L214,K214)</f>
        <v/>
      </c>
      <c r="N214" s="53" t="n"/>
      <c r="O214" s="53" t="n"/>
      <c r="P214" s="53" t="n"/>
      <c r="Q214" s="81">
        <f>IFERROR(INDEX('Resource Rate Library'!$C$5:$C$200,MATCH(P214,'Resource Rate Library'!$A$5:$A$200,0)),"")</f>
        <v/>
      </c>
      <c r="R214" s="53" t="n"/>
      <c r="S214" s="53" t="n"/>
      <c r="T214" s="81">
        <f>IFERROR(INDEX('Resource Rate Library'!$E$5:$E$200,MATCH(P214,'Resource Rate Library'!$A$5:$A$200,0)),"")</f>
        <v/>
      </c>
      <c r="U214" s="1441" t="n"/>
      <c r="V214" s="1441" t="n"/>
      <c r="W214" s="1442">
        <f>IFERROR(INDEX('Resource Rate Library'!$I$5:$I$200,MATCH(P214,'Resource Rate Library'!$A$5:$A$200,0)),0)</f>
        <v/>
      </c>
      <c r="X214" s="1443" t="n"/>
      <c r="Y214" s="1442">
        <f>IF(X214&gt;0,X214,W214)</f>
        <v/>
      </c>
      <c r="Z214" s="1442">
        <f>IF(B214="","",IF(N214="Time x Count",M214*R214*IF(U214="",1,U214)*Y214,IF(N214="QS Qty x Factor",E214*R214*(1+IF(V214="",0,V214))*Y214,IF(N214="Direct Qty",S214*(1+IF(V214="",0,V214))*Y214,IF(N214="Lump Sum / Quote",S214*Y214,0)))))</f>
        <v/>
      </c>
      <c r="AA214" s="81">
        <f>IFERROR(INDEX('Resource Rate Library'!$N$5:$N$200,MATCH(P214,'Resource Rate Library'!$A$5:$A$200,0)),"")</f>
        <v/>
      </c>
      <c r="AB214" s="53" t="n"/>
      <c r="AC214" s="59" t="n"/>
      <c r="AD214" s="81">
        <f>IFERROR(INDEX('Resource Rate Library'!$G$5:$G$200,MATCH(P214,'Resource Rate Library'!$A$5:$A$200,0)),"")</f>
        <v/>
      </c>
      <c r="AE214" s="81">
        <f>IFERROR(INDEX('Resource Rate Library'!$H$5:$H$200,MATCH(P214,'Resource Rate Library'!$A$5:$A$200,0)),"")</f>
        <v/>
      </c>
      <c r="AF214" s="53" t="n"/>
      <c r="AG214" s="53" t="n"/>
      <c r="AH214" s="53" t="n"/>
      <c r="AI214" s="81">
        <f>IF(B214="","",IF(AND(P214="",N214&lt;&gt;"Lump Sum / Quote"),"RESOURCE CODE",IF(Y214=0,"RATE MISSING",IF(AND(O214="Plant",AD214="Yes",COUNTIFS($B$7:$B$306,B214,$O$7:$O$306,"Labour",$Q$7:$Q$306,"*Operator*")&gt;0),"OPERATOR DOUBLE-COUNT",IF(AND(O214="Plant",AE214="Yes",COUNTIFS($B$7:$B$306,B214,$Q$7:$Q$306,"*Fuel*")&gt;0),"FUEL DOUBLE-COUNT",IF(AH214&lt;&gt;"Yes","VERIFY","OK"))))))</f>
        <v/>
      </c>
      <c r="AJ214" s="54" t="n"/>
      <c r="AK214" s="473" t="n"/>
      <c r="AL214" s="473" t="n"/>
      <c r="AM214" s="473" t="n"/>
      <c r="AN214" s="1444">
        <f>IF(AND(AK214="Yes",OR(O214="Labour",O214="Plant")),Z214,0)</f>
        <v/>
      </c>
    </row>
    <row r="215">
      <c r="A215" s="80">
        <f>IF(B215="","",B215&amp;"-"&amp;TEXT(COUNTIF($B$7:B215,B215),"000"))</f>
        <v/>
      </c>
      <c r="B215" s="53" t="n"/>
      <c r="C215" s="81">
        <f>IFERROR(INDEX('QS Takeoff'!$A$3:$A$202,MATCH(B215,'QS Takeoff'!$B$3:$B$202,0)),"")</f>
        <v/>
      </c>
      <c r="D215" s="81">
        <f>IFERROR(INDEX('QS Takeoff'!$C$3:$C$202,MATCH(B215,'QS Takeoff'!$B$3:$B$202,0)),"")</f>
        <v/>
      </c>
      <c r="E215" s="81">
        <f>IFERROR(INDEX('QS Takeoff'!$E$3:$E$202,MATCH(B215,'QS Takeoff'!$B$3:$B$202,0)),"")</f>
        <v/>
      </c>
      <c r="F215" s="81">
        <f>IFERROR(INDEX('QS Takeoff'!$D$3:$D$202,MATCH(B215,'QS Takeoff'!$B$3:$B$202,0)),"")</f>
        <v/>
      </c>
      <c r="G215" s="81">
        <f>IFERROR(INDEX('QS Takeoff'!$J$3:$J$202,MATCH(B215,'QS Takeoff'!$B$3:$B$202,0)),"")</f>
        <v/>
      </c>
      <c r="H215" s="53" t="n"/>
      <c r="I215" s="60" t="n"/>
      <c r="J215" s="60" t="n"/>
      <c r="K215" s="82">
        <f>IF(OR(B215="",I215="",I215=0),"",E215/I215)</f>
        <v/>
      </c>
      <c r="L215" s="60" t="n"/>
      <c r="M215" s="82">
        <f>IF(L215&gt;0,L215,K215)</f>
        <v/>
      </c>
      <c r="N215" s="53" t="n"/>
      <c r="O215" s="53" t="n"/>
      <c r="P215" s="53" t="n"/>
      <c r="Q215" s="81">
        <f>IFERROR(INDEX('Resource Rate Library'!$C$5:$C$200,MATCH(P215,'Resource Rate Library'!$A$5:$A$200,0)),"")</f>
        <v/>
      </c>
      <c r="R215" s="53" t="n"/>
      <c r="S215" s="53" t="n"/>
      <c r="T215" s="81">
        <f>IFERROR(INDEX('Resource Rate Library'!$E$5:$E$200,MATCH(P215,'Resource Rate Library'!$A$5:$A$200,0)),"")</f>
        <v/>
      </c>
      <c r="U215" s="1441" t="n"/>
      <c r="V215" s="1441" t="n"/>
      <c r="W215" s="1442">
        <f>IFERROR(INDEX('Resource Rate Library'!$I$5:$I$200,MATCH(P215,'Resource Rate Library'!$A$5:$A$200,0)),0)</f>
        <v/>
      </c>
      <c r="X215" s="1443" t="n"/>
      <c r="Y215" s="1442">
        <f>IF(X215&gt;0,X215,W215)</f>
        <v/>
      </c>
      <c r="Z215" s="1442">
        <f>IF(B215="","",IF(N215="Time x Count",M215*R215*IF(U215="",1,U215)*Y215,IF(N215="QS Qty x Factor",E215*R215*(1+IF(V215="",0,V215))*Y215,IF(N215="Direct Qty",S215*(1+IF(V215="",0,V215))*Y215,IF(N215="Lump Sum / Quote",S215*Y215,0)))))</f>
        <v/>
      </c>
      <c r="AA215" s="81">
        <f>IFERROR(INDEX('Resource Rate Library'!$N$5:$N$200,MATCH(P215,'Resource Rate Library'!$A$5:$A$200,0)),"")</f>
        <v/>
      </c>
      <c r="AB215" s="53" t="n"/>
      <c r="AC215" s="59" t="n"/>
      <c r="AD215" s="81">
        <f>IFERROR(INDEX('Resource Rate Library'!$G$5:$G$200,MATCH(P215,'Resource Rate Library'!$A$5:$A$200,0)),"")</f>
        <v/>
      </c>
      <c r="AE215" s="81">
        <f>IFERROR(INDEX('Resource Rate Library'!$H$5:$H$200,MATCH(P215,'Resource Rate Library'!$A$5:$A$200,0)),"")</f>
        <v/>
      </c>
      <c r="AF215" s="53" t="n"/>
      <c r="AG215" s="53" t="n"/>
      <c r="AH215" s="53" t="n"/>
      <c r="AI215" s="81">
        <f>IF(B215="","",IF(AND(P215="",N215&lt;&gt;"Lump Sum / Quote"),"RESOURCE CODE",IF(Y215=0,"RATE MISSING",IF(AND(O215="Plant",AD215="Yes",COUNTIFS($B$7:$B$306,B215,$O$7:$O$306,"Labour",$Q$7:$Q$306,"*Operator*")&gt;0),"OPERATOR DOUBLE-COUNT",IF(AND(O215="Plant",AE215="Yes",COUNTIFS($B$7:$B$306,B215,$Q$7:$Q$306,"*Fuel*")&gt;0),"FUEL DOUBLE-COUNT",IF(AH215&lt;&gt;"Yes","VERIFY","OK"))))))</f>
        <v/>
      </c>
      <c r="AJ215" s="54" t="n"/>
      <c r="AK215" s="473" t="n"/>
      <c r="AL215" s="473" t="n"/>
      <c r="AM215" s="473" t="n"/>
      <c r="AN215" s="1444">
        <f>IF(AND(AK215="Yes",OR(O215="Labour",O215="Plant")),Z215,0)</f>
        <v/>
      </c>
    </row>
    <row r="216">
      <c r="A216" s="80">
        <f>IF(B216="","",B216&amp;"-"&amp;TEXT(COUNTIF($B$7:B216,B216),"000"))</f>
        <v/>
      </c>
      <c r="B216" s="53" t="n"/>
      <c r="C216" s="81">
        <f>IFERROR(INDEX('QS Takeoff'!$A$3:$A$202,MATCH(B216,'QS Takeoff'!$B$3:$B$202,0)),"")</f>
        <v/>
      </c>
      <c r="D216" s="81">
        <f>IFERROR(INDEX('QS Takeoff'!$C$3:$C$202,MATCH(B216,'QS Takeoff'!$B$3:$B$202,0)),"")</f>
        <v/>
      </c>
      <c r="E216" s="81">
        <f>IFERROR(INDEX('QS Takeoff'!$E$3:$E$202,MATCH(B216,'QS Takeoff'!$B$3:$B$202,0)),"")</f>
        <v/>
      </c>
      <c r="F216" s="81">
        <f>IFERROR(INDEX('QS Takeoff'!$D$3:$D$202,MATCH(B216,'QS Takeoff'!$B$3:$B$202,0)),"")</f>
        <v/>
      </c>
      <c r="G216" s="81">
        <f>IFERROR(INDEX('QS Takeoff'!$J$3:$J$202,MATCH(B216,'QS Takeoff'!$B$3:$B$202,0)),"")</f>
        <v/>
      </c>
      <c r="H216" s="53" t="n"/>
      <c r="I216" s="60" t="n"/>
      <c r="J216" s="60" t="n"/>
      <c r="K216" s="82">
        <f>IF(OR(B216="",I216="",I216=0),"",E216/I216)</f>
        <v/>
      </c>
      <c r="L216" s="60" t="n"/>
      <c r="M216" s="82">
        <f>IF(L216&gt;0,L216,K216)</f>
        <v/>
      </c>
      <c r="N216" s="53" t="n"/>
      <c r="O216" s="53" t="n"/>
      <c r="P216" s="53" t="n"/>
      <c r="Q216" s="81">
        <f>IFERROR(INDEX('Resource Rate Library'!$C$5:$C$200,MATCH(P216,'Resource Rate Library'!$A$5:$A$200,0)),"")</f>
        <v/>
      </c>
      <c r="R216" s="53" t="n"/>
      <c r="S216" s="53" t="n"/>
      <c r="T216" s="81">
        <f>IFERROR(INDEX('Resource Rate Library'!$E$5:$E$200,MATCH(P216,'Resource Rate Library'!$A$5:$A$200,0)),"")</f>
        <v/>
      </c>
      <c r="U216" s="1441" t="n"/>
      <c r="V216" s="1441" t="n"/>
      <c r="W216" s="1442">
        <f>IFERROR(INDEX('Resource Rate Library'!$I$5:$I$200,MATCH(P216,'Resource Rate Library'!$A$5:$A$200,0)),0)</f>
        <v/>
      </c>
      <c r="X216" s="1443" t="n"/>
      <c r="Y216" s="1442">
        <f>IF(X216&gt;0,X216,W216)</f>
        <v/>
      </c>
      <c r="Z216" s="1442">
        <f>IF(B216="","",IF(N216="Time x Count",M216*R216*IF(U216="",1,U216)*Y216,IF(N216="QS Qty x Factor",E216*R216*(1+IF(V216="",0,V216))*Y216,IF(N216="Direct Qty",S216*(1+IF(V216="",0,V216))*Y216,IF(N216="Lump Sum / Quote",S216*Y216,0)))))</f>
        <v/>
      </c>
      <c r="AA216" s="81">
        <f>IFERROR(INDEX('Resource Rate Library'!$N$5:$N$200,MATCH(P216,'Resource Rate Library'!$A$5:$A$200,0)),"")</f>
        <v/>
      </c>
      <c r="AB216" s="53" t="n"/>
      <c r="AC216" s="59" t="n"/>
      <c r="AD216" s="81">
        <f>IFERROR(INDEX('Resource Rate Library'!$G$5:$G$200,MATCH(P216,'Resource Rate Library'!$A$5:$A$200,0)),"")</f>
        <v/>
      </c>
      <c r="AE216" s="81">
        <f>IFERROR(INDEX('Resource Rate Library'!$H$5:$H$200,MATCH(P216,'Resource Rate Library'!$A$5:$A$200,0)),"")</f>
        <v/>
      </c>
      <c r="AF216" s="53" t="n"/>
      <c r="AG216" s="53" t="n"/>
      <c r="AH216" s="53" t="n"/>
      <c r="AI216" s="81">
        <f>IF(B216="","",IF(AND(P216="",N216&lt;&gt;"Lump Sum / Quote"),"RESOURCE CODE",IF(Y216=0,"RATE MISSING",IF(AND(O216="Plant",AD216="Yes",COUNTIFS($B$7:$B$306,B216,$O$7:$O$306,"Labour",$Q$7:$Q$306,"*Operator*")&gt;0),"OPERATOR DOUBLE-COUNT",IF(AND(O216="Plant",AE216="Yes",COUNTIFS($B$7:$B$306,B216,$Q$7:$Q$306,"*Fuel*")&gt;0),"FUEL DOUBLE-COUNT",IF(AH216&lt;&gt;"Yes","VERIFY","OK"))))))</f>
        <v/>
      </c>
      <c r="AJ216" s="54" t="n"/>
      <c r="AK216" s="473" t="n"/>
      <c r="AL216" s="473" t="n"/>
      <c r="AM216" s="473" t="n"/>
      <c r="AN216" s="1444">
        <f>IF(AND(AK216="Yes",OR(O216="Labour",O216="Plant")),Z216,0)</f>
        <v/>
      </c>
    </row>
    <row r="217">
      <c r="A217" s="80">
        <f>IF(B217="","",B217&amp;"-"&amp;TEXT(COUNTIF($B$7:B217,B217),"000"))</f>
        <v/>
      </c>
      <c r="B217" s="53" t="n"/>
      <c r="C217" s="81">
        <f>IFERROR(INDEX('QS Takeoff'!$A$3:$A$202,MATCH(B217,'QS Takeoff'!$B$3:$B$202,0)),"")</f>
        <v/>
      </c>
      <c r="D217" s="81">
        <f>IFERROR(INDEX('QS Takeoff'!$C$3:$C$202,MATCH(B217,'QS Takeoff'!$B$3:$B$202,0)),"")</f>
        <v/>
      </c>
      <c r="E217" s="81">
        <f>IFERROR(INDEX('QS Takeoff'!$E$3:$E$202,MATCH(B217,'QS Takeoff'!$B$3:$B$202,0)),"")</f>
        <v/>
      </c>
      <c r="F217" s="81">
        <f>IFERROR(INDEX('QS Takeoff'!$D$3:$D$202,MATCH(B217,'QS Takeoff'!$B$3:$B$202,0)),"")</f>
        <v/>
      </c>
      <c r="G217" s="81">
        <f>IFERROR(INDEX('QS Takeoff'!$J$3:$J$202,MATCH(B217,'QS Takeoff'!$B$3:$B$202,0)),"")</f>
        <v/>
      </c>
      <c r="H217" s="53" t="n"/>
      <c r="I217" s="60" t="n"/>
      <c r="J217" s="60" t="n"/>
      <c r="K217" s="82">
        <f>IF(OR(B217="",I217="",I217=0),"",E217/I217)</f>
        <v/>
      </c>
      <c r="L217" s="60" t="n"/>
      <c r="M217" s="82">
        <f>IF(L217&gt;0,L217,K217)</f>
        <v/>
      </c>
      <c r="N217" s="53" t="n"/>
      <c r="O217" s="53" t="n"/>
      <c r="P217" s="53" t="n"/>
      <c r="Q217" s="81">
        <f>IFERROR(INDEX('Resource Rate Library'!$C$5:$C$200,MATCH(P217,'Resource Rate Library'!$A$5:$A$200,0)),"")</f>
        <v/>
      </c>
      <c r="R217" s="53" t="n"/>
      <c r="S217" s="53" t="n"/>
      <c r="T217" s="81">
        <f>IFERROR(INDEX('Resource Rate Library'!$E$5:$E$200,MATCH(P217,'Resource Rate Library'!$A$5:$A$200,0)),"")</f>
        <v/>
      </c>
      <c r="U217" s="1441" t="n"/>
      <c r="V217" s="1441" t="n"/>
      <c r="W217" s="1442">
        <f>IFERROR(INDEX('Resource Rate Library'!$I$5:$I$200,MATCH(P217,'Resource Rate Library'!$A$5:$A$200,0)),0)</f>
        <v/>
      </c>
      <c r="X217" s="1443" t="n"/>
      <c r="Y217" s="1442">
        <f>IF(X217&gt;0,X217,W217)</f>
        <v/>
      </c>
      <c r="Z217" s="1442">
        <f>IF(B217="","",IF(N217="Time x Count",M217*R217*IF(U217="",1,U217)*Y217,IF(N217="QS Qty x Factor",E217*R217*(1+IF(V217="",0,V217))*Y217,IF(N217="Direct Qty",S217*(1+IF(V217="",0,V217))*Y217,IF(N217="Lump Sum / Quote",S217*Y217,0)))))</f>
        <v/>
      </c>
      <c r="AA217" s="81">
        <f>IFERROR(INDEX('Resource Rate Library'!$N$5:$N$200,MATCH(P217,'Resource Rate Library'!$A$5:$A$200,0)),"")</f>
        <v/>
      </c>
      <c r="AB217" s="53" t="n"/>
      <c r="AC217" s="59" t="n"/>
      <c r="AD217" s="81">
        <f>IFERROR(INDEX('Resource Rate Library'!$G$5:$G$200,MATCH(P217,'Resource Rate Library'!$A$5:$A$200,0)),"")</f>
        <v/>
      </c>
      <c r="AE217" s="81">
        <f>IFERROR(INDEX('Resource Rate Library'!$H$5:$H$200,MATCH(P217,'Resource Rate Library'!$A$5:$A$200,0)),"")</f>
        <v/>
      </c>
      <c r="AF217" s="53" t="n"/>
      <c r="AG217" s="53" t="n"/>
      <c r="AH217" s="53" t="n"/>
      <c r="AI217" s="81">
        <f>IF(B217="","",IF(AND(P217="",N217&lt;&gt;"Lump Sum / Quote"),"RESOURCE CODE",IF(Y217=0,"RATE MISSING",IF(AND(O217="Plant",AD217="Yes",COUNTIFS($B$7:$B$306,B217,$O$7:$O$306,"Labour",$Q$7:$Q$306,"*Operator*")&gt;0),"OPERATOR DOUBLE-COUNT",IF(AND(O217="Plant",AE217="Yes",COUNTIFS($B$7:$B$306,B217,$Q$7:$Q$306,"*Fuel*")&gt;0),"FUEL DOUBLE-COUNT",IF(AH217&lt;&gt;"Yes","VERIFY","OK"))))))</f>
        <v/>
      </c>
      <c r="AJ217" s="54" t="n"/>
      <c r="AK217" s="473" t="n"/>
      <c r="AL217" s="473" t="n"/>
      <c r="AM217" s="473" t="n"/>
      <c r="AN217" s="1444">
        <f>IF(AND(AK217="Yes",OR(O217="Labour",O217="Plant")),Z217,0)</f>
        <v/>
      </c>
    </row>
    <row r="218">
      <c r="A218" s="80">
        <f>IF(B218="","",B218&amp;"-"&amp;TEXT(COUNTIF($B$7:B218,B218),"000"))</f>
        <v/>
      </c>
      <c r="B218" s="53" t="n"/>
      <c r="C218" s="81">
        <f>IFERROR(INDEX('QS Takeoff'!$A$3:$A$202,MATCH(B218,'QS Takeoff'!$B$3:$B$202,0)),"")</f>
        <v/>
      </c>
      <c r="D218" s="81">
        <f>IFERROR(INDEX('QS Takeoff'!$C$3:$C$202,MATCH(B218,'QS Takeoff'!$B$3:$B$202,0)),"")</f>
        <v/>
      </c>
      <c r="E218" s="81">
        <f>IFERROR(INDEX('QS Takeoff'!$E$3:$E$202,MATCH(B218,'QS Takeoff'!$B$3:$B$202,0)),"")</f>
        <v/>
      </c>
      <c r="F218" s="81">
        <f>IFERROR(INDEX('QS Takeoff'!$D$3:$D$202,MATCH(B218,'QS Takeoff'!$B$3:$B$202,0)),"")</f>
        <v/>
      </c>
      <c r="G218" s="81">
        <f>IFERROR(INDEX('QS Takeoff'!$J$3:$J$202,MATCH(B218,'QS Takeoff'!$B$3:$B$202,0)),"")</f>
        <v/>
      </c>
      <c r="H218" s="53" t="n"/>
      <c r="I218" s="60" t="n"/>
      <c r="J218" s="60" t="n"/>
      <c r="K218" s="82">
        <f>IF(OR(B218="",I218="",I218=0),"",E218/I218)</f>
        <v/>
      </c>
      <c r="L218" s="60" t="n"/>
      <c r="M218" s="82">
        <f>IF(L218&gt;0,L218,K218)</f>
        <v/>
      </c>
      <c r="N218" s="53" t="n"/>
      <c r="O218" s="53" t="n"/>
      <c r="P218" s="53" t="n"/>
      <c r="Q218" s="81">
        <f>IFERROR(INDEX('Resource Rate Library'!$C$5:$C$200,MATCH(P218,'Resource Rate Library'!$A$5:$A$200,0)),"")</f>
        <v/>
      </c>
      <c r="R218" s="53" t="n"/>
      <c r="S218" s="53" t="n"/>
      <c r="T218" s="81">
        <f>IFERROR(INDEX('Resource Rate Library'!$E$5:$E$200,MATCH(P218,'Resource Rate Library'!$A$5:$A$200,0)),"")</f>
        <v/>
      </c>
      <c r="U218" s="1441" t="n"/>
      <c r="V218" s="1441" t="n"/>
      <c r="W218" s="1442">
        <f>IFERROR(INDEX('Resource Rate Library'!$I$5:$I$200,MATCH(P218,'Resource Rate Library'!$A$5:$A$200,0)),0)</f>
        <v/>
      </c>
      <c r="X218" s="1443" t="n"/>
      <c r="Y218" s="1442">
        <f>IF(X218&gt;0,X218,W218)</f>
        <v/>
      </c>
      <c r="Z218" s="1442">
        <f>IF(B218="","",IF(N218="Time x Count",M218*R218*IF(U218="",1,U218)*Y218,IF(N218="QS Qty x Factor",E218*R218*(1+IF(V218="",0,V218))*Y218,IF(N218="Direct Qty",S218*(1+IF(V218="",0,V218))*Y218,IF(N218="Lump Sum / Quote",S218*Y218,0)))))</f>
        <v/>
      </c>
      <c r="AA218" s="81">
        <f>IFERROR(INDEX('Resource Rate Library'!$N$5:$N$200,MATCH(P218,'Resource Rate Library'!$A$5:$A$200,0)),"")</f>
        <v/>
      </c>
      <c r="AB218" s="53" t="n"/>
      <c r="AC218" s="59" t="n"/>
      <c r="AD218" s="81">
        <f>IFERROR(INDEX('Resource Rate Library'!$G$5:$G$200,MATCH(P218,'Resource Rate Library'!$A$5:$A$200,0)),"")</f>
        <v/>
      </c>
      <c r="AE218" s="81">
        <f>IFERROR(INDEX('Resource Rate Library'!$H$5:$H$200,MATCH(P218,'Resource Rate Library'!$A$5:$A$200,0)),"")</f>
        <v/>
      </c>
      <c r="AF218" s="53" t="n"/>
      <c r="AG218" s="53" t="n"/>
      <c r="AH218" s="53" t="n"/>
      <c r="AI218" s="81">
        <f>IF(B218="","",IF(AND(P218="",N218&lt;&gt;"Lump Sum / Quote"),"RESOURCE CODE",IF(Y218=0,"RATE MISSING",IF(AND(O218="Plant",AD218="Yes",COUNTIFS($B$7:$B$306,B218,$O$7:$O$306,"Labour",$Q$7:$Q$306,"*Operator*")&gt;0),"OPERATOR DOUBLE-COUNT",IF(AND(O218="Plant",AE218="Yes",COUNTIFS($B$7:$B$306,B218,$Q$7:$Q$306,"*Fuel*")&gt;0),"FUEL DOUBLE-COUNT",IF(AH218&lt;&gt;"Yes","VERIFY","OK"))))))</f>
        <v/>
      </c>
      <c r="AJ218" s="54" t="n"/>
      <c r="AK218" s="473" t="n"/>
      <c r="AL218" s="473" t="n"/>
      <c r="AM218" s="473" t="n"/>
      <c r="AN218" s="1444">
        <f>IF(AND(AK218="Yes",OR(O218="Labour",O218="Plant")),Z218,0)</f>
        <v/>
      </c>
    </row>
    <row r="219">
      <c r="A219" s="80">
        <f>IF(B219="","",B219&amp;"-"&amp;TEXT(COUNTIF($B$7:B219,B219),"000"))</f>
        <v/>
      </c>
      <c r="B219" s="53" t="n"/>
      <c r="C219" s="81">
        <f>IFERROR(INDEX('QS Takeoff'!$A$3:$A$202,MATCH(B219,'QS Takeoff'!$B$3:$B$202,0)),"")</f>
        <v/>
      </c>
      <c r="D219" s="81">
        <f>IFERROR(INDEX('QS Takeoff'!$C$3:$C$202,MATCH(B219,'QS Takeoff'!$B$3:$B$202,0)),"")</f>
        <v/>
      </c>
      <c r="E219" s="81">
        <f>IFERROR(INDEX('QS Takeoff'!$E$3:$E$202,MATCH(B219,'QS Takeoff'!$B$3:$B$202,0)),"")</f>
        <v/>
      </c>
      <c r="F219" s="81">
        <f>IFERROR(INDEX('QS Takeoff'!$D$3:$D$202,MATCH(B219,'QS Takeoff'!$B$3:$B$202,0)),"")</f>
        <v/>
      </c>
      <c r="G219" s="81">
        <f>IFERROR(INDEX('QS Takeoff'!$J$3:$J$202,MATCH(B219,'QS Takeoff'!$B$3:$B$202,0)),"")</f>
        <v/>
      </c>
      <c r="H219" s="53" t="n"/>
      <c r="I219" s="60" t="n"/>
      <c r="J219" s="60" t="n"/>
      <c r="K219" s="82">
        <f>IF(OR(B219="",I219="",I219=0),"",E219/I219)</f>
        <v/>
      </c>
      <c r="L219" s="60" t="n"/>
      <c r="M219" s="82">
        <f>IF(L219&gt;0,L219,K219)</f>
        <v/>
      </c>
      <c r="N219" s="53" t="n"/>
      <c r="O219" s="53" t="n"/>
      <c r="P219" s="53" t="n"/>
      <c r="Q219" s="81">
        <f>IFERROR(INDEX('Resource Rate Library'!$C$5:$C$200,MATCH(P219,'Resource Rate Library'!$A$5:$A$200,0)),"")</f>
        <v/>
      </c>
      <c r="R219" s="53" t="n"/>
      <c r="S219" s="53" t="n"/>
      <c r="T219" s="81">
        <f>IFERROR(INDEX('Resource Rate Library'!$E$5:$E$200,MATCH(P219,'Resource Rate Library'!$A$5:$A$200,0)),"")</f>
        <v/>
      </c>
      <c r="U219" s="1441" t="n"/>
      <c r="V219" s="1441" t="n"/>
      <c r="W219" s="1442">
        <f>IFERROR(INDEX('Resource Rate Library'!$I$5:$I$200,MATCH(P219,'Resource Rate Library'!$A$5:$A$200,0)),0)</f>
        <v/>
      </c>
      <c r="X219" s="1443" t="n"/>
      <c r="Y219" s="1442">
        <f>IF(X219&gt;0,X219,W219)</f>
        <v/>
      </c>
      <c r="Z219" s="1442">
        <f>IF(B219="","",IF(N219="Time x Count",M219*R219*IF(U219="",1,U219)*Y219,IF(N219="QS Qty x Factor",E219*R219*(1+IF(V219="",0,V219))*Y219,IF(N219="Direct Qty",S219*(1+IF(V219="",0,V219))*Y219,IF(N219="Lump Sum / Quote",S219*Y219,0)))))</f>
        <v/>
      </c>
      <c r="AA219" s="81">
        <f>IFERROR(INDEX('Resource Rate Library'!$N$5:$N$200,MATCH(P219,'Resource Rate Library'!$A$5:$A$200,0)),"")</f>
        <v/>
      </c>
      <c r="AB219" s="53" t="n"/>
      <c r="AC219" s="59" t="n"/>
      <c r="AD219" s="81">
        <f>IFERROR(INDEX('Resource Rate Library'!$G$5:$G$200,MATCH(P219,'Resource Rate Library'!$A$5:$A$200,0)),"")</f>
        <v/>
      </c>
      <c r="AE219" s="81">
        <f>IFERROR(INDEX('Resource Rate Library'!$H$5:$H$200,MATCH(P219,'Resource Rate Library'!$A$5:$A$200,0)),"")</f>
        <v/>
      </c>
      <c r="AF219" s="53" t="n"/>
      <c r="AG219" s="53" t="n"/>
      <c r="AH219" s="53" t="n"/>
      <c r="AI219" s="81">
        <f>IF(B219="","",IF(AND(P219="",N219&lt;&gt;"Lump Sum / Quote"),"RESOURCE CODE",IF(Y219=0,"RATE MISSING",IF(AND(O219="Plant",AD219="Yes",COUNTIFS($B$7:$B$306,B219,$O$7:$O$306,"Labour",$Q$7:$Q$306,"*Operator*")&gt;0),"OPERATOR DOUBLE-COUNT",IF(AND(O219="Plant",AE219="Yes",COUNTIFS($B$7:$B$306,B219,$Q$7:$Q$306,"*Fuel*")&gt;0),"FUEL DOUBLE-COUNT",IF(AH219&lt;&gt;"Yes","VERIFY","OK"))))))</f>
        <v/>
      </c>
      <c r="AJ219" s="54" t="n"/>
      <c r="AK219" s="473" t="n"/>
      <c r="AL219" s="473" t="n"/>
      <c r="AM219" s="473" t="n"/>
      <c r="AN219" s="1444">
        <f>IF(AND(AK219="Yes",OR(O219="Labour",O219="Plant")),Z219,0)</f>
        <v/>
      </c>
    </row>
    <row r="220">
      <c r="A220" s="80">
        <f>IF(B220="","",B220&amp;"-"&amp;TEXT(COUNTIF($B$7:B220,B220),"000"))</f>
        <v/>
      </c>
      <c r="B220" s="53" t="n"/>
      <c r="C220" s="81">
        <f>IFERROR(INDEX('QS Takeoff'!$A$3:$A$202,MATCH(B220,'QS Takeoff'!$B$3:$B$202,0)),"")</f>
        <v/>
      </c>
      <c r="D220" s="81">
        <f>IFERROR(INDEX('QS Takeoff'!$C$3:$C$202,MATCH(B220,'QS Takeoff'!$B$3:$B$202,0)),"")</f>
        <v/>
      </c>
      <c r="E220" s="81">
        <f>IFERROR(INDEX('QS Takeoff'!$E$3:$E$202,MATCH(B220,'QS Takeoff'!$B$3:$B$202,0)),"")</f>
        <v/>
      </c>
      <c r="F220" s="81">
        <f>IFERROR(INDEX('QS Takeoff'!$D$3:$D$202,MATCH(B220,'QS Takeoff'!$B$3:$B$202,0)),"")</f>
        <v/>
      </c>
      <c r="G220" s="81">
        <f>IFERROR(INDEX('QS Takeoff'!$J$3:$J$202,MATCH(B220,'QS Takeoff'!$B$3:$B$202,0)),"")</f>
        <v/>
      </c>
      <c r="H220" s="53" t="n"/>
      <c r="I220" s="60" t="n"/>
      <c r="J220" s="60" t="n"/>
      <c r="K220" s="82">
        <f>IF(OR(B220="",I220="",I220=0),"",E220/I220)</f>
        <v/>
      </c>
      <c r="L220" s="60" t="n"/>
      <c r="M220" s="82">
        <f>IF(L220&gt;0,L220,K220)</f>
        <v/>
      </c>
      <c r="N220" s="53" t="n"/>
      <c r="O220" s="53" t="n"/>
      <c r="P220" s="53" t="n"/>
      <c r="Q220" s="81">
        <f>IFERROR(INDEX('Resource Rate Library'!$C$5:$C$200,MATCH(P220,'Resource Rate Library'!$A$5:$A$200,0)),"")</f>
        <v/>
      </c>
      <c r="R220" s="53" t="n"/>
      <c r="S220" s="53" t="n"/>
      <c r="T220" s="81">
        <f>IFERROR(INDEX('Resource Rate Library'!$E$5:$E$200,MATCH(P220,'Resource Rate Library'!$A$5:$A$200,0)),"")</f>
        <v/>
      </c>
      <c r="U220" s="1441" t="n"/>
      <c r="V220" s="1441" t="n"/>
      <c r="W220" s="1442">
        <f>IFERROR(INDEX('Resource Rate Library'!$I$5:$I$200,MATCH(P220,'Resource Rate Library'!$A$5:$A$200,0)),0)</f>
        <v/>
      </c>
      <c r="X220" s="1443" t="n"/>
      <c r="Y220" s="1442">
        <f>IF(X220&gt;0,X220,W220)</f>
        <v/>
      </c>
      <c r="Z220" s="1442">
        <f>IF(B220="","",IF(N220="Time x Count",M220*R220*IF(U220="",1,U220)*Y220,IF(N220="QS Qty x Factor",E220*R220*(1+IF(V220="",0,V220))*Y220,IF(N220="Direct Qty",S220*(1+IF(V220="",0,V220))*Y220,IF(N220="Lump Sum / Quote",S220*Y220,0)))))</f>
        <v/>
      </c>
      <c r="AA220" s="81">
        <f>IFERROR(INDEX('Resource Rate Library'!$N$5:$N$200,MATCH(P220,'Resource Rate Library'!$A$5:$A$200,0)),"")</f>
        <v/>
      </c>
      <c r="AB220" s="53" t="n"/>
      <c r="AC220" s="59" t="n"/>
      <c r="AD220" s="81">
        <f>IFERROR(INDEX('Resource Rate Library'!$G$5:$G$200,MATCH(P220,'Resource Rate Library'!$A$5:$A$200,0)),"")</f>
        <v/>
      </c>
      <c r="AE220" s="81">
        <f>IFERROR(INDEX('Resource Rate Library'!$H$5:$H$200,MATCH(P220,'Resource Rate Library'!$A$5:$A$200,0)),"")</f>
        <v/>
      </c>
      <c r="AF220" s="53" t="n"/>
      <c r="AG220" s="53" t="n"/>
      <c r="AH220" s="53" t="n"/>
      <c r="AI220" s="81">
        <f>IF(B220="","",IF(AND(P220="",N220&lt;&gt;"Lump Sum / Quote"),"RESOURCE CODE",IF(Y220=0,"RATE MISSING",IF(AND(O220="Plant",AD220="Yes",COUNTIFS($B$7:$B$306,B220,$O$7:$O$306,"Labour",$Q$7:$Q$306,"*Operator*")&gt;0),"OPERATOR DOUBLE-COUNT",IF(AND(O220="Plant",AE220="Yes",COUNTIFS($B$7:$B$306,B220,$Q$7:$Q$306,"*Fuel*")&gt;0),"FUEL DOUBLE-COUNT",IF(AH220&lt;&gt;"Yes","VERIFY","OK"))))))</f>
        <v/>
      </c>
      <c r="AJ220" s="54" t="n"/>
      <c r="AK220" s="473" t="n"/>
      <c r="AL220" s="473" t="n"/>
      <c r="AM220" s="473" t="n"/>
      <c r="AN220" s="1444">
        <f>IF(AND(AK220="Yes",OR(O220="Labour",O220="Plant")),Z220,0)</f>
        <v/>
      </c>
    </row>
    <row r="221">
      <c r="A221" s="80">
        <f>IF(B221="","",B221&amp;"-"&amp;TEXT(COUNTIF($B$7:B221,B221),"000"))</f>
        <v/>
      </c>
      <c r="B221" s="53" t="n"/>
      <c r="C221" s="81">
        <f>IFERROR(INDEX('QS Takeoff'!$A$3:$A$202,MATCH(B221,'QS Takeoff'!$B$3:$B$202,0)),"")</f>
        <v/>
      </c>
      <c r="D221" s="81">
        <f>IFERROR(INDEX('QS Takeoff'!$C$3:$C$202,MATCH(B221,'QS Takeoff'!$B$3:$B$202,0)),"")</f>
        <v/>
      </c>
      <c r="E221" s="81">
        <f>IFERROR(INDEX('QS Takeoff'!$E$3:$E$202,MATCH(B221,'QS Takeoff'!$B$3:$B$202,0)),"")</f>
        <v/>
      </c>
      <c r="F221" s="81">
        <f>IFERROR(INDEX('QS Takeoff'!$D$3:$D$202,MATCH(B221,'QS Takeoff'!$B$3:$B$202,0)),"")</f>
        <v/>
      </c>
      <c r="G221" s="81">
        <f>IFERROR(INDEX('QS Takeoff'!$J$3:$J$202,MATCH(B221,'QS Takeoff'!$B$3:$B$202,0)),"")</f>
        <v/>
      </c>
      <c r="H221" s="53" t="n"/>
      <c r="I221" s="60" t="n"/>
      <c r="J221" s="60" t="n"/>
      <c r="K221" s="82">
        <f>IF(OR(B221="",I221="",I221=0),"",E221/I221)</f>
        <v/>
      </c>
      <c r="L221" s="60" t="n"/>
      <c r="M221" s="82">
        <f>IF(L221&gt;0,L221,K221)</f>
        <v/>
      </c>
      <c r="N221" s="53" t="n"/>
      <c r="O221" s="53" t="n"/>
      <c r="P221" s="53" t="n"/>
      <c r="Q221" s="81">
        <f>IFERROR(INDEX('Resource Rate Library'!$C$5:$C$200,MATCH(P221,'Resource Rate Library'!$A$5:$A$200,0)),"")</f>
        <v/>
      </c>
      <c r="R221" s="53" t="n"/>
      <c r="S221" s="53" t="n"/>
      <c r="T221" s="81">
        <f>IFERROR(INDEX('Resource Rate Library'!$E$5:$E$200,MATCH(P221,'Resource Rate Library'!$A$5:$A$200,0)),"")</f>
        <v/>
      </c>
      <c r="U221" s="1441" t="n"/>
      <c r="V221" s="1441" t="n"/>
      <c r="W221" s="1442">
        <f>IFERROR(INDEX('Resource Rate Library'!$I$5:$I$200,MATCH(P221,'Resource Rate Library'!$A$5:$A$200,0)),0)</f>
        <v/>
      </c>
      <c r="X221" s="1443" t="n"/>
      <c r="Y221" s="1442">
        <f>IF(X221&gt;0,X221,W221)</f>
        <v/>
      </c>
      <c r="Z221" s="1442">
        <f>IF(B221="","",IF(N221="Time x Count",M221*R221*IF(U221="",1,U221)*Y221,IF(N221="QS Qty x Factor",E221*R221*(1+IF(V221="",0,V221))*Y221,IF(N221="Direct Qty",S221*(1+IF(V221="",0,V221))*Y221,IF(N221="Lump Sum / Quote",S221*Y221,0)))))</f>
        <v/>
      </c>
      <c r="AA221" s="81">
        <f>IFERROR(INDEX('Resource Rate Library'!$N$5:$N$200,MATCH(P221,'Resource Rate Library'!$A$5:$A$200,0)),"")</f>
        <v/>
      </c>
      <c r="AB221" s="53" t="n"/>
      <c r="AC221" s="59" t="n"/>
      <c r="AD221" s="81">
        <f>IFERROR(INDEX('Resource Rate Library'!$G$5:$G$200,MATCH(P221,'Resource Rate Library'!$A$5:$A$200,0)),"")</f>
        <v/>
      </c>
      <c r="AE221" s="81">
        <f>IFERROR(INDEX('Resource Rate Library'!$H$5:$H$200,MATCH(P221,'Resource Rate Library'!$A$5:$A$200,0)),"")</f>
        <v/>
      </c>
      <c r="AF221" s="53" t="n"/>
      <c r="AG221" s="53" t="n"/>
      <c r="AH221" s="53" t="n"/>
      <c r="AI221" s="81">
        <f>IF(B221="","",IF(AND(P221="",N221&lt;&gt;"Lump Sum / Quote"),"RESOURCE CODE",IF(Y221=0,"RATE MISSING",IF(AND(O221="Plant",AD221="Yes",COUNTIFS($B$7:$B$306,B221,$O$7:$O$306,"Labour",$Q$7:$Q$306,"*Operator*")&gt;0),"OPERATOR DOUBLE-COUNT",IF(AND(O221="Plant",AE221="Yes",COUNTIFS($B$7:$B$306,B221,$Q$7:$Q$306,"*Fuel*")&gt;0),"FUEL DOUBLE-COUNT",IF(AH221&lt;&gt;"Yes","VERIFY","OK"))))))</f>
        <v/>
      </c>
      <c r="AJ221" s="54" t="n"/>
      <c r="AK221" s="473" t="n"/>
      <c r="AL221" s="473" t="n"/>
      <c r="AM221" s="473" t="n"/>
      <c r="AN221" s="1444">
        <f>IF(AND(AK221="Yes",OR(O221="Labour",O221="Plant")),Z221,0)</f>
        <v/>
      </c>
    </row>
    <row r="222">
      <c r="A222" s="80">
        <f>IF(B222="","",B222&amp;"-"&amp;TEXT(COUNTIF($B$7:B222,B222),"000"))</f>
        <v/>
      </c>
      <c r="B222" s="53" t="n"/>
      <c r="C222" s="81">
        <f>IFERROR(INDEX('QS Takeoff'!$A$3:$A$202,MATCH(B222,'QS Takeoff'!$B$3:$B$202,0)),"")</f>
        <v/>
      </c>
      <c r="D222" s="81">
        <f>IFERROR(INDEX('QS Takeoff'!$C$3:$C$202,MATCH(B222,'QS Takeoff'!$B$3:$B$202,0)),"")</f>
        <v/>
      </c>
      <c r="E222" s="81">
        <f>IFERROR(INDEX('QS Takeoff'!$E$3:$E$202,MATCH(B222,'QS Takeoff'!$B$3:$B$202,0)),"")</f>
        <v/>
      </c>
      <c r="F222" s="81">
        <f>IFERROR(INDEX('QS Takeoff'!$D$3:$D$202,MATCH(B222,'QS Takeoff'!$B$3:$B$202,0)),"")</f>
        <v/>
      </c>
      <c r="G222" s="81">
        <f>IFERROR(INDEX('QS Takeoff'!$J$3:$J$202,MATCH(B222,'QS Takeoff'!$B$3:$B$202,0)),"")</f>
        <v/>
      </c>
      <c r="H222" s="53" t="n"/>
      <c r="I222" s="60" t="n"/>
      <c r="J222" s="60" t="n"/>
      <c r="K222" s="82">
        <f>IF(OR(B222="",I222="",I222=0),"",E222/I222)</f>
        <v/>
      </c>
      <c r="L222" s="60" t="n"/>
      <c r="M222" s="82">
        <f>IF(L222&gt;0,L222,K222)</f>
        <v/>
      </c>
      <c r="N222" s="53" t="n"/>
      <c r="O222" s="53" t="n"/>
      <c r="P222" s="53" t="n"/>
      <c r="Q222" s="81">
        <f>IFERROR(INDEX('Resource Rate Library'!$C$5:$C$200,MATCH(P222,'Resource Rate Library'!$A$5:$A$200,0)),"")</f>
        <v/>
      </c>
      <c r="R222" s="53" t="n"/>
      <c r="S222" s="53" t="n"/>
      <c r="T222" s="81">
        <f>IFERROR(INDEX('Resource Rate Library'!$E$5:$E$200,MATCH(P222,'Resource Rate Library'!$A$5:$A$200,0)),"")</f>
        <v/>
      </c>
      <c r="U222" s="1441" t="n"/>
      <c r="V222" s="1441" t="n"/>
      <c r="W222" s="1442">
        <f>IFERROR(INDEX('Resource Rate Library'!$I$5:$I$200,MATCH(P222,'Resource Rate Library'!$A$5:$A$200,0)),0)</f>
        <v/>
      </c>
      <c r="X222" s="1443" t="n"/>
      <c r="Y222" s="1442">
        <f>IF(X222&gt;0,X222,W222)</f>
        <v/>
      </c>
      <c r="Z222" s="1442">
        <f>IF(B222="","",IF(N222="Time x Count",M222*R222*IF(U222="",1,U222)*Y222,IF(N222="QS Qty x Factor",E222*R222*(1+IF(V222="",0,V222))*Y222,IF(N222="Direct Qty",S222*(1+IF(V222="",0,V222))*Y222,IF(N222="Lump Sum / Quote",S222*Y222,0)))))</f>
        <v/>
      </c>
      <c r="AA222" s="81">
        <f>IFERROR(INDEX('Resource Rate Library'!$N$5:$N$200,MATCH(P222,'Resource Rate Library'!$A$5:$A$200,0)),"")</f>
        <v/>
      </c>
      <c r="AB222" s="53" t="n"/>
      <c r="AC222" s="59" t="n"/>
      <c r="AD222" s="81">
        <f>IFERROR(INDEX('Resource Rate Library'!$G$5:$G$200,MATCH(P222,'Resource Rate Library'!$A$5:$A$200,0)),"")</f>
        <v/>
      </c>
      <c r="AE222" s="81">
        <f>IFERROR(INDEX('Resource Rate Library'!$H$5:$H$200,MATCH(P222,'Resource Rate Library'!$A$5:$A$200,0)),"")</f>
        <v/>
      </c>
      <c r="AF222" s="53" t="n"/>
      <c r="AG222" s="53" t="n"/>
      <c r="AH222" s="53" t="n"/>
      <c r="AI222" s="81">
        <f>IF(B222="","",IF(AND(P222="",N222&lt;&gt;"Lump Sum / Quote"),"RESOURCE CODE",IF(Y222=0,"RATE MISSING",IF(AND(O222="Plant",AD222="Yes",COUNTIFS($B$7:$B$306,B222,$O$7:$O$306,"Labour",$Q$7:$Q$306,"*Operator*")&gt;0),"OPERATOR DOUBLE-COUNT",IF(AND(O222="Plant",AE222="Yes",COUNTIFS($B$7:$B$306,B222,$Q$7:$Q$306,"*Fuel*")&gt;0),"FUEL DOUBLE-COUNT",IF(AH222&lt;&gt;"Yes","VERIFY","OK"))))))</f>
        <v/>
      </c>
      <c r="AJ222" s="54" t="n"/>
      <c r="AK222" s="473" t="n"/>
      <c r="AL222" s="473" t="n"/>
      <c r="AM222" s="473" t="n"/>
      <c r="AN222" s="1444">
        <f>IF(AND(AK222="Yes",OR(O222="Labour",O222="Plant")),Z222,0)</f>
        <v/>
      </c>
    </row>
    <row r="223">
      <c r="A223" s="80">
        <f>IF(B223="","",B223&amp;"-"&amp;TEXT(COUNTIF($B$7:B223,B223),"000"))</f>
        <v/>
      </c>
      <c r="B223" s="53" t="n"/>
      <c r="C223" s="81">
        <f>IFERROR(INDEX('QS Takeoff'!$A$3:$A$202,MATCH(B223,'QS Takeoff'!$B$3:$B$202,0)),"")</f>
        <v/>
      </c>
      <c r="D223" s="81">
        <f>IFERROR(INDEX('QS Takeoff'!$C$3:$C$202,MATCH(B223,'QS Takeoff'!$B$3:$B$202,0)),"")</f>
        <v/>
      </c>
      <c r="E223" s="81">
        <f>IFERROR(INDEX('QS Takeoff'!$E$3:$E$202,MATCH(B223,'QS Takeoff'!$B$3:$B$202,0)),"")</f>
        <v/>
      </c>
      <c r="F223" s="81">
        <f>IFERROR(INDEX('QS Takeoff'!$D$3:$D$202,MATCH(B223,'QS Takeoff'!$B$3:$B$202,0)),"")</f>
        <v/>
      </c>
      <c r="G223" s="81">
        <f>IFERROR(INDEX('QS Takeoff'!$J$3:$J$202,MATCH(B223,'QS Takeoff'!$B$3:$B$202,0)),"")</f>
        <v/>
      </c>
      <c r="H223" s="53" t="n"/>
      <c r="I223" s="60" t="n"/>
      <c r="J223" s="60" t="n"/>
      <c r="K223" s="82">
        <f>IF(OR(B223="",I223="",I223=0),"",E223/I223)</f>
        <v/>
      </c>
      <c r="L223" s="60" t="n"/>
      <c r="M223" s="82">
        <f>IF(L223&gt;0,L223,K223)</f>
        <v/>
      </c>
      <c r="N223" s="53" t="n"/>
      <c r="O223" s="53" t="n"/>
      <c r="P223" s="53" t="n"/>
      <c r="Q223" s="81">
        <f>IFERROR(INDEX('Resource Rate Library'!$C$5:$C$200,MATCH(P223,'Resource Rate Library'!$A$5:$A$200,0)),"")</f>
        <v/>
      </c>
      <c r="R223" s="53" t="n"/>
      <c r="S223" s="53" t="n"/>
      <c r="T223" s="81">
        <f>IFERROR(INDEX('Resource Rate Library'!$E$5:$E$200,MATCH(P223,'Resource Rate Library'!$A$5:$A$200,0)),"")</f>
        <v/>
      </c>
      <c r="U223" s="1441" t="n"/>
      <c r="V223" s="1441" t="n"/>
      <c r="W223" s="1442">
        <f>IFERROR(INDEX('Resource Rate Library'!$I$5:$I$200,MATCH(P223,'Resource Rate Library'!$A$5:$A$200,0)),0)</f>
        <v/>
      </c>
      <c r="X223" s="1443" t="n"/>
      <c r="Y223" s="1442">
        <f>IF(X223&gt;0,X223,W223)</f>
        <v/>
      </c>
      <c r="Z223" s="1442">
        <f>IF(B223="","",IF(N223="Time x Count",M223*R223*IF(U223="",1,U223)*Y223,IF(N223="QS Qty x Factor",E223*R223*(1+IF(V223="",0,V223))*Y223,IF(N223="Direct Qty",S223*(1+IF(V223="",0,V223))*Y223,IF(N223="Lump Sum / Quote",S223*Y223,0)))))</f>
        <v/>
      </c>
      <c r="AA223" s="81">
        <f>IFERROR(INDEX('Resource Rate Library'!$N$5:$N$200,MATCH(P223,'Resource Rate Library'!$A$5:$A$200,0)),"")</f>
        <v/>
      </c>
      <c r="AB223" s="53" t="n"/>
      <c r="AC223" s="59" t="n"/>
      <c r="AD223" s="81">
        <f>IFERROR(INDEX('Resource Rate Library'!$G$5:$G$200,MATCH(P223,'Resource Rate Library'!$A$5:$A$200,0)),"")</f>
        <v/>
      </c>
      <c r="AE223" s="81">
        <f>IFERROR(INDEX('Resource Rate Library'!$H$5:$H$200,MATCH(P223,'Resource Rate Library'!$A$5:$A$200,0)),"")</f>
        <v/>
      </c>
      <c r="AF223" s="53" t="n"/>
      <c r="AG223" s="53" t="n"/>
      <c r="AH223" s="53" t="n"/>
      <c r="AI223" s="81">
        <f>IF(B223="","",IF(AND(P223="",N223&lt;&gt;"Lump Sum / Quote"),"RESOURCE CODE",IF(Y223=0,"RATE MISSING",IF(AND(O223="Plant",AD223="Yes",COUNTIFS($B$7:$B$306,B223,$O$7:$O$306,"Labour",$Q$7:$Q$306,"*Operator*")&gt;0),"OPERATOR DOUBLE-COUNT",IF(AND(O223="Plant",AE223="Yes",COUNTIFS($B$7:$B$306,B223,$Q$7:$Q$306,"*Fuel*")&gt;0),"FUEL DOUBLE-COUNT",IF(AH223&lt;&gt;"Yes","VERIFY","OK"))))))</f>
        <v/>
      </c>
      <c r="AJ223" s="54" t="n"/>
      <c r="AK223" s="473" t="n"/>
      <c r="AL223" s="473" t="n"/>
      <c r="AM223" s="473" t="n"/>
      <c r="AN223" s="1444">
        <f>IF(AND(AK223="Yes",OR(O223="Labour",O223="Plant")),Z223,0)</f>
        <v/>
      </c>
    </row>
    <row r="224">
      <c r="A224" s="80">
        <f>IF(B224="","",B224&amp;"-"&amp;TEXT(COUNTIF($B$7:B224,B224),"000"))</f>
        <v/>
      </c>
      <c r="B224" s="53" t="n"/>
      <c r="C224" s="81">
        <f>IFERROR(INDEX('QS Takeoff'!$A$3:$A$202,MATCH(B224,'QS Takeoff'!$B$3:$B$202,0)),"")</f>
        <v/>
      </c>
      <c r="D224" s="81">
        <f>IFERROR(INDEX('QS Takeoff'!$C$3:$C$202,MATCH(B224,'QS Takeoff'!$B$3:$B$202,0)),"")</f>
        <v/>
      </c>
      <c r="E224" s="81">
        <f>IFERROR(INDEX('QS Takeoff'!$E$3:$E$202,MATCH(B224,'QS Takeoff'!$B$3:$B$202,0)),"")</f>
        <v/>
      </c>
      <c r="F224" s="81">
        <f>IFERROR(INDEX('QS Takeoff'!$D$3:$D$202,MATCH(B224,'QS Takeoff'!$B$3:$B$202,0)),"")</f>
        <v/>
      </c>
      <c r="G224" s="81">
        <f>IFERROR(INDEX('QS Takeoff'!$J$3:$J$202,MATCH(B224,'QS Takeoff'!$B$3:$B$202,0)),"")</f>
        <v/>
      </c>
      <c r="H224" s="53" t="n"/>
      <c r="I224" s="60" t="n"/>
      <c r="J224" s="60" t="n"/>
      <c r="K224" s="82">
        <f>IF(OR(B224="",I224="",I224=0),"",E224/I224)</f>
        <v/>
      </c>
      <c r="L224" s="60" t="n"/>
      <c r="M224" s="82">
        <f>IF(L224&gt;0,L224,K224)</f>
        <v/>
      </c>
      <c r="N224" s="53" t="n"/>
      <c r="O224" s="53" t="n"/>
      <c r="P224" s="53" t="n"/>
      <c r="Q224" s="81">
        <f>IFERROR(INDEX('Resource Rate Library'!$C$5:$C$200,MATCH(P224,'Resource Rate Library'!$A$5:$A$200,0)),"")</f>
        <v/>
      </c>
      <c r="R224" s="53" t="n"/>
      <c r="S224" s="53" t="n"/>
      <c r="T224" s="81">
        <f>IFERROR(INDEX('Resource Rate Library'!$E$5:$E$200,MATCH(P224,'Resource Rate Library'!$A$5:$A$200,0)),"")</f>
        <v/>
      </c>
      <c r="U224" s="1441" t="n"/>
      <c r="V224" s="1441" t="n"/>
      <c r="W224" s="1442">
        <f>IFERROR(INDEX('Resource Rate Library'!$I$5:$I$200,MATCH(P224,'Resource Rate Library'!$A$5:$A$200,0)),0)</f>
        <v/>
      </c>
      <c r="X224" s="1443" t="n"/>
      <c r="Y224" s="1442">
        <f>IF(X224&gt;0,X224,W224)</f>
        <v/>
      </c>
      <c r="Z224" s="1442">
        <f>IF(B224="","",IF(N224="Time x Count",M224*R224*IF(U224="",1,U224)*Y224,IF(N224="QS Qty x Factor",E224*R224*(1+IF(V224="",0,V224))*Y224,IF(N224="Direct Qty",S224*(1+IF(V224="",0,V224))*Y224,IF(N224="Lump Sum / Quote",S224*Y224,0)))))</f>
        <v/>
      </c>
      <c r="AA224" s="81">
        <f>IFERROR(INDEX('Resource Rate Library'!$N$5:$N$200,MATCH(P224,'Resource Rate Library'!$A$5:$A$200,0)),"")</f>
        <v/>
      </c>
      <c r="AB224" s="53" t="n"/>
      <c r="AC224" s="59" t="n"/>
      <c r="AD224" s="81">
        <f>IFERROR(INDEX('Resource Rate Library'!$G$5:$G$200,MATCH(P224,'Resource Rate Library'!$A$5:$A$200,0)),"")</f>
        <v/>
      </c>
      <c r="AE224" s="81">
        <f>IFERROR(INDEX('Resource Rate Library'!$H$5:$H$200,MATCH(P224,'Resource Rate Library'!$A$5:$A$200,0)),"")</f>
        <v/>
      </c>
      <c r="AF224" s="53" t="n"/>
      <c r="AG224" s="53" t="n"/>
      <c r="AH224" s="53" t="n"/>
      <c r="AI224" s="81">
        <f>IF(B224="","",IF(AND(P224="",N224&lt;&gt;"Lump Sum / Quote"),"RESOURCE CODE",IF(Y224=0,"RATE MISSING",IF(AND(O224="Plant",AD224="Yes",COUNTIFS($B$7:$B$306,B224,$O$7:$O$306,"Labour",$Q$7:$Q$306,"*Operator*")&gt;0),"OPERATOR DOUBLE-COUNT",IF(AND(O224="Plant",AE224="Yes",COUNTIFS($B$7:$B$306,B224,$Q$7:$Q$306,"*Fuel*")&gt;0),"FUEL DOUBLE-COUNT",IF(AH224&lt;&gt;"Yes","VERIFY","OK"))))))</f>
        <v/>
      </c>
      <c r="AJ224" s="54" t="n"/>
      <c r="AK224" s="473" t="n"/>
      <c r="AL224" s="473" t="n"/>
      <c r="AM224" s="473" t="n"/>
      <c r="AN224" s="1444">
        <f>IF(AND(AK224="Yes",OR(O224="Labour",O224="Plant")),Z224,0)</f>
        <v/>
      </c>
    </row>
    <row r="225">
      <c r="A225" s="80">
        <f>IF(B225="","",B225&amp;"-"&amp;TEXT(COUNTIF($B$7:B225,B225),"000"))</f>
        <v/>
      </c>
      <c r="B225" s="53" t="n"/>
      <c r="C225" s="81">
        <f>IFERROR(INDEX('QS Takeoff'!$A$3:$A$202,MATCH(B225,'QS Takeoff'!$B$3:$B$202,0)),"")</f>
        <v/>
      </c>
      <c r="D225" s="81">
        <f>IFERROR(INDEX('QS Takeoff'!$C$3:$C$202,MATCH(B225,'QS Takeoff'!$B$3:$B$202,0)),"")</f>
        <v/>
      </c>
      <c r="E225" s="81">
        <f>IFERROR(INDEX('QS Takeoff'!$E$3:$E$202,MATCH(B225,'QS Takeoff'!$B$3:$B$202,0)),"")</f>
        <v/>
      </c>
      <c r="F225" s="81">
        <f>IFERROR(INDEX('QS Takeoff'!$D$3:$D$202,MATCH(B225,'QS Takeoff'!$B$3:$B$202,0)),"")</f>
        <v/>
      </c>
      <c r="G225" s="81">
        <f>IFERROR(INDEX('QS Takeoff'!$J$3:$J$202,MATCH(B225,'QS Takeoff'!$B$3:$B$202,0)),"")</f>
        <v/>
      </c>
      <c r="H225" s="53" t="n"/>
      <c r="I225" s="60" t="n"/>
      <c r="J225" s="60" t="n"/>
      <c r="K225" s="82">
        <f>IF(OR(B225="",I225="",I225=0),"",E225/I225)</f>
        <v/>
      </c>
      <c r="L225" s="60" t="n"/>
      <c r="M225" s="82">
        <f>IF(L225&gt;0,L225,K225)</f>
        <v/>
      </c>
      <c r="N225" s="53" t="n"/>
      <c r="O225" s="53" t="n"/>
      <c r="P225" s="53" t="n"/>
      <c r="Q225" s="81">
        <f>IFERROR(INDEX('Resource Rate Library'!$C$5:$C$200,MATCH(P225,'Resource Rate Library'!$A$5:$A$200,0)),"")</f>
        <v/>
      </c>
      <c r="R225" s="53" t="n"/>
      <c r="S225" s="53" t="n"/>
      <c r="T225" s="81">
        <f>IFERROR(INDEX('Resource Rate Library'!$E$5:$E$200,MATCH(P225,'Resource Rate Library'!$A$5:$A$200,0)),"")</f>
        <v/>
      </c>
      <c r="U225" s="1441" t="n"/>
      <c r="V225" s="1441" t="n"/>
      <c r="W225" s="1442">
        <f>IFERROR(INDEX('Resource Rate Library'!$I$5:$I$200,MATCH(P225,'Resource Rate Library'!$A$5:$A$200,0)),0)</f>
        <v/>
      </c>
      <c r="X225" s="1443" t="n"/>
      <c r="Y225" s="1442">
        <f>IF(X225&gt;0,X225,W225)</f>
        <v/>
      </c>
      <c r="Z225" s="1442">
        <f>IF(B225="","",IF(N225="Time x Count",M225*R225*IF(U225="",1,U225)*Y225,IF(N225="QS Qty x Factor",E225*R225*(1+IF(V225="",0,V225))*Y225,IF(N225="Direct Qty",S225*(1+IF(V225="",0,V225))*Y225,IF(N225="Lump Sum / Quote",S225*Y225,0)))))</f>
        <v/>
      </c>
      <c r="AA225" s="81">
        <f>IFERROR(INDEX('Resource Rate Library'!$N$5:$N$200,MATCH(P225,'Resource Rate Library'!$A$5:$A$200,0)),"")</f>
        <v/>
      </c>
      <c r="AB225" s="53" t="n"/>
      <c r="AC225" s="59" t="n"/>
      <c r="AD225" s="81">
        <f>IFERROR(INDEX('Resource Rate Library'!$G$5:$G$200,MATCH(P225,'Resource Rate Library'!$A$5:$A$200,0)),"")</f>
        <v/>
      </c>
      <c r="AE225" s="81">
        <f>IFERROR(INDEX('Resource Rate Library'!$H$5:$H$200,MATCH(P225,'Resource Rate Library'!$A$5:$A$200,0)),"")</f>
        <v/>
      </c>
      <c r="AF225" s="53" t="n"/>
      <c r="AG225" s="53" t="n"/>
      <c r="AH225" s="53" t="n"/>
      <c r="AI225" s="81">
        <f>IF(B225="","",IF(AND(P225="",N225&lt;&gt;"Lump Sum / Quote"),"RESOURCE CODE",IF(Y225=0,"RATE MISSING",IF(AND(O225="Plant",AD225="Yes",COUNTIFS($B$7:$B$306,B225,$O$7:$O$306,"Labour",$Q$7:$Q$306,"*Operator*")&gt;0),"OPERATOR DOUBLE-COUNT",IF(AND(O225="Plant",AE225="Yes",COUNTIFS($B$7:$B$306,B225,$Q$7:$Q$306,"*Fuel*")&gt;0),"FUEL DOUBLE-COUNT",IF(AH225&lt;&gt;"Yes","VERIFY","OK"))))))</f>
        <v/>
      </c>
      <c r="AJ225" s="54" t="n"/>
      <c r="AK225" s="473" t="n"/>
      <c r="AL225" s="473" t="n"/>
      <c r="AM225" s="473" t="n"/>
      <c r="AN225" s="1444">
        <f>IF(AND(AK225="Yes",OR(O225="Labour",O225="Plant")),Z225,0)</f>
        <v/>
      </c>
    </row>
    <row r="226">
      <c r="A226" s="80">
        <f>IF(B226="","",B226&amp;"-"&amp;TEXT(COUNTIF($B$7:B226,B226),"000"))</f>
        <v/>
      </c>
      <c r="B226" s="53" t="n"/>
      <c r="C226" s="81">
        <f>IFERROR(INDEX('QS Takeoff'!$A$3:$A$202,MATCH(B226,'QS Takeoff'!$B$3:$B$202,0)),"")</f>
        <v/>
      </c>
      <c r="D226" s="81">
        <f>IFERROR(INDEX('QS Takeoff'!$C$3:$C$202,MATCH(B226,'QS Takeoff'!$B$3:$B$202,0)),"")</f>
        <v/>
      </c>
      <c r="E226" s="81">
        <f>IFERROR(INDEX('QS Takeoff'!$E$3:$E$202,MATCH(B226,'QS Takeoff'!$B$3:$B$202,0)),"")</f>
        <v/>
      </c>
      <c r="F226" s="81">
        <f>IFERROR(INDEX('QS Takeoff'!$D$3:$D$202,MATCH(B226,'QS Takeoff'!$B$3:$B$202,0)),"")</f>
        <v/>
      </c>
      <c r="G226" s="81">
        <f>IFERROR(INDEX('QS Takeoff'!$J$3:$J$202,MATCH(B226,'QS Takeoff'!$B$3:$B$202,0)),"")</f>
        <v/>
      </c>
      <c r="H226" s="53" t="n"/>
      <c r="I226" s="60" t="n"/>
      <c r="J226" s="60" t="n"/>
      <c r="K226" s="82">
        <f>IF(OR(B226="",I226="",I226=0),"",E226/I226)</f>
        <v/>
      </c>
      <c r="L226" s="60" t="n"/>
      <c r="M226" s="82">
        <f>IF(L226&gt;0,L226,K226)</f>
        <v/>
      </c>
      <c r="N226" s="53" t="n"/>
      <c r="O226" s="53" t="n"/>
      <c r="P226" s="53" t="n"/>
      <c r="Q226" s="81">
        <f>IFERROR(INDEX('Resource Rate Library'!$C$5:$C$200,MATCH(P226,'Resource Rate Library'!$A$5:$A$200,0)),"")</f>
        <v/>
      </c>
      <c r="R226" s="53" t="n"/>
      <c r="S226" s="53" t="n"/>
      <c r="T226" s="81">
        <f>IFERROR(INDEX('Resource Rate Library'!$E$5:$E$200,MATCH(P226,'Resource Rate Library'!$A$5:$A$200,0)),"")</f>
        <v/>
      </c>
      <c r="U226" s="1441" t="n"/>
      <c r="V226" s="1441" t="n"/>
      <c r="W226" s="1442">
        <f>IFERROR(INDEX('Resource Rate Library'!$I$5:$I$200,MATCH(P226,'Resource Rate Library'!$A$5:$A$200,0)),0)</f>
        <v/>
      </c>
      <c r="X226" s="1443" t="n"/>
      <c r="Y226" s="1442">
        <f>IF(X226&gt;0,X226,W226)</f>
        <v/>
      </c>
      <c r="Z226" s="1442">
        <f>IF(B226="","",IF(N226="Time x Count",M226*R226*IF(U226="",1,U226)*Y226,IF(N226="QS Qty x Factor",E226*R226*(1+IF(V226="",0,V226))*Y226,IF(N226="Direct Qty",S226*(1+IF(V226="",0,V226))*Y226,IF(N226="Lump Sum / Quote",S226*Y226,0)))))</f>
        <v/>
      </c>
      <c r="AA226" s="81">
        <f>IFERROR(INDEX('Resource Rate Library'!$N$5:$N$200,MATCH(P226,'Resource Rate Library'!$A$5:$A$200,0)),"")</f>
        <v/>
      </c>
      <c r="AB226" s="53" t="n"/>
      <c r="AC226" s="59" t="n"/>
      <c r="AD226" s="81">
        <f>IFERROR(INDEX('Resource Rate Library'!$G$5:$G$200,MATCH(P226,'Resource Rate Library'!$A$5:$A$200,0)),"")</f>
        <v/>
      </c>
      <c r="AE226" s="81">
        <f>IFERROR(INDEX('Resource Rate Library'!$H$5:$H$200,MATCH(P226,'Resource Rate Library'!$A$5:$A$200,0)),"")</f>
        <v/>
      </c>
      <c r="AF226" s="53" t="n"/>
      <c r="AG226" s="53" t="n"/>
      <c r="AH226" s="53" t="n"/>
      <c r="AI226" s="81">
        <f>IF(B226="","",IF(AND(P226="",N226&lt;&gt;"Lump Sum / Quote"),"RESOURCE CODE",IF(Y226=0,"RATE MISSING",IF(AND(O226="Plant",AD226="Yes",COUNTIFS($B$7:$B$306,B226,$O$7:$O$306,"Labour",$Q$7:$Q$306,"*Operator*")&gt;0),"OPERATOR DOUBLE-COUNT",IF(AND(O226="Plant",AE226="Yes",COUNTIFS($B$7:$B$306,B226,$Q$7:$Q$306,"*Fuel*")&gt;0),"FUEL DOUBLE-COUNT",IF(AH226&lt;&gt;"Yes","VERIFY","OK"))))))</f>
        <v/>
      </c>
      <c r="AJ226" s="54" t="n"/>
      <c r="AK226" s="473" t="n"/>
      <c r="AL226" s="473" t="n"/>
      <c r="AM226" s="473" t="n"/>
      <c r="AN226" s="1444">
        <f>IF(AND(AK226="Yes",OR(O226="Labour",O226="Plant")),Z226,0)</f>
        <v/>
      </c>
    </row>
    <row r="227">
      <c r="A227" s="80">
        <f>IF(B227="","",B227&amp;"-"&amp;TEXT(COUNTIF($B$7:B227,B227),"000"))</f>
        <v/>
      </c>
      <c r="B227" s="53" t="n"/>
      <c r="C227" s="81">
        <f>IFERROR(INDEX('QS Takeoff'!$A$3:$A$202,MATCH(B227,'QS Takeoff'!$B$3:$B$202,0)),"")</f>
        <v/>
      </c>
      <c r="D227" s="81">
        <f>IFERROR(INDEX('QS Takeoff'!$C$3:$C$202,MATCH(B227,'QS Takeoff'!$B$3:$B$202,0)),"")</f>
        <v/>
      </c>
      <c r="E227" s="81">
        <f>IFERROR(INDEX('QS Takeoff'!$E$3:$E$202,MATCH(B227,'QS Takeoff'!$B$3:$B$202,0)),"")</f>
        <v/>
      </c>
      <c r="F227" s="81">
        <f>IFERROR(INDEX('QS Takeoff'!$D$3:$D$202,MATCH(B227,'QS Takeoff'!$B$3:$B$202,0)),"")</f>
        <v/>
      </c>
      <c r="G227" s="81">
        <f>IFERROR(INDEX('QS Takeoff'!$J$3:$J$202,MATCH(B227,'QS Takeoff'!$B$3:$B$202,0)),"")</f>
        <v/>
      </c>
      <c r="H227" s="53" t="n"/>
      <c r="I227" s="60" t="n"/>
      <c r="J227" s="60" t="n"/>
      <c r="K227" s="82">
        <f>IF(OR(B227="",I227="",I227=0),"",E227/I227)</f>
        <v/>
      </c>
      <c r="L227" s="60" t="n"/>
      <c r="M227" s="82">
        <f>IF(L227&gt;0,L227,K227)</f>
        <v/>
      </c>
      <c r="N227" s="53" t="n"/>
      <c r="O227" s="53" t="n"/>
      <c r="P227" s="53" t="n"/>
      <c r="Q227" s="81">
        <f>IFERROR(INDEX('Resource Rate Library'!$C$5:$C$200,MATCH(P227,'Resource Rate Library'!$A$5:$A$200,0)),"")</f>
        <v/>
      </c>
      <c r="R227" s="53" t="n"/>
      <c r="S227" s="53" t="n"/>
      <c r="T227" s="81">
        <f>IFERROR(INDEX('Resource Rate Library'!$E$5:$E$200,MATCH(P227,'Resource Rate Library'!$A$5:$A$200,0)),"")</f>
        <v/>
      </c>
      <c r="U227" s="1441" t="n"/>
      <c r="V227" s="1441" t="n"/>
      <c r="W227" s="1442">
        <f>IFERROR(INDEX('Resource Rate Library'!$I$5:$I$200,MATCH(P227,'Resource Rate Library'!$A$5:$A$200,0)),0)</f>
        <v/>
      </c>
      <c r="X227" s="1443" t="n"/>
      <c r="Y227" s="1442">
        <f>IF(X227&gt;0,X227,W227)</f>
        <v/>
      </c>
      <c r="Z227" s="1442">
        <f>IF(B227="","",IF(N227="Time x Count",M227*R227*IF(U227="",1,U227)*Y227,IF(N227="QS Qty x Factor",E227*R227*(1+IF(V227="",0,V227))*Y227,IF(N227="Direct Qty",S227*(1+IF(V227="",0,V227))*Y227,IF(N227="Lump Sum / Quote",S227*Y227,0)))))</f>
        <v/>
      </c>
      <c r="AA227" s="81">
        <f>IFERROR(INDEX('Resource Rate Library'!$N$5:$N$200,MATCH(P227,'Resource Rate Library'!$A$5:$A$200,0)),"")</f>
        <v/>
      </c>
      <c r="AB227" s="53" t="n"/>
      <c r="AC227" s="59" t="n"/>
      <c r="AD227" s="81">
        <f>IFERROR(INDEX('Resource Rate Library'!$G$5:$G$200,MATCH(P227,'Resource Rate Library'!$A$5:$A$200,0)),"")</f>
        <v/>
      </c>
      <c r="AE227" s="81">
        <f>IFERROR(INDEX('Resource Rate Library'!$H$5:$H$200,MATCH(P227,'Resource Rate Library'!$A$5:$A$200,0)),"")</f>
        <v/>
      </c>
      <c r="AF227" s="53" t="n"/>
      <c r="AG227" s="53" t="n"/>
      <c r="AH227" s="53" t="n"/>
      <c r="AI227" s="81">
        <f>IF(B227="","",IF(AND(P227="",N227&lt;&gt;"Lump Sum / Quote"),"RESOURCE CODE",IF(Y227=0,"RATE MISSING",IF(AND(O227="Plant",AD227="Yes",COUNTIFS($B$7:$B$306,B227,$O$7:$O$306,"Labour",$Q$7:$Q$306,"*Operator*")&gt;0),"OPERATOR DOUBLE-COUNT",IF(AND(O227="Plant",AE227="Yes",COUNTIFS($B$7:$B$306,B227,$Q$7:$Q$306,"*Fuel*")&gt;0),"FUEL DOUBLE-COUNT",IF(AH227&lt;&gt;"Yes","VERIFY","OK"))))))</f>
        <v/>
      </c>
      <c r="AJ227" s="54" t="n"/>
      <c r="AK227" s="473" t="n"/>
      <c r="AL227" s="473" t="n"/>
      <c r="AM227" s="473" t="n"/>
      <c r="AN227" s="1444">
        <f>IF(AND(AK227="Yes",OR(O227="Labour",O227="Plant")),Z227,0)</f>
        <v/>
      </c>
    </row>
    <row r="228">
      <c r="A228" s="80">
        <f>IF(B228="","",B228&amp;"-"&amp;TEXT(COUNTIF($B$7:B228,B228),"000"))</f>
        <v/>
      </c>
      <c r="B228" s="53" t="n"/>
      <c r="C228" s="81">
        <f>IFERROR(INDEX('QS Takeoff'!$A$3:$A$202,MATCH(B228,'QS Takeoff'!$B$3:$B$202,0)),"")</f>
        <v/>
      </c>
      <c r="D228" s="81">
        <f>IFERROR(INDEX('QS Takeoff'!$C$3:$C$202,MATCH(B228,'QS Takeoff'!$B$3:$B$202,0)),"")</f>
        <v/>
      </c>
      <c r="E228" s="81">
        <f>IFERROR(INDEX('QS Takeoff'!$E$3:$E$202,MATCH(B228,'QS Takeoff'!$B$3:$B$202,0)),"")</f>
        <v/>
      </c>
      <c r="F228" s="81">
        <f>IFERROR(INDEX('QS Takeoff'!$D$3:$D$202,MATCH(B228,'QS Takeoff'!$B$3:$B$202,0)),"")</f>
        <v/>
      </c>
      <c r="G228" s="81">
        <f>IFERROR(INDEX('QS Takeoff'!$J$3:$J$202,MATCH(B228,'QS Takeoff'!$B$3:$B$202,0)),"")</f>
        <v/>
      </c>
      <c r="H228" s="53" t="n"/>
      <c r="I228" s="60" t="n"/>
      <c r="J228" s="60" t="n"/>
      <c r="K228" s="82">
        <f>IF(OR(B228="",I228="",I228=0),"",E228/I228)</f>
        <v/>
      </c>
      <c r="L228" s="60" t="n"/>
      <c r="M228" s="82">
        <f>IF(L228&gt;0,L228,K228)</f>
        <v/>
      </c>
      <c r="N228" s="53" t="n"/>
      <c r="O228" s="53" t="n"/>
      <c r="P228" s="53" t="n"/>
      <c r="Q228" s="81">
        <f>IFERROR(INDEX('Resource Rate Library'!$C$5:$C$200,MATCH(P228,'Resource Rate Library'!$A$5:$A$200,0)),"")</f>
        <v/>
      </c>
      <c r="R228" s="53" t="n"/>
      <c r="S228" s="53" t="n"/>
      <c r="T228" s="81">
        <f>IFERROR(INDEX('Resource Rate Library'!$E$5:$E$200,MATCH(P228,'Resource Rate Library'!$A$5:$A$200,0)),"")</f>
        <v/>
      </c>
      <c r="U228" s="1441" t="n"/>
      <c r="V228" s="1441" t="n"/>
      <c r="W228" s="1442">
        <f>IFERROR(INDEX('Resource Rate Library'!$I$5:$I$200,MATCH(P228,'Resource Rate Library'!$A$5:$A$200,0)),0)</f>
        <v/>
      </c>
      <c r="X228" s="1443" t="n"/>
      <c r="Y228" s="1442">
        <f>IF(X228&gt;0,X228,W228)</f>
        <v/>
      </c>
      <c r="Z228" s="1442">
        <f>IF(B228="","",IF(N228="Time x Count",M228*R228*IF(U228="",1,U228)*Y228,IF(N228="QS Qty x Factor",E228*R228*(1+IF(V228="",0,V228))*Y228,IF(N228="Direct Qty",S228*(1+IF(V228="",0,V228))*Y228,IF(N228="Lump Sum / Quote",S228*Y228,0)))))</f>
        <v/>
      </c>
      <c r="AA228" s="81">
        <f>IFERROR(INDEX('Resource Rate Library'!$N$5:$N$200,MATCH(P228,'Resource Rate Library'!$A$5:$A$200,0)),"")</f>
        <v/>
      </c>
      <c r="AB228" s="53" t="n"/>
      <c r="AC228" s="59" t="n"/>
      <c r="AD228" s="81">
        <f>IFERROR(INDEX('Resource Rate Library'!$G$5:$G$200,MATCH(P228,'Resource Rate Library'!$A$5:$A$200,0)),"")</f>
        <v/>
      </c>
      <c r="AE228" s="81">
        <f>IFERROR(INDEX('Resource Rate Library'!$H$5:$H$200,MATCH(P228,'Resource Rate Library'!$A$5:$A$200,0)),"")</f>
        <v/>
      </c>
      <c r="AF228" s="53" t="n"/>
      <c r="AG228" s="53" t="n"/>
      <c r="AH228" s="53" t="n"/>
      <c r="AI228" s="81">
        <f>IF(B228="","",IF(AND(P228="",N228&lt;&gt;"Lump Sum / Quote"),"RESOURCE CODE",IF(Y228=0,"RATE MISSING",IF(AND(O228="Plant",AD228="Yes",COUNTIFS($B$7:$B$306,B228,$O$7:$O$306,"Labour",$Q$7:$Q$306,"*Operator*")&gt;0),"OPERATOR DOUBLE-COUNT",IF(AND(O228="Plant",AE228="Yes",COUNTIFS($B$7:$B$306,B228,$Q$7:$Q$306,"*Fuel*")&gt;0),"FUEL DOUBLE-COUNT",IF(AH228&lt;&gt;"Yes","VERIFY","OK"))))))</f>
        <v/>
      </c>
      <c r="AJ228" s="54" t="n"/>
      <c r="AK228" s="473" t="n"/>
      <c r="AL228" s="473" t="n"/>
      <c r="AM228" s="473" t="n"/>
      <c r="AN228" s="1444">
        <f>IF(AND(AK228="Yes",OR(O228="Labour",O228="Plant")),Z228,0)</f>
        <v/>
      </c>
    </row>
    <row r="229">
      <c r="A229" s="80">
        <f>IF(B229="","",B229&amp;"-"&amp;TEXT(COUNTIF($B$7:B229,B229),"000"))</f>
        <v/>
      </c>
      <c r="B229" s="53" t="n"/>
      <c r="C229" s="81">
        <f>IFERROR(INDEX('QS Takeoff'!$A$3:$A$202,MATCH(B229,'QS Takeoff'!$B$3:$B$202,0)),"")</f>
        <v/>
      </c>
      <c r="D229" s="81">
        <f>IFERROR(INDEX('QS Takeoff'!$C$3:$C$202,MATCH(B229,'QS Takeoff'!$B$3:$B$202,0)),"")</f>
        <v/>
      </c>
      <c r="E229" s="81">
        <f>IFERROR(INDEX('QS Takeoff'!$E$3:$E$202,MATCH(B229,'QS Takeoff'!$B$3:$B$202,0)),"")</f>
        <v/>
      </c>
      <c r="F229" s="81">
        <f>IFERROR(INDEX('QS Takeoff'!$D$3:$D$202,MATCH(B229,'QS Takeoff'!$B$3:$B$202,0)),"")</f>
        <v/>
      </c>
      <c r="G229" s="81">
        <f>IFERROR(INDEX('QS Takeoff'!$J$3:$J$202,MATCH(B229,'QS Takeoff'!$B$3:$B$202,0)),"")</f>
        <v/>
      </c>
      <c r="H229" s="53" t="n"/>
      <c r="I229" s="60" t="n"/>
      <c r="J229" s="60" t="n"/>
      <c r="K229" s="82">
        <f>IF(OR(B229="",I229="",I229=0),"",E229/I229)</f>
        <v/>
      </c>
      <c r="L229" s="60" t="n"/>
      <c r="M229" s="82">
        <f>IF(L229&gt;0,L229,K229)</f>
        <v/>
      </c>
      <c r="N229" s="53" t="n"/>
      <c r="O229" s="53" t="n"/>
      <c r="P229" s="53" t="n"/>
      <c r="Q229" s="81">
        <f>IFERROR(INDEX('Resource Rate Library'!$C$5:$C$200,MATCH(P229,'Resource Rate Library'!$A$5:$A$200,0)),"")</f>
        <v/>
      </c>
      <c r="R229" s="53" t="n"/>
      <c r="S229" s="53" t="n"/>
      <c r="T229" s="81">
        <f>IFERROR(INDEX('Resource Rate Library'!$E$5:$E$200,MATCH(P229,'Resource Rate Library'!$A$5:$A$200,0)),"")</f>
        <v/>
      </c>
      <c r="U229" s="1441" t="n"/>
      <c r="V229" s="1441" t="n"/>
      <c r="W229" s="1442">
        <f>IFERROR(INDEX('Resource Rate Library'!$I$5:$I$200,MATCH(P229,'Resource Rate Library'!$A$5:$A$200,0)),0)</f>
        <v/>
      </c>
      <c r="X229" s="1443" t="n"/>
      <c r="Y229" s="1442">
        <f>IF(X229&gt;0,X229,W229)</f>
        <v/>
      </c>
      <c r="Z229" s="1442">
        <f>IF(B229="","",IF(N229="Time x Count",M229*R229*IF(U229="",1,U229)*Y229,IF(N229="QS Qty x Factor",E229*R229*(1+IF(V229="",0,V229))*Y229,IF(N229="Direct Qty",S229*(1+IF(V229="",0,V229))*Y229,IF(N229="Lump Sum / Quote",S229*Y229,0)))))</f>
        <v/>
      </c>
      <c r="AA229" s="81">
        <f>IFERROR(INDEX('Resource Rate Library'!$N$5:$N$200,MATCH(P229,'Resource Rate Library'!$A$5:$A$200,0)),"")</f>
        <v/>
      </c>
      <c r="AB229" s="53" t="n"/>
      <c r="AC229" s="59" t="n"/>
      <c r="AD229" s="81">
        <f>IFERROR(INDEX('Resource Rate Library'!$G$5:$G$200,MATCH(P229,'Resource Rate Library'!$A$5:$A$200,0)),"")</f>
        <v/>
      </c>
      <c r="AE229" s="81">
        <f>IFERROR(INDEX('Resource Rate Library'!$H$5:$H$200,MATCH(P229,'Resource Rate Library'!$A$5:$A$200,0)),"")</f>
        <v/>
      </c>
      <c r="AF229" s="53" t="n"/>
      <c r="AG229" s="53" t="n"/>
      <c r="AH229" s="53" t="n"/>
      <c r="AI229" s="81">
        <f>IF(B229="","",IF(AND(P229="",N229&lt;&gt;"Lump Sum / Quote"),"RESOURCE CODE",IF(Y229=0,"RATE MISSING",IF(AND(O229="Plant",AD229="Yes",COUNTIFS($B$7:$B$306,B229,$O$7:$O$306,"Labour",$Q$7:$Q$306,"*Operator*")&gt;0),"OPERATOR DOUBLE-COUNT",IF(AND(O229="Plant",AE229="Yes",COUNTIFS($B$7:$B$306,B229,$Q$7:$Q$306,"*Fuel*")&gt;0),"FUEL DOUBLE-COUNT",IF(AH229&lt;&gt;"Yes","VERIFY","OK"))))))</f>
        <v/>
      </c>
      <c r="AJ229" s="54" t="n"/>
      <c r="AK229" s="473" t="n"/>
      <c r="AL229" s="473" t="n"/>
      <c r="AM229" s="473" t="n"/>
      <c r="AN229" s="1444">
        <f>IF(AND(AK229="Yes",OR(O229="Labour",O229="Plant")),Z229,0)</f>
        <v/>
      </c>
    </row>
    <row r="230">
      <c r="A230" s="80">
        <f>IF(B230="","",B230&amp;"-"&amp;TEXT(COUNTIF($B$7:B230,B230),"000"))</f>
        <v/>
      </c>
      <c r="B230" s="53" t="n"/>
      <c r="C230" s="81">
        <f>IFERROR(INDEX('QS Takeoff'!$A$3:$A$202,MATCH(B230,'QS Takeoff'!$B$3:$B$202,0)),"")</f>
        <v/>
      </c>
      <c r="D230" s="81">
        <f>IFERROR(INDEX('QS Takeoff'!$C$3:$C$202,MATCH(B230,'QS Takeoff'!$B$3:$B$202,0)),"")</f>
        <v/>
      </c>
      <c r="E230" s="81">
        <f>IFERROR(INDEX('QS Takeoff'!$E$3:$E$202,MATCH(B230,'QS Takeoff'!$B$3:$B$202,0)),"")</f>
        <v/>
      </c>
      <c r="F230" s="81">
        <f>IFERROR(INDEX('QS Takeoff'!$D$3:$D$202,MATCH(B230,'QS Takeoff'!$B$3:$B$202,0)),"")</f>
        <v/>
      </c>
      <c r="G230" s="81">
        <f>IFERROR(INDEX('QS Takeoff'!$J$3:$J$202,MATCH(B230,'QS Takeoff'!$B$3:$B$202,0)),"")</f>
        <v/>
      </c>
      <c r="H230" s="53" t="n"/>
      <c r="I230" s="60" t="n"/>
      <c r="J230" s="60" t="n"/>
      <c r="K230" s="82">
        <f>IF(OR(B230="",I230="",I230=0),"",E230/I230)</f>
        <v/>
      </c>
      <c r="L230" s="60" t="n"/>
      <c r="M230" s="82">
        <f>IF(L230&gt;0,L230,K230)</f>
        <v/>
      </c>
      <c r="N230" s="53" t="n"/>
      <c r="O230" s="53" t="n"/>
      <c r="P230" s="53" t="n"/>
      <c r="Q230" s="81">
        <f>IFERROR(INDEX('Resource Rate Library'!$C$5:$C$200,MATCH(P230,'Resource Rate Library'!$A$5:$A$200,0)),"")</f>
        <v/>
      </c>
      <c r="R230" s="53" t="n"/>
      <c r="S230" s="53" t="n"/>
      <c r="T230" s="81">
        <f>IFERROR(INDEX('Resource Rate Library'!$E$5:$E$200,MATCH(P230,'Resource Rate Library'!$A$5:$A$200,0)),"")</f>
        <v/>
      </c>
      <c r="U230" s="1441" t="n"/>
      <c r="V230" s="1441" t="n"/>
      <c r="W230" s="1442">
        <f>IFERROR(INDEX('Resource Rate Library'!$I$5:$I$200,MATCH(P230,'Resource Rate Library'!$A$5:$A$200,0)),0)</f>
        <v/>
      </c>
      <c r="X230" s="1443" t="n"/>
      <c r="Y230" s="1442">
        <f>IF(X230&gt;0,X230,W230)</f>
        <v/>
      </c>
      <c r="Z230" s="1442">
        <f>IF(B230="","",IF(N230="Time x Count",M230*R230*IF(U230="",1,U230)*Y230,IF(N230="QS Qty x Factor",E230*R230*(1+IF(V230="",0,V230))*Y230,IF(N230="Direct Qty",S230*(1+IF(V230="",0,V230))*Y230,IF(N230="Lump Sum / Quote",S230*Y230,0)))))</f>
        <v/>
      </c>
      <c r="AA230" s="81">
        <f>IFERROR(INDEX('Resource Rate Library'!$N$5:$N$200,MATCH(P230,'Resource Rate Library'!$A$5:$A$200,0)),"")</f>
        <v/>
      </c>
      <c r="AB230" s="53" t="n"/>
      <c r="AC230" s="59" t="n"/>
      <c r="AD230" s="81">
        <f>IFERROR(INDEX('Resource Rate Library'!$G$5:$G$200,MATCH(P230,'Resource Rate Library'!$A$5:$A$200,0)),"")</f>
        <v/>
      </c>
      <c r="AE230" s="81">
        <f>IFERROR(INDEX('Resource Rate Library'!$H$5:$H$200,MATCH(P230,'Resource Rate Library'!$A$5:$A$200,0)),"")</f>
        <v/>
      </c>
      <c r="AF230" s="53" t="n"/>
      <c r="AG230" s="53" t="n"/>
      <c r="AH230" s="53" t="n"/>
      <c r="AI230" s="81">
        <f>IF(B230="","",IF(AND(P230="",N230&lt;&gt;"Lump Sum / Quote"),"RESOURCE CODE",IF(Y230=0,"RATE MISSING",IF(AND(O230="Plant",AD230="Yes",COUNTIFS($B$7:$B$306,B230,$O$7:$O$306,"Labour",$Q$7:$Q$306,"*Operator*")&gt;0),"OPERATOR DOUBLE-COUNT",IF(AND(O230="Plant",AE230="Yes",COUNTIFS($B$7:$B$306,B230,$Q$7:$Q$306,"*Fuel*")&gt;0),"FUEL DOUBLE-COUNT",IF(AH230&lt;&gt;"Yes","VERIFY","OK"))))))</f>
        <v/>
      </c>
      <c r="AJ230" s="54" t="n"/>
      <c r="AK230" s="473" t="n"/>
      <c r="AL230" s="473" t="n"/>
      <c r="AM230" s="473" t="n"/>
      <c r="AN230" s="1444">
        <f>IF(AND(AK230="Yes",OR(O230="Labour",O230="Plant")),Z230,0)</f>
        <v/>
      </c>
    </row>
    <row r="231">
      <c r="A231" s="80">
        <f>IF(B231="","",B231&amp;"-"&amp;TEXT(COUNTIF($B$7:B231,B231),"000"))</f>
        <v/>
      </c>
      <c r="B231" s="53" t="n"/>
      <c r="C231" s="81">
        <f>IFERROR(INDEX('QS Takeoff'!$A$3:$A$202,MATCH(B231,'QS Takeoff'!$B$3:$B$202,0)),"")</f>
        <v/>
      </c>
      <c r="D231" s="81">
        <f>IFERROR(INDEX('QS Takeoff'!$C$3:$C$202,MATCH(B231,'QS Takeoff'!$B$3:$B$202,0)),"")</f>
        <v/>
      </c>
      <c r="E231" s="81">
        <f>IFERROR(INDEX('QS Takeoff'!$E$3:$E$202,MATCH(B231,'QS Takeoff'!$B$3:$B$202,0)),"")</f>
        <v/>
      </c>
      <c r="F231" s="81">
        <f>IFERROR(INDEX('QS Takeoff'!$D$3:$D$202,MATCH(B231,'QS Takeoff'!$B$3:$B$202,0)),"")</f>
        <v/>
      </c>
      <c r="G231" s="81">
        <f>IFERROR(INDEX('QS Takeoff'!$J$3:$J$202,MATCH(B231,'QS Takeoff'!$B$3:$B$202,0)),"")</f>
        <v/>
      </c>
      <c r="H231" s="53" t="n"/>
      <c r="I231" s="60" t="n"/>
      <c r="J231" s="60" t="n"/>
      <c r="K231" s="82">
        <f>IF(OR(B231="",I231="",I231=0),"",E231/I231)</f>
        <v/>
      </c>
      <c r="L231" s="60" t="n"/>
      <c r="M231" s="82">
        <f>IF(L231&gt;0,L231,K231)</f>
        <v/>
      </c>
      <c r="N231" s="53" t="n"/>
      <c r="O231" s="53" t="n"/>
      <c r="P231" s="53" t="n"/>
      <c r="Q231" s="81">
        <f>IFERROR(INDEX('Resource Rate Library'!$C$5:$C$200,MATCH(P231,'Resource Rate Library'!$A$5:$A$200,0)),"")</f>
        <v/>
      </c>
      <c r="R231" s="53" t="n"/>
      <c r="S231" s="53" t="n"/>
      <c r="T231" s="81">
        <f>IFERROR(INDEX('Resource Rate Library'!$E$5:$E$200,MATCH(P231,'Resource Rate Library'!$A$5:$A$200,0)),"")</f>
        <v/>
      </c>
      <c r="U231" s="1441" t="n"/>
      <c r="V231" s="1441" t="n"/>
      <c r="W231" s="1442">
        <f>IFERROR(INDEX('Resource Rate Library'!$I$5:$I$200,MATCH(P231,'Resource Rate Library'!$A$5:$A$200,0)),0)</f>
        <v/>
      </c>
      <c r="X231" s="1443" t="n"/>
      <c r="Y231" s="1442">
        <f>IF(X231&gt;0,X231,W231)</f>
        <v/>
      </c>
      <c r="Z231" s="1442">
        <f>IF(B231="","",IF(N231="Time x Count",M231*R231*IF(U231="",1,U231)*Y231,IF(N231="QS Qty x Factor",E231*R231*(1+IF(V231="",0,V231))*Y231,IF(N231="Direct Qty",S231*(1+IF(V231="",0,V231))*Y231,IF(N231="Lump Sum / Quote",S231*Y231,0)))))</f>
        <v/>
      </c>
      <c r="AA231" s="81">
        <f>IFERROR(INDEX('Resource Rate Library'!$N$5:$N$200,MATCH(P231,'Resource Rate Library'!$A$5:$A$200,0)),"")</f>
        <v/>
      </c>
      <c r="AB231" s="53" t="n"/>
      <c r="AC231" s="59" t="n"/>
      <c r="AD231" s="81">
        <f>IFERROR(INDEX('Resource Rate Library'!$G$5:$G$200,MATCH(P231,'Resource Rate Library'!$A$5:$A$200,0)),"")</f>
        <v/>
      </c>
      <c r="AE231" s="81">
        <f>IFERROR(INDEX('Resource Rate Library'!$H$5:$H$200,MATCH(P231,'Resource Rate Library'!$A$5:$A$200,0)),"")</f>
        <v/>
      </c>
      <c r="AF231" s="53" t="n"/>
      <c r="AG231" s="53" t="n"/>
      <c r="AH231" s="53" t="n"/>
      <c r="AI231" s="81">
        <f>IF(B231="","",IF(AND(P231="",N231&lt;&gt;"Lump Sum / Quote"),"RESOURCE CODE",IF(Y231=0,"RATE MISSING",IF(AND(O231="Plant",AD231="Yes",COUNTIFS($B$7:$B$306,B231,$O$7:$O$306,"Labour",$Q$7:$Q$306,"*Operator*")&gt;0),"OPERATOR DOUBLE-COUNT",IF(AND(O231="Plant",AE231="Yes",COUNTIFS($B$7:$B$306,B231,$Q$7:$Q$306,"*Fuel*")&gt;0),"FUEL DOUBLE-COUNT",IF(AH231&lt;&gt;"Yes","VERIFY","OK"))))))</f>
        <v/>
      </c>
      <c r="AJ231" s="54" t="n"/>
      <c r="AK231" s="473" t="n"/>
      <c r="AL231" s="473" t="n"/>
      <c r="AM231" s="473" t="n"/>
      <c r="AN231" s="1444">
        <f>IF(AND(AK231="Yes",OR(O231="Labour",O231="Plant")),Z231,0)</f>
        <v/>
      </c>
    </row>
    <row r="232">
      <c r="A232" s="80">
        <f>IF(B232="","",B232&amp;"-"&amp;TEXT(COUNTIF($B$7:B232,B232),"000"))</f>
        <v/>
      </c>
      <c r="B232" s="53" t="n"/>
      <c r="C232" s="81">
        <f>IFERROR(INDEX('QS Takeoff'!$A$3:$A$202,MATCH(B232,'QS Takeoff'!$B$3:$B$202,0)),"")</f>
        <v/>
      </c>
      <c r="D232" s="81">
        <f>IFERROR(INDEX('QS Takeoff'!$C$3:$C$202,MATCH(B232,'QS Takeoff'!$B$3:$B$202,0)),"")</f>
        <v/>
      </c>
      <c r="E232" s="81">
        <f>IFERROR(INDEX('QS Takeoff'!$E$3:$E$202,MATCH(B232,'QS Takeoff'!$B$3:$B$202,0)),"")</f>
        <v/>
      </c>
      <c r="F232" s="81">
        <f>IFERROR(INDEX('QS Takeoff'!$D$3:$D$202,MATCH(B232,'QS Takeoff'!$B$3:$B$202,0)),"")</f>
        <v/>
      </c>
      <c r="G232" s="81">
        <f>IFERROR(INDEX('QS Takeoff'!$J$3:$J$202,MATCH(B232,'QS Takeoff'!$B$3:$B$202,0)),"")</f>
        <v/>
      </c>
      <c r="H232" s="53" t="n"/>
      <c r="I232" s="60" t="n"/>
      <c r="J232" s="60" t="n"/>
      <c r="K232" s="82">
        <f>IF(OR(B232="",I232="",I232=0),"",E232/I232)</f>
        <v/>
      </c>
      <c r="L232" s="60" t="n"/>
      <c r="M232" s="82">
        <f>IF(L232&gt;0,L232,K232)</f>
        <v/>
      </c>
      <c r="N232" s="53" t="n"/>
      <c r="O232" s="53" t="n"/>
      <c r="P232" s="53" t="n"/>
      <c r="Q232" s="81">
        <f>IFERROR(INDEX('Resource Rate Library'!$C$5:$C$200,MATCH(P232,'Resource Rate Library'!$A$5:$A$200,0)),"")</f>
        <v/>
      </c>
      <c r="R232" s="53" t="n"/>
      <c r="S232" s="53" t="n"/>
      <c r="T232" s="81">
        <f>IFERROR(INDEX('Resource Rate Library'!$E$5:$E$200,MATCH(P232,'Resource Rate Library'!$A$5:$A$200,0)),"")</f>
        <v/>
      </c>
      <c r="U232" s="1441" t="n"/>
      <c r="V232" s="1441" t="n"/>
      <c r="W232" s="1442">
        <f>IFERROR(INDEX('Resource Rate Library'!$I$5:$I$200,MATCH(P232,'Resource Rate Library'!$A$5:$A$200,0)),0)</f>
        <v/>
      </c>
      <c r="X232" s="1443" t="n"/>
      <c r="Y232" s="1442">
        <f>IF(X232&gt;0,X232,W232)</f>
        <v/>
      </c>
      <c r="Z232" s="1442">
        <f>IF(B232="","",IF(N232="Time x Count",M232*R232*IF(U232="",1,U232)*Y232,IF(N232="QS Qty x Factor",E232*R232*(1+IF(V232="",0,V232))*Y232,IF(N232="Direct Qty",S232*(1+IF(V232="",0,V232))*Y232,IF(N232="Lump Sum / Quote",S232*Y232,0)))))</f>
        <v/>
      </c>
      <c r="AA232" s="81">
        <f>IFERROR(INDEX('Resource Rate Library'!$N$5:$N$200,MATCH(P232,'Resource Rate Library'!$A$5:$A$200,0)),"")</f>
        <v/>
      </c>
      <c r="AB232" s="53" t="n"/>
      <c r="AC232" s="59" t="n"/>
      <c r="AD232" s="81">
        <f>IFERROR(INDEX('Resource Rate Library'!$G$5:$G$200,MATCH(P232,'Resource Rate Library'!$A$5:$A$200,0)),"")</f>
        <v/>
      </c>
      <c r="AE232" s="81">
        <f>IFERROR(INDEX('Resource Rate Library'!$H$5:$H$200,MATCH(P232,'Resource Rate Library'!$A$5:$A$200,0)),"")</f>
        <v/>
      </c>
      <c r="AF232" s="53" t="n"/>
      <c r="AG232" s="53" t="n"/>
      <c r="AH232" s="53" t="n"/>
      <c r="AI232" s="81">
        <f>IF(B232="","",IF(AND(P232="",N232&lt;&gt;"Lump Sum / Quote"),"RESOURCE CODE",IF(Y232=0,"RATE MISSING",IF(AND(O232="Plant",AD232="Yes",COUNTIFS($B$7:$B$306,B232,$O$7:$O$306,"Labour",$Q$7:$Q$306,"*Operator*")&gt;0),"OPERATOR DOUBLE-COUNT",IF(AND(O232="Plant",AE232="Yes",COUNTIFS($B$7:$B$306,B232,$Q$7:$Q$306,"*Fuel*")&gt;0),"FUEL DOUBLE-COUNT",IF(AH232&lt;&gt;"Yes","VERIFY","OK"))))))</f>
        <v/>
      </c>
      <c r="AJ232" s="54" t="n"/>
      <c r="AK232" s="473" t="n"/>
      <c r="AL232" s="473" t="n"/>
      <c r="AM232" s="473" t="n"/>
      <c r="AN232" s="1444">
        <f>IF(AND(AK232="Yes",OR(O232="Labour",O232="Plant")),Z232,0)</f>
        <v/>
      </c>
    </row>
    <row r="233">
      <c r="A233" s="80">
        <f>IF(B233="","",B233&amp;"-"&amp;TEXT(COUNTIF($B$7:B233,B233),"000"))</f>
        <v/>
      </c>
      <c r="B233" s="53" t="n"/>
      <c r="C233" s="81">
        <f>IFERROR(INDEX('QS Takeoff'!$A$3:$A$202,MATCH(B233,'QS Takeoff'!$B$3:$B$202,0)),"")</f>
        <v/>
      </c>
      <c r="D233" s="81">
        <f>IFERROR(INDEX('QS Takeoff'!$C$3:$C$202,MATCH(B233,'QS Takeoff'!$B$3:$B$202,0)),"")</f>
        <v/>
      </c>
      <c r="E233" s="81">
        <f>IFERROR(INDEX('QS Takeoff'!$E$3:$E$202,MATCH(B233,'QS Takeoff'!$B$3:$B$202,0)),"")</f>
        <v/>
      </c>
      <c r="F233" s="81">
        <f>IFERROR(INDEX('QS Takeoff'!$D$3:$D$202,MATCH(B233,'QS Takeoff'!$B$3:$B$202,0)),"")</f>
        <v/>
      </c>
      <c r="G233" s="81">
        <f>IFERROR(INDEX('QS Takeoff'!$J$3:$J$202,MATCH(B233,'QS Takeoff'!$B$3:$B$202,0)),"")</f>
        <v/>
      </c>
      <c r="H233" s="53" t="n"/>
      <c r="I233" s="60" t="n"/>
      <c r="J233" s="60" t="n"/>
      <c r="K233" s="82">
        <f>IF(OR(B233="",I233="",I233=0),"",E233/I233)</f>
        <v/>
      </c>
      <c r="L233" s="60" t="n"/>
      <c r="M233" s="82">
        <f>IF(L233&gt;0,L233,K233)</f>
        <v/>
      </c>
      <c r="N233" s="53" t="n"/>
      <c r="O233" s="53" t="n"/>
      <c r="P233" s="53" t="n"/>
      <c r="Q233" s="81">
        <f>IFERROR(INDEX('Resource Rate Library'!$C$5:$C$200,MATCH(P233,'Resource Rate Library'!$A$5:$A$200,0)),"")</f>
        <v/>
      </c>
      <c r="R233" s="53" t="n"/>
      <c r="S233" s="53" t="n"/>
      <c r="T233" s="81">
        <f>IFERROR(INDEX('Resource Rate Library'!$E$5:$E$200,MATCH(P233,'Resource Rate Library'!$A$5:$A$200,0)),"")</f>
        <v/>
      </c>
      <c r="U233" s="1441" t="n"/>
      <c r="V233" s="1441" t="n"/>
      <c r="W233" s="1442">
        <f>IFERROR(INDEX('Resource Rate Library'!$I$5:$I$200,MATCH(P233,'Resource Rate Library'!$A$5:$A$200,0)),0)</f>
        <v/>
      </c>
      <c r="X233" s="1443" t="n"/>
      <c r="Y233" s="1442">
        <f>IF(X233&gt;0,X233,W233)</f>
        <v/>
      </c>
      <c r="Z233" s="1442">
        <f>IF(B233="","",IF(N233="Time x Count",M233*R233*IF(U233="",1,U233)*Y233,IF(N233="QS Qty x Factor",E233*R233*(1+IF(V233="",0,V233))*Y233,IF(N233="Direct Qty",S233*(1+IF(V233="",0,V233))*Y233,IF(N233="Lump Sum / Quote",S233*Y233,0)))))</f>
        <v/>
      </c>
      <c r="AA233" s="81">
        <f>IFERROR(INDEX('Resource Rate Library'!$N$5:$N$200,MATCH(P233,'Resource Rate Library'!$A$5:$A$200,0)),"")</f>
        <v/>
      </c>
      <c r="AB233" s="53" t="n"/>
      <c r="AC233" s="59" t="n"/>
      <c r="AD233" s="81">
        <f>IFERROR(INDEX('Resource Rate Library'!$G$5:$G$200,MATCH(P233,'Resource Rate Library'!$A$5:$A$200,0)),"")</f>
        <v/>
      </c>
      <c r="AE233" s="81">
        <f>IFERROR(INDEX('Resource Rate Library'!$H$5:$H$200,MATCH(P233,'Resource Rate Library'!$A$5:$A$200,0)),"")</f>
        <v/>
      </c>
      <c r="AF233" s="53" t="n"/>
      <c r="AG233" s="53" t="n"/>
      <c r="AH233" s="53" t="n"/>
      <c r="AI233" s="81">
        <f>IF(B233="","",IF(AND(P233="",N233&lt;&gt;"Lump Sum / Quote"),"RESOURCE CODE",IF(Y233=0,"RATE MISSING",IF(AND(O233="Plant",AD233="Yes",COUNTIFS($B$7:$B$306,B233,$O$7:$O$306,"Labour",$Q$7:$Q$306,"*Operator*")&gt;0),"OPERATOR DOUBLE-COUNT",IF(AND(O233="Plant",AE233="Yes",COUNTIFS($B$7:$B$306,B233,$Q$7:$Q$306,"*Fuel*")&gt;0),"FUEL DOUBLE-COUNT",IF(AH233&lt;&gt;"Yes","VERIFY","OK"))))))</f>
        <v/>
      </c>
      <c r="AJ233" s="54" t="n"/>
      <c r="AK233" s="473" t="n"/>
      <c r="AL233" s="473" t="n"/>
      <c r="AM233" s="473" t="n"/>
      <c r="AN233" s="1444">
        <f>IF(AND(AK233="Yes",OR(O233="Labour",O233="Plant")),Z233,0)</f>
        <v/>
      </c>
    </row>
    <row r="234">
      <c r="A234" s="80">
        <f>IF(B234="","",B234&amp;"-"&amp;TEXT(COUNTIF($B$7:B234,B234),"000"))</f>
        <v/>
      </c>
      <c r="B234" s="53" t="n"/>
      <c r="C234" s="81">
        <f>IFERROR(INDEX('QS Takeoff'!$A$3:$A$202,MATCH(B234,'QS Takeoff'!$B$3:$B$202,0)),"")</f>
        <v/>
      </c>
      <c r="D234" s="81">
        <f>IFERROR(INDEX('QS Takeoff'!$C$3:$C$202,MATCH(B234,'QS Takeoff'!$B$3:$B$202,0)),"")</f>
        <v/>
      </c>
      <c r="E234" s="81">
        <f>IFERROR(INDEX('QS Takeoff'!$E$3:$E$202,MATCH(B234,'QS Takeoff'!$B$3:$B$202,0)),"")</f>
        <v/>
      </c>
      <c r="F234" s="81">
        <f>IFERROR(INDEX('QS Takeoff'!$D$3:$D$202,MATCH(B234,'QS Takeoff'!$B$3:$B$202,0)),"")</f>
        <v/>
      </c>
      <c r="G234" s="81">
        <f>IFERROR(INDEX('QS Takeoff'!$J$3:$J$202,MATCH(B234,'QS Takeoff'!$B$3:$B$202,0)),"")</f>
        <v/>
      </c>
      <c r="H234" s="53" t="n"/>
      <c r="I234" s="60" t="n"/>
      <c r="J234" s="60" t="n"/>
      <c r="K234" s="82">
        <f>IF(OR(B234="",I234="",I234=0),"",E234/I234)</f>
        <v/>
      </c>
      <c r="L234" s="60" t="n"/>
      <c r="M234" s="82">
        <f>IF(L234&gt;0,L234,K234)</f>
        <v/>
      </c>
      <c r="N234" s="53" t="n"/>
      <c r="O234" s="53" t="n"/>
      <c r="P234" s="53" t="n"/>
      <c r="Q234" s="81">
        <f>IFERROR(INDEX('Resource Rate Library'!$C$5:$C$200,MATCH(P234,'Resource Rate Library'!$A$5:$A$200,0)),"")</f>
        <v/>
      </c>
      <c r="R234" s="53" t="n"/>
      <c r="S234" s="53" t="n"/>
      <c r="T234" s="81">
        <f>IFERROR(INDEX('Resource Rate Library'!$E$5:$E$200,MATCH(P234,'Resource Rate Library'!$A$5:$A$200,0)),"")</f>
        <v/>
      </c>
      <c r="U234" s="1441" t="n"/>
      <c r="V234" s="1441" t="n"/>
      <c r="W234" s="1442">
        <f>IFERROR(INDEX('Resource Rate Library'!$I$5:$I$200,MATCH(P234,'Resource Rate Library'!$A$5:$A$200,0)),0)</f>
        <v/>
      </c>
      <c r="X234" s="1443" t="n"/>
      <c r="Y234" s="1442">
        <f>IF(X234&gt;0,X234,W234)</f>
        <v/>
      </c>
      <c r="Z234" s="1442">
        <f>IF(B234="","",IF(N234="Time x Count",M234*R234*IF(U234="",1,U234)*Y234,IF(N234="QS Qty x Factor",E234*R234*(1+IF(V234="",0,V234))*Y234,IF(N234="Direct Qty",S234*(1+IF(V234="",0,V234))*Y234,IF(N234="Lump Sum / Quote",S234*Y234,0)))))</f>
        <v/>
      </c>
      <c r="AA234" s="81">
        <f>IFERROR(INDEX('Resource Rate Library'!$N$5:$N$200,MATCH(P234,'Resource Rate Library'!$A$5:$A$200,0)),"")</f>
        <v/>
      </c>
      <c r="AB234" s="53" t="n"/>
      <c r="AC234" s="59" t="n"/>
      <c r="AD234" s="81">
        <f>IFERROR(INDEX('Resource Rate Library'!$G$5:$G$200,MATCH(P234,'Resource Rate Library'!$A$5:$A$200,0)),"")</f>
        <v/>
      </c>
      <c r="AE234" s="81">
        <f>IFERROR(INDEX('Resource Rate Library'!$H$5:$H$200,MATCH(P234,'Resource Rate Library'!$A$5:$A$200,0)),"")</f>
        <v/>
      </c>
      <c r="AF234" s="53" t="n"/>
      <c r="AG234" s="53" t="n"/>
      <c r="AH234" s="53" t="n"/>
      <c r="AI234" s="81">
        <f>IF(B234="","",IF(AND(P234="",N234&lt;&gt;"Lump Sum / Quote"),"RESOURCE CODE",IF(Y234=0,"RATE MISSING",IF(AND(O234="Plant",AD234="Yes",COUNTIFS($B$7:$B$306,B234,$O$7:$O$306,"Labour",$Q$7:$Q$306,"*Operator*")&gt;0),"OPERATOR DOUBLE-COUNT",IF(AND(O234="Plant",AE234="Yes",COUNTIFS($B$7:$B$306,B234,$Q$7:$Q$306,"*Fuel*")&gt;0),"FUEL DOUBLE-COUNT",IF(AH234&lt;&gt;"Yes","VERIFY","OK"))))))</f>
        <v/>
      </c>
      <c r="AJ234" s="54" t="n"/>
      <c r="AK234" s="473" t="n"/>
      <c r="AL234" s="473" t="n"/>
      <c r="AM234" s="473" t="n"/>
      <c r="AN234" s="1444">
        <f>IF(AND(AK234="Yes",OR(O234="Labour",O234="Plant")),Z234,0)</f>
        <v/>
      </c>
    </row>
    <row r="235">
      <c r="A235" s="80">
        <f>IF(B235="","",B235&amp;"-"&amp;TEXT(COUNTIF($B$7:B235,B235),"000"))</f>
        <v/>
      </c>
      <c r="B235" s="53" t="n"/>
      <c r="C235" s="81">
        <f>IFERROR(INDEX('QS Takeoff'!$A$3:$A$202,MATCH(B235,'QS Takeoff'!$B$3:$B$202,0)),"")</f>
        <v/>
      </c>
      <c r="D235" s="81">
        <f>IFERROR(INDEX('QS Takeoff'!$C$3:$C$202,MATCH(B235,'QS Takeoff'!$B$3:$B$202,0)),"")</f>
        <v/>
      </c>
      <c r="E235" s="81">
        <f>IFERROR(INDEX('QS Takeoff'!$E$3:$E$202,MATCH(B235,'QS Takeoff'!$B$3:$B$202,0)),"")</f>
        <v/>
      </c>
      <c r="F235" s="81">
        <f>IFERROR(INDEX('QS Takeoff'!$D$3:$D$202,MATCH(B235,'QS Takeoff'!$B$3:$B$202,0)),"")</f>
        <v/>
      </c>
      <c r="G235" s="81">
        <f>IFERROR(INDEX('QS Takeoff'!$J$3:$J$202,MATCH(B235,'QS Takeoff'!$B$3:$B$202,0)),"")</f>
        <v/>
      </c>
      <c r="H235" s="53" t="n"/>
      <c r="I235" s="60" t="n"/>
      <c r="J235" s="60" t="n"/>
      <c r="K235" s="82">
        <f>IF(OR(B235="",I235="",I235=0),"",E235/I235)</f>
        <v/>
      </c>
      <c r="L235" s="60" t="n"/>
      <c r="M235" s="82">
        <f>IF(L235&gt;0,L235,K235)</f>
        <v/>
      </c>
      <c r="N235" s="53" t="n"/>
      <c r="O235" s="53" t="n"/>
      <c r="P235" s="53" t="n"/>
      <c r="Q235" s="81">
        <f>IFERROR(INDEX('Resource Rate Library'!$C$5:$C$200,MATCH(P235,'Resource Rate Library'!$A$5:$A$200,0)),"")</f>
        <v/>
      </c>
      <c r="R235" s="53" t="n"/>
      <c r="S235" s="53" t="n"/>
      <c r="T235" s="81">
        <f>IFERROR(INDEX('Resource Rate Library'!$E$5:$E$200,MATCH(P235,'Resource Rate Library'!$A$5:$A$200,0)),"")</f>
        <v/>
      </c>
      <c r="U235" s="1441" t="n"/>
      <c r="V235" s="1441" t="n"/>
      <c r="W235" s="1442">
        <f>IFERROR(INDEX('Resource Rate Library'!$I$5:$I$200,MATCH(P235,'Resource Rate Library'!$A$5:$A$200,0)),0)</f>
        <v/>
      </c>
      <c r="X235" s="1443" t="n"/>
      <c r="Y235" s="1442">
        <f>IF(X235&gt;0,X235,W235)</f>
        <v/>
      </c>
      <c r="Z235" s="1442">
        <f>IF(B235="","",IF(N235="Time x Count",M235*R235*IF(U235="",1,U235)*Y235,IF(N235="QS Qty x Factor",E235*R235*(1+IF(V235="",0,V235))*Y235,IF(N235="Direct Qty",S235*(1+IF(V235="",0,V235))*Y235,IF(N235="Lump Sum / Quote",S235*Y235,0)))))</f>
        <v/>
      </c>
      <c r="AA235" s="81">
        <f>IFERROR(INDEX('Resource Rate Library'!$N$5:$N$200,MATCH(P235,'Resource Rate Library'!$A$5:$A$200,0)),"")</f>
        <v/>
      </c>
      <c r="AB235" s="53" t="n"/>
      <c r="AC235" s="59" t="n"/>
      <c r="AD235" s="81">
        <f>IFERROR(INDEX('Resource Rate Library'!$G$5:$G$200,MATCH(P235,'Resource Rate Library'!$A$5:$A$200,0)),"")</f>
        <v/>
      </c>
      <c r="AE235" s="81">
        <f>IFERROR(INDEX('Resource Rate Library'!$H$5:$H$200,MATCH(P235,'Resource Rate Library'!$A$5:$A$200,0)),"")</f>
        <v/>
      </c>
      <c r="AF235" s="53" t="n"/>
      <c r="AG235" s="53" t="n"/>
      <c r="AH235" s="53" t="n"/>
      <c r="AI235" s="81">
        <f>IF(B235="","",IF(AND(P235="",N235&lt;&gt;"Lump Sum / Quote"),"RESOURCE CODE",IF(Y235=0,"RATE MISSING",IF(AND(O235="Plant",AD235="Yes",COUNTIFS($B$7:$B$306,B235,$O$7:$O$306,"Labour",$Q$7:$Q$306,"*Operator*")&gt;0),"OPERATOR DOUBLE-COUNT",IF(AND(O235="Plant",AE235="Yes",COUNTIFS($B$7:$B$306,B235,$Q$7:$Q$306,"*Fuel*")&gt;0),"FUEL DOUBLE-COUNT",IF(AH235&lt;&gt;"Yes","VERIFY","OK"))))))</f>
        <v/>
      </c>
      <c r="AJ235" s="54" t="n"/>
      <c r="AK235" s="473" t="n"/>
      <c r="AL235" s="473" t="n"/>
      <c r="AM235" s="473" t="n"/>
      <c r="AN235" s="1444">
        <f>IF(AND(AK235="Yes",OR(O235="Labour",O235="Plant")),Z235,0)</f>
        <v/>
      </c>
    </row>
    <row r="236">
      <c r="A236" s="80">
        <f>IF(B236="","",B236&amp;"-"&amp;TEXT(COUNTIF($B$7:B236,B236),"000"))</f>
        <v/>
      </c>
      <c r="B236" s="53" t="n"/>
      <c r="C236" s="81">
        <f>IFERROR(INDEX('QS Takeoff'!$A$3:$A$202,MATCH(B236,'QS Takeoff'!$B$3:$B$202,0)),"")</f>
        <v/>
      </c>
      <c r="D236" s="81">
        <f>IFERROR(INDEX('QS Takeoff'!$C$3:$C$202,MATCH(B236,'QS Takeoff'!$B$3:$B$202,0)),"")</f>
        <v/>
      </c>
      <c r="E236" s="81">
        <f>IFERROR(INDEX('QS Takeoff'!$E$3:$E$202,MATCH(B236,'QS Takeoff'!$B$3:$B$202,0)),"")</f>
        <v/>
      </c>
      <c r="F236" s="81">
        <f>IFERROR(INDEX('QS Takeoff'!$D$3:$D$202,MATCH(B236,'QS Takeoff'!$B$3:$B$202,0)),"")</f>
        <v/>
      </c>
      <c r="G236" s="81">
        <f>IFERROR(INDEX('QS Takeoff'!$J$3:$J$202,MATCH(B236,'QS Takeoff'!$B$3:$B$202,0)),"")</f>
        <v/>
      </c>
      <c r="H236" s="53" t="n"/>
      <c r="I236" s="60" t="n"/>
      <c r="J236" s="60" t="n"/>
      <c r="K236" s="82">
        <f>IF(OR(B236="",I236="",I236=0),"",E236/I236)</f>
        <v/>
      </c>
      <c r="L236" s="60" t="n"/>
      <c r="M236" s="82">
        <f>IF(L236&gt;0,L236,K236)</f>
        <v/>
      </c>
      <c r="N236" s="53" t="n"/>
      <c r="O236" s="53" t="n"/>
      <c r="P236" s="53" t="n"/>
      <c r="Q236" s="81">
        <f>IFERROR(INDEX('Resource Rate Library'!$C$5:$C$200,MATCH(P236,'Resource Rate Library'!$A$5:$A$200,0)),"")</f>
        <v/>
      </c>
      <c r="R236" s="53" t="n"/>
      <c r="S236" s="53" t="n"/>
      <c r="T236" s="81">
        <f>IFERROR(INDEX('Resource Rate Library'!$E$5:$E$200,MATCH(P236,'Resource Rate Library'!$A$5:$A$200,0)),"")</f>
        <v/>
      </c>
      <c r="U236" s="1441" t="n"/>
      <c r="V236" s="1441" t="n"/>
      <c r="W236" s="1442">
        <f>IFERROR(INDEX('Resource Rate Library'!$I$5:$I$200,MATCH(P236,'Resource Rate Library'!$A$5:$A$200,0)),0)</f>
        <v/>
      </c>
      <c r="X236" s="1443" t="n"/>
      <c r="Y236" s="1442">
        <f>IF(X236&gt;0,X236,W236)</f>
        <v/>
      </c>
      <c r="Z236" s="1442">
        <f>IF(B236="","",IF(N236="Time x Count",M236*R236*IF(U236="",1,U236)*Y236,IF(N236="QS Qty x Factor",E236*R236*(1+IF(V236="",0,V236))*Y236,IF(N236="Direct Qty",S236*(1+IF(V236="",0,V236))*Y236,IF(N236="Lump Sum / Quote",S236*Y236,0)))))</f>
        <v/>
      </c>
      <c r="AA236" s="81">
        <f>IFERROR(INDEX('Resource Rate Library'!$N$5:$N$200,MATCH(P236,'Resource Rate Library'!$A$5:$A$200,0)),"")</f>
        <v/>
      </c>
      <c r="AB236" s="53" t="n"/>
      <c r="AC236" s="59" t="n"/>
      <c r="AD236" s="81">
        <f>IFERROR(INDEX('Resource Rate Library'!$G$5:$G$200,MATCH(P236,'Resource Rate Library'!$A$5:$A$200,0)),"")</f>
        <v/>
      </c>
      <c r="AE236" s="81">
        <f>IFERROR(INDEX('Resource Rate Library'!$H$5:$H$200,MATCH(P236,'Resource Rate Library'!$A$5:$A$200,0)),"")</f>
        <v/>
      </c>
      <c r="AF236" s="53" t="n"/>
      <c r="AG236" s="53" t="n"/>
      <c r="AH236" s="53" t="n"/>
      <c r="AI236" s="81">
        <f>IF(B236="","",IF(AND(P236="",N236&lt;&gt;"Lump Sum / Quote"),"RESOURCE CODE",IF(Y236=0,"RATE MISSING",IF(AND(O236="Plant",AD236="Yes",COUNTIFS($B$7:$B$306,B236,$O$7:$O$306,"Labour",$Q$7:$Q$306,"*Operator*")&gt;0),"OPERATOR DOUBLE-COUNT",IF(AND(O236="Plant",AE236="Yes",COUNTIFS($B$7:$B$306,B236,$Q$7:$Q$306,"*Fuel*")&gt;0),"FUEL DOUBLE-COUNT",IF(AH236&lt;&gt;"Yes","VERIFY","OK"))))))</f>
        <v/>
      </c>
      <c r="AJ236" s="54" t="n"/>
      <c r="AK236" s="473" t="n"/>
      <c r="AL236" s="473" t="n"/>
      <c r="AM236" s="473" t="n"/>
      <c r="AN236" s="1444">
        <f>IF(AND(AK236="Yes",OR(O236="Labour",O236="Plant")),Z236,0)</f>
        <v/>
      </c>
    </row>
    <row r="237">
      <c r="A237" s="80">
        <f>IF(B237="","",B237&amp;"-"&amp;TEXT(COUNTIF($B$7:B237,B237),"000"))</f>
        <v/>
      </c>
      <c r="B237" s="53" t="n"/>
      <c r="C237" s="81">
        <f>IFERROR(INDEX('QS Takeoff'!$A$3:$A$202,MATCH(B237,'QS Takeoff'!$B$3:$B$202,0)),"")</f>
        <v/>
      </c>
      <c r="D237" s="81">
        <f>IFERROR(INDEX('QS Takeoff'!$C$3:$C$202,MATCH(B237,'QS Takeoff'!$B$3:$B$202,0)),"")</f>
        <v/>
      </c>
      <c r="E237" s="81">
        <f>IFERROR(INDEX('QS Takeoff'!$E$3:$E$202,MATCH(B237,'QS Takeoff'!$B$3:$B$202,0)),"")</f>
        <v/>
      </c>
      <c r="F237" s="81">
        <f>IFERROR(INDEX('QS Takeoff'!$D$3:$D$202,MATCH(B237,'QS Takeoff'!$B$3:$B$202,0)),"")</f>
        <v/>
      </c>
      <c r="G237" s="81">
        <f>IFERROR(INDEX('QS Takeoff'!$J$3:$J$202,MATCH(B237,'QS Takeoff'!$B$3:$B$202,0)),"")</f>
        <v/>
      </c>
      <c r="H237" s="53" t="n"/>
      <c r="I237" s="60" t="n"/>
      <c r="J237" s="60" t="n"/>
      <c r="K237" s="82">
        <f>IF(OR(B237="",I237="",I237=0),"",E237/I237)</f>
        <v/>
      </c>
      <c r="L237" s="60" t="n"/>
      <c r="M237" s="82">
        <f>IF(L237&gt;0,L237,K237)</f>
        <v/>
      </c>
      <c r="N237" s="53" t="n"/>
      <c r="O237" s="53" t="n"/>
      <c r="P237" s="53" t="n"/>
      <c r="Q237" s="81">
        <f>IFERROR(INDEX('Resource Rate Library'!$C$5:$C$200,MATCH(P237,'Resource Rate Library'!$A$5:$A$200,0)),"")</f>
        <v/>
      </c>
      <c r="R237" s="53" t="n"/>
      <c r="S237" s="53" t="n"/>
      <c r="T237" s="81">
        <f>IFERROR(INDEX('Resource Rate Library'!$E$5:$E$200,MATCH(P237,'Resource Rate Library'!$A$5:$A$200,0)),"")</f>
        <v/>
      </c>
      <c r="U237" s="1441" t="n"/>
      <c r="V237" s="1441" t="n"/>
      <c r="W237" s="1442">
        <f>IFERROR(INDEX('Resource Rate Library'!$I$5:$I$200,MATCH(P237,'Resource Rate Library'!$A$5:$A$200,0)),0)</f>
        <v/>
      </c>
      <c r="X237" s="1443" t="n"/>
      <c r="Y237" s="1442">
        <f>IF(X237&gt;0,X237,W237)</f>
        <v/>
      </c>
      <c r="Z237" s="1442">
        <f>IF(B237="","",IF(N237="Time x Count",M237*R237*IF(U237="",1,U237)*Y237,IF(N237="QS Qty x Factor",E237*R237*(1+IF(V237="",0,V237))*Y237,IF(N237="Direct Qty",S237*(1+IF(V237="",0,V237))*Y237,IF(N237="Lump Sum / Quote",S237*Y237,0)))))</f>
        <v/>
      </c>
      <c r="AA237" s="81">
        <f>IFERROR(INDEX('Resource Rate Library'!$N$5:$N$200,MATCH(P237,'Resource Rate Library'!$A$5:$A$200,0)),"")</f>
        <v/>
      </c>
      <c r="AB237" s="53" t="n"/>
      <c r="AC237" s="59" t="n"/>
      <c r="AD237" s="81">
        <f>IFERROR(INDEX('Resource Rate Library'!$G$5:$G$200,MATCH(P237,'Resource Rate Library'!$A$5:$A$200,0)),"")</f>
        <v/>
      </c>
      <c r="AE237" s="81">
        <f>IFERROR(INDEX('Resource Rate Library'!$H$5:$H$200,MATCH(P237,'Resource Rate Library'!$A$5:$A$200,0)),"")</f>
        <v/>
      </c>
      <c r="AF237" s="53" t="n"/>
      <c r="AG237" s="53" t="n"/>
      <c r="AH237" s="53" t="n"/>
      <c r="AI237" s="81">
        <f>IF(B237="","",IF(AND(P237="",N237&lt;&gt;"Lump Sum / Quote"),"RESOURCE CODE",IF(Y237=0,"RATE MISSING",IF(AND(O237="Plant",AD237="Yes",COUNTIFS($B$7:$B$306,B237,$O$7:$O$306,"Labour",$Q$7:$Q$306,"*Operator*")&gt;0),"OPERATOR DOUBLE-COUNT",IF(AND(O237="Plant",AE237="Yes",COUNTIFS($B$7:$B$306,B237,$Q$7:$Q$306,"*Fuel*")&gt;0),"FUEL DOUBLE-COUNT",IF(AH237&lt;&gt;"Yes","VERIFY","OK"))))))</f>
        <v/>
      </c>
      <c r="AJ237" s="54" t="n"/>
      <c r="AK237" s="473" t="n"/>
      <c r="AL237" s="473" t="n"/>
      <c r="AM237" s="473" t="n"/>
      <c r="AN237" s="1444">
        <f>IF(AND(AK237="Yes",OR(O237="Labour",O237="Plant")),Z237,0)</f>
        <v/>
      </c>
    </row>
    <row r="238">
      <c r="A238" s="80">
        <f>IF(B238="","",B238&amp;"-"&amp;TEXT(COUNTIF($B$7:B238,B238),"000"))</f>
        <v/>
      </c>
      <c r="B238" s="53" t="n"/>
      <c r="C238" s="81">
        <f>IFERROR(INDEX('QS Takeoff'!$A$3:$A$202,MATCH(B238,'QS Takeoff'!$B$3:$B$202,0)),"")</f>
        <v/>
      </c>
      <c r="D238" s="81">
        <f>IFERROR(INDEX('QS Takeoff'!$C$3:$C$202,MATCH(B238,'QS Takeoff'!$B$3:$B$202,0)),"")</f>
        <v/>
      </c>
      <c r="E238" s="81">
        <f>IFERROR(INDEX('QS Takeoff'!$E$3:$E$202,MATCH(B238,'QS Takeoff'!$B$3:$B$202,0)),"")</f>
        <v/>
      </c>
      <c r="F238" s="81">
        <f>IFERROR(INDEX('QS Takeoff'!$D$3:$D$202,MATCH(B238,'QS Takeoff'!$B$3:$B$202,0)),"")</f>
        <v/>
      </c>
      <c r="G238" s="81">
        <f>IFERROR(INDEX('QS Takeoff'!$J$3:$J$202,MATCH(B238,'QS Takeoff'!$B$3:$B$202,0)),"")</f>
        <v/>
      </c>
      <c r="H238" s="53" t="n"/>
      <c r="I238" s="60" t="n"/>
      <c r="J238" s="60" t="n"/>
      <c r="K238" s="82">
        <f>IF(OR(B238="",I238="",I238=0),"",E238/I238)</f>
        <v/>
      </c>
      <c r="L238" s="60" t="n"/>
      <c r="M238" s="82">
        <f>IF(L238&gt;0,L238,K238)</f>
        <v/>
      </c>
      <c r="N238" s="53" t="n"/>
      <c r="O238" s="53" t="n"/>
      <c r="P238" s="53" t="n"/>
      <c r="Q238" s="81">
        <f>IFERROR(INDEX('Resource Rate Library'!$C$5:$C$200,MATCH(P238,'Resource Rate Library'!$A$5:$A$200,0)),"")</f>
        <v/>
      </c>
      <c r="R238" s="53" t="n"/>
      <c r="S238" s="53" t="n"/>
      <c r="T238" s="81">
        <f>IFERROR(INDEX('Resource Rate Library'!$E$5:$E$200,MATCH(P238,'Resource Rate Library'!$A$5:$A$200,0)),"")</f>
        <v/>
      </c>
      <c r="U238" s="1441" t="n"/>
      <c r="V238" s="1441" t="n"/>
      <c r="W238" s="1442">
        <f>IFERROR(INDEX('Resource Rate Library'!$I$5:$I$200,MATCH(P238,'Resource Rate Library'!$A$5:$A$200,0)),0)</f>
        <v/>
      </c>
      <c r="X238" s="1443" t="n"/>
      <c r="Y238" s="1442">
        <f>IF(X238&gt;0,X238,W238)</f>
        <v/>
      </c>
      <c r="Z238" s="1442">
        <f>IF(B238="","",IF(N238="Time x Count",M238*R238*IF(U238="",1,U238)*Y238,IF(N238="QS Qty x Factor",E238*R238*(1+IF(V238="",0,V238))*Y238,IF(N238="Direct Qty",S238*(1+IF(V238="",0,V238))*Y238,IF(N238="Lump Sum / Quote",S238*Y238,0)))))</f>
        <v/>
      </c>
      <c r="AA238" s="81">
        <f>IFERROR(INDEX('Resource Rate Library'!$N$5:$N$200,MATCH(P238,'Resource Rate Library'!$A$5:$A$200,0)),"")</f>
        <v/>
      </c>
      <c r="AB238" s="53" t="n"/>
      <c r="AC238" s="59" t="n"/>
      <c r="AD238" s="81">
        <f>IFERROR(INDEX('Resource Rate Library'!$G$5:$G$200,MATCH(P238,'Resource Rate Library'!$A$5:$A$200,0)),"")</f>
        <v/>
      </c>
      <c r="AE238" s="81">
        <f>IFERROR(INDEX('Resource Rate Library'!$H$5:$H$200,MATCH(P238,'Resource Rate Library'!$A$5:$A$200,0)),"")</f>
        <v/>
      </c>
      <c r="AF238" s="53" t="n"/>
      <c r="AG238" s="53" t="n"/>
      <c r="AH238" s="53" t="n"/>
      <c r="AI238" s="81">
        <f>IF(B238="","",IF(AND(P238="",N238&lt;&gt;"Lump Sum / Quote"),"RESOURCE CODE",IF(Y238=0,"RATE MISSING",IF(AND(O238="Plant",AD238="Yes",COUNTIFS($B$7:$B$306,B238,$O$7:$O$306,"Labour",$Q$7:$Q$306,"*Operator*")&gt;0),"OPERATOR DOUBLE-COUNT",IF(AND(O238="Plant",AE238="Yes",COUNTIFS($B$7:$B$306,B238,$Q$7:$Q$306,"*Fuel*")&gt;0),"FUEL DOUBLE-COUNT",IF(AH238&lt;&gt;"Yes","VERIFY","OK"))))))</f>
        <v/>
      </c>
      <c r="AJ238" s="54" t="n"/>
      <c r="AK238" s="473" t="n"/>
      <c r="AL238" s="473" t="n"/>
      <c r="AM238" s="473" t="n"/>
      <c r="AN238" s="1444">
        <f>IF(AND(AK238="Yes",OR(O238="Labour",O238="Plant")),Z238,0)</f>
        <v/>
      </c>
    </row>
    <row r="239">
      <c r="A239" s="80">
        <f>IF(B239="","",B239&amp;"-"&amp;TEXT(COUNTIF($B$7:B239,B239),"000"))</f>
        <v/>
      </c>
      <c r="B239" s="53" t="n"/>
      <c r="C239" s="81">
        <f>IFERROR(INDEX('QS Takeoff'!$A$3:$A$202,MATCH(B239,'QS Takeoff'!$B$3:$B$202,0)),"")</f>
        <v/>
      </c>
      <c r="D239" s="81">
        <f>IFERROR(INDEX('QS Takeoff'!$C$3:$C$202,MATCH(B239,'QS Takeoff'!$B$3:$B$202,0)),"")</f>
        <v/>
      </c>
      <c r="E239" s="81">
        <f>IFERROR(INDEX('QS Takeoff'!$E$3:$E$202,MATCH(B239,'QS Takeoff'!$B$3:$B$202,0)),"")</f>
        <v/>
      </c>
      <c r="F239" s="81">
        <f>IFERROR(INDEX('QS Takeoff'!$D$3:$D$202,MATCH(B239,'QS Takeoff'!$B$3:$B$202,0)),"")</f>
        <v/>
      </c>
      <c r="G239" s="81">
        <f>IFERROR(INDEX('QS Takeoff'!$J$3:$J$202,MATCH(B239,'QS Takeoff'!$B$3:$B$202,0)),"")</f>
        <v/>
      </c>
      <c r="H239" s="53" t="n"/>
      <c r="I239" s="60" t="n"/>
      <c r="J239" s="60" t="n"/>
      <c r="K239" s="82">
        <f>IF(OR(B239="",I239="",I239=0),"",E239/I239)</f>
        <v/>
      </c>
      <c r="L239" s="60" t="n"/>
      <c r="M239" s="82">
        <f>IF(L239&gt;0,L239,K239)</f>
        <v/>
      </c>
      <c r="N239" s="53" t="n"/>
      <c r="O239" s="53" t="n"/>
      <c r="P239" s="53" t="n"/>
      <c r="Q239" s="81">
        <f>IFERROR(INDEX('Resource Rate Library'!$C$5:$C$200,MATCH(P239,'Resource Rate Library'!$A$5:$A$200,0)),"")</f>
        <v/>
      </c>
      <c r="R239" s="53" t="n"/>
      <c r="S239" s="53" t="n"/>
      <c r="T239" s="81">
        <f>IFERROR(INDEX('Resource Rate Library'!$E$5:$E$200,MATCH(P239,'Resource Rate Library'!$A$5:$A$200,0)),"")</f>
        <v/>
      </c>
      <c r="U239" s="1441" t="n"/>
      <c r="V239" s="1441" t="n"/>
      <c r="W239" s="1442">
        <f>IFERROR(INDEX('Resource Rate Library'!$I$5:$I$200,MATCH(P239,'Resource Rate Library'!$A$5:$A$200,0)),0)</f>
        <v/>
      </c>
      <c r="X239" s="1443" t="n"/>
      <c r="Y239" s="1442">
        <f>IF(X239&gt;0,X239,W239)</f>
        <v/>
      </c>
      <c r="Z239" s="1442">
        <f>IF(B239="","",IF(N239="Time x Count",M239*R239*IF(U239="",1,U239)*Y239,IF(N239="QS Qty x Factor",E239*R239*(1+IF(V239="",0,V239))*Y239,IF(N239="Direct Qty",S239*(1+IF(V239="",0,V239))*Y239,IF(N239="Lump Sum / Quote",S239*Y239,0)))))</f>
        <v/>
      </c>
      <c r="AA239" s="81">
        <f>IFERROR(INDEX('Resource Rate Library'!$N$5:$N$200,MATCH(P239,'Resource Rate Library'!$A$5:$A$200,0)),"")</f>
        <v/>
      </c>
      <c r="AB239" s="53" t="n"/>
      <c r="AC239" s="59" t="n"/>
      <c r="AD239" s="81">
        <f>IFERROR(INDEX('Resource Rate Library'!$G$5:$G$200,MATCH(P239,'Resource Rate Library'!$A$5:$A$200,0)),"")</f>
        <v/>
      </c>
      <c r="AE239" s="81">
        <f>IFERROR(INDEX('Resource Rate Library'!$H$5:$H$200,MATCH(P239,'Resource Rate Library'!$A$5:$A$200,0)),"")</f>
        <v/>
      </c>
      <c r="AF239" s="53" t="n"/>
      <c r="AG239" s="53" t="n"/>
      <c r="AH239" s="53" t="n"/>
      <c r="AI239" s="81">
        <f>IF(B239="","",IF(AND(P239="",N239&lt;&gt;"Lump Sum / Quote"),"RESOURCE CODE",IF(Y239=0,"RATE MISSING",IF(AND(O239="Plant",AD239="Yes",COUNTIFS($B$7:$B$306,B239,$O$7:$O$306,"Labour",$Q$7:$Q$306,"*Operator*")&gt;0),"OPERATOR DOUBLE-COUNT",IF(AND(O239="Plant",AE239="Yes",COUNTIFS($B$7:$B$306,B239,$Q$7:$Q$306,"*Fuel*")&gt;0),"FUEL DOUBLE-COUNT",IF(AH239&lt;&gt;"Yes","VERIFY","OK"))))))</f>
        <v/>
      </c>
      <c r="AJ239" s="54" t="n"/>
      <c r="AK239" s="473" t="n"/>
      <c r="AL239" s="473" t="n"/>
      <c r="AM239" s="473" t="n"/>
      <c r="AN239" s="1444">
        <f>IF(AND(AK239="Yes",OR(O239="Labour",O239="Plant")),Z239,0)</f>
        <v/>
      </c>
    </row>
    <row r="240">
      <c r="A240" s="80">
        <f>IF(B240="","",B240&amp;"-"&amp;TEXT(COUNTIF($B$7:B240,B240),"000"))</f>
        <v/>
      </c>
      <c r="B240" s="53" t="n"/>
      <c r="C240" s="81">
        <f>IFERROR(INDEX('QS Takeoff'!$A$3:$A$202,MATCH(B240,'QS Takeoff'!$B$3:$B$202,0)),"")</f>
        <v/>
      </c>
      <c r="D240" s="81">
        <f>IFERROR(INDEX('QS Takeoff'!$C$3:$C$202,MATCH(B240,'QS Takeoff'!$B$3:$B$202,0)),"")</f>
        <v/>
      </c>
      <c r="E240" s="81">
        <f>IFERROR(INDEX('QS Takeoff'!$E$3:$E$202,MATCH(B240,'QS Takeoff'!$B$3:$B$202,0)),"")</f>
        <v/>
      </c>
      <c r="F240" s="81">
        <f>IFERROR(INDEX('QS Takeoff'!$D$3:$D$202,MATCH(B240,'QS Takeoff'!$B$3:$B$202,0)),"")</f>
        <v/>
      </c>
      <c r="G240" s="81">
        <f>IFERROR(INDEX('QS Takeoff'!$J$3:$J$202,MATCH(B240,'QS Takeoff'!$B$3:$B$202,0)),"")</f>
        <v/>
      </c>
      <c r="H240" s="53" t="n"/>
      <c r="I240" s="60" t="n"/>
      <c r="J240" s="60" t="n"/>
      <c r="K240" s="82">
        <f>IF(OR(B240="",I240="",I240=0),"",E240/I240)</f>
        <v/>
      </c>
      <c r="L240" s="60" t="n"/>
      <c r="M240" s="82">
        <f>IF(L240&gt;0,L240,K240)</f>
        <v/>
      </c>
      <c r="N240" s="53" t="n"/>
      <c r="O240" s="53" t="n"/>
      <c r="P240" s="53" t="n"/>
      <c r="Q240" s="81">
        <f>IFERROR(INDEX('Resource Rate Library'!$C$5:$C$200,MATCH(P240,'Resource Rate Library'!$A$5:$A$200,0)),"")</f>
        <v/>
      </c>
      <c r="R240" s="53" t="n"/>
      <c r="S240" s="53" t="n"/>
      <c r="T240" s="81">
        <f>IFERROR(INDEX('Resource Rate Library'!$E$5:$E$200,MATCH(P240,'Resource Rate Library'!$A$5:$A$200,0)),"")</f>
        <v/>
      </c>
      <c r="U240" s="1441" t="n"/>
      <c r="V240" s="1441" t="n"/>
      <c r="W240" s="1442">
        <f>IFERROR(INDEX('Resource Rate Library'!$I$5:$I$200,MATCH(P240,'Resource Rate Library'!$A$5:$A$200,0)),0)</f>
        <v/>
      </c>
      <c r="X240" s="1443" t="n"/>
      <c r="Y240" s="1442">
        <f>IF(X240&gt;0,X240,W240)</f>
        <v/>
      </c>
      <c r="Z240" s="1442">
        <f>IF(B240="","",IF(N240="Time x Count",M240*R240*IF(U240="",1,U240)*Y240,IF(N240="QS Qty x Factor",E240*R240*(1+IF(V240="",0,V240))*Y240,IF(N240="Direct Qty",S240*(1+IF(V240="",0,V240))*Y240,IF(N240="Lump Sum / Quote",S240*Y240,0)))))</f>
        <v/>
      </c>
      <c r="AA240" s="81">
        <f>IFERROR(INDEX('Resource Rate Library'!$N$5:$N$200,MATCH(P240,'Resource Rate Library'!$A$5:$A$200,0)),"")</f>
        <v/>
      </c>
      <c r="AB240" s="53" t="n"/>
      <c r="AC240" s="59" t="n"/>
      <c r="AD240" s="81">
        <f>IFERROR(INDEX('Resource Rate Library'!$G$5:$G$200,MATCH(P240,'Resource Rate Library'!$A$5:$A$200,0)),"")</f>
        <v/>
      </c>
      <c r="AE240" s="81">
        <f>IFERROR(INDEX('Resource Rate Library'!$H$5:$H$200,MATCH(P240,'Resource Rate Library'!$A$5:$A$200,0)),"")</f>
        <v/>
      </c>
      <c r="AF240" s="53" t="n"/>
      <c r="AG240" s="53" t="n"/>
      <c r="AH240" s="53" t="n"/>
      <c r="AI240" s="81">
        <f>IF(B240="","",IF(AND(P240="",N240&lt;&gt;"Lump Sum / Quote"),"RESOURCE CODE",IF(Y240=0,"RATE MISSING",IF(AND(O240="Plant",AD240="Yes",COUNTIFS($B$7:$B$306,B240,$O$7:$O$306,"Labour",$Q$7:$Q$306,"*Operator*")&gt;0),"OPERATOR DOUBLE-COUNT",IF(AND(O240="Plant",AE240="Yes",COUNTIFS($B$7:$B$306,B240,$Q$7:$Q$306,"*Fuel*")&gt;0),"FUEL DOUBLE-COUNT",IF(AH240&lt;&gt;"Yes","VERIFY","OK"))))))</f>
        <v/>
      </c>
      <c r="AJ240" s="54" t="n"/>
      <c r="AK240" s="473" t="n"/>
      <c r="AL240" s="473" t="n"/>
      <c r="AM240" s="473" t="n"/>
      <c r="AN240" s="1444">
        <f>IF(AND(AK240="Yes",OR(O240="Labour",O240="Plant")),Z240,0)</f>
        <v/>
      </c>
    </row>
    <row r="241">
      <c r="A241" s="80">
        <f>IF(B241="","",B241&amp;"-"&amp;TEXT(COUNTIF($B$7:B241,B241),"000"))</f>
        <v/>
      </c>
      <c r="B241" s="53" t="n"/>
      <c r="C241" s="81">
        <f>IFERROR(INDEX('QS Takeoff'!$A$3:$A$202,MATCH(B241,'QS Takeoff'!$B$3:$B$202,0)),"")</f>
        <v/>
      </c>
      <c r="D241" s="81">
        <f>IFERROR(INDEX('QS Takeoff'!$C$3:$C$202,MATCH(B241,'QS Takeoff'!$B$3:$B$202,0)),"")</f>
        <v/>
      </c>
      <c r="E241" s="81">
        <f>IFERROR(INDEX('QS Takeoff'!$E$3:$E$202,MATCH(B241,'QS Takeoff'!$B$3:$B$202,0)),"")</f>
        <v/>
      </c>
      <c r="F241" s="81">
        <f>IFERROR(INDEX('QS Takeoff'!$D$3:$D$202,MATCH(B241,'QS Takeoff'!$B$3:$B$202,0)),"")</f>
        <v/>
      </c>
      <c r="G241" s="81">
        <f>IFERROR(INDEX('QS Takeoff'!$J$3:$J$202,MATCH(B241,'QS Takeoff'!$B$3:$B$202,0)),"")</f>
        <v/>
      </c>
      <c r="H241" s="53" t="n"/>
      <c r="I241" s="60" t="n"/>
      <c r="J241" s="60" t="n"/>
      <c r="K241" s="82">
        <f>IF(OR(B241="",I241="",I241=0),"",E241/I241)</f>
        <v/>
      </c>
      <c r="L241" s="60" t="n"/>
      <c r="M241" s="82">
        <f>IF(L241&gt;0,L241,K241)</f>
        <v/>
      </c>
      <c r="N241" s="53" t="n"/>
      <c r="O241" s="53" t="n"/>
      <c r="P241" s="53" t="n"/>
      <c r="Q241" s="81">
        <f>IFERROR(INDEX('Resource Rate Library'!$C$5:$C$200,MATCH(P241,'Resource Rate Library'!$A$5:$A$200,0)),"")</f>
        <v/>
      </c>
      <c r="R241" s="53" t="n"/>
      <c r="S241" s="53" t="n"/>
      <c r="T241" s="81">
        <f>IFERROR(INDEX('Resource Rate Library'!$E$5:$E$200,MATCH(P241,'Resource Rate Library'!$A$5:$A$200,0)),"")</f>
        <v/>
      </c>
      <c r="U241" s="1441" t="n"/>
      <c r="V241" s="1441" t="n"/>
      <c r="W241" s="1442">
        <f>IFERROR(INDEX('Resource Rate Library'!$I$5:$I$200,MATCH(P241,'Resource Rate Library'!$A$5:$A$200,0)),0)</f>
        <v/>
      </c>
      <c r="X241" s="1443" t="n"/>
      <c r="Y241" s="1442">
        <f>IF(X241&gt;0,X241,W241)</f>
        <v/>
      </c>
      <c r="Z241" s="1442">
        <f>IF(B241="","",IF(N241="Time x Count",M241*R241*IF(U241="",1,U241)*Y241,IF(N241="QS Qty x Factor",E241*R241*(1+IF(V241="",0,V241))*Y241,IF(N241="Direct Qty",S241*(1+IF(V241="",0,V241))*Y241,IF(N241="Lump Sum / Quote",S241*Y241,0)))))</f>
        <v/>
      </c>
      <c r="AA241" s="81">
        <f>IFERROR(INDEX('Resource Rate Library'!$N$5:$N$200,MATCH(P241,'Resource Rate Library'!$A$5:$A$200,0)),"")</f>
        <v/>
      </c>
      <c r="AB241" s="53" t="n"/>
      <c r="AC241" s="59" t="n"/>
      <c r="AD241" s="81">
        <f>IFERROR(INDEX('Resource Rate Library'!$G$5:$G$200,MATCH(P241,'Resource Rate Library'!$A$5:$A$200,0)),"")</f>
        <v/>
      </c>
      <c r="AE241" s="81">
        <f>IFERROR(INDEX('Resource Rate Library'!$H$5:$H$200,MATCH(P241,'Resource Rate Library'!$A$5:$A$200,0)),"")</f>
        <v/>
      </c>
      <c r="AF241" s="53" t="n"/>
      <c r="AG241" s="53" t="n"/>
      <c r="AH241" s="53" t="n"/>
      <c r="AI241" s="81">
        <f>IF(B241="","",IF(AND(P241="",N241&lt;&gt;"Lump Sum / Quote"),"RESOURCE CODE",IF(Y241=0,"RATE MISSING",IF(AND(O241="Plant",AD241="Yes",COUNTIFS($B$7:$B$306,B241,$O$7:$O$306,"Labour",$Q$7:$Q$306,"*Operator*")&gt;0),"OPERATOR DOUBLE-COUNT",IF(AND(O241="Plant",AE241="Yes",COUNTIFS($B$7:$B$306,B241,$Q$7:$Q$306,"*Fuel*")&gt;0),"FUEL DOUBLE-COUNT",IF(AH241&lt;&gt;"Yes","VERIFY","OK"))))))</f>
        <v/>
      </c>
      <c r="AJ241" s="54" t="n"/>
      <c r="AK241" s="473" t="n"/>
      <c r="AL241" s="473" t="n"/>
      <c r="AM241" s="473" t="n"/>
      <c r="AN241" s="1444">
        <f>IF(AND(AK241="Yes",OR(O241="Labour",O241="Plant")),Z241,0)</f>
        <v/>
      </c>
    </row>
    <row r="242">
      <c r="A242" s="80">
        <f>IF(B242="","",B242&amp;"-"&amp;TEXT(COUNTIF($B$7:B242,B242),"000"))</f>
        <v/>
      </c>
      <c r="B242" s="53" t="n"/>
      <c r="C242" s="81">
        <f>IFERROR(INDEX('QS Takeoff'!$A$3:$A$202,MATCH(B242,'QS Takeoff'!$B$3:$B$202,0)),"")</f>
        <v/>
      </c>
      <c r="D242" s="81">
        <f>IFERROR(INDEX('QS Takeoff'!$C$3:$C$202,MATCH(B242,'QS Takeoff'!$B$3:$B$202,0)),"")</f>
        <v/>
      </c>
      <c r="E242" s="81">
        <f>IFERROR(INDEX('QS Takeoff'!$E$3:$E$202,MATCH(B242,'QS Takeoff'!$B$3:$B$202,0)),"")</f>
        <v/>
      </c>
      <c r="F242" s="81">
        <f>IFERROR(INDEX('QS Takeoff'!$D$3:$D$202,MATCH(B242,'QS Takeoff'!$B$3:$B$202,0)),"")</f>
        <v/>
      </c>
      <c r="G242" s="81">
        <f>IFERROR(INDEX('QS Takeoff'!$J$3:$J$202,MATCH(B242,'QS Takeoff'!$B$3:$B$202,0)),"")</f>
        <v/>
      </c>
      <c r="H242" s="53" t="n"/>
      <c r="I242" s="60" t="n"/>
      <c r="J242" s="60" t="n"/>
      <c r="K242" s="82">
        <f>IF(OR(B242="",I242="",I242=0),"",E242/I242)</f>
        <v/>
      </c>
      <c r="L242" s="60" t="n"/>
      <c r="M242" s="82">
        <f>IF(L242&gt;0,L242,K242)</f>
        <v/>
      </c>
      <c r="N242" s="53" t="n"/>
      <c r="O242" s="53" t="n"/>
      <c r="P242" s="53" t="n"/>
      <c r="Q242" s="81">
        <f>IFERROR(INDEX('Resource Rate Library'!$C$5:$C$200,MATCH(P242,'Resource Rate Library'!$A$5:$A$200,0)),"")</f>
        <v/>
      </c>
      <c r="R242" s="53" t="n"/>
      <c r="S242" s="53" t="n"/>
      <c r="T242" s="81">
        <f>IFERROR(INDEX('Resource Rate Library'!$E$5:$E$200,MATCH(P242,'Resource Rate Library'!$A$5:$A$200,0)),"")</f>
        <v/>
      </c>
      <c r="U242" s="1441" t="n"/>
      <c r="V242" s="1441" t="n"/>
      <c r="W242" s="1442">
        <f>IFERROR(INDEX('Resource Rate Library'!$I$5:$I$200,MATCH(P242,'Resource Rate Library'!$A$5:$A$200,0)),0)</f>
        <v/>
      </c>
      <c r="X242" s="1443" t="n"/>
      <c r="Y242" s="1442">
        <f>IF(X242&gt;0,X242,W242)</f>
        <v/>
      </c>
      <c r="Z242" s="1442">
        <f>IF(B242="","",IF(N242="Time x Count",M242*R242*IF(U242="",1,U242)*Y242,IF(N242="QS Qty x Factor",E242*R242*(1+IF(V242="",0,V242))*Y242,IF(N242="Direct Qty",S242*(1+IF(V242="",0,V242))*Y242,IF(N242="Lump Sum / Quote",S242*Y242,0)))))</f>
        <v/>
      </c>
      <c r="AA242" s="81">
        <f>IFERROR(INDEX('Resource Rate Library'!$N$5:$N$200,MATCH(P242,'Resource Rate Library'!$A$5:$A$200,0)),"")</f>
        <v/>
      </c>
      <c r="AB242" s="53" t="n"/>
      <c r="AC242" s="59" t="n"/>
      <c r="AD242" s="81">
        <f>IFERROR(INDEX('Resource Rate Library'!$G$5:$G$200,MATCH(P242,'Resource Rate Library'!$A$5:$A$200,0)),"")</f>
        <v/>
      </c>
      <c r="AE242" s="81">
        <f>IFERROR(INDEX('Resource Rate Library'!$H$5:$H$200,MATCH(P242,'Resource Rate Library'!$A$5:$A$200,0)),"")</f>
        <v/>
      </c>
      <c r="AF242" s="53" t="n"/>
      <c r="AG242" s="53" t="n"/>
      <c r="AH242" s="53" t="n"/>
      <c r="AI242" s="81">
        <f>IF(B242="","",IF(AND(P242="",N242&lt;&gt;"Lump Sum / Quote"),"RESOURCE CODE",IF(Y242=0,"RATE MISSING",IF(AND(O242="Plant",AD242="Yes",COUNTIFS($B$7:$B$306,B242,$O$7:$O$306,"Labour",$Q$7:$Q$306,"*Operator*")&gt;0),"OPERATOR DOUBLE-COUNT",IF(AND(O242="Plant",AE242="Yes",COUNTIFS($B$7:$B$306,B242,$Q$7:$Q$306,"*Fuel*")&gt;0),"FUEL DOUBLE-COUNT",IF(AH242&lt;&gt;"Yes","VERIFY","OK"))))))</f>
        <v/>
      </c>
      <c r="AJ242" s="54" t="n"/>
      <c r="AK242" s="473" t="n"/>
      <c r="AL242" s="473" t="n"/>
      <c r="AM242" s="473" t="n"/>
      <c r="AN242" s="1444">
        <f>IF(AND(AK242="Yes",OR(O242="Labour",O242="Plant")),Z242,0)</f>
        <v/>
      </c>
    </row>
    <row r="243">
      <c r="A243" s="80">
        <f>IF(B243="","",B243&amp;"-"&amp;TEXT(COUNTIF($B$7:B243,B243),"000"))</f>
        <v/>
      </c>
      <c r="B243" s="53" t="n"/>
      <c r="C243" s="81">
        <f>IFERROR(INDEX('QS Takeoff'!$A$3:$A$202,MATCH(B243,'QS Takeoff'!$B$3:$B$202,0)),"")</f>
        <v/>
      </c>
      <c r="D243" s="81">
        <f>IFERROR(INDEX('QS Takeoff'!$C$3:$C$202,MATCH(B243,'QS Takeoff'!$B$3:$B$202,0)),"")</f>
        <v/>
      </c>
      <c r="E243" s="81">
        <f>IFERROR(INDEX('QS Takeoff'!$E$3:$E$202,MATCH(B243,'QS Takeoff'!$B$3:$B$202,0)),"")</f>
        <v/>
      </c>
      <c r="F243" s="81">
        <f>IFERROR(INDEX('QS Takeoff'!$D$3:$D$202,MATCH(B243,'QS Takeoff'!$B$3:$B$202,0)),"")</f>
        <v/>
      </c>
      <c r="G243" s="81">
        <f>IFERROR(INDEX('QS Takeoff'!$J$3:$J$202,MATCH(B243,'QS Takeoff'!$B$3:$B$202,0)),"")</f>
        <v/>
      </c>
      <c r="H243" s="53" t="n"/>
      <c r="I243" s="60" t="n"/>
      <c r="J243" s="60" t="n"/>
      <c r="K243" s="82">
        <f>IF(OR(B243="",I243="",I243=0),"",E243/I243)</f>
        <v/>
      </c>
      <c r="L243" s="60" t="n"/>
      <c r="M243" s="82">
        <f>IF(L243&gt;0,L243,K243)</f>
        <v/>
      </c>
      <c r="N243" s="53" t="n"/>
      <c r="O243" s="53" t="n"/>
      <c r="P243" s="53" t="n"/>
      <c r="Q243" s="81">
        <f>IFERROR(INDEX('Resource Rate Library'!$C$5:$C$200,MATCH(P243,'Resource Rate Library'!$A$5:$A$200,0)),"")</f>
        <v/>
      </c>
      <c r="R243" s="53" t="n"/>
      <c r="S243" s="53" t="n"/>
      <c r="T243" s="81">
        <f>IFERROR(INDEX('Resource Rate Library'!$E$5:$E$200,MATCH(P243,'Resource Rate Library'!$A$5:$A$200,0)),"")</f>
        <v/>
      </c>
      <c r="U243" s="1441" t="n"/>
      <c r="V243" s="1441" t="n"/>
      <c r="W243" s="1442">
        <f>IFERROR(INDEX('Resource Rate Library'!$I$5:$I$200,MATCH(P243,'Resource Rate Library'!$A$5:$A$200,0)),0)</f>
        <v/>
      </c>
      <c r="X243" s="1443" t="n"/>
      <c r="Y243" s="1442">
        <f>IF(X243&gt;0,X243,W243)</f>
        <v/>
      </c>
      <c r="Z243" s="1442">
        <f>IF(B243="","",IF(N243="Time x Count",M243*R243*IF(U243="",1,U243)*Y243,IF(N243="QS Qty x Factor",E243*R243*(1+IF(V243="",0,V243))*Y243,IF(N243="Direct Qty",S243*(1+IF(V243="",0,V243))*Y243,IF(N243="Lump Sum / Quote",S243*Y243,0)))))</f>
        <v/>
      </c>
      <c r="AA243" s="81">
        <f>IFERROR(INDEX('Resource Rate Library'!$N$5:$N$200,MATCH(P243,'Resource Rate Library'!$A$5:$A$200,0)),"")</f>
        <v/>
      </c>
      <c r="AB243" s="53" t="n"/>
      <c r="AC243" s="59" t="n"/>
      <c r="AD243" s="81">
        <f>IFERROR(INDEX('Resource Rate Library'!$G$5:$G$200,MATCH(P243,'Resource Rate Library'!$A$5:$A$200,0)),"")</f>
        <v/>
      </c>
      <c r="AE243" s="81">
        <f>IFERROR(INDEX('Resource Rate Library'!$H$5:$H$200,MATCH(P243,'Resource Rate Library'!$A$5:$A$200,0)),"")</f>
        <v/>
      </c>
      <c r="AF243" s="53" t="n"/>
      <c r="AG243" s="53" t="n"/>
      <c r="AH243" s="53" t="n"/>
      <c r="AI243" s="81">
        <f>IF(B243="","",IF(AND(P243="",N243&lt;&gt;"Lump Sum / Quote"),"RESOURCE CODE",IF(Y243=0,"RATE MISSING",IF(AND(O243="Plant",AD243="Yes",COUNTIFS($B$7:$B$306,B243,$O$7:$O$306,"Labour",$Q$7:$Q$306,"*Operator*")&gt;0),"OPERATOR DOUBLE-COUNT",IF(AND(O243="Plant",AE243="Yes",COUNTIFS($B$7:$B$306,B243,$Q$7:$Q$306,"*Fuel*")&gt;0),"FUEL DOUBLE-COUNT",IF(AH243&lt;&gt;"Yes","VERIFY","OK"))))))</f>
        <v/>
      </c>
      <c r="AJ243" s="54" t="n"/>
      <c r="AK243" s="473" t="n"/>
      <c r="AL243" s="473" t="n"/>
      <c r="AM243" s="473" t="n"/>
      <c r="AN243" s="1444">
        <f>IF(AND(AK243="Yes",OR(O243="Labour",O243="Plant")),Z243,0)</f>
        <v/>
      </c>
    </row>
    <row r="244">
      <c r="A244" s="80">
        <f>IF(B244="","",B244&amp;"-"&amp;TEXT(COUNTIF($B$7:B244,B244),"000"))</f>
        <v/>
      </c>
      <c r="B244" s="53" t="n"/>
      <c r="C244" s="81">
        <f>IFERROR(INDEX('QS Takeoff'!$A$3:$A$202,MATCH(B244,'QS Takeoff'!$B$3:$B$202,0)),"")</f>
        <v/>
      </c>
      <c r="D244" s="81">
        <f>IFERROR(INDEX('QS Takeoff'!$C$3:$C$202,MATCH(B244,'QS Takeoff'!$B$3:$B$202,0)),"")</f>
        <v/>
      </c>
      <c r="E244" s="81">
        <f>IFERROR(INDEX('QS Takeoff'!$E$3:$E$202,MATCH(B244,'QS Takeoff'!$B$3:$B$202,0)),"")</f>
        <v/>
      </c>
      <c r="F244" s="81">
        <f>IFERROR(INDEX('QS Takeoff'!$D$3:$D$202,MATCH(B244,'QS Takeoff'!$B$3:$B$202,0)),"")</f>
        <v/>
      </c>
      <c r="G244" s="81">
        <f>IFERROR(INDEX('QS Takeoff'!$J$3:$J$202,MATCH(B244,'QS Takeoff'!$B$3:$B$202,0)),"")</f>
        <v/>
      </c>
      <c r="H244" s="53" t="n"/>
      <c r="I244" s="60" t="n"/>
      <c r="J244" s="60" t="n"/>
      <c r="K244" s="82">
        <f>IF(OR(B244="",I244="",I244=0),"",E244/I244)</f>
        <v/>
      </c>
      <c r="L244" s="60" t="n"/>
      <c r="M244" s="82">
        <f>IF(L244&gt;0,L244,K244)</f>
        <v/>
      </c>
      <c r="N244" s="53" t="n"/>
      <c r="O244" s="53" t="n"/>
      <c r="P244" s="53" t="n"/>
      <c r="Q244" s="81">
        <f>IFERROR(INDEX('Resource Rate Library'!$C$5:$C$200,MATCH(P244,'Resource Rate Library'!$A$5:$A$200,0)),"")</f>
        <v/>
      </c>
      <c r="R244" s="53" t="n"/>
      <c r="S244" s="53" t="n"/>
      <c r="T244" s="81">
        <f>IFERROR(INDEX('Resource Rate Library'!$E$5:$E$200,MATCH(P244,'Resource Rate Library'!$A$5:$A$200,0)),"")</f>
        <v/>
      </c>
      <c r="U244" s="1441" t="n"/>
      <c r="V244" s="1441" t="n"/>
      <c r="W244" s="1442">
        <f>IFERROR(INDEX('Resource Rate Library'!$I$5:$I$200,MATCH(P244,'Resource Rate Library'!$A$5:$A$200,0)),0)</f>
        <v/>
      </c>
      <c r="X244" s="1443" t="n"/>
      <c r="Y244" s="1442">
        <f>IF(X244&gt;0,X244,W244)</f>
        <v/>
      </c>
      <c r="Z244" s="1442">
        <f>IF(B244="","",IF(N244="Time x Count",M244*R244*IF(U244="",1,U244)*Y244,IF(N244="QS Qty x Factor",E244*R244*(1+IF(V244="",0,V244))*Y244,IF(N244="Direct Qty",S244*(1+IF(V244="",0,V244))*Y244,IF(N244="Lump Sum / Quote",S244*Y244,0)))))</f>
        <v/>
      </c>
      <c r="AA244" s="81">
        <f>IFERROR(INDEX('Resource Rate Library'!$N$5:$N$200,MATCH(P244,'Resource Rate Library'!$A$5:$A$200,0)),"")</f>
        <v/>
      </c>
      <c r="AB244" s="53" t="n"/>
      <c r="AC244" s="59" t="n"/>
      <c r="AD244" s="81">
        <f>IFERROR(INDEX('Resource Rate Library'!$G$5:$G$200,MATCH(P244,'Resource Rate Library'!$A$5:$A$200,0)),"")</f>
        <v/>
      </c>
      <c r="AE244" s="81">
        <f>IFERROR(INDEX('Resource Rate Library'!$H$5:$H$200,MATCH(P244,'Resource Rate Library'!$A$5:$A$200,0)),"")</f>
        <v/>
      </c>
      <c r="AF244" s="53" t="n"/>
      <c r="AG244" s="53" t="n"/>
      <c r="AH244" s="53" t="n"/>
      <c r="AI244" s="81">
        <f>IF(B244="","",IF(AND(P244="",N244&lt;&gt;"Lump Sum / Quote"),"RESOURCE CODE",IF(Y244=0,"RATE MISSING",IF(AND(O244="Plant",AD244="Yes",COUNTIFS($B$7:$B$306,B244,$O$7:$O$306,"Labour",$Q$7:$Q$306,"*Operator*")&gt;0),"OPERATOR DOUBLE-COUNT",IF(AND(O244="Plant",AE244="Yes",COUNTIFS($B$7:$B$306,B244,$Q$7:$Q$306,"*Fuel*")&gt;0),"FUEL DOUBLE-COUNT",IF(AH244&lt;&gt;"Yes","VERIFY","OK"))))))</f>
        <v/>
      </c>
      <c r="AJ244" s="54" t="n"/>
      <c r="AK244" s="473" t="n"/>
      <c r="AL244" s="473" t="n"/>
      <c r="AM244" s="473" t="n"/>
      <c r="AN244" s="1444">
        <f>IF(AND(AK244="Yes",OR(O244="Labour",O244="Plant")),Z244,0)</f>
        <v/>
      </c>
    </row>
    <row r="245">
      <c r="A245" s="80">
        <f>IF(B245="","",B245&amp;"-"&amp;TEXT(COUNTIF($B$7:B245,B245),"000"))</f>
        <v/>
      </c>
      <c r="B245" s="53" t="n"/>
      <c r="C245" s="81">
        <f>IFERROR(INDEX('QS Takeoff'!$A$3:$A$202,MATCH(B245,'QS Takeoff'!$B$3:$B$202,0)),"")</f>
        <v/>
      </c>
      <c r="D245" s="81">
        <f>IFERROR(INDEX('QS Takeoff'!$C$3:$C$202,MATCH(B245,'QS Takeoff'!$B$3:$B$202,0)),"")</f>
        <v/>
      </c>
      <c r="E245" s="81">
        <f>IFERROR(INDEX('QS Takeoff'!$E$3:$E$202,MATCH(B245,'QS Takeoff'!$B$3:$B$202,0)),"")</f>
        <v/>
      </c>
      <c r="F245" s="81">
        <f>IFERROR(INDEX('QS Takeoff'!$D$3:$D$202,MATCH(B245,'QS Takeoff'!$B$3:$B$202,0)),"")</f>
        <v/>
      </c>
      <c r="G245" s="81">
        <f>IFERROR(INDEX('QS Takeoff'!$J$3:$J$202,MATCH(B245,'QS Takeoff'!$B$3:$B$202,0)),"")</f>
        <v/>
      </c>
      <c r="H245" s="53" t="n"/>
      <c r="I245" s="60" t="n"/>
      <c r="J245" s="60" t="n"/>
      <c r="K245" s="82">
        <f>IF(OR(B245="",I245="",I245=0),"",E245/I245)</f>
        <v/>
      </c>
      <c r="L245" s="60" t="n"/>
      <c r="M245" s="82">
        <f>IF(L245&gt;0,L245,K245)</f>
        <v/>
      </c>
      <c r="N245" s="53" t="n"/>
      <c r="O245" s="53" t="n"/>
      <c r="P245" s="53" t="n"/>
      <c r="Q245" s="81">
        <f>IFERROR(INDEX('Resource Rate Library'!$C$5:$C$200,MATCH(P245,'Resource Rate Library'!$A$5:$A$200,0)),"")</f>
        <v/>
      </c>
      <c r="R245" s="53" t="n"/>
      <c r="S245" s="53" t="n"/>
      <c r="T245" s="81">
        <f>IFERROR(INDEX('Resource Rate Library'!$E$5:$E$200,MATCH(P245,'Resource Rate Library'!$A$5:$A$200,0)),"")</f>
        <v/>
      </c>
      <c r="U245" s="1441" t="n"/>
      <c r="V245" s="1441" t="n"/>
      <c r="W245" s="1442">
        <f>IFERROR(INDEX('Resource Rate Library'!$I$5:$I$200,MATCH(P245,'Resource Rate Library'!$A$5:$A$200,0)),0)</f>
        <v/>
      </c>
      <c r="X245" s="1443" t="n"/>
      <c r="Y245" s="1442">
        <f>IF(X245&gt;0,X245,W245)</f>
        <v/>
      </c>
      <c r="Z245" s="1442">
        <f>IF(B245="","",IF(N245="Time x Count",M245*R245*IF(U245="",1,U245)*Y245,IF(N245="QS Qty x Factor",E245*R245*(1+IF(V245="",0,V245))*Y245,IF(N245="Direct Qty",S245*(1+IF(V245="",0,V245))*Y245,IF(N245="Lump Sum / Quote",S245*Y245,0)))))</f>
        <v/>
      </c>
      <c r="AA245" s="81">
        <f>IFERROR(INDEX('Resource Rate Library'!$N$5:$N$200,MATCH(P245,'Resource Rate Library'!$A$5:$A$200,0)),"")</f>
        <v/>
      </c>
      <c r="AB245" s="53" t="n"/>
      <c r="AC245" s="59" t="n"/>
      <c r="AD245" s="81">
        <f>IFERROR(INDEX('Resource Rate Library'!$G$5:$G$200,MATCH(P245,'Resource Rate Library'!$A$5:$A$200,0)),"")</f>
        <v/>
      </c>
      <c r="AE245" s="81">
        <f>IFERROR(INDEX('Resource Rate Library'!$H$5:$H$200,MATCH(P245,'Resource Rate Library'!$A$5:$A$200,0)),"")</f>
        <v/>
      </c>
      <c r="AF245" s="53" t="n"/>
      <c r="AG245" s="53" t="n"/>
      <c r="AH245" s="53" t="n"/>
      <c r="AI245" s="81">
        <f>IF(B245="","",IF(AND(P245="",N245&lt;&gt;"Lump Sum / Quote"),"RESOURCE CODE",IF(Y245=0,"RATE MISSING",IF(AND(O245="Plant",AD245="Yes",COUNTIFS($B$7:$B$306,B245,$O$7:$O$306,"Labour",$Q$7:$Q$306,"*Operator*")&gt;0),"OPERATOR DOUBLE-COUNT",IF(AND(O245="Plant",AE245="Yes",COUNTIFS($B$7:$B$306,B245,$Q$7:$Q$306,"*Fuel*")&gt;0),"FUEL DOUBLE-COUNT",IF(AH245&lt;&gt;"Yes","VERIFY","OK"))))))</f>
        <v/>
      </c>
      <c r="AJ245" s="54" t="n"/>
      <c r="AK245" s="473" t="n"/>
      <c r="AL245" s="473" t="n"/>
      <c r="AM245" s="473" t="n"/>
      <c r="AN245" s="1444">
        <f>IF(AND(AK245="Yes",OR(O245="Labour",O245="Plant")),Z245,0)</f>
        <v/>
      </c>
    </row>
    <row r="246">
      <c r="A246" s="80">
        <f>IF(B246="","",B246&amp;"-"&amp;TEXT(COUNTIF($B$7:B246,B246),"000"))</f>
        <v/>
      </c>
      <c r="B246" s="53" t="n"/>
      <c r="C246" s="81">
        <f>IFERROR(INDEX('QS Takeoff'!$A$3:$A$202,MATCH(B246,'QS Takeoff'!$B$3:$B$202,0)),"")</f>
        <v/>
      </c>
      <c r="D246" s="81">
        <f>IFERROR(INDEX('QS Takeoff'!$C$3:$C$202,MATCH(B246,'QS Takeoff'!$B$3:$B$202,0)),"")</f>
        <v/>
      </c>
      <c r="E246" s="81">
        <f>IFERROR(INDEX('QS Takeoff'!$E$3:$E$202,MATCH(B246,'QS Takeoff'!$B$3:$B$202,0)),"")</f>
        <v/>
      </c>
      <c r="F246" s="81">
        <f>IFERROR(INDEX('QS Takeoff'!$D$3:$D$202,MATCH(B246,'QS Takeoff'!$B$3:$B$202,0)),"")</f>
        <v/>
      </c>
      <c r="G246" s="81">
        <f>IFERROR(INDEX('QS Takeoff'!$J$3:$J$202,MATCH(B246,'QS Takeoff'!$B$3:$B$202,0)),"")</f>
        <v/>
      </c>
      <c r="H246" s="53" t="n"/>
      <c r="I246" s="60" t="n"/>
      <c r="J246" s="60" t="n"/>
      <c r="K246" s="82">
        <f>IF(OR(B246="",I246="",I246=0),"",E246/I246)</f>
        <v/>
      </c>
      <c r="L246" s="60" t="n"/>
      <c r="M246" s="82">
        <f>IF(L246&gt;0,L246,K246)</f>
        <v/>
      </c>
      <c r="N246" s="53" t="n"/>
      <c r="O246" s="53" t="n"/>
      <c r="P246" s="53" t="n"/>
      <c r="Q246" s="81">
        <f>IFERROR(INDEX('Resource Rate Library'!$C$5:$C$200,MATCH(P246,'Resource Rate Library'!$A$5:$A$200,0)),"")</f>
        <v/>
      </c>
      <c r="R246" s="53" t="n"/>
      <c r="S246" s="53" t="n"/>
      <c r="T246" s="81">
        <f>IFERROR(INDEX('Resource Rate Library'!$E$5:$E$200,MATCH(P246,'Resource Rate Library'!$A$5:$A$200,0)),"")</f>
        <v/>
      </c>
      <c r="U246" s="1441" t="n"/>
      <c r="V246" s="1441" t="n"/>
      <c r="W246" s="1442">
        <f>IFERROR(INDEX('Resource Rate Library'!$I$5:$I$200,MATCH(P246,'Resource Rate Library'!$A$5:$A$200,0)),0)</f>
        <v/>
      </c>
      <c r="X246" s="1443" t="n"/>
      <c r="Y246" s="1442">
        <f>IF(X246&gt;0,X246,W246)</f>
        <v/>
      </c>
      <c r="Z246" s="1442">
        <f>IF(B246="","",IF(N246="Time x Count",M246*R246*IF(U246="",1,U246)*Y246,IF(N246="QS Qty x Factor",E246*R246*(1+IF(V246="",0,V246))*Y246,IF(N246="Direct Qty",S246*(1+IF(V246="",0,V246))*Y246,IF(N246="Lump Sum / Quote",S246*Y246,0)))))</f>
        <v/>
      </c>
      <c r="AA246" s="81">
        <f>IFERROR(INDEX('Resource Rate Library'!$N$5:$N$200,MATCH(P246,'Resource Rate Library'!$A$5:$A$200,0)),"")</f>
        <v/>
      </c>
      <c r="AB246" s="53" t="n"/>
      <c r="AC246" s="59" t="n"/>
      <c r="AD246" s="81">
        <f>IFERROR(INDEX('Resource Rate Library'!$G$5:$G$200,MATCH(P246,'Resource Rate Library'!$A$5:$A$200,0)),"")</f>
        <v/>
      </c>
      <c r="AE246" s="81">
        <f>IFERROR(INDEX('Resource Rate Library'!$H$5:$H$200,MATCH(P246,'Resource Rate Library'!$A$5:$A$200,0)),"")</f>
        <v/>
      </c>
      <c r="AF246" s="53" t="n"/>
      <c r="AG246" s="53" t="n"/>
      <c r="AH246" s="53" t="n"/>
      <c r="AI246" s="81">
        <f>IF(B246="","",IF(AND(P246="",N246&lt;&gt;"Lump Sum / Quote"),"RESOURCE CODE",IF(Y246=0,"RATE MISSING",IF(AND(O246="Plant",AD246="Yes",COUNTIFS($B$7:$B$306,B246,$O$7:$O$306,"Labour",$Q$7:$Q$306,"*Operator*")&gt;0),"OPERATOR DOUBLE-COUNT",IF(AND(O246="Plant",AE246="Yes",COUNTIFS($B$7:$B$306,B246,$Q$7:$Q$306,"*Fuel*")&gt;0),"FUEL DOUBLE-COUNT",IF(AH246&lt;&gt;"Yes","VERIFY","OK"))))))</f>
        <v/>
      </c>
      <c r="AJ246" s="54" t="n"/>
      <c r="AK246" s="473" t="n"/>
      <c r="AL246" s="473" t="n"/>
      <c r="AM246" s="473" t="n"/>
      <c r="AN246" s="1444">
        <f>IF(AND(AK246="Yes",OR(O246="Labour",O246="Plant")),Z246,0)</f>
        <v/>
      </c>
    </row>
    <row r="247">
      <c r="A247" s="80">
        <f>IF(B247="","",B247&amp;"-"&amp;TEXT(COUNTIF($B$7:B247,B247),"000"))</f>
        <v/>
      </c>
      <c r="B247" s="53" t="n"/>
      <c r="C247" s="81">
        <f>IFERROR(INDEX('QS Takeoff'!$A$3:$A$202,MATCH(B247,'QS Takeoff'!$B$3:$B$202,0)),"")</f>
        <v/>
      </c>
      <c r="D247" s="81">
        <f>IFERROR(INDEX('QS Takeoff'!$C$3:$C$202,MATCH(B247,'QS Takeoff'!$B$3:$B$202,0)),"")</f>
        <v/>
      </c>
      <c r="E247" s="81">
        <f>IFERROR(INDEX('QS Takeoff'!$E$3:$E$202,MATCH(B247,'QS Takeoff'!$B$3:$B$202,0)),"")</f>
        <v/>
      </c>
      <c r="F247" s="81">
        <f>IFERROR(INDEX('QS Takeoff'!$D$3:$D$202,MATCH(B247,'QS Takeoff'!$B$3:$B$202,0)),"")</f>
        <v/>
      </c>
      <c r="G247" s="81">
        <f>IFERROR(INDEX('QS Takeoff'!$J$3:$J$202,MATCH(B247,'QS Takeoff'!$B$3:$B$202,0)),"")</f>
        <v/>
      </c>
      <c r="H247" s="53" t="n"/>
      <c r="I247" s="60" t="n"/>
      <c r="J247" s="60" t="n"/>
      <c r="K247" s="82">
        <f>IF(OR(B247="",I247="",I247=0),"",E247/I247)</f>
        <v/>
      </c>
      <c r="L247" s="60" t="n"/>
      <c r="M247" s="82">
        <f>IF(L247&gt;0,L247,K247)</f>
        <v/>
      </c>
      <c r="N247" s="53" t="n"/>
      <c r="O247" s="53" t="n"/>
      <c r="P247" s="53" t="n"/>
      <c r="Q247" s="81">
        <f>IFERROR(INDEX('Resource Rate Library'!$C$5:$C$200,MATCH(P247,'Resource Rate Library'!$A$5:$A$200,0)),"")</f>
        <v/>
      </c>
      <c r="R247" s="53" t="n"/>
      <c r="S247" s="53" t="n"/>
      <c r="T247" s="81">
        <f>IFERROR(INDEX('Resource Rate Library'!$E$5:$E$200,MATCH(P247,'Resource Rate Library'!$A$5:$A$200,0)),"")</f>
        <v/>
      </c>
      <c r="U247" s="1441" t="n"/>
      <c r="V247" s="1441" t="n"/>
      <c r="W247" s="1442">
        <f>IFERROR(INDEX('Resource Rate Library'!$I$5:$I$200,MATCH(P247,'Resource Rate Library'!$A$5:$A$200,0)),0)</f>
        <v/>
      </c>
      <c r="X247" s="1443" t="n"/>
      <c r="Y247" s="1442">
        <f>IF(X247&gt;0,X247,W247)</f>
        <v/>
      </c>
      <c r="Z247" s="1442">
        <f>IF(B247="","",IF(N247="Time x Count",M247*R247*IF(U247="",1,U247)*Y247,IF(N247="QS Qty x Factor",E247*R247*(1+IF(V247="",0,V247))*Y247,IF(N247="Direct Qty",S247*(1+IF(V247="",0,V247))*Y247,IF(N247="Lump Sum / Quote",S247*Y247,0)))))</f>
        <v/>
      </c>
      <c r="AA247" s="81">
        <f>IFERROR(INDEX('Resource Rate Library'!$N$5:$N$200,MATCH(P247,'Resource Rate Library'!$A$5:$A$200,0)),"")</f>
        <v/>
      </c>
      <c r="AB247" s="53" t="n"/>
      <c r="AC247" s="59" t="n"/>
      <c r="AD247" s="81">
        <f>IFERROR(INDEX('Resource Rate Library'!$G$5:$G$200,MATCH(P247,'Resource Rate Library'!$A$5:$A$200,0)),"")</f>
        <v/>
      </c>
      <c r="AE247" s="81">
        <f>IFERROR(INDEX('Resource Rate Library'!$H$5:$H$200,MATCH(P247,'Resource Rate Library'!$A$5:$A$200,0)),"")</f>
        <v/>
      </c>
      <c r="AF247" s="53" t="n"/>
      <c r="AG247" s="53" t="n"/>
      <c r="AH247" s="53" t="n"/>
      <c r="AI247" s="81">
        <f>IF(B247="","",IF(AND(P247="",N247&lt;&gt;"Lump Sum / Quote"),"RESOURCE CODE",IF(Y247=0,"RATE MISSING",IF(AND(O247="Plant",AD247="Yes",COUNTIFS($B$7:$B$306,B247,$O$7:$O$306,"Labour",$Q$7:$Q$306,"*Operator*")&gt;0),"OPERATOR DOUBLE-COUNT",IF(AND(O247="Plant",AE247="Yes",COUNTIFS($B$7:$B$306,B247,$Q$7:$Q$306,"*Fuel*")&gt;0),"FUEL DOUBLE-COUNT",IF(AH247&lt;&gt;"Yes","VERIFY","OK"))))))</f>
        <v/>
      </c>
      <c r="AJ247" s="54" t="n"/>
      <c r="AK247" s="473" t="n"/>
      <c r="AL247" s="473" t="n"/>
      <c r="AM247" s="473" t="n"/>
      <c r="AN247" s="1444">
        <f>IF(AND(AK247="Yes",OR(O247="Labour",O247="Plant")),Z247,0)</f>
        <v/>
      </c>
    </row>
    <row r="248">
      <c r="A248" s="80">
        <f>IF(B248="","",B248&amp;"-"&amp;TEXT(COUNTIF($B$7:B248,B248),"000"))</f>
        <v/>
      </c>
      <c r="B248" s="53" t="n"/>
      <c r="C248" s="81">
        <f>IFERROR(INDEX('QS Takeoff'!$A$3:$A$202,MATCH(B248,'QS Takeoff'!$B$3:$B$202,0)),"")</f>
        <v/>
      </c>
      <c r="D248" s="81">
        <f>IFERROR(INDEX('QS Takeoff'!$C$3:$C$202,MATCH(B248,'QS Takeoff'!$B$3:$B$202,0)),"")</f>
        <v/>
      </c>
      <c r="E248" s="81">
        <f>IFERROR(INDEX('QS Takeoff'!$E$3:$E$202,MATCH(B248,'QS Takeoff'!$B$3:$B$202,0)),"")</f>
        <v/>
      </c>
      <c r="F248" s="81">
        <f>IFERROR(INDEX('QS Takeoff'!$D$3:$D$202,MATCH(B248,'QS Takeoff'!$B$3:$B$202,0)),"")</f>
        <v/>
      </c>
      <c r="G248" s="81">
        <f>IFERROR(INDEX('QS Takeoff'!$J$3:$J$202,MATCH(B248,'QS Takeoff'!$B$3:$B$202,0)),"")</f>
        <v/>
      </c>
      <c r="H248" s="53" t="n"/>
      <c r="I248" s="60" t="n"/>
      <c r="J248" s="60" t="n"/>
      <c r="K248" s="82">
        <f>IF(OR(B248="",I248="",I248=0),"",E248/I248)</f>
        <v/>
      </c>
      <c r="L248" s="60" t="n"/>
      <c r="M248" s="82">
        <f>IF(L248&gt;0,L248,K248)</f>
        <v/>
      </c>
      <c r="N248" s="53" t="n"/>
      <c r="O248" s="53" t="n"/>
      <c r="P248" s="53" t="n"/>
      <c r="Q248" s="81">
        <f>IFERROR(INDEX('Resource Rate Library'!$C$5:$C$200,MATCH(P248,'Resource Rate Library'!$A$5:$A$200,0)),"")</f>
        <v/>
      </c>
      <c r="R248" s="53" t="n"/>
      <c r="S248" s="53" t="n"/>
      <c r="T248" s="81">
        <f>IFERROR(INDEX('Resource Rate Library'!$E$5:$E$200,MATCH(P248,'Resource Rate Library'!$A$5:$A$200,0)),"")</f>
        <v/>
      </c>
      <c r="U248" s="1441" t="n"/>
      <c r="V248" s="1441" t="n"/>
      <c r="W248" s="1442">
        <f>IFERROR(INDEX('Resource Rate Library'!$I$5:$I$200,MATCH(P248,'Resource Rate Library'!$A$5:$A$200,0)),0)</f>
        <v/>
      </c>
      <c r="X248" s="1443" t="n"/>
      <c r="Y248" s="1442">
        <f>IF(X248&gt;0,X248,W248)</f>
        <v/>
      </c>
      <c r="Z248" s="1442">
        <f>IF(B248="","",IF(N248="Time x Count",M248*R248*IF(U248="",1,U248)*Y248,IF(N248="QS Qty x Factor",E248*R248*(1+IF(V248="",0,V248))*Y248,IF(N248="Direct Qty",S248*(1+IF(V248="",0,V248))*Y248,IF(N248="Lump Sum / Quote",S248*Y248,0)))))</f>
        <v/>
      </c>
      <c r="AA248" s="81">
        <f>IFERROR(INDEX('Resource Rate Library'!$N$5:$N$200,MATCH(P248,'Resource Rate Library'!$A$5:$A$200,0)),"")</f>
        <v/>
      </c>
      <c r="AB248" s="53" t="n"/>
      <c r="AC248" s="59" t="n"/>
      <c r="AD248" s="81">
        <f>IFERROR(INDEX('Resource Rate Library'!$G$5:$G$200,MATCH(P248,'Resource Rate Library'!$A$5:$A$200,0)),"")</f>
        <v/>
      </c>
      <c r="AE248" s="81">
        <f>IFERROR(INDEX('Resource Rate Library'!$H$5:$H$200,MATCH(P248,'Resource Rate Library'!$A$5:$A$200,0)),"")</f>
        <v/>
      </c>
      <c r="AF248" s="53" t="n"/>
      <c r="AG248" s="53" t="n"/>
      <c r="AH248" s="53" t="n"/>
      <c r="AI248" s="81">
        <f>IF(B248="","",IF(AND(P248="",N248&lt;&gt;"Lump Sum / Quote"),"RESOURCE CODE",IF(Y248=0,"RATE MISSING",IF(AND(O248="Plant",AD248="Yes",COUNTIFS($B$7:$B$306,B248,$O$7:$O$306,"Labour",$Q$7:$Q$306,"*Operator*")&gt;0),"OPERATOR DOUBLE-COUNT",IF(AND(O248="Plant",AE248="Yes",COUNTIFS($B$7:$B$306,B248,$Q$7:$Q$306,"*Fuel*")&gt;0),"FUEL DOUBLE-COUNT",IF(AH248&lt;&gt;"Yes","VERIFY","OK"))))))</f>
        <v/>
      </c>
      <c r="AJ248" s="54" t="n"/>
      <c r="AK248" s="473" t="n"/>
      <c r="AL248" s="473" t="n"/>
      <c r="AM248" s="473" t="n"/>
      <c r="AN248" s="1444">
        <f>IF(AND(AK248="Yes",OR(O248="Labour",O248="Plant")),Z248,0)</f>
        <v/>
      </c>
    </row>
    <row r="249">
      <c r="A249" s="80">
        <f>IF(B249="","",B249&amp;"-"&amp;TEXT(COUNTIF($B$7:B249,B249),"000"))</f>
        <v/>
      </c>
      <c r="B249" s="53" t="n"/>
      <c r="C249" s="81">
        <f>IFERROR(INDEX('QS Takeoff'!$A$3:$A$202,MATCH(B249,'QS Takeoff'!$B$3:$B$202,0)),"")</f>
        <v/>
      </c>
      <c r="D249" s="81">
        <f>IFERROR(INDEX('QS Takeoff'!$C$3:$C$202,MATCH(B249,'QS Takeoff'!$B$3:$B$202,0)),"")</f>
        <v/>
      </c>
      <c r="E249" s="81">
        <f>IFERROR(INDEX('QS Takeoff'!$E$3:$E$202,MATCH(B249,'QS Takeoff'!$B$3:$B$202,0)),"")</f>
        <v/>
      </c>
      <c r="F249" s="81">
        <f>IFERROR(INDEX('QS Takeoff'!$D$3:$D$202,MATCH(B249,'QS Takeoff'!$B$3:$B$202,0)),"")</f>
        <v/>
      </c>
      <c r="G249" s="81">
        <f>IFERROR(INDEX('QS Takeoff'!$J$3:$J$202,MATCH(B249,'QS Takeoff'!$B$3:$B$202,0)),"")</f>
        <v/>
      </c>
      <c r="H249" s="53" t="n"/>
      <c r="I249" s="60" t="n"/>
      <c r="J249" s="60" t="n"/>
      <c r="K249" s="82">
        <f>IF(OR(B249="",I249="",I249=0),"",E249/I249)</f>
        <v/>
      </c>
      <c r="L249" s="60" t="n"/>
      <c r="M249" s="82">
        <f>IF(L249&gt;0,L249,K249)</f>
        <v/>
      </c>
      <c r="N249" s="53" t="n"/>
      <c r="O249" s="53" t="n"/>
      <c r="P249" s="53" t="n"/>
      <c r="Q249" s="81">
        <f>IFERROR(INDEX('Resource Rate Library'!$C$5:$C$200,MATCH(P249,'Resource Rate Library'!$A$5:$A$200,0)),"")</f>
        <v/>
      </c>
      <c r="R249" s="53" t="n"/>
      <c r="S249" s="53" t="n"/>
      <c r="T249" s="81">
        <f>IFERROR(INDEX('Resource Rate Library'!$E$5:$E$200,MATCH(P249,'Resource Rate Library'!$A$5:$A$200,0)),"")</f>
        <v/>
      </c>
      <c r="U249" s="1441" t="n"/>
      <c r="V249" s="1441" t="n"/>
      <c r="W249" s="1442">
        <f>IFERROR(INDEX('Resource Rate Library'!$I$5:$I$200,MATCH(P249,'Resource Rate Library'!$A$5:$A$200,0)),0)</f>
        <v/>
      </c>
      <c r="X249" s="1443" t="n"/>
      <c r="Y249" s="1442">
        <f>IF(X249&gt;0,X249,W249)</f>
        <v/>
      </c>
      <c r="Z249" s="1442">
        <f>IF(B249="","",IF(N249="Time x Count",M249*R249*IF(U249="",1,U249)*Y249,IF(N249="QS Qty x Factor",E249*R249*(1+IF(V249="",0,V249))*Y249,IF(N249="Direct Qty",S249*(1+IF(V249="",0,V249))*Y249,IF(N249="Lump Sum / Quote",S249*Y249,0)))))</f>
        <v/>
      </c>
      <c r="AA249" s="81">
        <f>IFERROR(INDEX('Resource Rate Library'!$N$5:$N$200,MATCH(P249,'Resource Rate Library'!$A$5:$A$200,0)),"")</f>
        <v/>
      </c>
      <c r="AB249" s="53" t="n"/>
      <c r="AC249" s="59" t="n"/>
      <c r="AD249" s="81">
        <f>IFERROR(INDEX('Resource Rate Library'!$G$5:$G$200,MATCH(P249,'Resource Rate Library'!$A$5:$A$200,0)),"")</f>
        <v/>
      </c>
      <c r="AE249" s="81">
        <f>IFERROR(INDEX('Resource Rate Library'!$H$5:$H$200,MATCH(P249,'Resource Rate Library'!$A$5:$A$200,0)),"")</f>
        <v/>
      </c>
      <c r="AF249" s="53" t="n"/>
      <c r="AG249" s="53" t="n"/>
      <c r="AH249" s="53" t="n"/>
      <c r="AI249" s="81">
        <f>IF(B249="","",IF(AND(P249="",N249&lt;&gt;"Lump Sum / Quote"),"RESOURCE CODE",IF(Y249=0,"RATE MISSING",IF(AND(O249="Plant",AD249="Yes",COUNTIFS($B$7:$B$306,B249,$O$7:$O$306,"Labour",$Q$7:$Q$306,"*Operator*")&gt;0),"OPERATOR DOUBLE-COUNT",IF(AND(O249="Plant",AE249="Yes",COUNTIFS($B$7:$B$306,B249,$Q$7:$Q$306,"*Fuel*")&gt;0),"FUEL DOUBLE-COUNT",IF(AH249&lt;&gt;"Yes","VERIFY","OK"))))))</f>
        <v/>
      </c>
      <c r="AJ249" s="54" t="n"/>
      <c r="AK249" s="473" t="n"/>
      <c r="AL249" s="473" t="n"/>
      <c r="AM249" s="473" t="n"/>
      <c r="AN249" s="1444">
        <f>IF(AND(AK249="Yes",OR(O249="Labour",O249="Plant")),Z249,0)</f>
        <v/>
      </c>
    </row>
    <row r="250">
      <c r="A250" s="80">
        <f>IF(B250="","",B250&amp;"-"&amp;TEXT(COUNTIF($B$7:B250,B250),"000"))</f>
        <v/>
      </c>
      <c r="B250" s="53" t="n"/>
      <c r="C250" s="81">
        <f>IFERROR(INDEX('QS Takeoff'!$A$3:$A$202,MATCH(B250,'QS Takeoff'!$B$3:$B$202,0)),"")</f>
        <v/>
      </c>
      <c r="D250" s="81">
        <f>IFERROR(INDEX('QS Takeoff'!$C$3:$C$202,MATCH(B250,'QS Takeoff'!$B$3:$B$202,0)),"")</f>
        <v/>
      </c>
      <c r="E250" s="81">
        <f>IFERROR(INDEX('QS Takeoff'!$E$3:$E$202,MATCH(B250,'QS Takeoff'!$B$3:$B$202,0)),"")</f>
        <v/>
      </c>
      <c r="F250" s="81">
        <f>IFERROR(INDEX('QS Takeoff'!$D$3:$D$202,MATCH(B250,'QS Takeoff'!$B$3:$B$202,0)),"")</f>
        <v/>
      </c>
      <c r="G250" s="81">
        <f>IFERROR(INDEX('QS Takeoff'!$J$3:$J$202,MATCH(B250,'QS Takeoff'!$B$3:$B$202,0)),"")</f>
        <v/>
      </c>
      <c r="H250" s="53" t="n"/>
      <c r="I250" s="60" t="n"/>
      <c r="J250" s="60" t="n"/>
      <c r="K250" s="82">
        <f>IF(OR(B250="",I250="",I250=0),"",E250/I250)</f>
        <v/>
      </c>
      <c r="L250" s="60" t="n"/>
      <c r="M250" s="82">
        <f>IF(L250&gt;0,L250,K250)</f>
        <v/>
      </c>
      <c r="N250" s="53" t="n"/>
      <c r="O250" s="53" t="n"/>
      <c r="P250" s="53" t="n"/>
      <c r="Q250" s="81">
        <f>IFERROR(INDEX('Resource Rate Library'!$C$5:$C$200,MATCH(P250,'Resource Rate Library'!$A$5:$A$200,0)),"")</f>
        <v/>
      </c>
      <c r="R250" s="53" t="n"/>
      <c r="S250" s="53" t="n"/>
      <c r="T250" s="81">
        <f>IFERROR(INDEX('Resource Rate Library'!$E$5:$E$200,MATCH(P250,'Resource Rate Library'!$A$5:$A$200,0)),"")</f>
        <v/>
      </c>
      <c r="U250" s="1441" t="n"/>
      <c r="V250" s="1441" t="n"/>
      <c r="W250" s="1442">
        <f>IFERROR(INDEX('Resource Rate Library'!$I$5:$I$200,MATCH(P250,'Resource Rate Library'!$A$5:$A$200,0)),0)</f>
        <v/>
      </c>
      <c r="X250" s="1443" t="n"/>
      <c r="Y250" s="1442">
        <f>IF(X250&gt;0,X250,W250)</f>
        <v/>
      </c>
      <c r="Z250" s="1442">
        <f>IF(B250="","",IF(N250="Time x Count",M250*R250*IF(U250="",1,U250)*Y250,IF(N250="QS Qty x Factor",E250*R250*(1+IF(V250="",0,V250))*Y250,IF(N250="Direct Qty",S250*(1+IF(V250="",0,V250))*Y250,IF(N250="Lump Sum / Quote",S250*Y250,0)))))</f>
        <v/>
      </c>
      <c r="AA250" s="81">
        <f>IFERROR(INDEX('Resource Rate Library'!$N$5:$N$200,MATCH(P250,'Resource Rate Library'!$A$5:$A$200,0)),"")</f>
        <v/>
      </c>
      <c r="AB250" s="53" t="n"/>
      <c r="AC250" s="59" t="n"/>
      <c r="AD250" s="81">
        <f>IFERROR(INDEX('Resource Rate Library'!$G$5:$G$200,MATCH(P250,'Resource Rate Library'!$A$5:$A$200,0)),"")</f>
        <v/>
      </c>
      <c r="AE250" s="81">
        <f>IFERROR(INDEX('Resource Rate Library'!$H$5:$H$200,MATCH(P250,'Resource Rate Library'!$A$5:$A$200,0)),"")</f>
        <v/>
      </c>
      <c r="AF250" s="53" t="n"/>
      <c r="AG250" s="53" t="n"/>
      <c r="AH250" s="53" t="n"/>
      <c r="AI250" s="81">
        <f>IF(B250="","",IF(AND(P250="",N250&lt;&gt;"Lump Sum / Quote"),"RESOURCE CODE",IF(Y250=0,"RATE MISSING",IF(AND(O250="Plant",AD250="Yes",COUNTIFS($B$7:$B$306,B250,$O$7:$O$306,"Labour",$Q$7:$Q$306,"*Operator*")&gt;0),"OPERATOR DOUBLE-COUNT",IF(AND(O250="Plant",AE250="Yes",COUNTIFS($B$7:$B$306,B250,$Q$7:$Q$306,"*Fuel*")&gt;0),"FUEL DOUBLE-COUNT",IF(AH250&lt;&gt;"Yes","VERIFY","OK"))))))</f>
        <v/>
      </c>
      <c r="AJ250" s="54" t="n"/>
      <c r="AK250" s="473" t="n"/>
      <c r="AL250" s="473" t="n"/>
      <c r="AM250" s="473" t="n"/>
      <c r="AN250" s="1444">
        <f>IF(AND(AK250="Yes",OR(O250="Labour",O250="Plant")),Z250,0)</f>
        <v/>
      </c>
    </row>
    <row r="251">
      <c r="A251" s="80">
        <f>IF(B251="","",B251&amp;"-"&amp;TEXT(COUNTIF($B$7:B251,B251),"000"))</f>
        <v/>
      </c>
      <c r="B251" s="53" t="n"/>
      <c r="C251" s="81">
        <f>IFERROR(INDEX('QS Takeoff'!$A$3:$A$202,MATCH(B251,'QS Takeoff'!$B$3:$B$202,0)),"")</f>
        <v/>
      </c>
      <c r="D251" s="81">
        <f>IFERROR(INDEX('QS Takeoff'!$C$3:$C$202,MATCH(B251,'QS Takeoff'!$B$3:$B$202,0)),"")</f>
        <v/>
      </c>
      <c r="E251" s="81">
        <f>IFERROR(INDEX('QS Takeoff'!$E$3:$E$202,MATCH(B251,'QS Takeoff'!$B$3:$B$202,0)),"")</f>
        <v/>
      </c>
      <c r="F251" s="81">
        <f>IFERROR(INDEX('QS Takeoff'!$D$3:$D$202,MATCH(B251,'QS Takeoff'!$B$3:$B$202,0)),"")</f>
        <v/>
      </c>
      <c r="G251" s="81">
        <f>IFERROR(INDEX('QS Takeoff'!$J$3:$J$202,MATCH(B251,'QS Takeoff'!$B$3:$B$202,0)),"")</f>
        <v/>
      </c>
      <c r="H251" s="53" t="n"/>
      <c r="I251" s="60" t="n"/>
      <c r="J251" s="60" t="n"/>
      <c r="K251" s="82">
        <f>IF(OR(B251="",I251="",I251=0),"",E251/I251)</f>
        <v/>
      </c>
      <c r="L251" s="60" t="n"/>
      <c r="M251" s="82">
        <f>IF(L251&gt;0,L251,K251)</f>
        <v/>
      </c>
      <c r="N251" s="53" t="n"/>
      <c r="O251" s="53" t="n"/>
      <c r="P251" s="53" t="n"/>
      <c r="Q251" s="81">
        <f>IFERROR(INDEX('Resource Rate Library'!$C$5:$C$200,MATCH(P251,'Resource Rate Library'!$A$5:$A$200,0)),"")</f>
        <v/>
      </c>
      <c r="R251" s="53" t="n"/>
      <c r="S251" s="53" t="n"/>
      <c r="T251" s="81">
        <f>IFERROR(INDEX('Resource Rate Library'!$E$5:$E$200,MATCH(P251,'Resource Rate Library'!$A$5:$A$200,0)),"")</f>
        <v/>
      </c>
      <c r="U251" s="1441" t="n"/>
      <c r="V251" s="1441" t="n"/>
      <c r="W251" s="1442">
        <f>IFERROR(INDEX('Resource Rate Library'!$I$5:$I$200,MATCH(P251,'Resource Rate Library'!$A$5:$A$200,0)),0)</f>
        <v/>
      </c>
      <c r="X251" s="1443" t="n"/>
      <c r="Y251" s="1442">
        <f>IF(X251&gt;0,X251,W251)</f>
        <v/>
      </c>
      <c r="Z251" s="1442">
        <f>IF(B251="","",IF(N251="Time x Count",M251*R251*IF(U251="",1,U251)*Y251,IF(N251="QS Qty x Factor",E251*R251*(1+IF(V251="",0,V251))*Y251,IF(N251="Direct Qty",S251*(1+IF(V251="",0,V251))*Y251,IF(N251="Lump Sum / Quote",S251*Y251,0)))))</f>
        <v/>
      </c>
      <c r="AA251" s="81">
        <f>IFERROR(INDEX('Resource Rate Library'!$N$5:$N$200,MATCH(P251,'Resource Rate Library'!$A$5:$A$200,0)),"")</f>
        <v/>
      </c>
      <c r="AB251" s="53" t="n"/>
      <c r="AC251" s="59" t="n"/>
      <c r="AD251" s="81">
        <f>IFERROR(INDEX('Resource Rate Library'!$G$5:$G$200,MATCH(P251,'Resource Rate Library'!$A$5:$A$200,0)),"")</f>
        <v/>
      </c>
      <c r="AE251" s="81">
        <f>IFERROR(INDEX('Resource Rate Library'!$H$5:$H$200,MATCH(P251,'Resource Rate Library'!$A$5:$A$200,0)),"")</f>
        <v/>
      </c>
      <c r="AF251" s="53" t="n"/>
      <c r="AG251" s="53" t="n"/>
      <c r="AH251" s="53" t="n"/>
      <c r="AI251" s="81">
        <f>IF(B251="","",IF(AND(P251="",N251&lt;&gt;"Lump Sum / Quote"),"RESOURCE CODE",IF(Y251=0,"RATE MISSING",IF(AND(O251="Plant",AD251="Yes",COUNTIFS($B$7:$B$306,B251,$O$7:$O$306,"Labour",$Q$7:$Q$306,"*Operator*")&gt;0),"OPERATOR DOUBLE-COUNT",IF(AND(O251="Plant",AE251="Yes",COUNTIFS($B$7:$B$306,B251,$Q$7:$Q$306,"*Fuel*")&gt;0),"FUEL DOUBLE-COUNT",IF(AH251&lt;&gt;"Yes","VERIFY","OK"))))))</f>
        <v/>
      </c>
      <c r="AJ251" s="54" t="n"/>
      <c r="AK251" s="473" t="n"/>
      <c r="AL251" s="473" t="n"/>
      <c r="AM251" s="473" t="n"/>
      <c r="AN251" s="1444">
        <f>IF(AND(AK251="Yes",OR(O251="Labour",O251="Plant")),Z251,0)</f>
        <v/>
      </c>
    </row>
    <row r="252">
      <c r="A252" s="80">
        <f>IF(B252="","",B252&amp;"-"&amp;TEXT(COUNTIF($B$7:B252,B252),"000"))</f>
        <v/>
      </c>
      <c r="B252" s="53" t="n"/>
      <c r="C252" s="81">
        <f>IFERROR(INDEX('QS Takeoff'!$A$3:$A$202,MATCH(B252,'QS Takeoff'!$B$3:$B$202,0)),"")</f>
        <v/>
      </c>
      <c r="D252" s="81">
        <f>IFERROR(INDEX('QS Takeoff'!$C$3:$C$202,MATCH(B252,'QS Takeoff'!$B$3:$B$202,0)),"")</f>
        <v/>
      </c>
      <c r="E252" s="81">
        <f>IFERROR(INDEX('QS Takeoff'!$E$3:$E$202,MATCH(B252,'QS Takeoff'!$B$3:$B$202,0)),"")</f>
        <v/>
      </c>
      <c r="F252" s="81">
        <f>IFERROR(INDEX('QS Takeoff'!$D$3:$D$202,MATCH(B252,'QS Takeoff'!$B$3:$B$202,0)),"")</f>
        <v/>
      </c>
      <c r="G252" s="81">
        <f>IFERROR(INDEX('QS Takeoff'!$J$3:$J$202,MATCH(B252,'QS Takeoff'!$B$3:$B$202,0)),"")</f>
        <v/>
      </c>
      <c r="H252" s="53" t="n"/>
      <c r="I252" s="60" t="n"/>
      <c r="J252" s="60" t="n"/>
      <c r="K252" s="82">
        <f>IF(OR(B252="",I252="",I252=0),"",E252/I252)</f>
        <v/>
      </c>
      <c r="L252" s="60" t="n"/>
      <c r="M252" s="82">
        <f>IF(L252&gt;0,L252,K252)</f>
        <v/>
      </c>
      <c r="N252" s="53" t="n"/>
      <c r="O252" s="53" t="n"/>
      <c r="P252" s="53" t="n"/>
      <c r="Q252" s="81">
        <f>IFERROR(INDEX('Resource Rate Library'!$C$5:$C$200,MATCH(P252,'Resource Rate Library'!$A$5:$A$200,0)),"")</f>
        <v/>
      </c>
      <c r="R252" s="53" t="n"/>
      <c r="S252" s="53" t="n"/>
      <c r="T252" s="81">
        <f>IFERROR(INDEX('Resource Rate Library'!$E$5:$E$200,MATCH(P252,'Resource Rate Library'!$A$5:$A$200,0)),"")</f>
        <v/>
      </c>
      <c r="U252" s="1441" t="n"/>
      <c r="V252" s="1441" t="n"/>
      <c r="W252" s="1442">
        <f>IFERROR(INDEX('Resource Rate Library'!$I$5:$I$200,MATCH(P252,'Resource Rate Library'!$A$5:$A$200,0)),0)</f>
        <v/>
      </c>
      <c r="X252" s="1443" t="n"/>
      <c r="Y252" s="1442">
        <f>IF(X252&gt;0,X252,W252)</f>
        <v/>
      </c>
      <c r="Z252" s="1442">
        <f>IF(B252="","",IF(N252="Time x Count",M252*R252*IF(U252="",1,U252)*Y252,IF(N252="QS Qty x Factor",E252*R252*(1+IF(V252="",0,V252))*Y252,IF(N252="Direct Qty",S252*(1+IF(V252="",0,V252))*Y252,IF(N252="Lump Sum / Quote",S252*Y252,0)))))</f>
        <v/>
      </c>
      <c r="AA252" s="81">
        <f>IFERROR(INDEX('Resource Rate Library'!$N$5:$N$200,MATCH(P252,'Resource Rate Library'!$A$5:$A$200,0)),"")</f>
        <v/>
      </c>
      <c r="AB252" s="53" t="n"/>
      <c r="AC252" s="59" t="n"/>
      <c r="AD252" s="81">
        <f>IFERROR(INDEX('Resource Rate Library'!$G$5:$G$200,MATCH(P252,'Resource Rate Library'!$A$5:$A$200,0)),"")</f>
        <v/>
      </c>
      <c r="AE252" s="81">
        <f>IFERROR(INDEX('Resource Rate Library'!$H$5:$H$200,MATCH(P252,'Resource Rate Library'!$A$5:$A$200,0)),"")</f>
        <v/>
      </c>
      <c r="AF252" s="53" t="n"/>
      <c r="AG252" s="53" t="n"/>
      <c r="AH252" s="53" t="n"/>
      <c r="AI252" s="81">
        <f>IF(B252="","",IF(AND(P252="",N252&lt;&gt;"Lump Sum / Quote"),"RESOURCE CODE",IF(Y252=0,"RATE MISSING",IF(AND(O252="Plant",AD252="Yes",COUNTIFS($B$7:$B$306,B252,$O$7:$O$306,"Labour",$Q$7:$Q$306,"*Operator*")&gt;0),"OPERATOR DOUBLE-COUNT",IF(AND(O252="Plant",AE252="Yes",COUNTIFS($B$7:$B$306,B252,$Q$7:$Q$306,"*Fuel*")&gt;0),"FUEL DOUBLE-COUNT",IF(AH252&lt;&gt;"Yes","VERIFY","OK"))))))</f>
        <v/>
      </c>
      <c r="AJ252" s="54" t="n"/>
      <c r="AK252" s="473" t="n"/>
      <c r="AL252" s="473" t="n"/>
      <c r="AM252" s="473" t="n"/>
      <c r="AN252" s="1444">
        <f>IF(AND(AK252="Yes",OR(O252="Labour",O252="Plant")),Z252,0)</f>
        <v/>
      </c>
    </row>
    <row r="253">
      <c r="A253" s="80">
        <f>IF(B253="","",B253&amp;"-"&amp;TEXT(COUNTIF($B$7:B253,B253),"000"))</f>
        <v/>
      </c>
      <c r="B253" s="53" t="n"/>
      <c r="C253" s="81">
        <f>IFERROR(INDEX('QS Takeoff'!$A$3:$A$202,MATCH(B253,'QS Takeoff'!$B$3:$B$202,0)),"")</f>
        <v/>
      </c>
      <c r="D253" s="81">
        <f>IFERROR(INDEX('QS Takeoff'!$C$3:$C$202,MATCH(B253,'QS Takeoff'!$B$3:$B$202,0)),"")</f>
        <v/>
      </c>
      <c r="E253" s="81">
        <f>IFERROR(INDEX('QS Takeoff'!$E$3:$E$202,MATCH(B253,'QS Takeoff'!$B$3:$B$202,0)),"")</f>
        <v/>
      </c>
      <c r="F253" s="81">
        <f>IFERROR(INDEX('QS Takeoff'!$D$3:$D$202,MATCH(B253,'QS Takeoff'!$B$3:$B$202,0)),"")</f>
        <v/>
      </c>
      <c r="G253" s="81">
        <f>IFERROR(INDEX('QS Takeoff'!$J$3:$J$202,MATCH(B253,'QS Takeoff'!$B$3:$B$202,0)),"")</f>
        <v/>
      </c>
      <c r="H253" s="53" t="n"/>
      <c r="I253" s="60" t="n"/>
      <c r="J253" s="60" t="n"/>
      <c r="K253" s="82">
        <f>IF(OR(B253="",I253="",I253=0),"",E253/I253)</f>
        <v/>
      </c>
      <c r="L253" s="60" t="n"/>
      <c r="M253" s="82">
        <f>IF(L253&gt;0,L253,K253)</f>
        <v/>
      </c>
      <c r="N253" s="53" t="n"/>
      <c r="O253" s="53" t="n"/>
      <c r="P253" s="53" t="n"/>
      <c r="Q253" s="81">
        <f>IFERROR(INDEX('Resource Rate Library'!$C$5:$C$200,MATCH(P253,'Resource Rate Library'!$A$5:$A$200,0)),"")</f>
        <v/>
      </c>
      <c r="R253" s="53" t="n"/>
      <c r="S253" s="53" t="n"/>
      <c r="T253" s="81">
        <f>IFERROR(INDEX('Resource Rate Library'!$E$5:$E$200,MATCH(P253,'Resource Rate Library'!$A$5:$A$200,0)),"")</f>
        <v/>
      </c>
      <c r="U253" s="1441" t="n"/>
      <c r="V253" s="1441" t="n"/>
      <c r="W253" s="1442">
        <f>IFERROR(INDEX('Resource Rate Library'!$I$5:$I$200,MATCH(P253,'Resource Rate Library'!$A$5:$A$200,0)),0)</f>
        <v/>
      </c>
      <c r="X253" s="1443" t="n"/>
      <c r="Y253" s="1442">
        <f>IF(X253&gt;0,X253,W253)</f>
        <v/>
      </c>
      <c r="Z253" s="1442">
        <f>IF(B253="","",IF(N253="Time x Count",M253*R253*IF(U253="",1,U253)*Y253,IF(N253="QS Qty x Factor",E253*R253*(1+IF(V253="",0,V253))*Y253,IF(N253="Direct Qty",S253*(1+IF(V253="",0,V253))*Y253,IF(N253="Lump Sum / Quote",S253*Y253,0)))))</f>
        <v/>
      </c>
      <c r="AA253" s="81">
        <f>IFERROR(INDEX('Resource Rate Library'!$N$5:$N$200,MATCH(P253,'Resource Rate Library'!$A$5:$A$200,0)),"")</f>
        <v/>
      </c>
      <c r="AB253" s="53" t="n"/>
      <c r="AC253" s="59" t="n"/>
      <c r="AD253" s="81">
        <f>IFERROR(INDEX('Resource Rate Library'!$G$5:$G$200,MATCH(P253,'Resource Rate Library'!$A$5:$A$200,0)),"")</f>
        <v/>
      </c>
      <c r="AE253" s="81">
        <f>IFERROR(INDEX('Resource Rate Library'!$H$5:$H$200,MATCH(P253,'Resource Rate Library'!$A$5:$A$200,0)),"")</f>
        <v/>
      </c>
      <c r="AF253" s="53" t="n"/>
      <c r="AG253" s="53" t="n"/>
      <c r="AH253" s="53" t="n"/>
      <c r="AI253" s="81">
        <f>IF(B253="","",IF(AND(P253="",N253&lt;&gt;"Lump Sum / Quote"),"RESOURCE CODE",IF(Y253=0,"RATE MISSING",IF(AND(O253="Plant",AD253="Yes",COUNTIFS($B$7:$B$306,B253,$O$7:$O$306,"Labour",$Q$7:$Q$306,"*Operator*")&gt;0),"OPERATOR DOUBLE-COUNT",IF(AND(O253="Plant",AE253="Yes",COUNTIFS($B$7:$B$306,B253,$Q$7:$Q$306,"*Fuel*")&gt;0),"FUEL DOUBLE-COUNT",IF(AH253&lt;&gt;"Yes","VERIFY","OK"))))))</f>
        <v/>
      </c>
      <c r="AJ253" s="54" t="n"/>
      <c r="AK253" s="473" t="n"/>
      <c r="AL253" s="473" t="n"/>
      <c r="AM253" s="473" t="n"/>
      <c r="AN253" s="1444">
        <f>IF(AND(AK253="Yes",OR(O253="Labour",O253="Plant")),Z253,0)</f>
        <v/>
      </c>
    </row>
    <row r="254">
      <c r="A254" s="80">
        <f>IF(B254="","",B254&amp;"-"&amp;TEXT(COUNTIF($B$7:B254,B254),"000"))</f>
        <v/>
      </c>
      <c r="B254" s="53" t="n"/>
      <c r="C254" s="81">
        <f>IFERROR(INDEX('QS Takeoff'!$A$3:$A$202,MATCH(B254,'QS Takeoff'!$B$3:$B$202,0)),"")</f>
        <v/>
      </c>
      <c r="D254" s="81">
        <f>IFERROR(INDEX('QS Takeoff'!$C$3:$C$202,MATCH(B254,'QS Takeoff'!$B$3:$B$202,0)),"")</f>
        <v/>
      </c>
      <c r="E254" s="81">
        <f>IFERROR(INDEX('QS Takeoff'!$E$3:$E$202,MATCH(B254,'QS Takeoff'!$B$3:$B$202,0)),"")</f>
        <v/>
      </c>
      <c r="F254" s="81">
        <f>IFERROR(INDEX('QS Takeoff'!$D$3:$D$202,MATCH(B254,'QS Takeoff'!$B$3:$B$202,0)),"")</f>
        <v/>
      </c>
      <c r="G254" s="81">
        <f>IFERROR(INDEX('QS Takeoff'!$J$3:$J$202,MATCH(B254,'QS Takeoff'!$B$3:$B$202,0)),"")</f>
        <v/>
      </c>
      <c r="H254" s="53" t="n"/>
      <c r="I254" s="60" t="n"/>
      <c r="J254" s="60" t="n"/>
      <c r="K254" s="82">
        <f>IF(OR(B254="",I254="",I254=0),"",E254/I254)</f>
        <v/>
      </c>
      <c r="L254" s="60" t="n"/>
      <c r="M254" s="82">
        <f>IF(L254&gt;0,L254,K254)</f>
        <v/>
      </c>
      <c r="N254" s="53" t="n"/>
      <c r="O254" s="53" t="n"/>
      <c r="P254" s="53" t="n"/>
      <c r="Q254" s="81">
        <f>IFERROR(INDEX('Resource Rate Library'!$C$5:$C$200,MATCH(P254,'Resource Rate Library'!$A$5:$A$200,0)),"")</f>
        <v/>
      </c>
      <c r="R254" s="53" t="n"/>
      <c r="S254" s="53" t="n"/>
      <c r="T254" s="81">
        <f>IFERROR(INDEX('Resource Rate Library'!$E$5:$E$200,MATCH(P254,'Resource Rate Library'!$A$5:$A$200,0)),"")</f>
        <v/>
      </c>
      <c r="U254" s="1441" t="n"/>
      <c r="V254" s="1441" t="n"/>
      <c r="W254" s="1442">
        <f>IFERROR(INDEX('Resource Rate Library'!$I$5:$I$200,MATCH(P254,'Resource Rate Library'!$A$5:$A$200,0)),0)</f>
        <v/>
      </c>
      <c r="X254" s="1443" t="n"/>
      <c r="Y254" s="1442">
        <f>IF(X254&gt;0,X254,W254)</f>
        <v/>
      </c>
      <c r="Z254" s="1442">
        <f>IF(B254="","",IF(N254="Time x Count",M254*R254*IF(U254="",1,U254)*Y254,IF(N254="QS Qty x Factor",E254*R254*(1+IF(V254="",0,V254))*Y254,IF(N254="Direct Qty",S254*(1+IF(V254="",0,V254))*Y254,IF(N254="Lump Sum / Quote",S254*Y254,0)))))</f>
        <v/>
      </c>
      <c r="AA254" s="81">
        <f>IFERROR(INDEX('Resource Rate Library'!$N$5:$N$200,MATCH(P254,'Resource Rate Library'!$A$5:$A$200,0)),"")</f>
        <v/>
      </c>
      <c r="AB254" s="53" t="n"/>
      <c r="AC254" s="59" t="n"/>
      <c r="AD254" s="81">
        <f>IFERROR(INDEX('Resource Rate Library'!$G$5:$G$200,MATCH(P254,'Resource Rate Library'!$A$5:$A$200,0)),"")</f>
        <v/>
      </c>
      <c r="AE254" s="81">
        <f>IFERROR(INDEX('Resource Rate Library'!$H$5:$H$200,MATCH(P254,'Resource Rate Library'!$A$5:$A$200,0)),"")</f>
        <v/>
      </c>
      <c r="AF254" s="53" t="n"/>
      <c r="AG254" s="53" t="n"/>
      <c r="AH254" s="53" t="n"/>
      <c r="AI254" s="81">
        <f>IF(B254="","",IF(AND(P254="",N254&lt;&gt;"Lump Sum / Quote"),"RESOURCE CODE",IF(Y254=0,"RATE MISSING",IF(AND(O254="Plant",AD254="Yes",COUNTIFS($B$7:$B$306,B254,$O$7:$O$306,"Labour",$Q$7:$Q$306,"*Operator*")&gt;0),"OPERATOR DOUBLE-COUNT",IF(AND(O254="Plant",AE254="Yes",COUNTIFS($B$7:$B$306,B254,$Q$7:$Q$306,"*Fuel*")&gt;0),"FUEL DOUBLE-COUNT",IF(AH254&lt;&gt;"Yes","VERIFY","OK"))))))</f>
        <v/>
      </c>
      <c r="AJ254" s="54" t="n"/>
      <c r="AK254" s="473" t="n"/>
      <c r="AL254" s="473" t="n"/>
      <c r="AM254" s="473" t="n"/>
      <c r="AN254" s="1444">
        <f>IF(AND(AK254="Yes",OR(O254="Labour",O254="Plant")),Z254,0)</f>
        <v/>
      </c>
    </row>
    <row r="255">
      <c r="A255" s="80">
        <f>IF(B255="","",B255&amp;"-"&amp;TEXT(COUNTIF($B$7:B255,B255),"000"))</f>
        <v/>
      </c>
      <c r="B255" s="53" t="n"/>
      <c r="C255" s="81">
        <f>IFERROR(INDEX('QS Takeoff'!$A$3:$A$202,MATCH(B255,'QS Takeoff'!$B$3:$B$202,0)),"")</f>
        <v/>
      </c>
      <c r="D255" s="81">
        <f>IFERROR(INDEX('QS Takeoff'!$C$3:$C$202,MATCH(B255,'QS Takeoff'!$B$3:$B$202,0)),"")</f>
        <v/>
      </c>
      <c r="E255" s="81">
        <f>IFERROR(INDEX('QS Takeoff'!$E$3:$E$202,MATCH(B255,'QS Takeoff'!$B$3:$B$202,0)),"")</f>
        <v/>
      </c>
      <c r="F255" s="81">
        <f>IFERROR(INDEX('QS Takeoff'!$D$3:$D$202,MATCH(B255,'QS Takeoff'!$B$3:$B$202,0)),"")</f>
        <v/>
      </c>
      <c r="G255" s="81">
        <f>IFERROR(INDEX('QS Takeoff'!$J$3:$J$202,MATCH(B255,'QS Takeoff'!$B$3:$B$202,0)),"")</f>
        <v/>
      </c>
      <c r="H255" s="53" t="n"/>
      <c r="I255" s="60" t="n"/>
      <c r="J255" s="60" t="n"/>
      <c r="K255" s="82">
        <f>IF(OR(B255="",I255="",I255=0),"",E255/I255)</f>
        <v/>
      </c>
      <c r="L255" s="60" t="n"/>
      <c r="M255" s="82">
        <f>IF(L255&gt;0,L255,K255)</f>
        <v/>
      </c>
      <c r="N255" s="53" t="n"/>
      <c r="O255" s="53" t="n"/>
      <c r="P255" s="53" t="n"/>
      <c r="Q255" s="81">
        <f>IFERROR(INDEX('Resource Rate Library'!$C$5:$C$200,MATCH(P255,'Resource Rate Library'!$A$5:$A$200,0)),"")</f>
        <v/>
      </c>
      <c r="R255" s="53" t="n"/>
      <c r="S255" s="53" t="n"/>
      <c r="T255" s="81">
        <f>IFERROR(INDEX('Resource Rate Library'!$E$5:$E$200,MATCH(P255,'Resource Rate Library'!$A$5:$A$200,0)),"")</f>
        <v/>
      </c>
      <c r="U255" s="1441" t="n"/>
      <c r="V255" s="1441" t="n"/>
      <c r="W255" s="1442">
        <f>IFERROR(INDEX('Resource Rate Library'!$I$5:$I$200,MATCH(P255,'Resource Rate Library'!$A$5:$A$200,0)),0)</f>
        <v/>
      </c>
      <c r="X255" s="1443" t="n"/>
      <c r="Y255" s="1442">
        <f>IF(X255&gt;0,X255,W255)</f>
        <v/>
      </c>
      <c r="Z255" s="1442">
        <f>IF(B255="","",IF(N255="Time x Count",M255*R255*IF(U255="",1,U255)*Y255,IF(N255="QS Qty x Factor",E255*R255*(1+IF(V255="",0,V255))*Y255,IF(N255="Direct Qty",S255*(1+IF(V255="",0,V255))*Y255,IF(N255="Lump Sum / Quote",S255*Y255,0)))))</f>
        <v/>
      </c>
      <c r="AA255" s="81">
        <f>IFERROR(INDEX('Resource Rate Library'!$N$5:$N$200,MATCH(P255,'Resource Rate Library'!$A$5:$A$200,0)),"")</f>
        <v/>
      </c>
      <c r="AB255" s="53" t="n"/>
      <c r="AC255" s="59" t="n"/>
      <c r="AD255" s="81">
        <f>IFERROR(INDEX('Resource Rate Library'!$G$5:$G$200,MATCH(P255,'Resource Rate Library'!$A$5:$A$200,0)),"")</f>
        <v/>
      </c>
      <c r="AE255" s="81">
        <f>IFERROR(INDEX('Resource Rate Library'!$H$5:$H$200,MATCH(P255,'Resource Rate Library'!$A$5:$A$200,0)),"")</f>
        <v/>
      </c>
      <c r="AF255" s="53" t="n"/>
      <c r="AG255" s="53" t="n"/>
      <c r="AH255" s="53" t="n"/>
      <c r="AI255" s="81">
        <f>IF(B255="","",IF(AND(P255="",N255&lt;&gt;"Lump Sum / Quote"),"RESOURCE CODE",IF(Y255=0,"RATE MISSING",IF(AND(O255="Plant",AD255="Yes",COUNTIFS($B$7:$B$306,B255,$O$7:$O$306,"Labour",$Q$7:$Q$306,"*Operator*")&gt;0),"OPERATOR DOUBLE-COUNT",IF(AND(O255="Plant",AE255="Yes",COUNTIFS($B$7:$B$306,B255,$Q$7:$Q$306,"*Fuel*")&gt;0),"FUEL DOUBLE-COUNT",IF(AH255&lt;&gt;"Yes","VERIFY","OK"))))))</f>
        <v/>
      </c>
      <c r="AJ255" s="54" t="n"/>
      <c r="AK255" s="473" t="n"/>
      <c r="AL255" s="473" t="n"/>
      <c r="AM255" s="473" t="n"/>
      <c r="AN255" s="1444">
        <f>IF(AND(AK255="Yes",OR(O255="Labour",O255="Plant")),Z255,0)</f>
        <v/>
      </c>
    </row>
    <row r="256">
      <c r="A256" s="80">
        <f>IF(B256="","",B256&amp;"-"&amp;TEXT(COUNTIF($B$7:B256,B256),"000"))</f>
        <v/>
      </c>
      <c r="B256" s="53" t="n"/>
      <c r="C256" s="81">
        <f>IFERROR(INDEX('QS Takeoff'!$A$3:$A$202,MATCH(B256,'QS Takeoff'!$B$3:$B$202,0)),"")</f>
        <v/>
      </c>
      <c r="D256" s="81">
        <f>IFERROR(INDEX('QS Takeoff'!$C$3:$C$202,MATCH(B256,'QS Takeoff'!$B$3:$B$202,0)),"")</f>
        <v/>
      </c>
      <c r="E256" s="81">
        <f>IFERROR(INDEX('QS Takeoff'!$E$3:$E$202,MATCH(B256,'QS Takeoff'!$B$3:$B$202,0)),"")</f>
        <v/>
      </c>
      <c r="F256" s="81">
        <f>IFERROR(INDEX('QS Takeoff'!$D$3:$D$202,MATCH(B256,'QS Takeoff'!$B$3:$B$202,0)),"")</f>
        <v/>
      </c>
      <c r="G256" s="81">
        <f>IFERROR(INDEX('QS Takeoff'!$J$3:$J$202,MATCH(B256,'QS Takeoff'!$B$3:$B$202,0)),"")</f>
        <v/>
      </c>
      <c r="H256" s="53" t="n"/>
      <c r="I256" s="60" t="n"/>
      <c r="J256" s="60" t="n"/>
      <c r="K256" s="82">
        <f>IF(OR(B256="",I256="",I256=0),"",E256/I256)</f>
        <v/>
      </c>
      <c r="L256" s="60" t="n"/>
      <c r="M256" s="82">
        <f>IF(L256&gt;0,L256,K256)</f>
        <v/>
      </c>
      <c r="N256" s="53" t="n"/>
      <c r="O256" s="53" t="n"/>
      <c r="P256" s="53" t="n"/>
      <c r="Q256" s="81">
        <f>IFERROR(INDEX('Resource Rate Library'!$C$5:$C$200,MATCH(P256,'Resource Rate Library'!$A$5:$A$200,0)),"")</f>
        <v/>
      </c>
      <c r="R256" s="53" t="n"/>
      <c r="S256" s="53" t="n"/>
      <c r="T256" s="81">
        <f>IFERROR(INDEX('Resource Rate Library'!$E$5:$E$200,MATCH(P256,'Resource Rate Library'!$A$5:$A$200,0)),"")</f>
        <v/>
      </c>
      <c r="U256" s="1441" t="n"/>
      <c r="V256" s="1441" t="n"/>
      <c r="W256" s="1442">
        <f>IFERROR(INDEX('Resource Rate Library'!$I$5:$I$200,MATCH(P256,'Resource Rate Library'!$A$5:$A$200,0)),0)</f>
        <v/>
      </c>
      <c r="X256" s="1443" t="n"/>
      <c r="Y256" s="1442">
        <f>IF(X256&gt;0,X256,W256)</f>
        <v/>
      </c>
      <c r="Z256" s="1442">
        <f>IF(B256="","",IF(N256="Time x Count",M256*R256*IF(U256="",1,U256)*Y256,IF(N256="QS Qty x Factor",E256*R256*(1+IF(V256="",0,V256))*Y256,IF(N256="Direct Qty",S256*(1+IF(V256="",0,V256))*Y256,IF(N256="Lump Sum / Quote",S256*Y256,0)))))</f>
        <v/>
      </c>
      <c r="AA256" s="81">
        <f>IFERROR(INDEX('Resource Rate Library'!$N$5:$N$200,MATCH(P256,'Resource Rate Library'!$A$5:$A$200,0)),"")</f>
        <v/>
      </c>
      <c r="AB256" s="53" t="n"/>
      <c r="AC256" s="59" t="n"/>
      <c r="AD256" s="81">
        <f>IFERROR(INDEX('Resource Rate Library'!$G$5:$G$200,MATCH(P256,'Resource Rate Library'!$A$5:$A$200,0)),"")</f>
        <v/>
      </c>
      <c r="AE256" s="81">
        <f>IFERROR(INDEX('Resource Rate Library'!$H$5:$H$200,MATCH(P256,'Resource Rate Library'!$A$5:$A$200,0)),"")</f>
        <v/>
      </c>
      <c r="AF256" s="53" t="n"/>
      <c r="AG256" s="53" t="n"/>
      <c r="AH256" s="53" t="n"/>
      <c r="AI256" s="81">
        <f>IF(B256="","",IF(AND(P256="",N256&lt;&gt;"Lump Sum / Quote"),"RESOURCE CODE",IF(Y256=0,"RATE MISSING",IF(AND(O256="Plant",AD256="Yes",COUNTIFS($B$7:$B$306,B256,$O$7:$O$306,"Labour",$Q$7:$Q$306,"*Operator*")&gt;0),"OPERATOR DOUBLE-COUNT",IF(AND(O256="Plant",AE256="Yes",COUNTIFS($B$7:$B$306,B256,$Q$7:$Q$306,"*Fuel*")&gt;0),"FUEL DOUBLE-COUNT",IF(AH256&lt;&gt;"Yes","VERIFY","OK"))))))</f>
        <v/>
      </c>
      <c r="AJ256" s="54" t="n"/>
      <c r="AK256" s="473" t="n"/>
      <c r="AL256" s="473" t="n"/>
      <c r="AM256" s="473" t="n"/>
      <c r="AN256" s="1444">
        <f>IF(AND(AK256="Yes",OR(O256="Labour",O256="Plant")),Z256,0)</f>
        <v/>
      </c>
    </row>
    <row r="257">
      <c r="A257" s="80">
        <f>IF(B257="","",B257&amp;"-"&amp;TEXT(COUNTIF($B$7:B257,B257),"000"))</f>
        <v/>
      </c>
      <c r="B257" s="53" t="n"/>
      <c r="C257" s="81">
        <f>IFERROR(INDEX('QS Takeoff'!$A$3:$A$202,MATCH(B257,'QS Takeoff'!$B$3:$B$202,0)),"")</f>
        <v/>
      </c>
      <c r="D257" s="81">
        <f>IFERROR(INDEX('QS Takeoff'!$C$3:$C$202,MATCH(B257,'QS Takeoff'!$B$3:$B$202,0)),"")</f>
        <v/>
      </c>
      <c r="E257" s="81">
        <f>IFERROR(INDEX('QS Takeoff'!$E$3:$E$202,MATCH(B257,'QS Takeoff'!$B$3:$B$202,0)),"")</f>
        <v/>
      </c>
      <c r="F257" s="81">
        <f>IFERROR(INDEX('QS Takeoff'!$D$3:$D$202,MATCH(B257,'QS Takeoff'!$B$3:$B$202,0)),"")</f>
        <v/>
      </c>
      <c r="G257" s="81">
        <f>IFERROR(INDEX('QS Takeoff'!$J$3:$J$202,MATCH(B257,'QS Takeoff'!$B$3:$B$202,0)),"")</f>
        <v/>
      </c>
      <c r="H257" s="53" t="n"/>
      <c r="I257" s="60" t="n"/>
      <c r="J257" s="60" t="n"/>
      <c r="K257" s="82">
        <f>IF(OR(B257="",I257="",I257=0),"",E257/I257)</f>
        <v/>
      </c>
      <c r="L257" s="60" t="n"/>
      <c r="M257" s="82">
        <f>IF(L257&gt;0,L257,K257)</f>
        <v/>
      </c>
      <c r="N257" s="53" t="n"/>
      <c r="O257" s="53" t="n"/>
      <c r="P257" s="53" t="n"/>
      <c r="Q257" s="81">
        <f>IFERROR(INDEX('Resource Rate Library'!$C$5:$C$200,MATCH(P257,'Resource Rate Library'!$A$5:$A$200,0)),"")</f>
        <v/>
      </c>
      <c r="R257" s="53" t="n"/>
      <c r="S257" s="53" t="n"/>
      <c r="T257" s="81">
        <f>IFERROR(INDEX('Resource Rate Library'!$E$5:$E$200,MATCH(P257,'Resource Rate Library'!$A$5:$A$200,0)),"")</f>
        <v/>
      </c>
      <c r="U257" s="1441" t="n"/>
      <c r="V257" s="1441" t="n"/>
      <c r="W257" s="1442">
        <f>IFERROR(INDEX('Resource Rate Library'!$I$5:$I$200,MATCH(P257,'Resource Rate Library'!$A$5:$A$200,0)),0)</f>
        <v/>
      </c>
      <c r="X257" s="1443" t="n"/>
      <c r="Y257" s="1442">
        <f>IF(X257&gt;0,X257,W257)</f>
        <v/>
      </c>
      <c r="Z257" s="1442">
        <f>IF(B257="","",IF(N257="Time x Count",M257*R257*IF(U257="",1,U257)*Y257,IF(N257="QS Qty x Factor",E257*R257*(1+IF(V257="",0,V257))*Y257,IF(N257="Direct Qty",S257*(1+IF(V257="",0,V257))*Y257,IF(N257="Lump Sum / Quote",S257*Y257,0)))))</f>
        <v/>
      </c>
      <c r="AA257" s="81">
        <f>IFERROR(INDEX('Resource Rate Library'!$N$5:$N$200,MATCH(P257,'Resource Rate Library'!$A$5:$A$200,0)),"")</f>
        <v/>
      </c>
      <c r="AB257" s="53" t="n"/>
      <c r="AC257" s="59" t="n"/>
      <c r="AD257" s="81">
        <f>IFERROR(INDEX('Resource Rate Library'!$G$5:$G$200,MATCH(P257,'Resource Rate Library'!$A$5:$A$200,0)),"")</f>
        <v/>
      </c>
      <c r="AE257" s="81">
        <f>IFERROR(INDEX('Resource Rate Library'!$H$5:$H$200,MATCH(P257,'Resource Rate Library'!$A$5:$A$200,0)),"")</f>
        <v/>
      </c>
      <c r="AF257" s="53" t="n"/>
      <c r="AG257" s="53" t="n"/>
      <c r="AH257" s="53" t="n"/>
      <c r="AI257" s="81">
        <f>IF(B257="","",IF(AND(P257="",N257&lt;&gt;"Lump Sum / Quote"),"RESOURCE CODE",IF(Y257=0,"RATE MISSING",IF(AND(O257="Plant",AD257="Yes",COUNTIFS($B$7:$B$306,B257,$O$7:$O$306,"Labour",$Q$7:$Q$306,"*Operator*")&gt;0),"OPERATOR DOUBLE-COUNT",IF(AND(O257="Plant",AE257="Yes",COUNTIFS($B$7:$B$306,B257,$Q$7:$Q$306,"*Fuel*")&gt;0),"FUEL DOUBLE-COUNT",IF(AH257&lt;&gt;"Yes","VERIFY","OK"))))))</f>
        <v/>
      </c>
      <c r="AJ257" s="54" t="n"/>
      <c r="AK257" s="473" t="n"/>
      <c r="AL257" s="473" t="n"/>
      <c r="AM257" s="473" t="n"/>
      <c r="AN257" s="1444">
        <f>IF(AND(AK257="Yes",OR(O257="Labour",O257="Plant")),Z257,0)</f>
        <v/>
      </c>
    </row>
    <row r="258">
      <c r="A258" s="80">
        <f>IF(B258="","",B258&amp;"-"&amp;TEXT(COUNTIF($B$7:B258,B258),"000"))</f>
        <v/>
      </c>
      <c r="B258" s="53" t="n"/>
      <c r="C258" s="81">
        <f>IFERROR(INDEX('QS Takeoff'!$A$3:$A$202,MATCH(B258,'QS Takeoff'!$B$3:$B$202,0)),"")</f>
        <v/>
      </c>
      <c r="D258" s="81">
        <f>IFERROR(INDEX('QS Takeoff'!$C$3:$C$202,MATCH(B258,'QS Takeoff'!$B$3:$B$202,0)),"")</f>
        <v/>
      </c>
      <c r="E258" s="81">
        <f>IFERROR(INDEX('QS Takeoff'!$E$3:$E$202,MATCH(B258,'QS Takeoff'!$B$3:$B$202,0)),"")</f>
        <v/>
      </c>
      <c r="F258" s="81">
        <f>IFERROR(INDEX('QS Takeoff'!$D$3:$D$202,MATCH(B258,'QS Takeoff'!$B$3:$B$202,0)),"")</f>
        <v/>
      </c>
      <c r="G258" s="81">
        <f>IFERROR(INDEX('QS Takeoff'!$J$3:$J$202,MATCH(B258,'QS Takeoff'!$B$3:$B$202,0)),"")</f>
        <v/>
      </c>
      <c r="H258" s="53" t="n"/>
      <c r="I258" s="60" t="n"/>
      <c r="J258" s="60" t="n"/>
      <c r="K258" s="82">
        <f>IF(OR(B258="",I258="",I258=0),"",E258/I258)</f>
        <v/>
      </c>
      <c r="L258" s="60" t="n"/>
      <c r="M258" s="82">
        <f>IF(L258&gt;0,L258,K258)</f>
        <v/>
      </c>
      <c r="N258" s="53" t="n"/>
      <c r="O258" s="53" t="n"/>
      <c r="P258" s="53" t="n"/>
      <c r="Q258" s="81">
        <f>IFERROR(INDEX('Resource Rate Library'!$C$5:$C$200,MATCH(P258,'Resource Rate Library'!$A$5:$A$200,0)),"")</f>
        <v/>
      </c>
      <c r="R258" s="53" t="n"/>
      <c r="S258" s="53" t="n"/>
      <c r="T258" s="81">
        <f>IFERROR(INDEX('Resource Rate Library'!$E$5:$E$200,MATCH(P258,'Resource Rate Library'!$A$5:$A$200,0)),"")</f>
        <v/>
      </c>
      <c r="U258" s="1441" t="n"/>
      <c r="V258" s="1441" t="n"/>
      <c r="W258" s="1442">
        <f>IFERROR(INDEX('Resource Rate Library'!$I$5:$I$200,MATCH(P258,'Resource Rate Library'!$A$5:$A$200,0)),0)</f>
        <v/>
      </c>
      <c r="X258" s="1443" t="n"/>
      <c r="Y258" s="1442">
        <f>IF(X258&gt;0,X258,W258)</f>
        <v/>
      </c>
      <c r="Z258" s="1442">
        <f>IF(B258="","",IF(N258="Time x Count",M258*R258*IF(U258="",1,U258)*Y258,IF(N258="QS Qty x Factor",E258*R258*(1+IF(V258="",0,V258))*Y258,IF(N258="Direct Qty",S258*(1+IF(V258="",0,V258))*Y258,IF(N258="Lump Sum / Quote",S258*Y258,0)))))</f>
        <v/>
      </c>
      <c r="AA258" s="81">
        <f>IFERROR(INDEX('Resource Rate Library'!$N$5:$N$200,MATCH(P258,'Resource Rate Library'!$A$5:$A$200,0)),"")</f>
        <v/>
      </c>
      <c r="AB258" s="53" t="n"/>
      <c r="AC258" s="59" t="n"/>
      <c r="AD258" s="81">
        <f>IFERROR(INDEX('Resource Rate Library'!$G$5:$G$200,MATCH(P258,'Resource Rate Library'!$A$5:$A$200,0)),"")</f>
        <v/>
      </c>
      <c r="AE258" s="81">
        <f>IFERROR(INDEX('Resource Rate Library'!$H$5:$H$200,MATCH(P258,'Resource Rate Library'!$A$5:$A$200,0)),"")</f>
        <v/>
      </c>
      <c r="AF258" s="53" t="n"/>
      <c r="AG258" s="53" t="n"/>
      <c r="AH258" s="53" t="n"/>
      <c r="AI258" s="81">
        <f>IF(B258="","",IF(AND(P258="",N258&lt;&gt;"Lump Sum / Quote"),"RESOURCE CODE",IF(Y258=0,"RATE MISSING",IF(AND(O258="Plant",AD258="Yes",COUNTIFS($B$7:$B$306,B258,$O$7:$O$306,"Labour",$Q$7:$Q$306,"*Operator*")&gt;0),"OPERATOR DOUBLE-COUNT",IF(AND(O258="Plant",AE258="Yes",COUNTIFS($B$7:$B$306,B258,$Q$7:$Q$306,"*Fuel*")&gt;0),"FUEL DOUBLE-COUNT",IF(AH258&lt;&gt;"Yes","VERIFY","OK"))))))</f>
        <v/>
      </c>
      <c r="AJ258" s="54" t="n"/>
      <c r="AK258" s="473" t="n"/>
      <c r="AL258" s="473" t="n"/>
      <c r="AM258" s="473" t="n"/>
      <c r="AN258" s="1444">
        <f>IF(AND(AK258="Yes",OR(O258="Labour",O258="Plant")),Z258,0)</f>
        <v/>
      </c>
    </row>
    <row r="259">
      <c r="A259" s="80">
        <f>IF(B259="","",B259&amp;"-"&amp;TEXT(COUNTIF($B$7:B259,B259),"000"))</f>
        <v/>
      </c>
      <c r="B259" s="53" t="n"/>
      <c r="C259" s="81">
        <f>IFERROR(INDEX('QS Takeoff'!$A$3:$A$202,MATCH(B259,'QS Takeoff'!$B$3:$B$202,0)),"")</f>
        <v/>
      </c>
      <c r="D259" s="81">
        <f>IFERROR(INDEX('QS Takeoff'!$C$3:$C$202,MATCH(B259,'QS Takeoff'!$B$3:$B$202,0)),"")</f>
        <v/>
      </c>
      <c r="E259" s="81">
        <f>IFERROR(INDEX('QS Takeoff'!$E$3:$E$202,MATCH(B259,'QS Takeoff'!$B$3:$B$202,0)),"")</f>
        <v/>
      </c>
      <c r="F259" s="81">
        <f>IFERROR(INDEX('QS Takeoff'!$D$3:$D$202,MATCH(B259,'QS Takeoff'!$B$3:$B$202,0)),"")</f>
        <v/>
      </c>
      <c r="G259" s="81">
        <f>IFERROR(INDEX('QS Takeoff'!$J$3:$J$202,MATCH(B259,'QS Takeoff'!$B$3:$B$202,0)),"")</f>
        <v/>
      </c>
      <c r="H259" s="53" t="n"/>
      <c r="I259" s="60" t="n"/>
      <c r="J259" s="60" t="n"/>
      <c r="K259" s="82">
        <f>IF(OR(B259="",I259="",I259=0),"",E259/I259)</f>
        <v/>
      </c>
      <c r="L259" s="60" t="n"/>
      <c r="M259" s="82">
        <f>IF(L259&gt;0,L259,K259)</f>
        <v/>
      </c>
      <c r="N259" s="53" t="n"/>
      <c r="O259" s="53" t="n"/>
      <c r="P259" s="53" t="n"/>
      <c r="Q259" s="81">
        <f>IFERROR(INDEX('Resource Rate Library'!$C$5:$C$200,MATCH(P259,'Resource Rate Library'!$A$5:$A$200,0)),"")</f>
        <v/>
      </c>
      <c r="R259" s="53" t="n"/>
      <c r="S259" s="53" t="n"/>
      <c r="T259" s="81">
        <f>IFERROR(INDEX('Resource Rate Library'!$E$5:$E$200,MATCH(P259,'Resource Rate Library'!$A$5:$A$200,0)),"")</f>
        <v/>
      </c>
      <c r="U259" s="1441" t="n"/>
      <c r="V259" s="1441" t="n"/>
      <c r="W259" s="1442">
        <f>IFERROR(INDEX('Resource Rate Library'!$I$5:$I$200,MATCH(P259,'Resource Rate Library'!$A$5:$A$200,0)),0)</f>
        <v/>
      </c>
      <c r="X259" s="1443" t="n"/>
      <c r="Y259" s="1442">
        <f>IF(X259&gt;0,X259,W259)</f>
        <v/>
      </c>
      <c r="Z259" s="1442">
        <f>IF(B259="","",IF(N259="Time x Count",M259*R259*IF(U259="",1,U259)*Y259,IF(N259="QS Qty x Factor",E259*R259*(1+IF(V259="",0,V259))*Y259,IF(N259="Direct Qty",S259*(1+IF(V259="",0,V259))*Y259,IF(N259="Lump Sum / Quote",S259*Y259,0)))))</f>
        <v/>
      </c>
      <c r="AA259" s="81">
        <f>IFERROR(INDEX('Resource Rate Library'!$N$5:$N$200,MATCH(P259,'Resource Rate Library'!$A$5:$A$200,0)),"")</f>
        <v/>
      </c>
      <c r="AB259" s="53" t="n"/>
      <c r="AC259" s="59" t="n"/>
      <c r="AD259" s="81">
        <f>IFERROR(INDEX('Resource Rate Library'!$G$5:$G$200,MATCH(P259,'Resource Rate Library'!$A$5:$A$200,0)),"")</f>
        <v/>
      </c>
      <c r="AE259" s="81">
        <f>IFERROR(INDEX('Resource Rate Library'!$H$5:$H$200,MATCH(P259,'Resource Rate Library'!$A$5:$A$200,0)),"")</f>
        <v/>
      </c>
      <c r="AF259" s="53" t="n"/>
      <c r="AG259" s="53" t="n"/>
      <c r="AH259" s="53" t="n"/>
      <c r="AI259" s="81">
        <f>IF(B259="","",IF(AND(P259="",N259&lt;&gt;"Lump Sum / Quote"),"RESOURCE CODE",IF(Y259=0,"RATE MISSING",IF(AND(O259="Plant",AD259="Yes",COUNTIFS($B$7:$B$306,B259,$O$7:$O$306,"Labour",$Q$7:$Q$306,"*Operator*")&gt;0),"OPERATOR DOUBLE-COUNT",IF(AND(O259="Plant",AE259="Yes",COUNTIFS($B$7:$B$306,B259,$Q$7:$Q$306,"*Fuel*")&gt;0),"FUEL DOUBLE-COUNT",IF(AH259&lt;&gt;"Yes","VERIFY","OK"))))))</f>
        <v/>
      </c>
      <c r="AJ259" s="54" t="n"/>
      <c r="AK259" s="473" t="n"/>
      <c r="AL259" s="473" t="n"/>
      <c r="AM259" s="473" t="n"/>
      <c r="AN259" s="1444">
        <f>IF(AND(AK259="Yes",OR(O259="Labour",O259="Plant")),Z259,0)</f>
        <v/>
      </c>
    </row>
    <row r="260">
      <c r="A260" s="80">
        <f>IF(B260="","",B260&amp;"-"&amp;TEXT(COUNTIF($B$7:B260,B260),"000"))</f>
        <v/>
      </c>
      <c r="B260" s="53" t="n"/>
      <c r="C260" s="81">
        <f>IFERROR(INDEX('QS Takeoff'!$A$3:$A$202,MATCH(B260,'QS Takeoff'!$B$3:$B$202,0)),"")</f>
        <v/>
      </c>
      <c r="D260" s="81">
        <f>IFERROR(INDEX('QS Takeoff'!$C$3:$C$202,MATCH(B260,'QS Takeoff'!$B$3:$B$202,0)),"")</f>
        <v/>
      </c>
      <c r="E260" s="81">
        <f>IFERROR(INDEX('QS Takeoff'!$E$3:$E$202,MATCH(B260,'QS Takeoff'!$B$3:$B$202,0)),"")</f>
        <v/>
      </c>
      <c r="F260" s="81">
        <f>IFERROR(INDEX('QS Takeoff'!$D$3:$D$202,MATCH(B260,'QS Takeoff'!$B$3:$B$202,0)),"")</f>
        <v/>
      </c>
      <c r="G260" s="81">
        <f>IFERROR(INDEX('QS Takeoff'!$J$3:$J$202,MATCH(B260,'QS Takeoff'!$B$3:$B$202,0)),"")</f>
        <v/>
      </c>
      <c r="H260" s="53" t="n"/>
      <c r="I260" s="60" t="n"/>
      <c r="J260" s="60" t="n"/>
      <c r="K260" s="82">
        <f>IF(OR(B260="",I260="",I260=0),"",E260/I260)</f>
        <v/>
      </c>
      <c r="L260" s="60" t="n"/>
      <c r="M260" s="82">
        <f>IF(L260&gt;0,L260,K260)</f>
        <v/>
      </c>
      <c r="N260" s="53" t="n"/>
      <c r="O260" s="53" t="n"/>
      <c r="P260" s="53" t="n"/>
      <c r="Q260" s="81">
        <f>IFERROR(INDEX('Resource Rate Library'!$C$5:$C$200,MATCH(P260,'Resource Rate Library'!$A$5:$A$200,0)),"")</f>
        <v/>
      </c>
      <c r="R260" s="53" t="n"/>
      <c r="S260" s="53" t="n"/>
      <c r="T260" s="81">
        <f>IFERROR(INDEX('Resource Rate Library'!$E$5:$E$200,MATCH(P260,'Resource Rate Library'!$A$5:$A$200,0)),"")</f>
        <v/>
      </c>
      <c r="U260" s="1441" t="n"/>
      <c r="V260" s="1441" t="n"/>
      <c r="W260" s="1442">
        <f>IFERROR(INDEX('Resource Rate Library'!$I$5:$I$200,MATCH(P260,'Resource Rate Library'!$A$5:$A$200,0)),0)</f>
        <v/>
      </c>
      <c r="X260" s="1443" t="n"/>
      <c r="Y260" s="1442">
        <f>IF(X260&gt;0,X260,W260)</f>
        <v/>
      </c>
      <c r="Z260" s="1442">
        <f>IF(B260="","",IF(N260="Time x Count",M260*R260*IF(U260="",1,U260)*Y260,IF(N260="QS Qty x Factor",E260*R260*(1+IF(V260="",0,V260))*Y260,IF(N260="Direct Qty",S260*(1+IF(V260="",0,V260))*Y260,IF(N260="Lump Sum / Quote",S260*Y260,0)))))</f>
        <v/>
      </c>
      <c r="AA260" s="81">
        <f>IFERROR(INDEX('Resource Rate Library'!$N$5:$N$200,MATCH(P260,'Resource Rate Library'!$A$5:$A$200,0)),"")</f>
        <v/>
      </c>
      <c r="AB260" s="53" t="n"/>
      <c r="AC260" s="59" t="n"/>
      <c r="AD260" s="81">
        <f>IFERROR(INDEX('Resource Rate Library'!$G$5:$G$200,MATCH(P260,'Resource Rate Library'!$A$5:$A$200,0)),"")</f>
        <v/>
      </c>
      <c r="AE260" s="81">
        <f>IFERROR(INDEX('Resource Rate Library'!$H$5:$H$200,MATCH(P260,'Resource Rate Library'!$A$5:$A$200,0)),"")</f>
        <v/>
      </c>
      <c r="AF260" s="53" t="n"/>
      <c r="AG260" s="53" t="n"/>
      <c r="AH260" s="53" t="n"/>
      <c r="AI260" s="81">
        <f>IF(B260="","",IF(AND(P260="",N260&lt;&gt;"Lump Sum / Quote"),"RESOURCE CODE",IF(Y260=0,"RATE MISSING",IF(AND(O260="Plant",AD260="Yes",COUNTIFS($B$7:$B$306,B260,$O$7:$O$306,"Labour",$Q$7:$Q$306,"*Operator*")&gt;0),"OPERATOR DOUBLE-COUNT",IF(AND(O260="Plant",AE260="Yes",COUNTIFS($B$7:$B$306,B260,$Q$7:$Q$306,"*Fuel*")&gt;0),"FUEL DOUBLE-COUNT",IF(AH260&lt;&gt;"Yes","VERIFY","OK"))))))</f>
        <v/>
      </c>
      <c r="AJ260" s="54" t="n"/>
      <c r="AK260" s="473" t="n"/>
      <c r="AL260" s="473" t="n"/>
      <c r="AM260" s="473" t="n"/>
      <c r="AN260" s="1444">
        <f>IF(AND(AK260="Yes",OR(O260="Labour",O260="Plant")),Z260,0)</f>
        <v/>
      </c>
    </row>
    <row r="261">
      <c r="A261" s="80">
        <f>IF(B261="","",B261&amp;"-"&amp;TEXT(COUNTIF($B$7:B261,B261),"000"))</f>
        <v/>
      </c>
      <c r="B261" s="53" t="n"/>
      <c r="C261" s="81">
        <f>IFERROR(INDEX('QS Takeoff'!$A$3:$A$202,MATCH(B261,'QS Takeoff'!$B$3:$B$202,0)),"")</f>
        <v/>
      </c>
      <c r="D261" s="81">
        <f>IFERROR(INDEX('QS Takeoff'!$C$3:$C$202,MATCH(B261,'QS Takeoff'!$B$3:$B$202,0)),"")</f>
        <v/>
      </c>
      <c r="E261" s="81">
        <f>IFERROR(INDEX('QS Takeoff'!$E$3:$E$202,MATCH(B261,'QS Takeoff'!$B$3:$B$202,0)),"")</f>
        <v/>
      </c>
      <c r="F261" s="81">
        <f>IFERROR(INDEX('QS Takeoff'!$D$3:$D$202,MATCH(B261,'QS Takeoff'!$B$3:$B$202,0)),"")</f>
        <v/>
      </c>
      <c r="G261" s="81">
        <f>IFERROR(INDEX('QS Takeoff'!$J$3:$J$202,MATCH(B261,'QS Takeoff'!$B$3:$B$202,0)),"")</f>
        <v/>
      </c>
      <c r="H261" s="53" t="n"/>
      <c r="I261" s="60" t="n"/>
      <c r="J261" s="60" t="n"/>
      <c r="K261" s="82">
        <f>IF(OR(B261="",I261="",I261=0),"",E261/I261)</f>
        <v/>
      </c>
      <c r="L261" s="60" t="n"/>
      <c r="M261" s="82">
        <f>IF(L261&gt;0,L261,K261)</f>
        <v/>
      </c>
      <c r="N261" s="53" t="n"/>
      <c r="O261" s="53" t="n"/>
      <c r="P261" s="53" t="n"/>
      <c r="Q261" s="81">
        <f>IFERROR(INDEX('Resource Rate Library'!$C$5:$C$200,MATCH(P261,'Resource Rate Library'!$A$5:$A$200,0)),"")</f>
        <v/>
      </c>
      <c r="R261" s="53" t="n"/>
      <c r="S261" s="53" t="n"/>
      <c r="T261" s="81">
        <f>IFERROR(INDEX('Resource Rate Library'!$E$5:$E$200,MATCH(P261,'Resource Rate Library'!$A$5:$A$200,0)),"")</f>
        <v/>
      </c>
      <c r="U261" s="1441" t="n"/>
      <c r="V261" s="1441" t="n"/>
      <c r="W261" s="1442">
        <f>IFERROR(INDEX('Resource Rate Library'!$I$5:$I$200,MATCH(P261,'Resource Rate Library'!$A$5:$A$200,0)),0)</f>
        <v/>
      </c>
      <c r="X261" s="1443" t="n"/>
      <c r="Y261" s="1442">
        <f>IF(X261&gt;0,X261,W261)</f>
        <v/>
      </c>
      <c r="Z261" s="1442">
        <f>IF(B261="","",IF(N261="Time x Count",M261*R261*IF(U261="",1,U261)*Y261,IF(N261="QS Qty x Factor",E261*R261*(1+IF(V261="",0,V261))*Y261,IF(N261="Direct Qty",S261*(1+IF(V261="",0,V261))*Y261,IF(N261="Lump Sum / Quote",S261*Y261,0)))))</f>
        <v/>
      </c>
      <c r="AA261" s="81">
        <f>IFERROR(INDEX('Resource Rate Library'!$N$5:$N$200,MATCH(P261,'Resource Rate Library'!$A$5:$A$200,0)),"")</f>
        <v/>
      </c>
      <c r="AB261" s="53" t="n"/>
      <c r="AC261" s="59" t="n"/>
      <c r="AD261" s="81">
        <f>IFERROR(INDEX('Resource Rate Library'!$G$5:$G$200,MATCH(P261,'Resource Rate Library'!$A$5:$A$200,0)),"")</f>
        <v/>
      </c>
      <c r="AE261" s="81">
        <f>IFERROR(INDEX('Resource Rate Library'!$H$5:$H$200,MATCH(P261,'Resource Rate Library'!$A$5:$A$200,0)),"")</f>
        <v/>
      </c>
      <c r="AF261" s="53" t="n"/>
      <c r="AG261" s="53" t="n"/>
      <c r="AH261" s="53" t="n"/>
      <c r="AI261" s="81">
        <f>IF(B261="","",IF(AND(P261="",N261&lt;&gt;"Lump Sum / Quote"),"RESOURCE CODE",IF(Y261=0,"RATE MISSING",IF(AND(O261="Plant",AD261="Yes",COUNTIFS($B$7:$B$306,B261,$O$7:$O$306,"Labour",$Q$7:$Q$306,"*Operator*")&gt;0),"OPERATOR DOUBLE-COUNT",IF(AND(O261="Plant",AE261="Yes",COUNTIFS($B$7:$B$306,B261,$Q$7:$Q$306,"*Fuel*")&gt;0),"FUEL DOUBLE-COUNT",IF(AH261&lt;&gt;"Yes","VERIFY","OK"))))))</f>
        <v/>
      </c>
      <c r="AJ261" s="54" t="n"/>
      <c r="AK261" s="473" t="n"/>
      <c r="AL261" s="473" t="n"/>
      <c r="AM261" s="473" t="n"/>
      <c r="AN261" s="1444">
        <f>IF(AND(AK261="Yes",OR(O261="Labour",O261="Plant")),Z261,0)</f>
        <v/>
      </c>
    </row>
    <row r="262">
      <c r="A262" s="80">
        <f>IF(B262="","",B262&amp;"-"&amp;TEXT(COUNTIF($B$7:B262,B262),"000"))</f>
        <v/>
      </c>
      <c r="B262" s="53" t="n"/>
      <c r="C262" s="81">
        <f>IFERROR(INDEX('QS Takeoff'!$A$3:$A$202,MATCH(B262,'QS Takeoff'!$B$3:$B$202,0)),"")</f>
        <v/>
      </c>
      <c r="D262" s="81">
        <f>IFERROR(INDEX('QS Takeoff'!$C$3:$C$202,MATCH(B262,'QS Takeoff'!$B$3:$B$202,0)),"")</f>
        <v/>
      </c>
      <c r="E262" s="81">
        <f>IFERROR(INDEX('QS Takeoff'!$E$3:$E$202,MATCH(B262,'QS Takeoff'!$B$3:$B$202,0)),"")</f>
        <v/>
      </c>
      <c r="F262" s="81">
        <f>IFERROR(INDEX('QS Takeoff'!$D$3:$D$202,MATCH(B262,'QS Takeoff'!$B$3:$B$202,0)),"")</f>
        <v/>
      </c>
      <c r="G262" s="81">
        <f>IFERROR(INDEX('QS Takeoff'!$J$3:$J$202,MATCH(B262,'QS Takeoff'!$B$3:$B$202,0)),"")</f>
        <v/>
      </c>
      <c r="H262" s="53" t="n"/>
      <c r="I262" s="60" t="n"/>
      <c r="J262" s="60" t="n"/>
      <c r="K262" s="82">
        <f>IF(OR(B262="",I262="",I262=0),"",E262/I262)</f>
        <v/>
      </c>
      <c r="L262" s="60" t="n"/>
      <c r="M262" s="82">
        <f>IF(L262&gt;0,L262,K262)</f>
        <v/>
      </c>
      <c r="N262" s="53" t="n"/>
      <c r="O262" s="53" t="n"/>
      <c r="P262" s="53" t="n"/>
      <c r="Q262" s="81">
        <f>IFERROR(INDEX('Resource Rate Library'!$C$5:$C$200,MATCH(P262,'Resource Rate Library'!$A$5:$A$200,0)),"")</f>
        <v/>
      </c>
      <c r="R262" s="53" t="n"/>
      <c r="S262" s="53" t="n"/>
      <c r="T262" s="81">
        <f>IFERROR(INDEX('Resource Rate Library'!$E$5:$E$200,MATCH(P262,'Resource Rate Library'!$A$5:$A$200,0)),"")</f>
        <v/>
      </c>
      <c r="U262" s="1441" t="n"/>
      <c r="V262" s="1441" t="n"/>
      <c r="W262" s="1442">
        <f>IFERROR(INDEX('Resource Rate Library'!$I$5:$I$200,MATCH(P262,'Resource Rate Library'!$A$5:$A$200,0)),0)</f>
        <v/>
      </c>
      <c r="X262" s="1443" t="n"/>
      <c r="Y262" s="1442">
        <f>IF(X262&gt;0,X262,W262)</f>
        <v/>
      </c>
      <c r="Z262" s="1442">
        <f>IF(B262="","",IF(N262="Time x Count",M262*R262*IF(U262="",1,U262)*Y262,IF(N262="QS Qty x Factor",E262*R262*(1+IF(V262="",0,V262))*Y262,IF(N262="Direct Qty",S262*(1+IF(V262="",0,V262))*Y262,IF(N262="Lump Sum / Quote",S262*Y262,0)))))</f>
        <v/>
      </c>
      <c r="AA262" s="81">
        <f>IFERROR(INDEX('Resource Rate Library'!$N$5:$N$200,MATCH(P262,'Resource Rate Library'!$A$5:$A$200,0)),"")</f>
        <v/>
      </c>
      <c r="AB262" s="53" t="n"/>
      <c r="AC262" s="59" t="n"/>
      <c r="AD262" s="81">
        <f>IFERROR(INDEX('Resource Rate Library'!$G$5:$G$200,MATCH(P262,'Resource Rate Library'!$A$5:$A$200,0)),"")</f>
        <v/>
      </c>
      <c r="AE262" s="81">
        <f>IFERROR(INDEX('Resource Rate Library'!$H$5:$H$200,MATCH(P262,'Resource Rate Library'!$A$5:$A$200,0)),"")</f>
        <v/>
      </c>
      <c r="AF262" s="53" t="n"/>
      <c r="AG262" s="53" t="n"/>
      <c r="AH262" s="53" t="n"/>
      <c r="AI262" s="81">
        <f>IF(B262="","",IF(AND(P262="",N262&lt;&gt;"Lump Sum / Quote"),"RESOURCE CODE",IF(Y262=0,"RATE MISSING",IF(AND(O262="Plant",AD262="Yes",COUNTIFS($B$7:$B$306,B262,$O$7:$O$306,"Labour",$Q$7:$Q$306,"*Operator*")&gt;0),"OPERATOR DOUBLE-COUNT",IF(AND(O262="Plant",AE262="Yes",COUNTIFS($B$7:$B$306,B262,$Q$7:$Q$306,"*Fuel*")&gt;0),"FUEL DOUBLE-COUNT",IF(AH262&lt;&gt;"Yes","VERIFY","OK"))))))</f>
        <v/>
      </c>
      <c r="AJ262" s="54" t="n"/>
      <c r="AK262" s="473" t="n"/>
      <c r="AL262" s="473" t="n"/>
      <c r="AM262" s="473" t="n"/>
      <c r="AN262" s="1444">
        <f>IF(AND(AK262="Yes",OR(O262="Labour",O262="Plant")),Z262,0)</f>
        <v/>
      </c>
    </row>
    <row r="263">
      <c r="A263" s="80">
        <f>IF(B263="","",B263&amp;"-"&amp;TEXT(COUNTIF($B$7:B263,B263),"000"))</f>
        <v/>
      </c>
      <c r="B263" s="53" t="n"/>
      <c r="C263" s="81">
        <f>IFERROR(INDEX('QS Takeoff'!$A$3:$A$202,MATCH(B263,'QS Takeoff'!$B$3:$B$202,0)),"")</f>
        <v/>
      </c>
      <c r="D263" s="81">
        <f>IFERROR(INDEX('QS Takeoff'!$C$3:$C$202,MATCH(B263,'QS Takeoff'!$B$3:$B$202,0)),"")</f>
        <v/>
      </c>
      <c r="E263" s="81">
        <f>IFERROR(INDEX('QS Takeoff'!$E$3:$E$202,MATCH(B263,'QS Takeoff'!$B$3:$B$202,0)),"")</f>
        <v/>
      </c>
      <c r="F263" s="81">
        <f>IFERROR(INDEX('QS Takeoff'!$D$3:$D$202,MATCH(B263,'QS Takeoff'!$B$3:$B$202,0)),"")</f>
        <v/>
      </c>
      <c r="G263" s="81">
        <f>IFERROR(INDEX('QS Takeoff'!$J$3:$J$202,MATCH(B263,'QS Takeoff'!$B$3:$B$202,0)),"")</f>
        <v/>
      </c>
      <c r="H263" s="53" t="n"/>
      <c r="I263" s="60" t="n"/>
      <c r="J263" s="60" t="n"/>
      <c r="K263" s="82">
        <f>IF(OR(B263="",I263="",I263=0),"",E263/I263)</f>
        <v/>
      </c>
      <c r="L263" s="60" t="n"/>
      <c r="M263" s="82">
        <f>IF(L263&gt;0,L263,K263)</f>
        <v/>
      </c>
      <c r="N263" s="53" t="n"/>
      <c r="O263" s="53" t="n"/>
      <c r="P263" s="53" t="n"/>
      <c r="Q263" s="81">
        <f>IFERROR(INDEX('Resource Rate Library'!$C$5:$C$200,MATCH(P263,'Resource Rate Library'!$A$5:$A$200,0)),"")</f>
        <v/>
      </c>
      <c r="R263" s="53" t="n"/>
      <c r="S263" s="53" t="n"/>
      <c r="T263" s="81">
        <f>IFERROR(INDEX('Resource Rate Library'!$E$5:$E$200,MATCH(P263,'Resource Rate Library'!$A$5:$A$200,0)),"")</f>
        <v/>
      </c>
      <c r="U263" s="1441" t="n"/>
      <c r="V263" s="1441" t="n"/>
      <c r="W263" s="1442">
        <f>IFERROR(INDEX('Resource Rate Library'!$I$5:$I$200,MATCH(P263,'Resource Rate Library'!$A$5:$A$200,0)),0)</f>
        <v/>
      </c>
      <c r="X263" s="1443" t="n"/>
      <c r="Y263" s="1442">
        <f>IF(X263&gt;0,X263,W263)</f>
        <v/>
      </c>
      <c r="Z263" s="1442">
        <f>IF(B263="","",IF(N263="Time x Count",M263*R263*IF(U263="",1,U263)*Y263,IF(N263="QS Qty x Factor",E263*R263*(1+IF(V263="",0,V263))*Y263,IF(N263="Direct Qty",S263*(1+IF(V263="",0,V263))*Y263,IF(N263="Lump Sum / Quote",S263*Y263,0)))))</f>
        <v/>
      </c>
      <c r="AA263" s="81">
        <f>IFERROR(INDEX('Resource Rate Library'!$N$5:$N$200,MATCH(P263,'Resource Rate Library'!$A$5:$A$200,0)),"")</f>
        <v/>
      </c>
      <c r="AB263" s="53" t="n"/>
      <c r="AC263" s="59" t="n"/>
      <c r="AD263" s="81">
        <f>IFERROR(INDEX('Resource Rate Library'!$G$5:$G$200,MATCH(P263,'Resource Rate Library'!$A$5:$A$200,0)),"")</f>
        <v/>
      </c>
      <c r="AE263" s="81">
        <f>IFERROR(INDEX('Resource Rate Library'!$H$5:$H$200,MATCH(P263,'Resource Rate Library'!$A$5:$A$200,0)),"")</f>
        <v/>
      </c>
      <c r="AF263" s="53" t="n"/>
      <c r="AG263" s="53" t="n"/>
      <c r="AH263" s="53" t="n"/>
      <c r="AI263" s="81">
        <f>IF(B263="","",IF(AND(P263="",N263&lt;&gt;"Lump Sum / Quote"),"RESOURCE CODE",IF(Y263=0,"RATE MISSING",IF(AND(O263="Plant",AD263="Yes",COUNTIFS($B$7:$B$306,B263,$O$7:$O$306,"Labour",$Q$7:$Q$306,"*Operator*")&gt;0),"OPERATOR DOUBLE-COUNT",IF(AND(O263="Plant",AE263="Yes",COUNTIFS($B$7:$B$306,B263,$Q$7:$Q$306,"*Fuel*")&gt;0),"FUEL DOUBLE-COUNT",IF(AH263&lt;&gt;"Yes","VERIFY","OK"))))))</f>
        <v/>
      </c>
      <c r="AJ263" s="54" t="n"/>
      <c r="AK263" s="473" t="n"/>
      <c r="AL263" s="473" t="n"/>
      <c r="AM263" s="473" t="n"/>
      <c r="AN263" s="1444">
        <f>IF(AND(AK263="Yes",OR(O263="Labour",O263="Plant")),Z263,0)</f>
        <v/>
      </c>
    </row>
    <row r="264">
      <c r="A264" s="80">
        <f>IF(B264="","",B264&amp;"-"&amp;TEXT(COUNTIF($B$7:B264,B264),"000"))</f>
        <v/>
      </c>
      <c r="B264" s="53" t="n"/>
      <c r="C264" s="81">
        <f>IFERROR(INDEX('QS Takeoff'!$A$3:$A$202,MATCH(B264,'QS Takeoff'!$B$3:$B$202,0)),"")</f>
        <v/>
      </c>
      <c r="D264" s="81">
        <f>IFERROR(INDEX('QS Takeoff'!$C$3:$C$202,MATCH(B264,'QS Takeoff'!$B$3:$B$202,0)),"")</f>
        <v/>
      </c>
      <c r="E264" s="81">
        <f>IFERROR(INDEX('QS Takeoff'!$E$3:$E$202,MATCH(B264,'QS Takeoff'!$B$3:$B$202,0)),"")</f>
        <v/>
      </c>
      <c r="F264" s="81">
        <f>IFERROR(INDEX('QS Takeoff'!$D$3:$D$202,MATCH(B264,'QS Takeoff'!$B$3:$B$202,0)),"")</f>
        <v/>
      </c>
      <c r="G264" s="81">
        <f>IFERROR(INDEX('QS Takeoff'!$J$3:$J$202,MATCH(B264,'QS Takeoff'!$B$3:$B$202,0)),"")</f>
        <v/>
      </c>
      <c r="H264" s="53" t="n"/>
      <c r="I264" s="60" t="n"/>
      <c r="J264" s="60" t="n"/>
      <c r="K264" s="82">
        <f>IF(OR(B264="",I264="",I264=0),"",E264/I264)</f>
        <v/>
      </c>
      <c r="L264" s="60" t="n"/>
      <c r="M264" s="82">
        <f>IF(L264&gt;0,L264,K264)</f>
        <v/>
      </c>
      <c r="N264" s="53" t="n"/>
      <c r="O264" s="53" t="n"/>
      <c r="P264" s="53" t="n"/>
      <c r="Q264" s="81">
        <f>IFERROR(INDEX('Resource Rate Library'!$C$5:$C$200,MATCH(P264,'Resource Rate Library'!$A$5:$A$200,0)),"")</f>
        <v/>
      </c>
      <c r="R264" s="53" t="n"/>
      <c r="S264" s="53" t="n"/>
      <c r="T264" s="81">
        <f>IFERROR(INDEX('Resource Rate Library'!$E$5:$E$200,MATCH(P264,'Resource Rate Library'!$A$5:$A$200,0)),"")</f>
        <v/>
      </c>
      <c r="U264" s="1441" t="n"/>
      <c r="V264" s="1441" t="n"/>
      <c r="W264" s="1442">
        <f>IFERROR(INDEX('Resource Rate Library'!$I$5:$I$200,MATCH(P264,'Resource Rate Library'!$A$5:$A$200,0)),0)</f>
        <v/>
      </c>
      <c r="X264" s="1443" t="n"/>
      <c r="Y264" s="1442">
        <f>IF(X264&gt;0,X264,W264)</f>
        <v/>
      </c>
      <c r="Z264" s="1442">
        <f>IF(B264="","",IF(N264="Time x Count",M264*R264*IF(U264="",1,U264)*Y264,IF(N264="QS Qty x Factor",E264*R264*(1+IF(V264="",0,V264))*Y264,IF(N264="Direct Qty",S264*(1+IF(V264="",0,V264))*Y264,IF(N264="Lump Sum / Quote",S264*Y264,0)))))</f>
        <v/>
      </c>
      <c r="AA264" s="81">
        <f>IFERROR(INDEX('Resource Rate Library'!$N$5:$N$200,MATCH(P264,'Resource Rate Library'!$A$5:$A$200,0)),"")</f>
        <v/>
      </c>
      <c r="AB264" s="53" t="n"/>
      <c r="AC264" s="59" t="n"/>
      <c r="AD264" s="81">
        <f>IFERROR(INDEX('Resource Rate Library'!$G$5:$G$200,MATCH(P264,'Resource Rate Library'!$A$5:$A$200,0)),"")</f>
        <v/>
      </c>
      <c r="AE264" s="81">
        <f>IFERROR(INDEX('Resource Rate Library'!$H$5:$H$200,MATCH(P264,'Resource Rate Library'!$A$5:$A$200,0)),"")</f>
        <v/>
      </c>
      <c r="AF264" s="53" t="n"/>
      <c r="AG264" s="53" t="n"/>
      <c r="AH264" s="53" t="n"/>
      <c r="AI264" s="81">
        <f>IF(B264="","",IF(AND(P264="",N264&lt;&gt;"Lump Sum / Quote"),"RESOURCE CODE",IF(Y264=0,"RATE MISSING",IF(AND(O264="Plant",AD264="Yes",COUNTIFS($B$7:$B$306,B264,$O$7:$O$306,"Labour",$Q$7:$Q$306,"*Operator*")&gt;0),"OPERATOR DOUBLE-COUNT",IF(AND(O264="Plant",AE264="Yes",COUNTIFS($B$7:$B$306,B264,$Q$7:$Q$306,"*Fuel*")&gt;0),"FUEL DOUBLE-COUNT",IF(AH264&lt;&gt;"Yes","VERIFY","OK"))))))</f>
        <v/>
      </c>
      <c r="AJ264" s="54" t="n"/>
      <c r="AK264" s="473" t="n"/>
      <c r="AL264" s="473" t="n"/>
      <c r="AM264" s="473" t="n"/>
      <c r="AN264" s="1444">
        <f>IF(AND(AK264="Yes",OR(O264="Labour",O264="Plant")),Z264,0)</f>
        <v/>
      </c>
    </row>
    <row r="265">
      <c r="A265" s="80">
        <f>IF(B265="","",B265&amp;"-"&amp;TEXT(COUNTIF($B$7:B265,B265),"000"))</f>
        <v/>
      </c>
      <c r="B265" s="53" t="n"/>
      <c r="C265" s="81">
        <f>IFERROR(INDEX('QS Takeoff'!$A$3:$A$202,MATCH(B265,'QS Takeoff'!$B$3:$B$202,0)),"")</f>
        <v/>
      </c>
      <c r="D265" s="81">
        <f>IFERROR(INDEX('QS Takeoff'!$C$3:$C$202,MATCH(B265,'QS Takeoff'!$B$3:$B$202,0)),"")</f>
        <v/>
      </c>
      <c r="E265" s="81">
        <f>IFERROR(INDEX('QS Takeoff'!$E$3:$E$202,MATCH(B265,'QS Takeoff'!$B$3:$B$202,0)),"")</f>
        <v/>
      </c>
      <c r="F265" s="81">
        <f>IFERROR(INDEX('QS Takeoff'!$D$3:$D$202,MATCH(B265,'QS Takeoff'!$B$3:$B$202,0)),"")</f>
        <v/>
      </c>
      <c r="G265" s="81">
        <f>IFERROR(INDEX('QS Takeoff'!$J$3:$J$202,MATCH(B265,'QS Takeoff'!$B$3:$B$202,0)),"")</f>
        <v/>
      </c>
      <c r="H265" s="53" t="n"/>
      <c r="I265" s="60" t="n"/>
      <c r="J265" s="60" t="n"/>
      <c r="K265" s="82">
        <f>IF(OR(B265="",I265="",I265=0),"",E265/I265)</f>
        <v/>
      </c>
      <c r="L265" s="60" t="n"/>
      <c r="M265" s="82">
        <f>IF(L265&gt;0,L265,K265)</f>
        <v/>
      </c>
      <c r="N265" s="53" t="n"/>
      <c r="O265" s="53" t="n"/>
      <c r="P265" s="53" t="n"/>
      <c r="Q265" s="81">
        <f>IFERROR(INDEX('Resource Rate Library'!$C$5:$C$200,MATCH(P265,'Resource Rate Library'!$A$5:$A$200,0)),"")</f>
        <v/>
      </c>
      <c r="R265" s="53" t="n"/>
      <c r="S265" s="53" t="n"/>
      <c r="T265" s="81">
        <f>IFERROR(INDEX('Resource Rate Library'!$E$5:$E$200,MATCH(P265,'Resource Rate Library'!$A$5:$A$200,0)),"")</f>
        <v/>
      </c>
      <c r="U265" s="1441" t="n"/>
      <c r="V265" s="1441" t="n"/>
      <c r="W265" s="1442">
        <f>IFERROR(INDEX('Resource Rate Library'!$I$5:$I$200,MATCH(P265,'Resource Rate Library'!$A$5:$A$200,0)),0)</f>
        <v/>
      </c>
      <c r="X265" s="1443" t="n"/>
      <c r="Y265" s="1442">
        <f>IF(X265&gt;0,X265,W265)</f>
        <v/>
      </c>
      <c r="Z265" s="1442">
        <f>IF(B265="","",IF(N265="Time x Count",M265*R265*IF(U265="",1,U265)*Y265,IF(N265="QS Qty x Factor",E265*R265*(1+IF(V265="",0,V265))*Y265,IF(N265="Direct Qty",S265*(1+IF(V265="",0,V265))*Y265,IF(N265="Lump Sum / Quote",S265*Y265,0)))))</f>
        <v/>
      </c>
      <c r="AA265" s="81">
        <f>IFERROR(INDEX('Resource Rate Library'!$N$5:$N$200,MATCH(P265,'Resource Rate Library'!$A$5:$A$200,0)),"")</f>
        <v/>
      </c>
      <c r="AB265" s="53" t="n"/>
      <c r="AC265" s="59" t="n"/>
      <c r="AD265" s="81">
        <f>IFERROR(INDEX('Resource Rate Library'!$G$5:$G$200,MATCH(P265,'Resource Rate Library'!$A$5:$A$200,0)),"")</f>
        <v/>
      </c>
      <c r="AE265" s="81">
        <f>IFERROR(INDEX('Resource Rate Library'!$H$5:$H$200,MATCH(P265,'Resource Rate Library'!$A$5:$A$200,0)),"")</f>
        <v/>
      </c>
      <c r="AF265" s="53" t="n"/>
      <c r="AG265" s="53" t="n"/>
      <c r="AH265" s="53" t="n"/>
      <c r="AI265" s="81">
        <f>IF(B265="","",IF(AND(P265="",N265&lt;&gt;"Lump Sum / Quote"),"RESOURCE CODE",IF(Y265=0,"RATE MISSING",IF(AND(O265="Plant",AD265="Yes",COUNTIFS($B$7:$B$306,B265,$O$7:$O$306,"Labour",$Q$7:$Q$306,"*Operator*")&gt;0),"OPERATOR DOUBLE-COUNT",IF(AND(O265="Plant",AE265="Yes",COUNTIFS($B$7:$B$306,B265,$Q$7:$Q$306,"*Fuel*")&gt;0),"FUEL DOUBLE-COUNT",IF(AH265&lt;&gt;"Yes","VERIFY","OK"))))))</f>
        <v/>
      </c>
      <c r="AJ265" s="54" t="n"/>
      <c r="AK265" s="473" t="n"/>
      <c r="AL265" s="473" t="n"/>
      <c r="AM265" s="473" t="n"/>
      <c r="AN265" s="1444">
        <f>IF(AND(AK265="Yes",OR(O265="Labour",O265="Plant")),Z265,0)</f>
        <v/>
      </c>
    </row>
    <row r="266">
      <c r="A266" s="80">
        <f>IF(B266="","",B266&amp;"-"&amp;TEXT(COUNTIF($B$7:B266,B266),"000"))</f>
        <v/>
      </c>
      <c r="B266" s="53" t="n"/>
      <c r="C266" s="81">
        <f>IFERROR(INDEX('QS Takeoff'!$A$3:$A$202,MATCH(B266,'QS Takeoff'!$B$3:$B$202,0)),"")</f>
        <v/>
      </c>
      <c r="D266" s="81">
        <f>IFERROR(INDEX('QS Takeoff'!$C$3:$C$202,MATCH(B266,'QS Takeoff'!$B$3:$B$202,0)),"")</f>
        <v/>
      </c>
      <c r="E266" s="81">
        <f>IFERROR(INDEX('QS Takeoff'!$E$3:$E$202,MATCH(B266,'QS Takeoff'!$B$3:$B$202,0)),"")</f>
        <v/>
      </c>
      <c r="F266" s="81">
        <f>IFERROR(INDEX('QS Takeoff'!$D$3:$D$202,MATCH(B266,'QS Takeoff'!$B$3:$B$202,0)),"")</f>
        <v/>
      </c>
      <c r="G266" s="81">
        <f>IFERROR(INDEX('QS Takeoff'!$J$3:$J$202,MATCH(B266,'QS Takeoff'!$B$3:$B$202,0)),"")</f>
        <v/>
      </c>
      <c r="H266" s="53" t="n"/>
      <c r="I266" s="60" t="n"/>
      <c r="J266" s="60" t="n"/>
      <c r="K266" s="82">
        <f>IF(OR(B266="",I266="",I266=0),"",E266/I266)</f>
        <v/>
      </c>
      <c r="L266" s="60" t="n"/>
      <c r="M266" s="82">
        <f>IF(L266&gt;0,L266,K266)</f>
        <v/>
      </c>
      <c r="N266" s="53" t="n"/>
      <c r="O266" s="53" t="n"/>
      <c r="P266" s="53" t="n"/>
      <c r="Q266" s="81">
        <f>IFERROR(INDEX('Resource Rate Library'!$C$5:$C$200,MATCH(P266,'Resource Rate Library'!$A$5:$A$200,0)),"")</f>
        <v/>
      </c>
      <c r="R266" s="53" t="n"/>
      <c r="S266" s="53" t="n"/>
      <c r="T266" s="81">
        <f>IFERROR(INDEX('Resource Rate Library'!$E$5:$E$200,MATCH(P266,'Resource Rate Library'!$A$5:$A$200,0)),"")</f>
        <v/>
      </c>
      <c r="U266" s="1441" t="n"/>
      <c r="V266" s="1441" t="n"/>
      <c r="W266" s="1442">
        <f>IFERROR(INDEX('Resource Rate Library'!$I$5:$I$200,MATCH(P266,'Resource Rate Library'!$A$5:$A$200,0)),0)</f>
        <v/>
      </c>
      <c r="X266" s="1443" t="n"/>
      <c r="Y266" s="1442">
        <f>IF(X266&gt;0,X266,W266)</f>
        <v/>
      </c>
      <c r="Z266" s="1442">
        <f>IF(B266="","",IF(N266="Time x Count",M266*R266*IF(U266="",1,U266)*Y266,IF(N266="QS Qty x Factor",E266*R266*(1+IF(V266="",0,V266))*Y266,IF(N266="Direct Qty",S266*(1+IF(V266="",0,V266))*Y266,IF(N266="Lump Sum / Quote",S266*Y266,0)))))</f>
        <v/>
      </c>
      <c r="AA266" s="81">
        <f>IFERROR(INDEX('Resource Rate Library'!$N$5:$N$200,MATCH(P266,'Resource Rate Library'!$A$5:$A$200,0)),"")</f>
        <v/>
      </c>
      <c r="AB266" s="53" t="n"/>
      <c r="AC266" s="59" t="n"/>
      <c r="AD266" s="81">
        <f>IFERROR(INDEX('Resource Rate Library'!$G$5:$G$200,MATCH(P266,'Resource Rate Library'!$A$5:$A$200,0)),"")</f>
        <v/>
      </c>
      <c r="AE266" s="81">
        <f>IFERROR(INDEX('Resource Rate Library'!$H$5:$H$200,MATCH(P266,'Resource Rate Library'!$A$5:$A$200,0)),"")</f>
        <v/>
      </c>
      <c r="AF266" s="53" t="n"/>
      <c r="AG266" s="53" t="n"/>
      <c r="AH266" s="53" t="n"/>
      <c r="AI266" s="81">
        <f>IF(B266="","",IF(AND(P266="",N266&lt;&gt;"Lump Sum / Quote"),"RESOURCE CODE",IF(Y266=0,"RATE MISSING",IF(AND(O266="Plant",AD266="Yes",COUNTIFS($B$7:$B$306,B266,$O$7:$O$306,"Labour",$Q$7:$Q$306,"*Operator*")&gt;0),"OPERATOR DOUBLE-COUNT",IF(AND(O266="Plant",AE266="Yes",COUNTIFS($B$7:$B$306,B266,$Q$7:$Q$306,"*Fuel*")&gt;0),"FUEL DOUBLE-COUNT",IF(AH266&lt;&gt;"Yes","VERIFY","OK"))))))</f>
        <v/>
      </c>
      <c r="AJ266" s="54" t="n"/>
      <c r="AK266" s="473" t="n"/>
      <c r="AL266" s="473" t="n"/>
      <c r="AM266" s="473" t="n"/>
      <c r="AN266" s="1444">
        <f>IF(AND(AK266="Yes",OR(O266="Labour",O266="Plant")),Z266,0)</f>
        <v/>
      </c>
    </row>
    <row r="267">
      <c r="A267" s="80">
        <f>IF(B267="","",B267&amp;"-"&amp;TEXT(COUNTIF($B$7:B267,B267),"000"))</f>
        <v/>
      </c>
      <c r="B267" s="53" t="n"/>
      <c r="C267" s="81">
        <f>IFERROR(INDEX('QS Takeoff'!$A$3:$A$202,MATCH(B267,'QS Takeoff'!$B$3:$B$202,0)),"")</f>
        <v/>
      </c>
      <c r="D267" s="81">
        <f>IFERROR(INDEX('QS Takeoff'!$C$3:$C$202,MATCH(B267,'QS Takeoff'!$B$3:$B$202,0)),"")</f>
        <v/>
      </c>
      <c r="E267" s="81">
        <f>IFERROR(INDEX('QS Takeoff'!$E$3:$E$202,MATCH(B267,'QS Takeoff'!$B$3:$B$202,0)),"")</f>
        <v/>
      </c>
      <c r="F267" s="81">
        <f>IFERROR(INDEX('QS Takeoff'!$D$3:$D$202,MATCH(B267,'QS Takeoff'!$B$3:$B$202,0)),"")</f>
        <v/>
      </c>
      <c r="G267" s="81">
        <f>IFERROR(INDEX('QS Takeoff'!$J$3:$J$202,MATCH(B267,'QS Takeoff'!$B$3:$B$202,0)),"")</f>
        <v/>
      </c>
      <c r="H267" s="53" t="n"/>
      <c r="I267" s="60" t="n"/>
      <c r="J267" s="60" t="n"/>
      <c r="K267" s="82">
        <f>IF(OR(B267="",I267="",I267=0),"",E267/I267)</f>
        <v/>
      </c>
      <c r="L267" s="60" t="n"/>
      <c r="M267" s="82">
        <f>IF(L267&gt;0,L267,K267)</f>
        <v/>
      </c>
      <c r="N267" s="53" t="n"/>
      <c r="O267" s="53" t="n"/>
      <c r="P267" s="53" t="n"/>
      <c r="Q267" s="81">
        <f>IFERROR(INDEX('Resource Rate Library'!$C$5:$C$200,MATCH(P267,'Resource Rate Library'!$A$5:$A$200,0)),"")</f>
        <v/>
      </c>
      <c r="R267" s="53" t="n"/>
      <c r="S267" s="53" t="n"/>
      <c r="T267" s="81">
        <f>IFERROR(INDEX('Resource Rate Library'!$E$5:$E$200,MATCH(P267,'Resource Rate Library'!$A$5:$A$200,0)),"")</f>
        <v/>
      </c>
      <c r="U267" s="1441" t="n"/>
      <c r="V267" s="1441" t="n"/>
      <c r="W267" s="1442">
        <f>IFERROR(INDEX('Resource Rate Library'!$I$5:$I$200,MATCH(P267,'Resource Rate Library'!$A$5:$A$200,0)),0)</f>
        <v/>
      </c>
      <c r="X267" s="1443" t="n"/>
      <c r="Y267" s="1442">
        <f>IF(X267&gt;0,X267,W267)</f>
        <v/>
      </c>
      <c r="Z267" s="1442">
        <f>IF(B267="","",IF(N267="Time x Count",M267*R267*IF(U267="",1,U267)*Y267,IF(N267="QS Qty x Factor",E267*R267*(1+IF(V267="",0,V267))*Y267,IF(N267="Direct Qty",S267*(1+IF(V267="",0,V267))*Y267,IF(N267="Lump Sum / Quote",S267*Y267,0)))))</f>
        <v/>
      </c>
      <c r="AA267" s="81">
        <f>IFERROR(INDEX('Resource Rate Library'!$N$5:$N$200,MATCH(P267,'Resource Rate Library'!$A$5:$A$200,0)),"")</f>
        <v/>
      </c>
      <c r="AB267" s="53" t="n"/>
      <c r="AC267" s="59" t="n"/>
      <c r="AD267" s="81">
        <f>IFERROR(INDEX('Resource Rate Library'!$G$5:$G$200,MATCH(P267,'Resource Rate Library'!$A$5:$A$200,0)),"")</f>
        <v/>
      </c>
      <c r="AE267" s="81">
        <f>IFERROR(INDEX('Resource Rate Library'!$H$5:$H$200,MATCH(P267,'Resource Rate Library'!$A$5:$A$200,0)),"")</f>
        <v/>
      </c>
      <c r="AF267" s="53" t="n"/>
      <c r="AG267" s="53" t="n"/>
      <c r="AH267" s="53" t="n"/>
      <c r="AI267" s="81">
        <f>IF(B267="","",IF(AND(P267="",N267&lt;&gt;"Lump Sum / Quote"),"RESOURCE CODE",IF(Y267=0,"RATE MISSING",IF(AND(O267="Plant",AD267="Yes",COUNTIFS($B$7:$B$306,B267,$O$7:$O$306,"Labour",$Q$7:$Q$306,"*Operator*")&gt;0),"OPERATOR DOUBLE-COUNT",IF(AND(O267="Plant",AE267="Yes",COUNTIFS($B$7:$B$306,B267,$Q$7:$Q$306,"*Fuel*")&gt;0),"FUEL DOUBLE-COUNT",IF(AH267&lt;&gt;"Yes","VERIFY","OK"))))))</f>
        <v/>
      </c>
      <c r="AJ267" s="54" t="n"/>
      <c r="AK267" s="473" t="n"/>
      <c r="AL267" s="473" t="n"/>
      <c r="AM267" s="473" t="n"/>
      <c r="AN267" s="1444">
        <f>IF(AND(AK267="Yes",OR(O267="Labour",O267="Plant")),Z267,0)</f>
        <v/>
      </c>
    </row>
    <row r="268">
      <c r="A268" s="80">
        <f>IF(B268="","",B268&amp;"-"&amp;TEXT(COUNTIF($B$7:B268,B268),"000"))</f>
        <v/>
      </c>
      <c r="B268" s="53" t="n"/>
      <c r="C268" s="81">
        <f>IFERROR(INDEX('QS Takeoff'!$A$3:$A$202,MATCH(B268,'QS Takeoff'!$B$3:$B$202,0)),"")</f>
        <v/>
      </c>
      <c r="D268" s="81">
        <f>IFERROR(INDEX('QS Takeoff'!$C$3:$C$202,MATCH(B268,'QS Takeoff'!$B$3:$B$202,0)),"")</f>
        <v/>
      </c>
      <c r="E268" s="81">
        <f>IFERROR(INDEX('QS Takeoff'!$E$3:$E$202,MATCH(B268,'QS Takeoff'!$B$3:$B$202,0)),"")</f>
        <v/>
      </c>
      <c r="F268" s="81">
        <f>IFERROR(INDEX('QS Takeoff'!$D$3:$D$202,MATCH(B268,'QS Takeoff'!$B$3:$B$202,0)),"")</f>
        <v/>
      </c>
      <c r="G268" s="81">
        <f>IFERROR(INDEX('QS Takeoff'!$J$3:$J$202,MATCH(B268,'QS Takeoff'!$B$3:$B$202,0)),"")</f>
        <v/>
      </c>
      <c r="H268" s="53" t="n"/>
      <c r="I268" s="60" t="n"/>
      <c r="J268" s="60" t="n"/>
      <c r="K268" s="82">
        <f>IF(OR(B268="",I268="",I268=0),"",E268/I268)</f>
        <v/>
      </c>
      <c r="L268" s="60" t="n"/>
      <c r="M268" s="82">
        <f>IF(L268&gt;0,L268,K268)</f>
        <v/>
      </c>
      <c r="N268" s="53" t="n"/>
      <c r="O268" s="53" t="n"/>
      <c r="P268" s="53" t="n"/>
      <c r="Q268" s="81">
        <f>IFERROR(INDEX('Resource Rate Library'!$C$5:$C$200,MATCH(P268,'Resource Rate Library'!$A$5:$A$200,0)),"")</f>
        <v/>
      </c>
      <c r="R268" s="53" t="n"/>
      <c r="S268" s="53" t="n"/>
      <c r="T268" s="81">
        <f>IFERROR(INDEX('Resource Rate Library'!$E$5:$E$200,MATCH(P268,'Resource Rate Library'!$A$5:$A$200,0)),"")</f>
        <v/>
      </c>
      <c r="U268" s="1441" t="n"/>
      <c r="V268" s="1441" t="n"/>
      <c r="W268" s="1442">
        <f>IFERROR(INDEX('Resource Rate Library'!$I$5:$I$200,MATCH(P268,'Resource Rate Library'!$A$5:$A$200,0)),0)</f>
        <v/>
      </c>
      <c r="X268" s="1443" t="n"/>
      <c r="Y268" s="1442">
        <f>IF(X268&gt;0,X268,W268)</f>
        <v/>
      </c>
      <c r="Z268" s="1442">
        <f>IF(B268="","",IF(N268="Time x Count",M268*R268*IF(U268="",1,U268)*Y268,IF(N268="QS Qty x Factor",E268*R268*(1+IF(V268="",0,V268))*Y268,IF(N268="Direct Qty",S268*(1+IF(V268="",0,V268))*Y268,IF(N268="Lump Sum / Quote",S268*Y268,0)))))</f>
        <v/>
      </c>
      <c r="AA268" s="81">
        <f>IFERROR(INDEX('Resource Rate Library'!$N$5:$N$200,MATCH(P268,'Resource Rate Library'!$A$5:$A$200,0)),"")</f>
        <v/>
      </c>
      <c r="AB268" s="53" t="n"/>
      <c r="AC268" s="59" t="n"/>
      <c r="AD268" s="81">
        <f>IFERROR(INDEX('Resource Rate Library'!$G$5:$G$200,MATCH(P268,'Resource Rate Library'!$A$5:$A$200,0)),"")</f>
        <v/>
      </c>
      <c r="AE268" s="81">
        <f>IFERROR(INDEX('Resource Rate Library'!$H$5:$H$200,MATCH(P268,'Resource Rate Library'!$A$5:$A$200,0)),"")</f>
        <v/>
      </c>
      <c r="AF268" s="53" t="n"/>
      <c r="AG268" s="53" t="n"/>
      <c r="AH268" s="53" t="n"/>
      <c r="AI268" s="81">
        <f>IF(B268="","",IF(AND(P268="",N268&lt;&gt;"Lump Sum / Quote"),"RESOURCE CODE",IF(Y268=0,"RATE MISSING",IF(AND(O268="Plant",AD268="Yes",COUNTIFS($B$7:$B$306,B268,$O$7:$O$306,"Labour",$Q$7:$Q$306,"*Operator*")&gt;0),"OPERATOR DOUBLE-COUNT",IF(AND(O268="Plant",AE268="Yes",COUNTIFS($B$7:$B$306,B268,$Q$7:$Q$306,"*Fuel*")&gt;0),"FUEL DOUBLE-COUNT",IF(AH268&lt;&gt;"Yes","VERIFY","OK"))))))</f>
        <v/>
      </c>
      <c r="AJ268" s="54" t="n"/>
      <c r="AK268" s="473" t="n"/>
      <c r="AL268" s="473" t="n"/>
      <c r="AM268" s="473" t="n"/>
      <c r="AN268" s="1444">
        <f>IF(AND(AK268="Yes",OR(O268="Labour",O268="Plant")),Z268,0)</f>
        <v/>
      </c>
    </row>
    <row r="269">
      <c r="A269" s="80">
        <f>IF(B269="","",B269&amp;"-"&amp;TEXT(COUNTIF($B$7:B269,B269),"000"))</f>
        <v/>
      </c>
      <c r="B269" s="53" t="n"/>
      <c r="C269" s="81">
        <f>IFERROR(INDEX('QS Takeoff'!$A$3:$A$202,MATCH(B269,'QS Takeoff'!$B$3:$B$202,0)),"")</f>
        <v/>
      </c>
      <c r="D269" s="81">
        <f>IFERROR(INDEX('QS Takeoff'!$C$3:$C$202,MATCH(B269,'QS Takeoff'!$B$3:$B$202,0)),"")</f>
        <v/>
      </c>
      <c r="E269" s="81">
        <f>IFERROR(INDEX('QS Takeoff'!$E$3:$E$202,MATCH(B269,'QS Takeoff'!$B$3:$B$202,0)),"")</f>
        <v/>
      </c>
      <c r="F269" s="81">
        <f>IFERROR(INDEX('QS Takeoff'!$D$3:$D$202,MATCH(B269,'QS Takeoff'!$B$3:$B$202,0)),"")</f>
        <v/>
      </c>
      <c r="G269" s="81">
        <f>IFERROR(INDEX('QS Takeoff'!$J$3:$J$202,MATCH(B269,'QS Takeoff'!$B$3:$B$202,0)),"")</f>
        <v/>
      </c>
      <c r="H269" s="53" t="n"/>
      <c r="I269" s="60" t="n"/>
      <c r="J269" s="60" t="n"/>
      <c r="K269" s="82">
        <f>IF(OR(B269="",I269="",I269=0),"",E269/I269)</f>
        <v/>
      </c>
      <c r="L269" s="60" t="n"/>
      <c r="M269" s="82">
        <f>IF(L269&gt;0,L269,K269)</f>
        <v/>
      </c>
      <c r="N269" s="53" t="n"/>
      <c r="O269" s="53" t="n"/>
      <c r="P269" s="53" t="n"/>
      <c r="Q269" s="81">
        <f>IFERROR(INDEX('Resource Rate Library'!$C$5:$C$200,MATCH(P269,'Resource Rate Library'!$A$5:$A$200,0)),"")</f>
        <v/>
      </c>
      <c r="R269" s="53" t="n"/>
      <c r="S269" s="53" t="n"/>
      <c r="T269" s="81">
        <f>IFERROR(INDEX('Resource Rate Library'!$E$5:$E$200,MATCH(P269,'Resource Rate Library'!$A$5:$A$200,0)),"")</f>
        <v/>
      </c>
      <c r="U269" s="1441" t="n"/>
      <c r="V269" s="1441" t="n"/>
      <c r="W269" s="1442">
        <f>IFERROR(INDEX('Resource Rate Library'!$I$5:$I$200,MATCH(P269,'Resource Rate Library'!$A$5:$A$200,0)),0)</f>
        <v/>
      </c>
      <c r="X269" s="1443" t="n"/>
      <c r="Y269" s="1442">
        <f>IF(X269&gt;0,X269,W269)</f>
        <v/>
      </c>
      <c r="Z269" s="1442">
        <f>IF(B269="","",IF(N269="Time x Count",M269*R269*IF(U269="",1,U269)*Y269,IF(N269="QS Qty x Factor",E269*R269*(1+IF(V269="",0,V269))*Y269,IF(N269="Direct Qty",S269*(1+IF(V269="",0,V269))*Y269,IF(N269="Lump Sum / Quote",S269*Y269,0)))))</f>
        <v/>
      </c>
      <c r="AA269" s="81">
        <f>IFERROR(INDEX('Resource Rate Library'!$N$5:$N$200,MATCH(P269,'Resource Rate Library'!$A$5:$A$200,0)),"")</f>
        <v/>
      </c>
      <c r="AB269" s="53" t="n"/>
      <c r="AC269" s="59" t="n"/>
      <c r="AD269" s="81">
        <f>IFERROR(INDEX('Resource Rate Library'!$G$5:$G$200,MATCH(P269,'Resource Rate Library'!$A$5:$A$200,0)),"")</f>
        <v/>
      </c>
      <c r="AE269" s="81">
        <f>IFERROR(INDEX('Resource Rate Library'!$H$5:$H$200,MATCH(P269,'Resource Rate Library'!$A$5:$A$200,0)),"")</f>
        <v/>
      </c>
      <c r="AF269" s="53" t="n"/>
      <c r="AG269" s="53" t="n"/>
      <c r="AH269" s="53" t="n"/>
      <c r="AI269" s="81">
        <f>IF(B269="","",IF(AND(P269="",N269&lt;&gt;"Lump Sum / Quote"),"RESOURCE CODE",IF(Y269=0,"RATE MISSING",IF(AND(O269="Plant",AD269="Yes",COUNTIFS($B$7:$B$306,B269,$O$7:$O$306,"Labour",$Q$7:$Q$306,"*Operator*")&gt;0),"OPERATOR DOUBLE-COUNT",IF(AND(O269="Plant",AE269="Yes",COUNTIFS($B$7:$B$306,B269,$Q$7:$Q$306,"*Fuel*")&gt;0),"FUEL DOUBLE-COUNT",IF(AH269&lt;&gt;"Yes","VERIFY","OK"))))))</f>
        <v/>
      </c>
      <c r="AJ269" s="54" t="n"/>
      <c r="AK269" s="473" t="n"/>
      <c r="AL269" s="473" t="n"/>
      <c r="AM269" s="473" t="n"/>
      <c r="AN269" s="1444">
        <f>IF(AND(AK269="Yes",OR(O269="Labour",O269="Plant")),Z269,0)</f>
        <v/>
      </c>
    </row>
    <row r="270">
      <c r="A270" s="80">
        <f>IF(B270="","",B270&amp;"-"&amp;TEXT(COUNTIF($B$7:B270,B270),"000"))</f>
        <v/>
      </c>
      <c r="B270" s="53" t="n"/>
      <c r="C270" s="81">
        <f>IFERROR(INDEX('QS Takeoff'!$A$3:$A$202,MATCH(B270,'QS Takeoff'!$B$3:$B$202,0)),"")</f>
        <v/>
      </c>
      <c r="D270" s="81">
        <f>IFERROR(INDEX('QS Takeoff'!$C$3:$C$202,MATCH(B270,'QS Takeoff'!$B$3:$B$202,0)),"")</f>
        <v/>
      </c>
      <c r="E270" s="81">
        <f>IFERROR(INDEX('QS Takeoff'!$E$3:$E$202,MATCH(B270,'QS Takeoff'!$B$3:$B$202,0)),"")</f>
        <v/>
      </c>
      <c r="F270" s="81">
        <f>IFERROR(INDEX('QS Takeoff'!$D$3:$D$202,MATCH(B270,'QS Takeoff'!$B$3:$B$202,0)),"")</f>
        <v/>
      </c>
      <c r="G270" s="81">
        <f>IFERROR(INDEX('QS Takeoff'!$J$3:$J$202,MATCH(B270,'QS Takeoff'!$B$3:$B$202,0)),"")</f>
        <v/>
      </c>
      <c r="H270" s="53" t="n"/>
      <c r="I270" s="60" t="n"/>
      <c r="J270" s="60" t="n"/>
      <c r="K270" s="82">
        <f>IF(OR(B270="",I270="",I270=0),"",E270/I270)</f>
        <v/>
      </c>
      <c r="L270" s="60" t="n"/>
      <c r="M270" s="82">
        <f>IF(L270&gt;0,L270,K270)</f>
        <v/>
      </c>
      <c r="N270" s="53" t="n"/>
      <c r="O270" s="53" t="n"/>
      <c r="P270" s="53" t="n"/>
      <c r="Q270" s="81">
        <f>IFERROR(INDEX('Resource Rate Library'!$C$5:$C$200,MATCH(P270,'Resource Rate Library'!$A$5:$A$200,0)),"")</f>
        <v/>
      </c>
      <c r="R270" s="53" t="n"/>
      <c r="S270" s="53" t="n"/>
      <c r="T270" s="81">
        <f>IFERROR(INDEX('Resource Rate Library'!$E$5:$E$200,MATCH(P270,'Resource Rate Library'!$A$5:$A$200,0)),"")</f>
        <v/>
      </c>
      <c r="U270" s="1441" t="n"/>
      <c r="V270" s="1441" t="n"/>
      <c r="W270" s="1442">
        <f>IFERROR(INDEX('Resource Rate Library'!$I$5:$I$200,MATCH(P270,'Resource Rate Library'!$A$5:$A$200,0)),0)</f>
        <v/>
      </c>
      <c r="X270" s="1443" t="n"/>
      <c r="Y270" s="1442">
        <f>IF(X270&gt;0,X270,W270)</f>
        <v/>
      </c>
      <c r="Z270" s="1442">
        <f>IF(B270="","",IF(N270="Time x Count",M270*R270*IF(U270="",1,U270)*Y270,IF(N270="QS Qty x Factor",E270*R270*(1+IF(V270="",0,V270))*Y270,IF(N270="Direct Qty",S270*(1+IF(V270="",0,V270))*Y270,IF(N270="Lump Sum / Quote",S270*Y270,0)))))</f>
        <v/>
      </c>
      <c r="AA270" s="81">
        <f>IFERROR(INDEX('Resource Rate Library'!$N$5:$N$200,MATCH(P270,'Resource Rate Library'!$A$5:$A$200,0)),"")</f>
        <v/>
      </c>
      <c r="AB270" s="53" t="n"/>
      <c r="AC270" s="59" t="n"/>
      <c r="AD270" s="81">
        <f>IFERROR(INDEX('Resource Rate Library'!$G$5:$G$200,MATCH(P270,'Resource Rate Library'!$A$5:$A$200,0)),"")</f>
        <v/>
      </c>
      <c r="AE270" s="81">
        <f>IFERROR(INDEX('Resource Rate Library'!$H$5:$H$200,MATCH(P270,'Resource Rate Library'!$A$5:$A$200,0)),"")</f>
        <v/>
      </c>
      <c r="AF270" s="53" t="n"/>
      <c r="AG270" s="53" t="n"/>
      <c r="AH270" s="53" t="n"/>
      <c r="AI270" s="81">
        <f>IF(B270="","",IF(AND(P270="",N270&lt;&gt;"Lump Sum / Quote"),"RESOURCE CODE",IF(Y270=0,"RATE MISSING",IF(AND(O270="Plant",AD270="Yes",COUNTIFS($B$7:$B$306,B270,$O$7:$O$306,"Labour",$Q$7:$Q$306,"*Operator*")&gt;0),"OPERATOR DOUBLE-COUNT",IF(AND(O270="Plant",AE270="Yes",COUNTIFS($B$7:$B$306,B270,$Q$7:$Q$306,"*Fuel*")&gt;0),"FUEL DOUBLE-COUNT",IF(AH270&lt;&gt;"Yes","VERIFY","OK"))))))</f>
        <v/>
      </c>
      <c r="AJ270" s="54" t="n"/>
      <c r="AK270" s="473" t="n"/>
      <c r="AL270" s="473" t="n"/>
      <c r="AM270" s="473" t="n"/>
      <c r="AN270" s="1444">
        <f>IF(AND(AK270="Yes",OR(O270="Labour",O270="Plant")),Z270,0)</f>
        <v/>
      </c>
    </row>
    <row r="271">
      <c r="A271" s="80">
        <f>IF(B271="","",B271&amp;"-"&amp;TEXT(COUNTIF($B$7:B271,B271),"000"))</f>
        <v/>
      </c>
      <c r="B271" s="53" t="n"/>
      <c r="C271" s="81">
        <f>IFERROR(INDEX('QS Takeoff'!$A$3:$A$202,MATCH(B271,'QS Takeoff'!$B$3:$B$202,0)),"")</f>
        <v/>
      </c>
      <c r="D271" s="81">
        <f>IFERROR(INDEX('QS Takeoff'!$C$3:$C$202,MATCH(B271,'QS Takeoff'!$B$3:$B$202,0)),"")</f>
        <v/>
      </c>
      <c r="E271" s="81">
        <f>IFERROR(INDEX('QS Takeoff'!$E$3:$E$202,MATCH(B271,'QS Takeoff'!$B$3:$B$202,0)),"")</f>
        <v/>
      </c>
      <c r="F271" s="81">
        <f>IFERROR(INDEX('QS Takeoff'!$D$3:$D$202,MATCH(B271,'QS Takeoff'!$B$3:$B$202,0)),"")</f>
        <v/>
      </c>
      <c r="G271" s="81">
        <f>IFERROR(INDEX('QS Takeoff'!$J$3:$J$202,MATCH(B271,'QS Takeoff'!$B$3:$B$202,0)),"")</f>
        <v/>
      </c>
      <c r="H271" s="53" t="n"/>
      <c r="I271" s="60" t="n"/>
      <c r="J271" s="60" t="n"/>
      <c r="K271" s="82">
        <f>IF(OR(B271="",I271="",I271=0),"",E271/I271)</f>
        <v/>
      </c>
      <c r="L271" s="60" t="n"/>
      <c r="M271" s="82">
        <f>IF(L271&gt;0,L271,K271)</f>
        <v/>
      </c>
      <c r="N271" s="53" t="n"/>
      <c r="O271" s="53" t="n"/>
      <c r="P271" s="53" t="n"/>
      <c r="Q271" s="81">
        <f>IFERROR(INDEX('Resource Rate Library'!$C$5:$C$200,MATCH(P271,'Resource Rate Library'!$A$5:$A$200,0)),"")</f>
        <v/>
      </c>
      <c r="R271" s="53" t="n"/>
      <c r="S271" s="53" t="n"/>
      <c r="T271" s="81">
        <f>IFERROR(INDEX('Resource Rate Library'!$E$5:$E$200,MATCH(P271,'Resource Rate Library'!$A$5:$A$200,0)),"")</f>
        <v/>
      </c>
      <c r="U271" s="1441" t="n"/>
      <c r="V271" s="1441" t="n"/>
      <c r="W271" s="1442">
        <f>IFERROR(INDEX('Resource Rate Library'!$I$5:$I$200,MATCH(P271,'Resource Rate Library'!$A$5:$A$200,0)),0)</f>
        <v/>
      </c>
      <c r="X271" s="1443" t="n"/>
      <c r="Y271" s="1442">
        <f>IF(X271&gt;0,X271,W271)</f>
        <v/>
      </c>
      <c r="Z271" s="1442">
        <f>IF(B271="","",IF(N271="Time x Count",M271*R271*IF(U271="",1,U271)*Y271,IF(N271="QS Qty x Factor",E271*R271*(1+IF(V271="",0,V271))*Y271,IF(N271="Direct Qty",S271*(1+IF(V271="",0,V271))*Y271,IF(N271="Lump Sum / Quote",S271*Y271,0)))))</f>
        <v/>
      </c>
      <c r="AA271" s="81">
        <f>IFERROR(INDEX('Resource Rate Library'!$N$5:$N$200,MATCH(P271,'Resource Rate Library'!$A$5:$A$200,0)),"")</f>
        <v/>
      </c>
      <c r="AB271" s="53" t="n"/>
      <c r="AC271" s="59" t="n"/>
      <c r="AD271" s="81">
        <f>IFERROR(INDEX('Resource Rate Library'!$G$5:$G$200,MATCH(P271,'Resource Rate Library'!$A$5:$A$200,0)),"")</f>
        <v/>
      </c>
      <c r="AE271" s="81">
        <f>IFERROR(INDEX('Resource Rate Library'!$H$5:$H$200,MATCH(P271,'Resource Rate Library'!$A$5:$A$200,0)),"")</f>
        <v/>
      </c>
      <c r="AF271" s="53" t="n"/>
      <c r="AG271" s="53" t="n"/>
      <c r="AH271" s="53" t="n"/>
      <c r="AI271" s="81">
        <f>IF(B271="","",IF(AND(P271="",N271&lt;&gt;"Lump Sum / Quote"),"RESOURCE CODE",IF(Y271=0,"RATE MISSING",IF(AND(O271="Plant",AD271="Yes",COUNTIFS($B$7:$B$306,B271,$O$7:$O$306,"Labour",$Q$7:$Q$306,"*Operator*")&gt;0),"OPERATOR DOUBLE-COUNT",IF(AND(O271="Plant",AE271="Yes",COUNTIFS($B$7:$B$306,B271,$Q$7:$Q$306,"*Fuel*")&gt;0),"FUEL DOUBLE-COUNT",IF(AH271&lt;&gt;"Yes","VERIFY","OK"))))))</f>
        <v/>
      </c>
      <c r="AJ271" s="54" t="n"/>
      <c r="AK271" s="473" t="n"/>
      <c r="AL271" s="473" t="n"/>
      <c r="AM271" s="473" t="n"/>
      <c r="AN271" s="1444">
        <f>IF(AND(AK271="Yes",OR(O271="Labour",O271="Plant")),Z271,0)</f>
        <v/>
      </c>
    </row>
    <row r="272">
      <c r="A272" s="80">
        <f>IF(B272="","",B272&amp;"-"&amp;TEXT(COUNTIF($B$7:B272,B272),"000"))</f>
        <v/>
      </c>
      <c r="B272" s="53" t="n"/>
      <c r="C272" s="81">
        <f>IFERROR(INDEX('QS Takeoff'!$A$3:$A$202,MATCH(B272,'QS Takeoff'!$B$3:$B$202,0)),"")</f>
        <v/>
      </c>
      <c r="D272" s="81">
        <f>IFERROR(INDEX('QS Takeoff'!$C$3:$C$202,MATCH(B272,'QS Takeoff'!$B$3:$B$202,0)),"")</f>
        <v/>
      </c>
      <c r="E272" s="81">
        <f>IFERROR(INDEX('QS Takeoff'!$E$3:$E$202,MATCH(B272,'QS Takeoff'!$B$3:$B$202,0)),"")</f>
        <v/>
      </c>
      <c r="F272" s="81">
        <f>IFERROR(INDEX('QS Takeoff'!$D$3:$D$202,MATCH(B272,'QS Takeoff'!$B$3:$B$202,0)),"")</f>
        <v/>
      </c>
      <c r="G272" s="81">
        <f>IFERROR(INDEX('QS Takeoff'!$J$3:$J$202,MATCH(B272,'QS Takeoff'!$B$3:$B$202,0)),"")</f>
        <v/>
      </c>
      <c r="H272" s="53" t="n"/>
      <c r="I272" s="60" t="n"/>
      <c r="J272" s="60" t="n"/>
      <c r="K272" s="82">
        <f>IF(OR(B272="",I272="",I272=0),"",E272/I272)</f>
        <v/>
      </c>
      <c r="L272" s="60" t="n"/>
      <c r="M272" s="82">
        <f>IF(L272&gt;0,L272,K272)</f>
        <v/>
      </c>
      <c r="N272" s="53" t="n"/>
      <c r="O272" s="53" t="n"/>
      <c r="P272" s="53" t="n"/>
      <c r="Q272" s="81">
        <f>IFERROR(INDEX('Resource Rate Library'!$C$5:$C$200,MATCH(P272,'Resource Rate Library'!$A$5:$A$200,0)),"")</f>
        <v/>
      </c>
      <c r="R272" s="53" t="n"/>
      <c r="S272" s="53" t="n"/>
      <c r="T272" s="81">
        <f>IFERROR(INDEX('Resource Rate Library'!$E$5:$E$200,MATCH(P272,'Resource Rate Library'!$A$5:$A$200,0)),"")</f>
        <v/>
      </c>
      <c r="U272" s="1441" t="n"/>
      <c r="V272" s="1441" t="n"/>
      <c r="W272" s="1442">
        <f>IFERROR(INDEX('Resource Rate Library'!$I$5:$I$200,MATCH(P272,'Resource Rate Library'!$A$5:$A$200,0)),0)</f>
        <v/>
      </c>
      <c r="X272" s="1443" t="n"/>
      <c r="Y272" s="1442">
        <f>IF(X272&gt;0,X272,W272)</f>
        <v/>
      </c>
      <c r="Z272" s="1442">
        <f>IF(B272="","",IF(N272="Time x Count",M272*R272*IF(U272="",1,U272)*Y272,IF(N272="QS Qty x Factor",E272*R272*(1+IF(V272="",0,V272))*Y272,IF(N272="Direct Qty",S272*(1+IF(V272="",0,V272))*Y272,IF(N272="Lump Sum / Quote",S272*Y272,0)))))</f>
        <v/>
      </c>
      <c r="AA272" s="81">
        <f>IFERROR(INDEX('Resource Rate Library'!$N$5:$N$200,MATCH(P272,'Resource Rate Library'!$A$5:$A$200,0)),"")</f>
        <v/>
      </c>
      <c r="AB272" s="53" t="n"/>
      <c r="AC272" s="59" t="n"/>
      <c r="AD272" s="81">
        <f>IFERROR(INDEX('Resource Rate Library'!$G$5:$G$200,MATCH(P272,'Resource Rate Library'!$A$5:$A$200,0)),"")</f>
        <v/>
      </c>
      <c r="AE272" s="81">
        <f>IFERROR(INDEX('Resource Rate Library'!$H$5:$H$200,MATCH(P272,'Resource Rate Library'!$A$5:$A$200,0)),"")</f>
        <v/>
      </c>
      <c r="AF272" s="53" t="n"/>
      <c r="AG272" s="53" t="n"/>
      <c r="AH272" s="53" t="n"/>
      <c r="AI272" s="81">
        <f>IF(B272="","",IF(AND(P272="",N272&lt;&gt;"Lump Sum / Quote"),"RESOURCE CODE",IF(Y272=0,"RATE MISSING",IF(AND(O272="Plant",AD272="Yes",COUNTIFS($B$7:$B$306,B272,$O$7:$O$306,"Labour",$Q$7:$Q$306,"*Operator*")&gt;0),"OPERATOR DOUBLE-COUNT",IF(AND(O272="Plant",AE272="Yes",COUNTIFS($B$7:$B$306,B272,$Q$7:$Q$306,"*Fuel*")&gt;0),"FUEL DOUBLE-COUNT",IF(AH272&lt;&gt;"Yes","VERIFY","OK"))))))</f>
        <v/>
      </c>
      <c r="AJ272" s="54" t="n"/>
      <c r="AK272" s="473" t="n"/>
      <c r="AL272" s="473" t="n"/>
      <c r="AM272" s="473" t="n"/>
      <c r="AN272" s="1444">
        <f>IF(AND(AK272="Yes",OR(O272="Labour",O272="Plant")),Z272,0)</f>
        <v/>
      </c>
    </row>
    <row r="273">
      <c r="A273" s="80">
        <f>IF(B273="","",B273&amp;"-"&amp;TEXT(COUNTIF($B$7:B273,B273),"000"))</f>
        <v/>
      </c>
      <c r="B273" s="53" t="n"/>
      <c r="C273" s="81">
        <f>IFERROR(INDEX('QS Takeoff'!$A$3:$A$202,MATCH(B273,'QS Takeoff'!$B$3:$B$202,0)),"")</f>
        <v/>
      </c>
      <c r="D273" s="81">
        <f>IFERROR(INDEX('QS Takeoff'!$C$3:$C$202,MATCH(B273,'QS Takeoff'!$B$3:$B$202,0)),"")</f>
        <v/>
      </c>
      <c r="E273" s="81">
        <f>IFERROR(INDEX('QS Takeoff'!$E$3:$E$202,MATCH(B273,'QS Takeoff'!$B$3:$B$202,0)),"")</f>
        <v/>
      </c>
      <c r="F273" s="81">
        <f>IFERROR(INDEX('QS Takeoff'!$D$3:$D$202,MATCH(B273,'QS Takeoff'!$B$3:$B$202,0)),"")</f>
        <v/>
      </c>
      <c r="G273" s="81">
        <f>IFERROR(INDEX('QS Takeoff'!$J$3:$J$202,MATCH(B273,'QS Takeoff'!$B$3:$B$202,0)),"")</f>
        <v/>
      </c>
      <c r="H273" s="53" t="n"/>
      <c r="I273" s="60" t="n"/>
      <c r="J273" s="60" t="n"/>
      <c r="K273" s="82">
        <f>IF(OR(B273="",I273="",I273=0),"",E273/I273)</f>
        <v/>
      </c>
      <c r="L273" s="60" t="n"/>
      <c r="M273" s="82">
        <f>IF(L273&gt;0,L273,K273)</f>
        <v/>
      </c>
      <c r="N273" s="53" t="n"/>
      <c r="O273" s="53" t="n"/>
      <c r="P273" s="53" t="n"/>
      <c r="Q273" s="81">
        <f>IFERROR(INDEX('Resource Rate Library'!$C$5:$C$200,MATCH(P273,'Resource Rate Library'!$A$5:$A$200,0)),"")</f>
        <v/>
      </c>
      <c r="R273" s="53" t="n"/>
      <c r="S273" s="53" t="n"/>
      <c r="T273" s="81">
        <f>IFERROR(INDEX('Resource Rate Library'!$E$5:$E$200,MATCH(P273,'Resource Rate Library'!$A$5:$A$200,0)),"")</f>
        <v/>
      </c>
      <c r="U273" s="1441" t="n"/>
      <c r="V273" s="1441" t="n"/>
      <c r="W273" s="1442">
        <f>IFERROR(INDEX('Resource Rate Library'!$I$5:$I$200,MATCH(P273,'Resource Rate Library'!$A$5:$A$200,0)),0)</f>
        <v/>
      </c>
      <c r="X273" s="1443" t="n"/>
      <c r="Y273" s="1442">
        <f>IF(X273&gt;0,X273,W273)</f>
        <v/>
      </c>
      <c r="Z273" s="1442">
        <f>IF(B273="","",IF(N273="Time x Count",M273*R273*IF(U273="",1,U273)*Y273,IF(N273="QS Qty x Factor",E273*R273*(1+IF(V273="",0,V273))*Y273,IF(N273="Direct Qty",S273*(1+IF(V273="",0,V273))*Y273,IF(N273="Lump Sum / Quote",S273*Y273,0)))))</f>
        <v/>
      </c>
      <c r="AA273" s="81">
        <f>IFERROR(INDEX('Resource Rate Library'!$N$5:$N$200,MATCH(P273,'Resource Rate Library'!$A$5:$A$200,0)),"")</f>
        <v/>
      </c>
      <c r="AB273" s="53" t="n"/>
      <c r="AC273" s="59" t="n"/>
      <c r="AD273" s="81">
        <f>IFERROR(INDEX('Resource Rate Library'!$G$5:$G$200,MATCH(P273,'Resource Rate Library'!$A$5:$A$200,0)),"")</f>
        <v/>
      </c>
      <c r="AE273" s="81">
        <f>IFERROR(INDEX('Resource Rate Library'!$H$5:$H$200,MATCH(P273,'Resource Rate Library'!$A$5:$A$200,0)),"")</f>
        <v/>
      </c>
      <c r="AF273" s="53" t="n"/>
      <c r="AG273" s="53" t="n"/>
      <c r="AH273" s="53" t="n"/>
      <c r="AI273" s="81">
        <f>IF(B273="","",IF(AND(P273="",N273&lt;&gt;"Lump Sum / Quote"),"RESOURCE CODE",IF(Y273=0,"RATE MISSING",IF(AND(O273="Plant",AD273="Yes",COUNTIFS($B$7:$B$306,B273,$O$7:$O$306,"Labour",$Q$7:$Q$306,"*Operator*")&gt;0),"OPERATOR DOUBLE-COUNT",IF(AND(O273="Plant",AE273="Yes",COUNTIFS($B$7:$B$306,B273,$Q$7:$Q$306,"*Fuel*")&gt;0),"FUEL DOUBLE-COUNT",IF(AH273&lt;&gt;"Yes","VERIFY","OK"))))))</f>
        <v/>
      </c>
      <c r="AJ273" s="54" t="n"/>
      <c r="AK273" s="473" t="n"/>
      <c r="AL273" s="473" t="n"/>
      <c r="AM273" s="473" t="n"/>
      <c r="AN273" s="1444">
        <f>IF(AND(AK273="Yes",OR(O273="Labour",O273="Plant")),Z273,0)</f>
        <v/>
      </c>
    </row>
    <row r="274">
      <c r="A274" s="80">
        <f>IF(B274="","",B274&amp;"-"&amp;TEXT(COUNTIF($B$7:B274,B274),"000"))</f>
        <v/>
      </c>
      <c r="B274" s="53" t="n"/>
      <c r="C274" s="81">
        <f>IFERROR(INDEX('QS Takeoff'!$A$3:$A$202,MATCH(B274,'QS Takeoff'!$B$3:$B$202,0)),"")</f>
        <v/>
      </c>
      <c r="D274" s="81">
        <f>IFERROR(INDEX('QS Takeoff'!$C$3:$C$202,MATCH(B274,'QS Takeoff'!$B$3:$B$202,0)),"")</f>
        <v/>
      </c>
      <c r="E274" s="81">
        <f>IFERROR(INDEX('QS Takeoff'!$E$3:$E$202,MATCH(B274,'QS Takeoff'!$B$3:$B$202,0)),"")</f>
        <v/>
      </c>
      <c r="F274" s="81">
        <f>IFERROR(INDEX('QS Takeoff'!$D$3:$D$202,MATCH(B274,'QS Takeoff'!$B$3:$B$202,0)),"")</f>
        <v/>
      </c>
      <c r="G274" s="81">
        <f>IFERROR(INDEX('QS Takeoff'!$J$3:$J$202,MATCH(B274,'QS Takeoff'!$B$3:$B$202,0)),"")</f>
        <v/>
      </c>
      <c r="H274" s="53" t="n"/>
      <c r="I274" s="60" t="n"/>
      <c r="J274" s="60" t="n"/>
      <c r="K274" s="82">
        <f>IF(OR(B274="",I274="",I274=0),"",E274/I274)</f>
        <v/>
      </c>
      <c r="L274" s="60" t="n"/>
      <c r="M274" s="82">
        <f>IF(L274&gt;0,L274,K274)</f>
        <v/>
      </c>
      <c r="N274" s="53" t="n"/>
      <c r="O274" s="53" t="n"/>
      <c r="P274" s="53" t="n"/>
      <c r="Q274" s="81">
        <f>IFERROR(INDEX('Resource Rate Library'!$C$5:$C$200,MATCH(P274,'Resource Rate Library'!$A$5:$A$200,0)),"")</f>
        <v/>
      </c>
      <c r="R274" s="53" t="n"/>
      <c r="S274" s="53" t="n"/>
      <c r="T274" s="81">
        <f>IFERROR(INDEX('Resource Rate Library'!$E$5:$E$200,MATCH(P274,'Resource Rate Library'!$A$5:$A$200,0)),"")</f>
        <v/>
      </c>
      <c r="U274" s="1441" t="n"/>
      <c r="V274" s="1441" t="n"/>
      <c r="W274" s="1442">
        <f>IFERROR(INDEX('Resource Rate Library'!$I$5:$I$200,MATCH(P274,'Resource Rate Library'!$A$5:$A$200,0)),0)</f>
        <v/>
      </c>
      <c r="X274" s="1443" t="n"/>
      <c r="Y274" s="1442">
        <f>IF(X274&gt;0,X274,W274)</f>
        <v/>
      </c>
      <c r="Z274" s="1442">
        <f>IF(B274="","",IF(N274="Time x Count",M274*R274*IF(U274="",1,U274)*Y274,IF(N274="QS Qty x Factor",E274*R274*(1+IF(V274="",0,V274))*Y274,IF(N274="Direct Qty",S274*(1+IF(V274="",0,V274))*Y274,IF(N274="Lump Sum / Quote",S274*Y274,0)))))</f>
        <v/>
      </c>
      <c r="AA274" s="81">
        <f>IFERROR(INDEX('Resource Rate Library'!$N$5:$N$200,MATCH(P274,'Resource Rate Library'!$A$5:$A$200,0)),"")</f>
        <v/>
      </c>
      <c r="AB274" s="53" t="n"/>
      <c r="AC274" s="59" t="n"/>
      <c r="AD274" s="81">
        <f>IFERROR(INDEX('Resource Rate Library'!$G$5:$G$200,MATCH(P274,'Resource Rate Library'!$A$5:$A$200,0)),"")</f>
        <v/>
      </c>
      <c r="AE274" s="81">
        <f>IFERROR(INDEX('Resource Rate Library'!$H$5:$H$200,MATCH(P274,'Resource Rate Library'!$A$5:$A$200,0)),"")</f>
        <v/>
      </c>
      <c r="AF274" s="53" t="n"/>
      <c r="AG274" s="53" t="n"/>
      <c r="AH274" s="53" t="n"/>
      <c r="AI274" s="81">
        <f>IF(B274="","",IF(AND(P274="",N274&lt;&gt;"Lump Sum / Quote"),"RESOURCE CODE",IF(Y274=0,"RATE MISSING",IF(AND(O274="Plant",AD274="Yes",COUNTIFS($B$7:$B$306,B274,$O$7:$O$306,"Labour",$Q$7:$Q$306,"*Operator*")&gt;0),"OPERATOR DOUBLE-COUNT",IF(AND(O274="Plant",AE274="Yes",COUNTIFS($B$7:$B$306,B274,$Q$7:$Q$306,"*Fuel*")&gt;0),"FUEL DOUBLE-COUNT",IF(AH274&lt;&gt;"Yes","VERIFY","OK"))))))</f>
        <v/>
      </c>
      <c r="AJ274" s="54" t="n"/>
      <c r="AK274" s="473" t="n"/>
      <c r="AL274" s="473" t="n"/>
      <c r="AM274" s="473" t="n"/>
      <c r="AN274" s="1444">
        <f>IF(AND(AK274="Yes",OR(O274="Labour",O274="Plant")),Z274,0)</f>
        <v/>
      </c>
    </row>
    <row r="275">
      <c r="A275" s="80">
        <f>IF(B275="","",B275&amp;"-"&amp;TEXT(COUNTIF($B$7:B275,B275),"000"))</f>
        <v/>
      </c>
      <c r="B275" s="53" t="n"/>
      <c r="C275" s="81">
        <f>IFERROR(INDEX('QS Takeoff'!$A$3:$A$202,MATCH(B275,'QS Takeoff'!$B$3:$B$202,0)),"")</f>
        <v/>
      </c>
      <c r="D275" s="81">
        <f>IFERROR(INDEX('QS Takeoff'!$C$3:$C$202,MATCH(B275,'QS Takeoff'!$B$3:$B$202,0)),"")</f>
        <v/>
      </c>
      <c r="E275" s="81">
        <f>IFERROR(INDEX('QS Takeoff'!$E$3:$E$202,MATCH(B275,'QS Takeoff'!$B$3:$B$202,0)),"")</f>
        <v/>
      </c>
      <c r="F275" s="81">
        <f>IFERROR(INDEX('QS Takeoff'!$D$3:$D$202,MATCH(B275,'QS Takeoff'!$B$3:$B$202,0)),"")</f>
        <v/>
      </c>
      <c r="G275" s="81">
        <f>IFERROR(INDEX('QS Takeoff'!$J$3:$J$202,MATCH(B275,'QS Takeoff'!$B$3:$B$202,0)),"")</f>
        <v/>
      </c>
      <c r="H275" s="53" t="n"/>
      <c r="I275" s="60" t="n"/>
      <c r="J275" s="60" t="n"/>
      <c r="K275" s="82">
        <f>IF(OR(B275="",I275="",I275=0),"",E275/I275)</f>
        <v/>
      </c>
      <c r="L275" s="60" t="n"/>
      <c r="M275" s="82">
        <f>IF(L275&gt;0,L275,K275)</f>
        <v/>
      </c>
      <c r="N275" s="53" t="n"/>
      <c r="O275" s="53" t="n"/>
      <c r="P275" s="53" t="n"/>
      <c r="Q275" s="81">
        <f>IFERROR(INDEX('Resource Rate Library'!$C$5:$C$200,MATCH(P275,'Resource Rate Library'!$A$5:$A$200,0)),"")</f>
        <v/>
      </c>
      <c r="R275" s="53" t="n"/>
      <c r="S275" s="53" t="n"/>
      <c r="T275" s="81">
        <f>IFERROR(INDEX('Resource Rate Library'!$E$5:$E$200,MATCH(P275,'Resource Rate Library'!$A$5:$A$200,0)),"")</f>
        <v/>
      </c>
      <c r="U275" s="1441" t="n"/>
      <c r="V275" s="1441" t="n"/>
      <c r="W275" s="1442">
        <f>IFERROR(INDEX('Resource Rate Library'!$I$5:$I$200,MATCH(P275,'Resource Rate Library'!$A$5:$A$200,0)),0)</f>
        <v/>
      </c>
      <c r="X275" s="1443" t="n"/>
      <c r="Y275" s="1442">
        <f>IF(X275&gt;0,X275,W275)</f>
        <v/>
      </c>
      <c r="Z275" s="1442">
        <f>IF(B275="","",IF(N275="Time x Count",M275*R275*IF(U275="",1,U275)*Y275,IF(N275="QS Qty x Factor",E275*R275*(1+IF(V275="",0,V275))*Y275,IF(N275="Direct Qty",S275*(1+IF(V275="",0,V275))*Y275,IF(N275="Lump Sum / Quote",S275*Y275,0)))))</f>
        <v/>
      </c>
      <c r="AA275" s="81">
        <f>IFERROR(INDEX('Resource Rate Library'!$N$5:$N$200,MATCH(P275,'Resource Rate Library'!$A$5:$A$200,0)),"")</f>
        <v/>
      </c>
      <c r="AB275" s="53" t="n"/>
      <c r="AC275" s="59" t="n"/>
      <c r="AD275" s="81">
        <f>IFERROR(INDEX('Resource Rate Library'!$G$5:$G$200,MATCH(P275,'Resource Rate Library'!$A$5:$A$200,0)),"")</f>
        <v/>
      </c>
      <c r="AE275" s="81">
        <f>IFERROR(INDEX('Resource Rate Library'!$H$5:$H$200,MATCH(P275,'Resource Rate Library'!$A$5:$A$200,0)),"")</f>
        <v/>
      </c>
      <c r="AF275" s="53" t="n"/>
      <c r="AG275" s="53" t="n"/>
      <c r="AH275" s="53" t="n"/>
      <c r="AI275" s="81">
        <f>IF(B275="","",IF(AND(P275="",N275&lt;&gt;"Lump Sum / Quote"),"RESOURCE CODE",IF(Y275=0,"RATE MISSING",IF(AND(O275="Plant",AD275="Yes",COUNTIFS($B$7:$B$306,B275,$O$7:$O$306,"Labour",$Q$7:$Q$306,"*Operator*")&gt;0),"OPERATOR DOUBLE-COUNT",IF(AND(O275="Plant",AE275="Yes",COUNTIFS($B$7:$B$306,B275,$Q$7:$Q$306,"*Fuel*")&gt;0),"FUEL DOUBLE-COUNT",IF(AH275&lt;&gt;"Yes","VERIFY","OK"))))))</f>
        <v/>
      </c>
      <c r="AJ275" s="54" t="n"/>
      <c r="AK275" s="473" t="n"/>
      <c r="AL275" s="473" t="n"/>
      <c r="AM275" s="473" t="n"/>
      <c r="AN275" s="1444">
        <f>IF(AND(AK275="Yes",OR(O275="Labour",O275="Plant")),Z275,0)</f>
        <v/>
      </c>
    </row>
    <row r="276">
      <c r="A276" s="80">
        <f>IF(B276="","",B276&amp;"-"&amp;TEXT(COUNTIF($B$7:B276,B276),"000"))</f>
        <v/>
      </c>
      <c r="B276" s="53" t="n"/>
      <c r="C276" s="81">
        <f>IFERROR(INDEX('QS Takeoff'!$A$3:$A$202,MATCH(B276,'QS Takeoff'!$B$3:$B$202,0)),"")</f>
        <v/>
      </c>
      <c r="D276" s="81">
        <f>IFERROR(INDEX('QS Takeoff'!$C$3:$C$202,MATCH(B276,'QS Takeoff'!$B$3:$B$202,0)),"")</f>
        <v/>
      </c>
      <c r="E276" s="81">
        <f>IFERROR(INDEX('QS Takeoff'!$E$3:$E$202,MATCH(B276,'QS Takeoff'!$B$3:$B$202,0)),"")</f>
        <v/>
      </c>
      <c r="F276" s="81">
        <f>IFERROR(INDEX('QS Takeoff'!$D$3:$D$202,MATCH(B276,'QS Takeoff'!$B$3:$B$202,0)),"")</f>
        <v/>
      </c>
      <c r="G276" s="81">
        <f>IFERROR(INDEX('QS Takeoff'!$J$3:$J$202,MATCH(B276,'QS Takeoff'!$B$3:$B$202,0)),"")</f>
        <v/>
      </c>
      <c r="H276" s="53" t="n"/>
      <c r="I276" s="60" t="n"/>
      <c r="J276" s="60" t="n"/>
      <c r="K276" s="82">
        <f>IF(OR(B276="",I276="",I276=0),"",E276/I276)</f>
        <v/>
      </c>
      <c r="L276" s="60" t="n"/>
      <c r="M276" s="82">
        <f>IF(L276&gt;0,L276,K276)</f>
        <v/>
      </c>
      <c r="N276" s="53" t="n"/>
      <c r="O276" s="53" t="n"/>
      <c r="P276" s="53" t="n"/>
      <c r="Q276" s="81">
        <f>IFERROR(INDEX('Resource Rate Library'!$C$5:$C$200,MATCH(P276,'Resource Rate Library'!$A$5:$A$200,0)),"")</f>
        <v/>
      </c>
      <c r="R276" s="53" t="n"/>
      <c r="S276" s="53" t="n"/>
      <c r="T276" s="81">
        <f>IFERROR(INDEX('Resource Rate Library'!$E$5:$E$200,MATCH(P276,'Resource Rate Library'!$A$5:$A$200,0)),"")</f>
        <v/>
      </c>
      <c r="U276" s="1441" t="n"/>
      <c r="V276" s="1441" t="n"/>
      <c r="W276" s="1442">
        <f>IFERROR(INDEX('Resource Rate Library'!$I$5:$I$200,MATCH(P276,'Resource Rate Library'!$A$5:$A$200,0)),0)</f>
        <v/>
      </c>
      <c r="X276" s="1443" t="n"/>
      <c r="Y276" s="1442">
        <f>IF(X276&gt;0,X276,W276)</f>
        <v/>
      </c>
      <c r="Z276" s="1442">
        <f>IF(B276="","",IF(N276="Time x Count",M276*R276*IF(U276="",1,U276)*Y276,IF(N276="QS Qty x Factor",E276*R276*(1+IF(V276="",0,V276))*Y276,IF(N276="Direct Qty",S276*(1+IF(V276="",0,V276))*Y276,IF(N276="Lump Sum / Quote",S276*Y276,0)))))</f>
        <v/>
      </c>
      <c r="AA276" s="81">
        <f>IFERROR(INDEX('Resource Rate Library'!$N$5:$N$200,MATCH(P276,'Resource Rate Library'!$A$5:$A$200,0)),"")</f>
        <v/>
      </c>
      <c r="AB276" s="53" t="n"/>
      <c r="AC276" s="59" t="n"/>
      <c r="AD276" s="81">
        <f>IFERROR(INDEX('Resource Rate Library'!$G$5:$G$200,MATCH(P276,'Resource Rate Library'!$A$5:$A$200,0)),"")</f>
        <v/>
      </c>
      <c r="AE276" s="81">
        <f>IFERROR(INDEX('Resource Rate Library'!$H$5:$H$200,MATCH(P276,'Resource Rate Library'!$A$5:$A$200,0)),"")</f>
        <v/>
      </c>
      <c r="AF276" s="53" t="n"/>
      <c r="AG276" s="53" t="n"/>
      <c r="AH276" s="53" t="n"/>
      <c r="AI276" s="81">
        <f>IF(B276="","",IF(AND(P276="",N276&lt;&gt;"Lump Sum / Quote"),"RESOURCE CODE",IF(Y276=0,"RATE MISSING",IF(AND(O276="Plant",AD276="Yes",COUNTIFS($B$7:$B$306,B276,$O$7:$O$306,"Labour",$Q$7:$Q$306,"*Operator*")&gt;0),"OPERATOR DOUBLE-COUNT",IF(AND(O276="Plant",AE276="Yes",COUNTIFS($B$7:$B$306,B276,$Q$7:$Q$306,"*Fuel*")&gt;0),"FUEL DOUBLE-COUNT",IF(AH276&lt;&gt;"Yes","VERIFY","OK"))))))</f>
        <v/>
      </c>
      <c r="AJ276" s="54" t="n"/>
      <c r="AK276" s="473" t="n"/>
      <c r="AL276" s="473" t="n"/>
      <c r="AM276" s="473" t="n"/>
      <c r="AN276" s="1444">
        <f>IF(AND(AK276="Yes",OR(O276="Labour",O276="Plant")),Z276,0)</f>
        <v/>
      </c>
    </row>
    <row r="277">
      <c r="A277" s="80">
        <f>IF(B277="","",B277&amp;"-"&amp;TEXT(COUNTIF($B$7:B277,B277),"000"))</f>
        <v/>
      </c>
      <c r="B277" s="53" t="n"/>
      <c r="C277" s="81">
        <f>IFERROR(INDEX('QS Takeoff'!$A$3:$A$202,MATCH(B277,'QS Takeoff'!$B$3:$B$202,0)),"")</f>
        <v/>
      </c>
      <c r="D277" s="81">
        <f>IFERROR(INDEX('QS Takeoff'!$C$3:$C$202,MATCH(B277,'QS Takeoff'!$B$3:$B$202,0)),"")</f>
        <v/>
      </c>
      <c r="E277" s="81">
        <f>IFERROR(INDEX('QS Takeoff'!$E$3:$E$202,MATCH(B277,'QS Takeoff'!$B$3:$B$202,0)),"")</f>
        <v/>
      </c>
      <c r="F277" s="81">
        <f>IFERROR(INDEX('QS Takeoff'!$D$3:$D$202,MATCH(B277,'QS Takeoff'!$B$3:$B$202,0)),"")</f>
        <v/>
      </c>
      <c r="G277" s="81">
        <f>IFERROR(INDEX('QS Takeoff'!$J$3:$J$202,MATCH(B277,'QS Takeoff'!$B$3:$B$202,0)),"")</f>
        <v/>
      </c>
      <c r="H277" s="53" t="n"/>
      <c r="I277" s="60" t="n"/>
      <c r="J277" s="60" t="n"/>
      <c r="K277" s="82">
        <f>IF(OR(B277="",I277="",I277=0),"",E277/I277)</f>
        <v/>
      </c>
      <c r="L277" s="60" t="n"/>
      <c r="M277" s="82">
        <f>IF(L277&gt;0,L277,K277)</f>
        <v/>
      </c>
      <c r="N277" s="53" t="n"/>
      <c r="O277" s="53" t="n"/>
      <c r="P277" s="53" t="n"/>
      <c r="Q277" s="81">
        <f>IFERROR(INDEX('Resource Rate Library'!$C$5:$C$200,MATCH(P277,'Resource Rate Library'!$A$5:$A$200,0)),"")</f>
        <v/>
      </c>
      <c r="R277" s="53" t="n"/>
      <c r="S277" s="53" t="n"/>
      <c r="T277" s="81">
        <f>IFERROR(INDEX('Resource Rate Library'!$E$5:$E$200,MATCH(P277,'Resource Rate Library'!$A$5:$A$200,0)),"")</f>
        <v/>
      </c>
      <c r="U277" s="1441" t="n"/>
      <c r="V277" s="1441" t="n"/>
      <c r="W277" s="1442">
        <f>IFERROR(INDEX('Resource Rate Library'!$I$5:$I$200,MATCH(P277,'Resource Rate Library'!$A$5:$A$200,0)),0)</f>
        <v/>
      </c>
      <c r="X277" s="1443" t="n"/>
      <c r="Y277" s="1442">
        <f>IF(X277&gt;0,X277,W277)</f>
        <v/>
      </c>
      <c r="Z277" s="1442">
        <f>IF(B277="","",IF(N277="Time x Count",M277*R277*IF(U277="",1,U277)*Y277,IF(N277="QS Qty x Factor",E277*R277*(1+IF(V277="",0,V277))*Y277,IF(N277="Direct Qty",S277*(1+IF(V277="",0,V277))*Y277,IF(N277="Lump Sum / Quote",S277*Y277,0)))))</f>
        <v/>
      </c>
      <c r="AA277" s="81">
        <f>IFERROR(INDEX('Resource Rate Library'!$N$5:$N$200,MATCH(P277,'Resource Rate Library'!$A$5:$A$200,0)),"")</f>
        <v/>
      </c>
      <c r="AB277" s="53" t="n"/>
      <c r="AC277" s="59" t="n"/>
      <c r="AD277" s="81">
        <f>IFERROR(INDEX('Resource Rate Library'!$G$5:$G$200,MATCH(P277,'Resource Rate Library'!$A$5:$A$200,0)),"")</f>
        <v/>
      </c>
      <c r="AE277" s="81">
        <f>IFERROR(INDEX('Resource Rate Library'!$H$5:$H$200,MATCH(P277,'Resource Rate Library'!$A$5:$A$200,0)),"")</f>
        <v/>
      </c>
      <c r="AF277" s="53" t="n"/>
      <c r="AG277" s="53" t="n"/>
      <c r="AH277" s="53" t="n"/>
      <c r="AI277" s="81">
        <f>IF(B277="","",IF(AND(P277="",N277&lt;&gt;"Lump Sum / Quote"),"RESOURCE CODE",IF(Y277=0,"RATE MISSING",IF(AND(O277="Plant",AD277="Yes",COUNTIFS($B$7:$B$306,B277,$O$7:$O$306,"Labour",$Q$7:$Q$306,"*Operator*")&gt;0),"OPERATOR DOUBLE-COUNT",IF(AND(O277="Plant",AE277="Yes",COUNTIFS($B$7:$B$306,B277,$Q$7:$Q$306,"*Fuel*")&gt;0),"FUEL DOUBLE-COUNT",IF(AH277&lt;&gt;"Yes","VERIFY","OK"))))))</f>
        <v/>
      </c>
      <c r="AJ277" s="54" t="n"/>
      <c r="AK277" s="473" t="n"/>
      <c r="AL277" s="473" t="n"/>
      <c r="AM277" s="473" t="n"/>
      <c r="AN277" s="1444">
        <f>IF(AND(AK277="Yes",OR(O277="Labour",O277="Plant")),Z277,0)</f>
        <v/>
      </c>
    </row>
    <row r="278">
      <c r="A278" s="80">
        <f>IF(B278="","",B278&amp;"-"&amp;TEXT(COUNTIF($B$7:B278,B278),"000"))</f>
        <v/>
      </c>
      <c r="B278" s="53" t="n"/>
      <c r="C278" s="81">
        <f>IFERROR(INDEX('QS Takeoff'!$A$3:$A$202,MATCH(B278,'QS Takeoff'!$B$3:$B$202,0)),"")</f>
        <v/>
      </c>
      <c r="D278" s="81">
        <f>IFERROR(INDEX('QS Takeoff'!$C$3:$C$202,MATCH(B278,'QS Takeoff'!$B$3:$B$202,0)),"")</f>
        <v/>
      </c>
      <c r="E278" s="81">
        <f>IFERROR(INDEX('QS Takeoff'!$E$3:$E$202,MATCH(B278,'QS Takeoff'!$B$3:$B$202,0)),"")</f>
        <v/>
      </c>
      <c r="F278" s="81">
        <f>IFERROR(INDEX('QS Takeoff'!$D$3:$D$202,MATCH(B278,'QS Takeoff'!$B$3:$B$202,0)),"")</f>
        <v/>
      </c>
      <c r="G278" s="81">
        <f>IFERROR(INDEX('QS Takeoff'!$J$3:$J$202,MATCH(B278,'QS Takeoff'!$B$3:$B$202,0)),"")</f>
        <v/>
      </c>
      <c r="H278" s="53" t="n"/>
      <c r="I278" s="60" t="n"/>
      <c r="J278" s="60" t="n"/>
      <c r="K278" s="82">
        <f>IF(OR(B278="",I278="",I278=0),"",E278/I278)</f>
        <v/>
      </c>
      <c r="L278" s="60" t="n"/>
      <c r="M278" s="82">
        <f>IF(L278&gt;0,L278,K278)</f>
        <v/>
      </c>
      <c r="N278" s="53" t="n"/>
      <c r="O278" s="53" t="n"/>
      <c r="P278" s="53" t="n"/>
      <c r="Q278" s="81">
        <f>IFERROR(INDEX('Resource Rate Library'!$C$5:$C$200,MATCH(P278,'Resource Rate Library'!$A$5:$A$200,0)),"")</f>
        <v/>
      </c>
      <c r="R278" s="53" t="n"/>
      <c r="S278" s="53" t="n"/>
      <c r="T278" s="81">
        <f>IFERROR(INDEX('Resource Rate Library'!$E$5:$E$200,MATCH(P278,'Resource Rate Library'!$A$5:$A$200,0)),"")</f>
        <v/>
      </c>
      <c r="U278" s="1441" t="n"/>
      <c r="V278" s="1441" t="n"/>
      <c r="W278" s="1442">
        <f>IFERROR(INDEX('Resource Rate Library'!$I$5:$I$200,MATCH(P278,'Resource Rate Library'!$A$5:$A$200,0)),0)</f>
        <v/>
      </c>
      <c r="X278" s="1443" t="n"/>
      <c r="Y278" s="1442">
        <f>IF(X278&gt;0,X278,W278)</f>
        <v/>
      </c>
      <c r="Z278" s="1442">
        <f>IF(B278="","",IF(N278="Time x Count",M278*R278*IF(U278="",1,U278)*Y278,IF(N278="QS Qty x Factor",E278*R278*(1+IF(V278="",0,V278))*Y278,IF(N278="Direct Qty",S278*(1+IF(V278="",0,V278))*Y278,IF(N278="Lump Sum / Quote",S278*Y278,0)))))</f>
        <v/>
      </c>
      <c r="AA278" s="81">
        <f>IFERROR(INDEX('Resource Rate Library'!$N$5:$N$200,MATCH(P278,'Resource Rate Library'!$A$5:$A$200,0)),"")</f>
        <v/>
      </c>
      <c r="AB278" s="53" t="n"/>
      <c r="AC278" s="59" t="n"/>
      <c r="AD278" s="81">
        <f>IFERROR(INDEX('Resource Rate Library'!$G$5:$G$200,MATCH(P278,'Resource Rate Library'!$A$5:$A$200,0)),"")</f>
        <v/>
      </c>
      <c r="AE278" s="81">
        <f>IFERROR(INDEX('Resource Rate Library'!$H$5:$H$200,MATCH(P278,'Resource Rate Library'!$A$5:$A$200,0)),"")</f>
        <v/>
      </c>
      <c r="AF278" s="53" t="n"/>
      <c r="AG278" s="53" t="n"/>
      <c r="AH278" s="53" t="n"/>
      <c r="AI278" s="81">
        <f>IF(B278="","",IF(AND(P278="",N278&lt;&gt;"Lump Sum / Quote"),"RESOURCE CODE",IF(Y278=0,"RATE MISSING",IF(AND(O278="Plant",AD278="Yes",COUNTIFS($B$7:$B$306,B278,$O$7:$O$306,"Labour",$Q$7:$Q$306,"*Operator*")&gt;0),"OPERATOR DOUBLE-COUNT",IF(AND(O278="Plant",AE278="Yes",COUNTIFS($B$7:$B$306,B278,$Q$7:$Q$306,"*Fuel*")&gt;0),"FUEL DOUBLE-COUNT",IF(AH278&lt;&gt;"Yes","VERIFY","OK"))))))</f>
        <v/>
      </c>
      <c r="AJ278" s="54" t="n"/>
      <c r="AK278" s="473" t="n"/>
      <c r="AL278" s="473" t="n"/>
      <c r="AM278" s="473" t="n"/>
      <c r="AN278" s="1444">
        <f>IF(AND(AK278="Yes",OR(O278="Labour",O278="Plant")),Z278,0)</f>
        <v/>
      </c>
    </row>
    <row r="279">
      <c r="A279" s="80">
        <f>IF(B279="","",B279&amp;"-"&amp;TEXT(COUNTIF($B$7:B279,B279),"000"))</f>
        <v/>
      </c>
      <c r="B279" s="53" t="n"/>
      <c r="C279" s="81">
        <f>IFERROR(INDEX('QS Takeoff'!$A$3:$A$202,MATCH(B279,'QS Takeoff'!$B$3:$B$202,0)),"")</f>
        <v/>
      </c>
      <c r="D279" s="81">
        <f>IFERROR(INDEX('QS Takeoff'!$C$3:$C$202,MATCH(B279,'QS Takeoff'!$B$3:$B$202,0)),"")</f>
        <v/>
      </c>
      <c r="E279" s="81">
        <f>IFERROR(INDEX('QS Takeoff'!$E$3:$E$202,MATCH(B279,'QS Takeoff'!$B$3:$B$202,0)),"")</f>
        <v/>
      </c>
      <c r="F279" s="81">
        <f>IFERROR(INDEX('QS Takeoff'!$D$3:$D$202,MATCH(B279,'QS Takeoff'!$B$3:$B$202,0)),"")</f>
        <v/>
      </c>
      <c r="G279" s="81">
        <f>IFERROR(INDEX('QS Takeoff'!$J$3:$J$202,MATCH(B279,'QS Takeoff'!$B$3:$B$202,0)),"")</f>
        <v/>
      </c>
      <c r="H279" s="53" t="n"/>
      <c r="I279" s="60" t="n"/>
      <c r="J279" s="60" t="n"/>
      <c r="K279" s="82">
        <f>IF(OR(B279="",I279="",I279=0),"",E279/I279)</f>
        <v/>
      </c>
      <c r="L279" s="60" t="n"/>
      <c r="M279" s="82">
        <f>IF(L279&gt;0,L279,K279)</f>
        <v/>
      </c>
      <c r="N279" s="53" t="n"/>
      <c r="O279" s="53" t="n"/>
      <c r="P279" s="53" t="n"/>
      <c r="Q279" s="81">
        <f>IFERROR(INDEX('Resource Rate Library'!$C$5:$C$200,MATCH(P279,'Resource Rate Library'!$A$5:$A$200,0)),"")</f>
        <v/>
      </c>
      <c r="R279" s="53" t="n"/>
      <c r="S279" s="53" t="n"/>
      <c r="T279" s="81">
        <f>IFERROR(INDEX('Resource Rate Library'!$E$5:$E$200,MATCH(P279,'Resource Rate Library'!$A$5:$A$200,0)),"")</f>
        <v/>
      </c>
      <c r="U279" s="1441" t="n"/>
      <c r="V279" s="1441" t="n"/>
      <c r="W279" s="1442">
        <f>IFERROR(INDEX('Resource Rate Library'!$I$5:$I$200,MATCH(P279,'Resource Rate Library'!$A$5:$A$200,0)),0)</f>
        <v/>
      </c>
      <c r="X279" s="1443" t="n"/>
      <c r="Y279" s="1442">
        <f>IF(X279&gt;0,X279,W279)</f>
        <v/>
      </c>
      <c r="Z279" s="1442">
        <f>IF(B279="","",IF(N279="Time x Count",M279*R279*IF(U279="",1,U279)*Y279,IF(N279="QS Qty x Factor",E279*R279*(1+IF(V279="",0,V279))*Y279,IF(N279="Direct Qty",S279*(1+IF(V279="",0,V279))*Y279,IF(N279="Lump Sum / Quote",S279*Y279,0)))))</f>
        <v/>
      </c>
      <c r="AA279" s="81">
        <f>IFERROR(INDEX('Resource Rate Library'!$N$5:$N$200,MATCH(P279,'Resource Rate Library'!$A$5:$A$200,0)),"")</f>
        <v/>
      </c>
      <c r="AB279" s="53" t="n"/>
      <c r="AC279" s="59" t="n"/>
      <c r="AD279" s="81">
        <f>IFERROR(INDEX('Resource Rate Library'!$G$5:$G$200,MATCH(P279,'Resource Rate Library'!$A$5:$A$200,0)),"")</f>
        <v/>
      </c>
      <c r="AE279" s="81">
        <f>IFERROR(INDEX('Resource Rate Library'!$H$5:$H$200,MATCH(P279,'Resource Rate Library'!$A$5:$A$200,0)),"")</f>
        <v/>
      </c>
      <c r="AF279" s="53" t="n"/>
      <c r="AG279" s="53" t="n"/>
      <c r="AH279" s="53" t="n"/>
      <c r="AI279" s="81">
        <f>IF(B279="","",IF(AND(P279="",N279&lt;&gt;"Lump Sum / Quote"),"RESOURCE CODE",IF(Y279=0,"RATE MISSING",IF(AND(O279="Plant",AD279="Yes",COUNTIFS($B$7:$B$306,B279,$O$7:$O$306,"Labour",$Q$7:$Q$306,"*Operator*")&gt;0),"OPERATOR DOUBLE-COUNT",IF(AND(O279="Plant",AE279="Yes",COUNTIFS($B$7:$B$306,B279,$Q$7:$Q$306,"*Fuel*")&gt;0),"FUEL DOUBLE-COUNT",IF(AH279&lt;&gt;"Yes","VERIFY","OK"))))))</f>
        <v/>
      </c>
      <c r="AJ279" s="54" t="n"/>
      <c r="AK279" s="473" t="n"/>
      <c r="AL279" s="473" t="n"/>
      <c r="AM279" s="473" t="n"/>
      <c r="AN279" s="1444">
        <f>IF(AND(AK279="Yes",OR(O279="Labour",O279="Plant")),Z279,0)</f>
        <v/>
      </c>
    </row>
    <row r="280">
      <c r="A280" s="80">
        <f>IF(B280="","",B280&amp;"-"&amp;TEXT(COUNTIF($B$7:B280,B280),"000"))</f>
        <v/>
      </c>
      <c r="B280" s="53" t="n"/>
      <c r="C280" s="81">
        <f>IFERROR(INDEX('QS Takeoff'!$A$3:$A$202,MATCH(B280,'QS Takeoff'!$B$3:$B$202,0)),"")</f>
        <v/>
      </c>
      <c r="D280" s="81">
        <f>IFERROR(INDEX('QS Takeoff'!$C$3:$C$202,MATCH(B280,'QS Takeoff'!$B$3:$B$202,0)),"")</f>
        <v/>
      </c>
      <c r="E280" s="81">
        <f>IFERROR(INDEX('QS Takeoff'!$E$3:$E$202,MATCH(B280,'QS Takeoff'!$B$3:$B$202,0)),"")</f>
        <v/>
      </c>
      <c r="F280" s="81">
        <f>IFERROR(INDEX('QS Takeoff'!$D$3:$D$202,MATCH(B280,'QS Takeoff'!$B$3:$B$202,0)),"")</f>
        <v/>
      </c>
      <c r="G280" s="81">
        <f>IFERROR(INDEX('QS Takeoff'!$J$3:$J$202,MATCH(B280,'QS Takeoff'!$B$3:$B$202,0)),"")</f>
        <v/>
      </c>
      <c r="H280" s="53" t="n"/>
      <c r="I280" s="60" t="n"/>
      <c r="J280" s="60" t="n"/>
      <c r="K280" s="82">
        <f>IF(OR(B280="",I280="",I280=0),"",E280/I280)</f>
        <v/>
      </c>
      <c r="L280" s="60" t="n"/>
      <c r="M280" s="82">
        <f>IF(L280&gt;0,L280,K280)</f>
        <v/>
      </c>
      <c r="N280" s="53" t="n"/>
      <c r="O280" s="53" t="n"/>
      <c r="P280" s="53" t="n"/>
      <c r="Q280" s="81">
        <f>IFERROR(INDEX('Resource Rate Library'!$C$5:$C$200,MATCH(P280,'Resource Rate Library'!$A$5:$A$200,0)),"")</f>
        <v/>
      </c>
      <c r="R280" s="53" t="n"/>
      <c r="S280" s="53" t="n"/>
      <c r="T280" s="81">
        <f>IFERROR(INDEX('Resource Rate Library'!$E$5:$E$200,MATCH(P280,'Resource Rate Library'!$A$5:$A$200,0)),"")</f>
        <v/>
      </c>
      <c r="U280" s="1441" t="n"/>
      <c r="V280" s="1441" t="n"/>
      <c r="W280" s="1442">
        <f>IFERROR(INDEX('Resource Rate Library'!$I$5:$I$200,MATCH(P280,'Resource Rate Library'!$A$5:$A$200,0)),0)</f>
        <v/>
      </c>
      <c r="X280" s="1443" t="n"/>
      <c r="Y280" s="1442">
        <f>IF(X280&gt;0,X280,W280)</f>
        <v/>
      </c>
      <c r="Z280" s="1442">
        <f>IF(B280="","",IF(N280="Time x Count",M280*R280*IF(U280="",1,U280)*Y280,IF(N280="QS Qty x Factor",E280*R280*(1+IF(V280="",0,V280))*Y280,IF(N280="Direct Qty",S280*(1+IF(V280="",0,V280))*Y280,IF(N280="Lump Sum / Quote",S280*Y280,0)))))</f>
        <v/>
      </c>
      <c r="AA280" s="81">
        <f>IFERROR(INDEX('Resource Rate Library'!$N$5:$N$200,MATCH(P280,'Resource Rate Library'!$A$5:$A$200,0)),"")</f>
        <v/>
      </c>
      <c r="AB280" s="53" t="n"/>
      <c r="AC280" s="59" t="n"/>
      <c r="AD280" s="81">
        <f>IFERROR(INDEX('Resource Rate Library'!$G$5:$G$200,MATCH(P280,'Resource Rate Library'!$A$5:$A$200,0)),"")</f>
        <v/>
      </c>
      <c r="AE280" s="81">
        <f>IFERROR(INDEX('Resource Rate Library'!$H$5:$H$200,MATCH(P280,'Resource Rate Library'!$A$5:$A$200,0)),"")</f>
        <v/>
      </c>
      <c r="AF280" s="53" t="n"/>
      <c r="AG280" s="53" t="n"/>
      <c r="AH280" s="53" t="n"/>
      <c r="AI280" s="81">
        <f>IF(B280="","",IF(AND(P280="",N280&lt;&gt;"Lump Sum / Quote"),"RESOURCE CODE",IF(Y280=0,"RATE MISSING",IF(AND(O280="Plant",AD280="Yes",COUNTIFS($B$7:$B$306,B280,$O$7:$O$306,"Labour",$Q$7:$Q$306,"*Operator*")&gt;0),"OPERATOR DOUBLE-COUNT",IF(AND(O280="Plant",AE280="Yes",COUNTIFS($B$7:$B$306,B280,$Q$7:$Q$306,"*Fuel*")&gt;0),"FUEL DOUBLE-COUNT",IF(AH280&lt;&gt;"Yes","VERIFY","OK"))))))</f>
        <v/>
      </c>
      <c r="AJ280" s="54" t="n"/>
      <c r="AK280" s="473" t="n"/>
      <c r="AL280" s="473" t="n"/>
      <c r="AM280" s="473" t="n"/>
      <c r="AN280" s="1444">
        <f>IF(AND(AK280="Yes",OR(O280="Labour",O280="Plant")),Z280,0)</f>
        <v/>
      </c>
    </row>
    <row r="281">
      <c r="A281" s="80">
        <f>IF(B281="","",B281&amp;"-"&amp;TEXT(COUNTIF($B$7:B281,B281),"000"))</f>
        <v/>
      </c>
      <c r="B281" s="53" t="n"/>
      <c r="C281" s="81">
        <f>IFERROR(INDEX('QS Takeoff'!$A$3:$A$202,MATCH(B281,'QS Takeoff'!$B$3:$B$202,0)),"")</f>
        <v/>
      </c>
      <c r="D281" s="81">
        <f>IFERROR(INDEX('QS Takeoff'!$C$3:$C$202,MATCH(B281,'QS Takeoff'!$B$3:$B$202,0)),"")</f>
        <v/>
      </c>
      <c r="E281" s="81">
        <f>IFERROR(INDEX('QS Takeoff'!$E$3:$E$202,MATCH(B281,'QS Takeoff'!$B$3:$B$202,0)),"")</f>
        <v/>
      </c>
      <c r="F281" s="81">
        <f>IFERROR(INDEX('QS Takeoff'!$D$3:$D$202,MATCH(B281,'QS Takeoff'!$B$3:$B$202,0)),"")</f>
        <v/>
      </c>
      <c r="G281" s="81">
        <f>IFERROR(INDEX('QS Takeoff'!$J$3:$J$202,MATCH(B281,'QS Takeoff'!$B$3:$B$202,0)),"")</f>
        <v/>
      </c>
      <c r="H281" s="53" t="n"/>
      <c r="I281" s="60" t="n"/>
      <c r="J281" s="60" t="n"/>
      <c r="K281" s="82">
        <f>IF(OR(B281="",I281="",I281=0),"",E281/I281)</f>
        <v/>
      </c>
      <c r="L281" s="60" t="n"/>
      <c r="M281" s="82">
        <f>IF(L281&gt;0,L281,K281)</f>
        <v/>
      </c>
      <c r="N281" s="53" t="n"/>
      <c r="O281" s="53" t="n"/>
      <c r="P281" s="53" t="n"/>
      <c r="Q281" s="81">
        <f>IFERROR(INDEX('Resource Rate Library'!$C$5:$C$200,MATCH(P281,'Resource Rate Library'!$A$5:$A$200,0)),"")</f>
        <v/>
      </c>
      <c r="R281" s="53" t="n"/>
      <c r="S281" s="53" t="n"/>
      <c r="T281" s="81">
        <f>IFERROR(INDEX('Resource Rate Library'!$E$5:$E$200,MATCH(P281,'Resource Rate Library'!$A$5:$A$200,0)),"")</f>
        <v/>
      </c>
      <c r="U281" s="1441" t="n"/>
      <c r="V281" s="1441" t="n"/>
      <c r="W281" s="1442">
        <f>IFERROR(INDEX('Resource Rate Library'!$I$5:$I$200,MATCH(P281,'Resource Rate Library'!$A$5:$A$200,0)),0)</f>
        <v/>
      </c>
      <c r="X281" s="1443" t="n"/>
      <c r="Y281" s="1442">
        <f>IF(X281&gt;0,X281,W281)</f>
        <v/>
      </c>
      <c r="Z281" s="1442">
        <f>IF(B281="","",IF(N281="Time x Count",M281*R281*IF(U281="",1,U281)*Y281,IF(N281="QS Qty x Factor",E281*R281*(1+IF(V281="",0,V281))*Y281,IF(N281="Direct Qty",S281*(1+IF(V281="",0,V281))*Y281,IF(N281="Lump Sum / Quote",S281*Y281,0)))))</f>
        <v/>
      </c>
      <c r="AA281" s="81">
        <f>IFERROR(INDEX('Resource Rate Library'!$N$5:$N$200,MATCH(P281,'Resource Rate Library'!$A$5:$A$200,0)),"")</f>
        <v/>
      </c>
      <c r="AB281" s="53" t="n"/>
      <c r="AC281" s="59" t="n"/>
      <c r="AD281" s="81">
        <f>IFERROR(INDEX('Resource Rate Library'!$G$5:$G$200,MATCH(P281,'Resource Rate Library'!$A$5:$A$200,0)),"")</f>
        <v/>
      </c>
      <c r="AE281" s="81">
        <f>IFERROR(INDEX('Resource Rate Library'!$H$5:$H$200,MATCH(P281,'Resource Rate Library'!$A$5:$A$200,0)),"")</f>
        <v/>
      </c>
      <c r="AF281" s="53" t="n"/>
      <c r="AG281" s="53" t="n"/>
      <c r="AH281" s="53" t="n"/>
      <c r="AI281" s="81">
        <f>IF(B281="","",IF(AND(P281="",N281&lt;&gt;"Lump Sum / Quote"),"RESOURCE CODE",IF(Y281=0,"RATE MISSING",IF(AND(O281="Plant",AD281="Yes",COUNTIFS($B$7:$B$306,B281,$O$7:$O$306,"Labour",$Q$7:$Q$306,"*Operator*")&gt;0),"OPERATOR DOUBLE-COUNT",IF(AND(O281="Plant",AE281="Yes",COUNTIFS($B$7:$B$306,B281,$Q$7:$Q$306,"*Fuel*")&gt;0),"FUEL DOUBLE-COUNT",IF(AH281&lt;&gt;"Yes","VERIFY","OK"))))))</f>
        <v/>
      </c>
      <c r="AJ281" s="54" t="n"/>
      <c r="AK281" s="473" t="n"/>
      <c r="AL281" s="473" t="n"/>
      <c r="AM281" s="473" t="n"/>
      <c r="AN281" s="1444">
        <f>IF(AND(AK281="Yes",OR(O281="Labour",O281="Plant")),Z281,0)</f>
        <v/>
      </c>
    </row>
    <row r="282">
      <c r="A282" s="80">
        <f>IF(B282="","",B282&amp;"-"&amp;TEXT(COUNTIF($B$7:B282,B282),"000"))</f>
        <v/>
      </c>
      <c r="B282" s="53" t="n"/>
      <c r="C282" s="81">
        <f>IFERROR(INDEX('QS Takeoff'!$A$3:$A$202,MATCH(B282,'QS Takeoff'!$B$3:$B$202,0)),"")</f>
        <v/>
      </c>
      <c r="D282" s="81">
        <f>IFERROR(INDEX('QS Takeoff'!$C$3:$C$202,MATCH(B282,'QS Takeoff'!$B$3:$B$202,0)),"")</f>
        <v/>
      </c>
      <c r="E282" s="81">
        <f>IFERROR(INDEX('QS Takeoff'!$E$3:$E$202,MATCH(B282,'QS Takeoff'!$B$3:$B$202,0)),"")</f>
        <v/>
      </c>
      <c r="F282" s="81">
        <f>IFERROR(INDEX('QS Takeoff'!$D$3:$D$202,MATCH(B282,'QS Takeoff'!$B$3:$B$202,0)),"")</f>
        <v/>
      </c>
      <c r="G282" s="81">
        <f>IFERROR(INDEX('QS Takeoff'!$J$3:$J$202,MATCH(B282,'QS Takeoff'!$B$3:$B$202,0)),"")</f>
        <v/>
      </c>
      <c r="H282" s="53" t="n"/>
      <c r="I282" s="60" t="n"/>
      <c r="J282" s="60" t="n"/>
      <c r="K282" s="82">
        <f>IF(OR(B282="",I282="",I282=0),"",E282/I282)</f>
        <v/>
      </c>
      <c r="L282" s="60" t="n"/>
      <c r="M282" s="82">
        <f>IF(L282&gt;0,L282,K282)</f>
        <v/>
      </c>
      <c r="N282" s="53" t="n"/>
      <c r="O282" s="53" t="n"/>
      <c r="P282" s="53" t="n"/>
      <c r="Q282" s="81">
        <f>IFERROR(INDEX('Resource Rate Library'!$C$5:$C$200,MATCH(P282,'Resource Rate Library'!$A$5:$A$200,0)),"")</f>
        <v/>
      </c>
      <c r="R282" s="53" t="n"/>
      <c r="S282" s="53" t="n"/>
      <c r="T282" s="81">
        <f>IFERROR(INDEX('Resource Rate Library'!$E$5:$E$200,MATCH(P282,'Resource Rate Library'!$A$5:$A$200,0)),"")</f>
        <v/>
      </c>
      <c r="U282" s="1441" t="n"/>
      <c r="V282" s="1441" t="n"/>
      <c r="W282" s="1442">
        <f>IFERROR(INDEX('Resource Rate Library'!$I$5:$I$200,MATCH(P282,'Resource Rate Library'!$A$5:$A$200,0)),0)</f>
        <v/>
      </c>
      <c r="X282" s="1443" t="n"/>
      <c r="Y282" s="1442">
        <f>IF(X282&gt;0,X282,W282)</f>
        <v/>
      </c>
      <c r="Z282" s="1442">
        <f>IF(B282="","",IF(N282="Time x Count",M282*R282*IF(U282="",1,U282)*Y282,IF(N282="QS Qty x Factor",E282*R282*(1+IF(V282="",0,V282))*Y282,IF(N282="Direct Qty",S282*(1+IF(V282="",0,V282))*Y282,IF(N282="Lump Sum / Quote",S282*Y282,0)))))</f>
        <v/>
      </c>
      <c r="AA282" s="81">
        <f>IFERROR(INDEX('Resource Rate Library'!$N$5:$N$200,MATCH(P282,'Resource Rate Library'!$A$5:$A$200,0)),"")</f>
        <v/>
      </c>
      <c r="AB282" s="53" t="n"/>
      <c r="AC282" s="59" t="n"/>
      <c r="AD282" s="81">
        <f>IFERROR(INDEX('Resource Rate Library'!$G$5:$G$200,MATCH(P282,'Resource Rate Library'!$A$5:$A$200,0)),"")</f>
        <v/>
      </c>
      <c r="AE282" s="81">
        <f>IFERROR(INDEX('Resource Rate Library'!$H$5:$H$200,MATCH(P282,'Resource Rate Library'!$A$5:$A$200,0)),"")</f>
        <v/>
      </c>
      <c r="AF282" s="53" t="n"/>
      <c r="AG282" s="53" t="n"/>
      <c r="AH282" s="53" t="n"/>
      <c r="AI282" s="81">
        <f>IF(B282="","",IF(AND(P282="",N282&lt;&gt;"Lump Sum / Quote"),"RESOURCE CODE",IF(Y282=0,"RATE MISSING",IF(AND(O282="Plant",AD282="Yes",COUNTIFS($B$7:$B$306,B282,$O$7:$O$306,"Labour",$Q$7:$Q$306,"*Operator*")&gt;0),"OPERATOR DOUBLE-COUNT",IF(AND(O282="Plant",AE282="Yes",COUNTIFS($B$7:$B$306,B282,$Q$7:$Q$306,"*Fuel*")&gt;0),"FUEL DOUBLE-COUNT",IF(AH282&lt;&gt;"Yes","VERIFY","OK"))))))</f>
        <v/>
      </c>
      <c r="AJ282" s="54" t="n"/>
      <c r="AK282" s="473" t="n"/>
      <c r="AL282" s="473" t="n"/>
      <c r="AM282" s="473" t="n"/>
      <c r="AN282" s="1444">
        <f>IF(AND(AK282="Yes",OR(O282="Labour",O282="Plant")),Z282,0)</f>
        <v/>
      </c>
    </row>
    <row r="283">
      <c r="A283" s="80">
        <f>IF(B283="","",B283&amp;"-"&amp;TEXT(COUNTIF($B$7:B283,B283),"000"))</f>
        <v/>
      </c>
      <c r="B283" s="53" t="n"/>
      <c r="C283" s="81">
        <f>IFERROR(INDEX('QS Takeoff'!$A$3:$A$202,MATCH(B283,'QS Takeoff'!$B$3:$B$202,0)),"")</f>
        <v/>
      </c>
      <c r="D283" s="81">
        <f>IFERROR(INDEX('QS Takeoff'!$C$3:$C$202,MATCH(B283,'QS Takeoff'!$B$3:$B$202,0)),"")</f>
        <v/>
      </c>
      <c r="E283" s="81">
        <f>IFERROR(INDEX('QS Takeoff'!$E$3:$E$202,MATCH(B283,'QS Takeoff'!$B$3:$B$202,0)),"")</f>
        <v/>
      </c>
      <c r="F283" s="81">
        <f>IFERROR(INDEX('QS Takeoff'!$D$3:$D$202,MATCH(B283,'QS Takeoff'!$B$3:$B$202,0)),"")</f>
        <v/>
      </c>
      <c r="G283" s="81">
        <f>IFERROR(INDEX('QS Takeoff'!$J$3:$J$202,MATCH(B283,'QS Takeoff'!$B$3:$B$202,0)),"")</f>
        <v/>
      </c>
      <c r="H283" s="53" t="n"/>
      <c r="I283" s="60" t="n"/>
      <c r="J283" s="60" t="n"/>
      <c r="K283" s="82">
        <f>IF(OR(B283="",I283="",I283=0),"",E283/I283)</f>
        <v/>
      </c>
      <c r="L283" s="60" t="n"/>
      <c r="M283" s="82">
        <f>IF(L283&gt;0,L283,K283)</f>
        <v/>
      </c>
      <c r="N283" s="53" t="n"/>
      <c r="O283" s="53" t="n"/>
      <c r="P283" s="53" t="n"/>
      <c r="Q283" s="81">
        <f>IFERROR(INDEX('Resource Rate Library'!$C$5:$C$200,MATCH(P283,'Resource Rate Library'!$A$5:$A$200,0)),"")</f>
        <v/>
      </c>
      <c r="R283" s="53" t="n"/>
      <c r="S283" s="53" t="n"/>
      <c r="T283" s="81">
        <f>IFERROR(INDEX('Resource Rate Library'!$E$5:$E$200,MATCH(P283,'Resource Rate Library'!$A$5:$A$200,0)),"")</f>
        <v/>
      </c>
      <c r="U283" s="1441" t="n"/>
      <c r="V283" s="1441" t="n"/>
      <c r="W283" s="1442">
        <f>IFERROR(INDEX('Resource Rate Library'!$I$5:$I$200,MATCH(P283,'Resource Rate Library'!$A$5:$A$200,0)),0)</f>
        <v/>
      </c>
      <c r="X283" s="1443" t="n"/>
      <c r="Y283" s="1442">
        <f>IF(X283&gt;0,X283,W283)</f>
        <v/>
      </c>
      <c r="Z283" s="1442">
        <f>IF(B283="","",IF(N283="Time x Count",M283*R283*IF(U283="",1,U283)*Y283,IF(N283="QS Qty x Factor",E283*R283*(1+IF(V283="",0,V283))*Y283,IF(N283="Direct Qty",S283*(1+IF(V283="",0,V283))*Y283,IF(N283="Lump Sum / Quote",S283*Y283,0)))))</f>
        <v/>
      </c>
      <c r="AA283" s="81">
        <f>IFERROR(INDEX('Resource Rate Library'!$N$5:$N$200,MATCH(P283,'Resource Rate Library'!$A$5:$A$200,0)),"")</f>
        <v/>
      </c>
      <c r="AB283" s="53" t="n"/>
      <c r="AC283" s="59" t="n"/>
      <c r="AD283" s="81">
        <f>IFERROR(INDEX('Resource Rate Library'!$G$5:$G$200,MATCH(P283,'Resource Rate Library'!$A$5:$A$200,0)),"")</f>
        <v/>
      </c>
      <c r="AE283" s="81">
        <f>IFERROR(INDEX('Resource Rate Library'!$H$5:$H$200,MATCH(P283,'Resource Rate Library'!$A$5:$A$200,0)),"")</f>
        <v/>
      </c>
      <c r="AF283" s="53" t="n"/>
      <c r="AG283" s="53" t="n"/>
      <c r="AH283" s="53" t="n"/>
      <c r="AI283" s="81">
        <f>IF(B283="","",IF(AND(P283="",N283&lt;&gt;"Lump Sum / Quote"),"RESOURCE CODE",IF(Y283=0,"RATE MISSING",IF(AND(O283="Plant",AD283="Yes",COUNTIFS($B$7:$B$306,B283,$O$7:$O$306,"Labour",$Q$7:$Q$306,"*Operator*")&gt;0),"OPERATOR DOUBLE-COUNT",IF(AND(O283="Plant",AE283="Yes",COUNTIFS($B$7:$B$306,B283,$Q$7:$Q$306,"*Fuel*")&gt;0),"FUEL DOUBLE-COUNT",IF(AH283&lt;&gt;"Yes","VERIFY","OK"))))))</f>
        <v/>
      </c>
      <c r="AJ283" s="54" t="n"/>
      <c r="AK283" s="473" t="n"/>
      <c r="AL283" s="473" t="n"/>
      <c r="AM283" s="473" t="n"/>
      <c r="AN283" s="1444">
        <f>IF(AND(AK283="Yes",OR(O283="Labour",O283="Plant")),Z283,0)</f>
        <v/>
      </c>
    </row>
    <row r="284">
      <c r="A284" s="80">
        <f>IF(B284="","",B284&amp;"-"&amp;TEXT(COUNTIF($B$7:B284,B284),"000"))</f>
        <v/>
      </c>
      <c r="B284" s="53" t="n"/>
      <c r="C284" s="81">
        <f>IFERROR(INDEX('QS Takeoff'!$A$3:$A$202,MATCH(B284,'QS Takeoff'!$B$3:$B$202,0)),"")</f>
        <v/>
      </c>
      <c r="D284" s="81">
        <f>IFERROR(INDEX('QS Takeoff'!$C$3:$C$202,MATCH(B284,'QS Takeoff'!$B$3:$B$202,0)),"")</f>
        <v/>
      </c>
      <c r="E284" s="81">
        <f>IFERROR(INDEX('QS Takeoff'!$E$3:$E$202,MATCH(B284,'QS Takeoff'!$B$3:$B$202,0)),"")</f>
        <v/>
      </c>
      <c r="F284" s="81">
        <f>IFERROR(INDEX('QS Takeoff'!$D$3:$D$202,MATCH(B284,'QS Takeoff'!$B$3:$B$202,0)),"")</f>
        <v/>
      </c>
      <c r="G284" s="81">
        <f>IFERROR(INDEX('QS Takeoff'!$J$3:$J$202,MATCH(B284,'QS Takeoff'!$B$3:$B$202,0)),"")</f>
        <v/>
      </c>
      <c r="H284" s="53" t="n"/>
      <c r="I284" s="60" t="n"/>
      <c r="J284" s="60" t="n"/>
      <c r="K284" s="82">
        <f>IF(OR(B284="",I284="",I284=0),"",E284/I284)</f>
        <v/>
      </c>
      <c r="L284" s="60" t="n"/>
      <c r="M284" s="82">
        <f>IF(L284&gt;0,L284,K284)</f>
        <v/>
      </c>
      <c r="N284" s="53" t="n"/>
      <c r="O284" s="53" t="n"/>
      <c r="P284" s="53" t="n"/>
      <c r="Q284" s="81">
        <f>IFERROR(INDEX('Resource Rate Library'!$C$5:$C$200,MATCH(P284,'Resource Rate Library'!$A$5:$A$200,0)),"")</f>
        <v/>
      </c>
      <c r="R284" s="53" t="n"/>
      <c r="S284" s="53" t="n"/>
      <c r="T284" s="81">
        <f>IFERROR(INDEX('Resource Rate Library'!$E$5:$E$200,MATCH(P284,'Resource Rate Library'!$A$5:$A$200,0)),"")</f>
        <v/>
      </c>
      <c r="U284" s="1441" t="n"/>
      <c r="V284" s="1441" t="n"/>
      <c r="W284" s="1442">
        <f>IFERROR(INDEX('Resource Rate Library'!$I$5:$I$200,MATCH(P284,'Resource Rate Library'!$A$5:$A$200,0)),0)</f>
        <v/>
      </c>
      <c r="X284" s="1443" t="n"/>
      <c r="Y284" s="1442">
        <f>IF(X284&gt;0,X284,W284)</f>
        <v/>
      </c>
      <c r="Z284" s="1442">
        <f>IF(B284="","",IF(N284="Time x Count",M284*R284*IF(U284="",1,U284)*Y284,IF(N284="QS Qty x Factor",E284*R284*(1+IF(V284="",0,V284))*Y284,IF(N284="Direct Qty",S284*(1+IF(V284="",0,V284))*Y284,IF(N284="Lump Sum / Quote",S284*Y284,0)))))</f>
        <v/>
      </c>
      <c r="AA284" s="81">
        <f>IFERROR(INDEX('Resource Rate Library'!$N$5:$N$200,MATCH(P284,'Resource Rate Library'!$A$5:$A$200,0)),"")</f>
        <v/>
      </c>
      <c r="AB284" s="53" t="n"/>
      <c r="AC284" s="59" t="n"/>
      <c r="AD284" s="81">
        <f>IFERROR(INDEX('Resource Rate Library'!$G$5:$G$200,MATCH(P284,'Resource Rate Library'!$A$5:$A$200,0)),"")</f>
        <v/>
      </c>
      <c r="AE284" s="81">
        <f>IFERROR(INDEX('Resource Rate Library'!$H$5:$H$200,MATCH(P284,'Resource Rate Library'!$A$5:$A$200,0)),"")</f>
        <v/>
      </c>
      <c r="AF284" s="53" t="n"/>
      <c r="AG284" s="53" t="n"/>
      <c r="AH284" s="53" t="n"/>
      <c r="AI284" s="81">
        <f>IF(B284="","",IF(AND(P284="",N284&lt;&gt;"Lump Sum / Quote"),"RESOURCE CODE",IF(Y284=0,"RATE MISSING",IF(AND(O284="Plant",AD284="Yes",COUNTIFS($B$7:$B$306,B284,$O$7:$O$306,"Labour",$Q$7:$Q$306,"*Operator*")&gt;0),"OPERATOR DOUBLE-COUNT",IF(AND(O284="Plant",AE284="Yes",COUNTIFS($B$7:$B$306,B284,$Q$7:$Q$306,"*Fuel*")&gt;0),"FUEL DOUBLE-COUNT",IF(AH284&lt;&gt;"Yes","VERIFY","OK"))))))</f>
        <v/>
      </c>
      <c r="AJ284" s="54" t="n"/>
      <c r="AK284" s="473" t="n"/>
      <c r="AL284" s="473" t="n"/>
      <c r="AM284" s="473" t="n"/>
      <c r="AN284" s="1444">
        <f>IF(AND(AK284="Yes",OR(O284="Labour",O284="Plant")),Z284,0)</f>
        <v/>
      </c>
    </row>
    <row r="285">
      <c r="A285" s="80">
        <f>IF(B285="","",B285&amp;"-"&amp;TEXT(COUNTIF($B$7:B285,B285),"000"))</f>
        <v/>
      </c>
      <c r="B285" s="53" t="n"/>
      <c r="C285" s="81">
        <f>IFERROR(INDEX('QS Takeoff'!$A$3:$A$202,MATCH(B285,'QS Takeoff'!$B$3:$B$202,0)),"")</f>
        <v/>
      </c>
      <c r="D285" s="81">
        <f>IFERROR(INDEX('QS Takeoff'!$C$3:$C$202,MATCH(B285,'QS Takeoff'!$B$3:$B$202,0)),"")</f>
        <v/>
      </c>
      <c r="E285" s="81">
        <f>IFERROR(INDEX('QS Takeoff'!$E$3:$E$202,MATCH(B285,'QS Takeoff'!$B$3:$B$202,0)),"")</f>
        <v/>
      </c>
      <c r="F285" s="81">
        <f>IFERROR(INDEX('QS Takeoff'!$D$3:$D$202,MATCH(B285,'QS Takeoff'!$B$3:$B$202,0)),"")</f>
        <v/>
      </c>
      <c r="G285" s="81">
        <f>IFERROR(INDEX('QS Takeoff'!$J$3:$J$202,MATCH(B285,'QS Takeoff'!$B$3:$B$202,0)),"")</f>
        <v/>
      </c>
      <c r="H285" s="53" t="n"/>
      <c r="I285" s="60" t="n"/>
      <c r="J285" s="60" t="n"/>
      <c r="K285" s="82">
        <f>IF(OR(B285="",I285="",I285=0),"",E285/I285)</f>
        <v/>
      </c>
      <c r="L285" s="60" t="n"/>
      <c r="M285" s="82">
        <f>IF(L285&gt;0,L285,K285)</f>
        <v/>
      </c>
      <c r="N285" s="53" t="n"/>
      <c r="O285" s="53" t="n"/>
      <c r="P285" s="53" t="n"/>
      <c r="Q285" s="81">
        <f>IFERROR(INDEX('Resource Rate Library'!$C$5:$C$200,MATCH(P285,'Resource Rate Library'!$A$5:$A$200,0)),"")</f>
        <v/>
      </c>
      <c r="R285" s="53" t="n"/>
      <c r="S285" s="53" t="n"/>
      <c r="T285" s="81">
        <f>IFERROR(INDEX('Resource Rate Library'!$E$5:$E$200,MATCH(P285,'Resource Rate Library'!$A$5:$A$200,0)),"")</f>
        <v/>
      </c>
      <c r="U285" s="1441" t="n"/>
      <c r="V285" s="1441" t="n"/>
      <c r="W285" s="1442">
        <f>IFERROR(INDEX('Resource Rate Library'!$I$5:$I$200,MATCH(P285,'Resource Rate Library'!$A$5:$A$200,0)),0)</f>
        <v/>
      </c>
      <c r="X285" s="1443" t="n"/>
      <c r="Y285" s="1442">
        <f>IF(X285&gt;0,X285,W285)</f>
        <v/>
      </c>
      <c r="Z285" s="1442">
        <f>IF(B285="","",IF(N285="Time x Count",M285*R285*IF(U285="",1,U285)*Y285,IF(N285="QS Qty x Factor",E285*R285*(1+IF(V285="",0,V285))*Y285,IF(N285="Direct Qty",S285*(1+IF(V285="",0,V285))*Y285,IF(N285="Lump Sum / Quote",S285*Y285,0)))))</f>
        <v/>
      </c>
      <c r="AA285" s="81">
        <f>IFERROR(INDEX('Resource Rate Library'!$N$5:$N$200,MATCH(P285,'Resource Rate Library'!$A$5:$A$200,0)),"")</f>
        <v/>
      </c>
      <c r="AB285" s="53" t="n"/>
      <c r="AC285" s="59" t="n"/>
      <c r="AD285" s="81">
        <f>IFERROR(INDEX('Resource Rate Library'!$G$5:$G$200,MATCH(P285,'Resource Rate Library'!$A$5:$A$200,0)),"")</f>
        <v/>
      </c>
      <c r="AE285" s="81">
        <f>IFERROR(INDEX('Resource Rate Library'!$H$5:$H$200,MATCH(P285,'Resource Rate Library'!$A$5:$A$200,0)),"")</f>
        <v/>
      </c>
      <c r="AF285" s="53" t="n"/>
      <c r="AG285" s="53" t="n"/>
      <c r="AH285" s="53" t="n"/>
      <c r="AI285" s="81">
        <f>IF(B285="","",IF(AND(P285="",N285&lt;&gt;"Lump Sum / Quote"),"RESOURCE CODE",IF(Y285=0,"RATE MISSING",IF(AND(O285="Plant",AD285="Yes",COUNTIFS($B$7:$B$306,B285,$O$7:$O$306,"Labour",$Q$7:$Q$306,"*Operator*")&gt;0),"OPERATOR DOUBLE-COUNT",IF(AND(O285="Plant",AE285="Yes",COUNTIFS($B$7:$B$306,B285,$Q$7:$Q$306,"*Fuel*")&gt;0),"FUEL DOUBLE-COUNT",IF(AH285&lt;&gt;"Yes","VERIFY","OK"))))))</f>
        <v/>
      </c>
      <c r="AJ285" s="54" t="n"/>
      <c r="AK285" s="473" t="n"/>
      <c r="AL285" s="473" t="n"/>
      <c r="AM285" s="473" t="n"/>
      <c r="AN285" s="1444">
        <f>IF(AND(AK285="Yes",OR(O285="Labour",O285="Plant")),Z285,0)</f>
        <v/>
      </c>
    </row>
    <row r="286">
      <c r="A286" s="80">
        <f>IF(B286="","",B286&amp;"-"&amp;TEXT(COUNTIF($B$7:B286,B286),"000"))</f>
        <v/>
      </c>
      <c r="B286" s="53" t="n"/>
      <c r="C286" s="81">
        <f>IFERROR(INDEX('QS Takeoff'!$A$3:$A$202,MATCH(B286,'QS Takeoff'!$B$3:$B$202,0)),"")</f>
        <v/>
      </c>
      <c r="D286" s="81">
        <f>IFERROR(INDEX('QS Takeoff'!$C$3:$C$202,MATCH(B286,'QS Takeoff'!$B$3:$B$202,0)),"")</f>
        <v/>
      </c>
      <c r="E286" s="81">
        <f>IFERROR(INDEX('QS Takeoff'!$E$3:$E$202,MATCH(B286,'QS Takeoff'!$B$3:$B$202,0)),"")</f>
        <v/>
      </c>
      <c r="F286" s="81">
        <f>IFERROR(INDEX('QS Takeoff'!$D$3:$D$202,MATCH(B286,'QS Takeoff'!$B$3:$B$202,0)),"")</f>
        <v/>
      </c>
      <c r="G286" s="81">
        <f>IFERROR(INDEX('QS Takeoff'!$J$3:$J$202,MATCH(B286,'QS Takeoff'!$B$3:$B$202,0)),"")</f>
        <v/>
      </c>
      <c r="H286" s="53" t="n"/>
      <c r="I286" s="60" t="n"/>
      <c r="J286" s="60" t="n"/>
      <c r="K286" s="82">
        <f>IF(OR(B286="",I286="",I286=0),"",E286/I286)</f>
        <v/>
      </c>
      <c r="L286" s="60" t="n"/>
      <c r="M286" s="82">
        <f>IF(L286&gt;0,L286,K286)</f>
        <v/>
      </c>
      <c r="N286" s="53" t="n"/>
      <c r="O286" s="53" t="n"/>
      <c r="P286" s="53" t="n"/>
      <c r="Q286" s="81">
        <f>IFERROR(INDEX('Resource Rate Library'!$C$5:$C$200,MATCH(P286,'Resource Rate Library'!$A$5:$A$200,0)),"")</f>
        <v/>
      </c>
      <c r="R286" s="53" t="n"/>
      <c r="S286" s="53" t="n"/>
      <c r="T286" s="81">
        <f>IFERROR(INDEX('Resource Rate Library'!$E$5:$E$200,MATCH(P286,'Resource Rate Library'!$A$5:$A$200,0)),"")</f>
        <v/>
      </c>
      <c r="U286" s="1441" t="n"/>
      <c r="V286" s="1441" t="n"/>
      <c r="W286" s="1442">
        <f>IFERROR(INDEX('Resource Rate Library'!$I$5:$I$200,MATCH(P286,'Resource Rate Library'!$A$5:$A$200,0)),0)</f>
        <v/>
      </c>
      <c r="X286" s="1443" t="n"/>
      <c r="Y286" s="1442">
        <f>IF(X286&gt;0,X286,W286)</f>
        <v/>
      </c>
      <c r="Z286" s="1442">
        <f>IF(B286="","",IF(N286="Time x Count",M286*R286*IF(U286="",1,U286)*Y286,IF(N286="QS Qty x Factor",E286*R286*(1+IF(V286="",0,V286))*Y286,IF(N286="Direct Qty",S286*(1+IF(V286="",0,V286))*Y286,IF(N286="Lump Sum / Quote",S286*Y286,0)))))</f>
        <v/>
      </c>
      <c r="AA286" s="81">
        <f>IFERROR(INDEX('Resource Rate Library'!$N$5:$N$200,MATCH(P286,'Resource Rate Library'!$A$5:$A$200,0)),"")</f>
        <v/>
      </c>
      <c r="AB286" s="53" t="n"/>
      <c r="AC286" s="59" t="n"/>
      <c r="AD286" s="81">
        <f>IFERROR(INDEX('Resource Rate Library'!$G$5:$G$200,MATCH(P286,'Resource Rate Library'!$A$5:$A$200,0)),"")</f>
        <v/>
      </c>
      <c r="AE286" s="81">
        <f>IFERROR(INDEX('Resource Rate Library'!$H$5:$H$200,MATCH(P286,'Resource Rate Library'!$A$5:$A$200,0)),"")</f>
        <v/>
      </c>
      <c r="AF286" s="53" t="n"/>
      <c r="AG286" s="53" t="n"/>
      <c r="AH286" s="53" t="n"/>
      <c r="AI286" s="81">
        <f>IF(B286="","",IF(AND(P286="",N286&lt;&gt;"Lump Sum / Quote"),"RESOURCE CODE",IF(Y286=0,"RATE MISSING",IF(AND(O286="Plant",AD286="Yes",COUNTIFS($B$7:$B$306,B286,$O$7:$O$306,"Labour",$Q$7:$Q$306,"*Operator*")&gt;0),"OPERATOR DOUBLE-COUNT",IF(AND(O286="Plant",AE286="Yes",COUNTIFS($B$7:$B$306,B286,$Q$7:$Q$306,"*Fuel*")&gt;0),"FUEL DOUBLE-COUNT",IF(AH286&lt;&gt;"Yes","VERIFY","OK"))))))</f>
        <v/>
      </c>
      <c r="AJ286" s="54" t="n"/>
      <c r="AK286" s="473" t="n"/>
      <c r="AL286" s="473" t="n"/>
      <c r="AM286" s="473" t="n"/>
      <c r="AN286" s="1444">
        <f>IF(AND(AK286="Yes",OR(O286="Labour",O286="Plant")),Z286,0)</f>
        <v/>
      </c>
    </row>
    <row r="287">
      <c r="A287" s="80">
        <f>IF(B287="","",B287&amp;"-"&amp;TEXT(COUNTIF($B$7:B287,B287),"000"))</f>
        <v/>
      </c>
      <c r="B287" s="53" t="n"/>
      <c r="C287" s="81">
        <f>IFERROR(INDEX('QS Takeoff'!$A$3:$A$202,MATCH(B287,'QS Takeoff'!$B$3:$B$202,0)),"")</f>
        <v/>
      </c>
      <c r="D287" s="81">
        <f>IFERROR(INDEX('QS Takeoff'!$C$3:$C$202,MATCH(B287,'QS Takeoff'!$B$3:$B$202,0)),"")</f>
        <v/>
      </c>
      <c r="E287" s="81">
        <f>IFERROR(INDEX('QS Takeoff'!$E$3:$E$202,MATCH(B287,'QS Takeoff'!$B$3:$B$202,0)),"")</f>
        <v/>
      </c>
      <c r="F287" s="81">
        <f>IFERROR(INDEX('QS Takeoff'!$D$3:$D$202,MATCH(B287,'QS Takeoff'!$B$3:$B$202,0)),"")</f>
        <v/>
      </c>
      <c r="G287" s="81">
        <f>IFERROR(INDEX('QS Takeoff'!$J$3:$J$202,MATCH(B287,'QS Takeoff'!$B$3:$B$202,0)),"")</f>
        <v/>
      </c>
      <c r="H287" s="53" t="n"/>
      <c r="I287" s="60" t="n"/>
      <c r="J287" s="60" t="n"/>
      <c r="K287" s="82">
        <f>IF(OR(B287="",I287="",I287=0),"",E287/I287)</f>
        <v/>
      </c>
      <c r="L287" s="60" t="n"/>
      <c r="M287" s="82">
        <f>IF(L287&gt;0,L287,K287)</f>
        <v/>
      </c>
      <c r="N287" s="53" t="n"/>
      <c r="O287" s="53" t="n"/>
      <c r="P287" s="53" t="n"/>
      <c r="Q287" s="81">
        <f>IFERROR(INDEX('Resource Rate Library'!$C$5:$C$200,MATCH(P287,'Resource Rate Library'!$A$5:$A$200,0)),"")</f>
        <v/>
      </c>
      <c r="R287" s="53" t="n"/>
      <c r="S287" s="53" t="n"/>
      <c r="T287" s="81">
        <f>IFERROR(INDEX('Resource Rate Library'!$E$5:$E$200,MATCH(P287,'Resource Rate Library'!$A$5:$A$200,0)),"")</f>
        <v/>
      </c>
      <c r="U287" s="1441" t="n"/>
      <c r="V287" s="1441" t="n"/>
      <c r="W287" s="1442">
        <f>IFERROR(INDEX('Resource Rate Library'!$I$5:$I$200,MATCH(P287,'Resource Rate Library'!$A$5:$A$200,0)),0)</f>
        <v/>
      </c>
      <c r="X287" s="1443" t="n"/>
      <c r="Y287" s="1442">
        <f>IF(X287&gt;0,X287,W287)</f>
        <v/>
      </c>
      <c r="Z287" s="1442">
        <f>IF(B287="","",IF(N287="Time x Count",M287*R287*IF(U287="",1,U287)*Y287,IF(N287="QS Qty x Factor",E287*R287*(1+IF(V287="",0,V287))*Y287,IF(N287="Direct Qty",S287*(1+IF(V287="",0,V287))*Y287,IF(N287="Lump Sum / Quote",S287*Y287,0)))))</f>
        <v/>
      </c>
      <c r="AA287" s="81">
        <f>IFERROR(INDEX('Resource Rate Library'!$N$5:$N$200,MATCH(P287,'Resource Rate Library'!$A$5:$A$200,0)),"")</f>
        <v/>
      </c>
      <c r="AB287" s="53" t="n"/>
      <c r="AC287" s="59" t="n"/>
      <c r="AD287" s="81">
        <f>IFERROR(INDEX('Resource Rate Library'!$G$5:$G$200,MATCH(P287,'Resource Rate Library'!$A$5:$A$200,0)),"")</f>
        <v/>
      </c>
      <c r="AE287" s="81">
        <f>IFERROR(INDEX('Resource Rate Library'!$H$5:$H$200,MATCH(P287,'Resource Rate Library'!$A$5:$A$200,0)),"")</f>
        <v/>
      </c>
      <c r="AF287" s="53" t="n"/>
      <c r="AG287" s="53" t="n"/>
      <c r="AH287" s="53" t="n"/>
      <c r="AI287" s="81">
        <f>IF(B287="","",IF(AND(P287="",N287&lt;&gt;"Lump Sum / Quote"),"RESOURCE CODE",IF(Y287=0,"RATE MISSING",IF(AND(O287="Plant",AD287="Yes",COUNTIFS($B$7:$B$306,B287,$O$7:$O$306,"Labour",$Q$7:$Q$306,"*Operator*")&gt;0),"OPERATOR DOUBLE-COUNT",IF(AND(O287="Plant",AE287="Yes",COUNTIFS($B$7:$B$306,B287,$Q$7:$Q$306,"*Fuel*")&gt;0),"FUEL DOUBLE-COUNT",IF(AH287&lt;&gt;"Yes","VERIFY","OK"))))))</f>
        <v/>
      </c>
      <c r="AJ287" s="54" t="n"/>
      <c r="AK287" s="473" t="n"/>
      <c r="AL287" s="473" t="n"/>
      <c r="AM287" s="473" t="n"/>
      <c r="AN287" s="1444">
        <f>IF(AND(AK287="Yes",OR(O287="Labour",O287="Plant")),Z287,0)</f>
        <v/>
      </c>
    </row>
    <row r="288">
      <c r="A288" s="80">
        <f>IF(B288="","",B288&amp;"-"&amp;TEXT(COUNTIF($B$7:B288,B288),"000"))</f>
        <v/>
      </c>
      <c r="B288" s="53" t="n"/>
      <c r="C288" s="81">
        <f>IFERROR(INDEX('QS Takeoff'!$A$3:$A$202,MATCH(B288,'QS Takeoff'!$B$3:$B$202,0)),"")</f>
        <v/>
      </c>
      <c r="D288" s="81">
        <f>IFERROR(INDEX('QS Takeoff'!$C$3:$C$202,MATCH(B288,'QS Takeoff'!$B$3:$B$202,0)),"")</f>
        <v/>
      </c>
      <c r="E288" s="81">
        <f>IFERROR(INDEX('QS Takeoff'!$E$3:$E$202,MATCH(B288,'QS Takeoff'!$B$3:$B$202,0)),"")</f>
        <v/>
      </c>
      <c r="F288" s="81">
        <f>IFERROR(INDEX('QS Takeoff'!$D$3:$D$202,MATCH(B288,'QS Takeoff'!$B$3:$B$202,0)),"")</f>
        <v/>
      </c>
      <c r="G288" s="81">
        <f>IFERROR(INDEX('QS Takeoff'!$J$3:$J$202,MATCH(B288,'QS Takeoff'!$B$3:$B$202,0)),"")</f>
        <v/>
      </c>
      <c r="H288" s="53" t="n"/>
      <c r="I288" s="60" t="n"/>
      <c r="J288" s="60" t="n"/>
      <c r="K288" s="82">
        <f>IF(OR(B288="",I288="",I288=0),"",E288/I288)</f>
        <v/>
      </c>
      <c r="L288" s="60" t="n"/>
      <c r="M288" s="82">
        <f>IF(L288&gt;0,L288,K288)</f>
        <v/>
      </c>
      <c r="N288" s="53" t="n"/>
      <c r="O288" s="53" t="n"/>
      <c r="P288" s="53" t="n"/>
      <c r="Q288" s="81">
        <f>IFERROR(INDEX('Resource Rate Library'!$C$5:$C$200,MATCH(P288,'Resource Rate Library'!$A$5:$A$200,0)),"")</f>
        <v/>
      </c>
      <c r="R288" s="53" t="n"/>
      <c r="S288" s="53" t="n"/>
      <c r="T288" s="81">
        <f>IFERROR(INDEX('Resource Rate Library'!$E$5:$E$200,MATCH(P288,'Resource Rate Library'!$A$5:$A$200,0)),"")</f>
        <v/>
      </c>
      <c r="U288" s="1441" t="n"/>
      <c r="V288" s="1441" t="n"/>
      <c r="W288" s="1442">
        <f>IFERROR(INDEX('Resource Rate Library'!$I$5:$I$200,MATCH(P288,'Resource Rate Library'!$A$5:$A$200,0)),0)</f>
        <v/>
      </c>
      <c r="X288" s="1443" t="n"/>
      <c r="Y288" s="1442">
        <f>IF(X288&gt;0,X288,W288)</f>
        <v/>
      </c>
      <c r="Z288" s="1442">
        <f>IF(B288="","",IF(N288="Time x Count",M288*R288*IF(U288="",1,U288)*Y288,IF(N288="QS Qty x Factor",E288*R288*(1+IF(V288="",0,V288))*Y288,IF(N288="Direct Qty",S288*(1+IF(V288="",0,V288))*Y288,IF(N288="Lump Sum / Quote",S288*Y288,0)))))</f>
        <v/>
      </c>
      <c r="AA288" s="81">
        <f>IFERROR(INDEX('Resource Rate Library'!$N$5:$N$200,MATCH(P288,'Resource Rate Library'!$A$5:$A$200,0)),"")</f>
        <v/>
      </c>
      <c r="AB288" s="53" t="n"/>
      <c r="AC288" s="59" t="n"/>
      <c r="AD288" s="81">
        <f>IFERROR(INDEX('Resource Rate Library'!$G$5:$G$200,MATCH(P288,'Resource Rate Library'!$A$5:$A$200,0)),"")</f>
        <v/>
      </c>
      <c r="AE288" s="81">
        <f>IFERROR(INDEX('Resource Rate Library'!$H$5:$H$200,MATCH(P288,'Resource Rate Library'!$A$5:$A$200,0)),"")</f>
        <v/>
      </c>
      <c r="AF288" s="53" t="n"/>
      <c r="AG288" s="53" t="n"/>
      <c r="AH288" s="53" t="n"/>
      <c r="AI288" s="81">
        <f>IF(B288="","",IF(AND(P288="",N288&lt;&gt;"Lump Sum / Quote"),"RESOURCE CODE",IF(Y288=0,"RATE MISSING",IF(AND(O288="Plant",AD288="Yes",COUNTIFS($B$7:$B$306,B288,$O$7:$O$306,"Labour",$Q$7:$Q$306,"*Operator*")&gt;0),"OPERATOR DOUBLE-COUNT",IF(AND(O288="Plant",AE288="Yes",COUNTIFS($B$7:$B$306,B288,$Q$7:$Q$306,"*Fuel*")&gt;0),"FUEL DOUBLE-COUNT",IF(AH288&lt;&gt;"Yes","VERIFY","OK"))))))</f>
        <v/>
      </c>
      <c r="AJ288" s="54" t="n"/>
      <c r="AK288" s="473" t="n"/>
      <c r="AL288" s="473" t="n"/>
      <c r="AM288" s="473" t="n"/>
      <c r="AN288" s="1444">
        <f>IF(AND(AK288="Yes",OR(O288="Labour",O288="Plant")),Z288,0)</f>
        <v/>
      </c>
    </row>
    <row r="289">
      <c r="A289" s="80">
        <f>IF(B289="","",B289&amp;"-"&amp;TEXT(COUNTIF($B$7:B289,B289),"000"))</f>
        <v/>
      </c>
      <c r="B289" s="53" t="n"/>
      <c r="C289" s="81">
        <f>IFERROR(INDEX('QS Takeoff'!$A$3:$A$202,MATCH(B289,'QS Takeoff'!$B$3:$B$202,0)),"")</f>
        <v/>
      </c>
      <c r="D289" s="81">
        <f>IFERROR(INDEX('QS Takeoff'!$C$3:$C$202,MATCH(B289,'QS Takeoff'!$B$3:$B$202,0)),"")</f>
        <v/>
      </c>
      <c r="E289" s="81">
        <f>IFERROR(INDEX('QS Takeoff'!$E$3:$E$202,MATCH(B289,'QS Takeoff'!$B$3:$B$202,0)),"")</f>
        <v/>
      </c>
      <c r="F289" s="81">
        <f>IFERROR(INDEX('QS Takeoff'!$D$3:$D$202,MATCH(B289,'QS Takeoff'!$B$3:$B$202,0)),"")</f>
        <v/>
      </c>
      <c r="G289" s="81">
        <f>IFERROR(INDEX('QS Takeoff'!$J$3:$J$202,MATCH(B289,'QS Takeoff'!$B$3:$B$202,0)),"")</f>
        <v/>
      </c>
      <c r="H289" s="53" t="n"/>
      <c r="I289" s="60" t="n"/>
      <c r="J289" s="60" t="n"/>
      <c r="K289" s="82">
        <f>IF(OR(B289="",I289="",I289=0),"",E289/I289)</f>
        <v/>
      </c>
      <c r="L289" s="60" t="n"/>
      <c r="M289" s="82">
        <f>IF(L289&gt;0,L289,K289)</f>
        <v/>
      </c>
      <c r="N289" s="53" t="n"/>
      <c r="O289" s="53" t="n"/>
      <c r="P289" s="53" t="n"/>
      <c r="Q289" s="81">
        <f>IFERROR(INDEX('Resource Rate Library'!$C$5:$C$200,MATCH(P289,'Resource Rate Library'!$A$5:$A$200,0)),"")</f>
        <v/>
      </c>
      <c r="R289" s="53" t="n"/>
      <c r="S289" s="53" t="n"/>
      <c r="T289" s="81">
        <f>IFERROR(INDEX('Resource Rate Library'!$E$5:$E$200,MATCH(P289,'Resource Rate Library'!$A$5:$A$200,0)),"")</f>
        <v/>
      </c>
      <c r="U289" s="1441" t="n"/>
      <c r="V289" s="1441" t="n"/>
      <c r="W289" s="1442">
        <f>IFERROR(INDEX('Resource Rate Library'!$I$5:$I$200,MATCH(P289,'Resource Rate Library'!$A$5:$A$200,0)),0)</f>
        <v/>
      </c>
      <c r="X289" s="1443" t="n"/>
      <c r="Y289" s="1442">
        <f>IF(X289&gt;0,X289,W289)</f>
        <v/>
      </c>
      <c r="Z289" s="1442">
        <f>IF(B289="","",IF(N289="Time x Count",M289*R289*IF(U289="",1,U289)*Y289,IF(N289="QS Qty x Factor",E289*R289*(1+IF(V289="",0,V289))*Y289,IF(N289="Direct Qty",S289*(1+IF(V289="",0,V289))*Y289,IF(N289="Lump Sum / Quote",S289*Y289,0)))))</f>
        <v/>
      </c>
      <c r="AA289" s="81">
        <f>IFERROR(INDEX('Resource Rate Library'!$N$5:$N$200,MATCH(P289,'Resource Rate Library'!$A$5:$A$200,0)),"")</f>
        <v/>
      </c>
      <c r="AB289" s="53" t="n"/>
      <c r="AC289" s="59" t="n"/>
      <c r="AD289" s="81">
        <f>IFERROR(INDEX('Resource Rate Library'!$G$5:$G$200,MATCH(P289,'Resource Rate Library'!$A$5:$A$200,0)),"")</f>
        <v/>
      </c>
      <c r="AE289" s="81">
        <f>IFERROR(INDEX('Resource Rate Library'!$H$5:$H$200,MATCH(P289,'Resource Rate Library'!$A$5:$A$200,0)),"")</f>
        <v/>
      </c>
      <c r="AF289" s="53" t="n"/>
      <c r="AG289" s="53" t="n"/>
      <c r="AH289" s="53" t="n"/>
      <c r="AI289" s="81">
        <f>IF(B289="","",IF(AND(P289="",N289&lt;&gt;"Lump Sum / Quote"),"RESOURCE CODE",IF(Y289=0,"RATE MISSING",IF(AND(O289="Plant",AD289="Yes",COUNTIFS($B$7:$B$306,B289,$O$7:$O$306,"Labour",$Q$7:$Q$306,"*Operator*")&gt;0),"OPERATOR DOUBLE-COUNT",IF(AND(O289="Plant",AE289="Yes",COUNTIFS($B$7:$B$306,B289,$Q$7:$Q$306,"*Fuel*")&gt;0),"FUEL DOUBLE-COUNT",IF(AH289&lt;&gt;"Yes","VERIFY","OK"))))))</f>
        <v/>
      </c>
      <c r="AJ289" s="54" t="n"/>
      <c r="AK289" s="473" t="n"/>
      <c r="AL289" s="473" t="n"/>
      <c r="AM289" s="473" t="n"/>
      <c r="AN289" s="1444">
        <f>IF(AND(AK289="Yes",OR(O289="Labour",O289="Plant")),Z289,0)</f>
        <v/>
      </c>
    </row>
    <row r="290">
      <c r="A290" s="80">
        <f>IF(B290="","",B290&amp;"-"&amp;TEXT(COUNTIF($B$7:B290,B290),"000"))</f>
        <v/>
      </c>
      <c r="B290" s="53" t="n"/>
      <c r="C290" s="81">
        <f>IFERROR(INDEX('QS Takeoff'!$A$3:$A$202,MATCH(B290,'QS Takeoff'!$B$3:$B$202,0)),"")</f>
        <v/>
      </c>
      <c r="D290" s="81">
        <f>IFERROR(INDEX('QS Takeoff'!$C$3:$C$202,MATCH(B290,'QS Takeoff'!$B$3:$B$202,0)),"")</f>
        <v/>
      </c>
      <c r="E290" s="81">
        <f>IFERROR(INDEX('QS Takeoff'!$E$3:$E$202,MATCH(B290,'QS Takeoff'!$B$3:$B$202,0)),"")</f>
        <v/>
      </c>
      <c r="F290" s="81">
        <f>IFERROR(INDEX('QS Takeoff'!$D$3:$D$202,MATCH(B290,'QS Takeoff'!$B$3:$B$202,0)),"")</f>
        <v/>
      </c>
      <c r="G290" s="81">
        <f>IFERROR(INDEX('QS Takeoff'!$J$3:$J$202,MATCH(B290,'QS Takeoff'!$B$3:$B$202,0)),"")</f>
        <v/>
      </c>
      <c r="H290" s="53" t="n"/>
      <c r="I290" s="60" t="n"/>
      <c r="J290" s="60" t="n"/>
      <c r="K290" s="82">
        <f>IF(OR(B290="",I290="",I290=0),"",E290/I290)</f>
        <v/>
      </c>
      <c r="L290" s="60" t="n"/>
      <c r="M290" s="82">
        <f>IF(L290&gt;0,L290,K290)</f>
        <v/>
      </c>
      <c r="N290" s="53" t="n"/>
      <c r="O290" s="53" t="n"/>
      <c r="P290" s="53" t="n"/>
      <c r="Q290" s="81">
        <f>IFERROR(INDEX('Resource Rate Library'!$C$5:$C$200,MATCH(P290,'Resource Rate Library'!$A$5:$A$200,0)),"")</f>
        <v/>
      </c>
      <c r="R290" s="53" t="n"/>
      <c r="S290" s="53" t="n"/>
      <c r="T290" s="81">
        <f>IFERROR(INDEX('Resource Rate Library'!$E$5:$E$200,MATCH(P290,'Resource Rate Library'!$A$5:$A$200,0)),"")</f>
        <v/>
      </c>
      <c r="U290" s="1441" t="n"/>
      <c r="V290" s="1441" t="n"/>
      <c r="W290" s="1442">
        <f>IFERROR(INDEX('Resource Rate Library'!$I$5:$I$200,MATCH(P290,'Resource Rate Library'!$A$5:$A$200,0)),0)</f>
        <v/>
      </c>
      <c r="X290" s="1443" t="n"/>
      <c r="Y290" s="1442">
        <f>IF(X290&gt;0,X290,W290)</f>
        <v/>
      </c>
      <c r="Z290" s="1442">
        <f>IF(B290="","",IF(N290="Time x Count",M290*R290*IF(U290="",1,U290)*Y290,IF(N290="QS Qty x Factor",E290*R290*(1+IF(V290="",0,V290))*Y290,IF(N290="Direct Qty",S290*(1+IF(V290="",0,V290))*Y290,IF(N290="Lump Sum / Quote",S290*Y290,0)))))</f>
        <v/>
      </c>
      <c r="AA290" s="81">
        <f>IFERROR(INDEX('Resource Rate Library'!$N$5:$N$200,MATCH(P290,'Resource Rate Library'!$A$5:$A$200,0)),"")</f>
        <v/>
      </c>
      <c r="AB290" s="53" t="n"/>
      <c r="AC290" s="59" t="n"/>
      <c r="AD290" s="81">
        <f>IFERROR(INDEX('Resource Rate Library'!$G$5:$G$200,MATCH(P290,'Resource Rate Library'!$A$5:$A$200,0)),"")</f>
        <v/>
      </c>
      <c r="AE290" s="81">
        <f>IFERROR(INDEX('Resource Rate Library'!$H$5:$H$200,MATCH(P290,'Resource Rate Library'!$A$5:$A$200,0)),"")</f>
        <v/>
      </c>
      <c r="AF290" s="53" t="n"/>
      <c r="AG290" s="53" t="n"/>
      <c r="AH290" s="53" t="n"/>
      <c r="AI290" s="81">
        <f>IF(B290="","",IF(AND(P290="",N290&lt;&gt;"Lump Sum / Quote"),"RESOURCE CODE",IF(Y290=0,"RATE MISSING",IF(AND(O290="Plant",AD290="Yes",COUNTIFS($B$7:$B$306,B290,$O$7:$O$306,"Labour",$Q$7:$Q$306,"*Operator*")&gt;0),"OPERATOR DOUBLE-COUNT",IF(AND(O290="Plant",AE290="Yes",COUNTIFS($B$7:$B$306,B290,$Q$7:$Q$306,"*Fuel*")&gt;0),"FUEL DOUBLE-COUNT",IF(AH290&lt;&gt;"Yes","VERIFY","OK"))))))</f>
        <v/>
      </c>
      <c r="AJ290" s="54" t="n"/>
      <c r="AK290" s="473" t="n"/>
      <c r="AL290" s="473" t="n"/>
      <c r="AM290" s="473" t="n"/>
      <c r="AN290" s="1444">
        <f>IF(AND(AK290="Yes",OR(O290="Labour",O290="Plant")),Z290,0)</f>
        <v/>
      </c>
    </row>
    <row r="291">
      <c r="A291" s="80">
        <f>IF(B291="","",B291&amp;"-"&amp;TEXT(COUNTIF($B$7:B291,B291),"000"))</f>
        <v/>
      </c>
      <c r="B291" s="53" t="n"/>
      <c r="C291" s="81">
        <f>IFERROR(INDEX('QS Takeoff'!$A$3:$A$202,MATCH(B291,'QS Takeoff'!$B$3:$B$202,0)),"")</f>
        <v/>
      </c>
      <c r="D291" s="81">
        <f>IFERROR(INDEX('QS Takeoff'!$C$3:$C$202,MATCH(B291,'QS Takeoff'!$B$3:$B$202,0)),"")</f>
        <v/>
      </c>
      <c r="E291" s="81">
        <f>IFERROR(INDEX('QS Takeoff'!$E$3:$E$202,MATCH(B291,'QS Takeoff'!$B$3:$B$202,0)),"")</f>
        <v/>
      </c>
      <c r="F291" s="81">
        <f>IFERROR(INDEX('QS Takeoff'!$D$3:$D$202,MATCH(B291,'QS Takeoff'!$B$3:$B$202,0)),"")</f>
        <v/>
      </c>
      <c r="G291" s="81">
        <f>IFERROR(INDEX('QS Takeoff'!$J$3:$J$202,MATCH(B291,'QS Takeoff'!$B$3:$B$202,0)),"")</f>
        <v/>
      </c>
      <c r="H291" s="53" t="n"/>
      <c r="I291" s="60" t="n"/>
      <c r="J291" s="60" t="n"/>
      <c r="K291" s="82">
        <f>IF(OR(B291="",I291="",I291=0),"",E291/I291)</f>
        <v/>
      </c>
      <c r="L291" s="60" t="n"/>
      <c r="M291" s="82">
        <f>IF(L291&gt;0,L291,K291)</f>
        <v/>
      </c>
      <c r="N291" s="53" t="n"/>
      <c r="O291" s="53" t="n"/>
      <c r="P291" s="53" t="n"/>
      <c r="Q291" s="81">
        <f>IFERROR(INDEX('Resource Rate Library'!$C$5:$C$200,MATCH(P291,'Resource Rate Library'!$A$5:$A$200,0)),"")</f>
        <v/>
      </c>
      <c r="R291" s="53" t="n"/>
      <c r="S291" s="53" t="n"/>
      <c r="T291" s="81">
        <f>IFERROR(INDEX('Resource Rate Library'!$E$5:$E$200,MATCH(P291,'Resource Rate Library'!$A$5:$A$200,0)),"")</f>
        <v/>
      </c>
      <c r="U291" s="1441" t="n"/>
      <c r="V291" s="1441" t="n"/>
      <c r="W291" s="1442">
        <f>IFERROR(INDEX('Resource Rate Library'!$I$5:$I$200,MATCH(P291,'Resource Rate Library'!$A$5:$A$200,0)),0)</f>
        <v/>
      </c>
      <c r="X291" s="1443" t="n"/>
      <c r="Y291" s="1442">
        <f>IF(X291&gt;0,X291,W291)</f>
        <v/>
      </c>
      <c r="Z291" s="1442">
        <f>IF(B291="","",IF(N291="Time x Count",M291*R291*IF(U291="",1,U291)*Y291,IF(N291="QS Qty x Factor",E291*R291*(1+IF(V291="",0,V291))*Y291,IF(N291="Direct Qty",S291*(1+IF(V291="",0,V291))*Y291,IF(N291="Lump Sum / Quote",S291*Y291,0)))))</f>
        <v/>
      </c>
      <c r="AA291" s="81">
        <f>IFERROR(INDEX('Resource Rate Library'!$N$5:$N$200,MATCH(P291,'Resource Rate Library'!$A$5:$A$200,0)),"")</f>
        <v/>
      </c>
      <c r="AB291" s="53" t="n"/>
      <c r="AC291" s="59" t="n"/>
      <c r="AD291" s="81">
        <f>IFERROR(INDEX('Resource Rate Library'!$G$5:$G$200,MATCH(P291,'Resource Rate Library'!$A$5:$A$200,0)),"")</f>
        <v/>
      </c>
      <c r="AE291" s="81">
        <f>IFERROR(INDEX('Resource Rate Library'!$H$5:$H$200,MATCH(P291,'Resource Rate Library'!$A$5:$A$200,0)),"")</f>
        <v/>
      </c>
      <c r="AF291" s="53" t="n"/>
      <c r="AG291" s="53" t="n"/>
      <c r="AH291" s="53" t="n"/>
      <c r="AI291" s="81">
        <f>IF(B291="","",IF(AND(P291="",N291&lt;&gt;"Lump Sum / Quote"),"RESOURCE CODE",IF(Y291=0,"RATE MISSING",IF(AND(O291="Plant",AD291="Yes",COUNTIFS($B$7:$B$306,B291,$O$7:$O$306,"Labour",$Q$7:$Q$306,"*Operator*")&gt;0),"OPERATOR DOUBLE-COUNT",IF(AND(O291="Plant",AE291="Yes",COUNTIFS($B$7:$B$306,B291,$Q$7:$Q$306,"*Fuel*")&gt;0),"FUEL DOUBLE-COUNT",IF(AH291&lt;&gt;"Yes","VERIFY","OK"))))))</f>
        <v/>
      </c>
      <c r="AJ291" s="54" t="n"/>
      <c r="AK291" s="473" t="n"/>
      <c r="AL291" s="473" t="n"/>
      <c r="AM291" s="473" t="n"/>
      <c r="AN291" s="1444">
        <f>IF(AND(AK291="Yes",OR(O291="Labour",O291="Plant")),Z291,0)</f>
        <v/>
      </c>
    </row>
    <row r="292">
      <c r="A292" s="80">
        <f>IF(B292="","",B292&amp;"-"&amp;TEXT(COUNTIF($B$7:B292,B292),"000"))</f>
        <v/>
      </c>
      <c r="B292" s="53" t="n"/>
      <c r="C292" s="81">
        <f>IFERROR(INDEX('QS Takeoff'!$A$3:$A$202,MATCH(B292,'QS Takeoff'!$B$3:$B$202,0)),"")</f>
        <v/>
      </c>
      <c r="D292" s="81">
        <f>IFERROR(INDEX('QS Takeoff'!$C$3:$C$202,MATCH(B292,'QS Takeoff'!$B$3:$B$202,0)),"")</f>
        <v/>
      </c>
      <c r="E292" s="81">
        <f>IFERROR(INDEX('QS Takeoff'!$E$3:$E$202,MATCH(B292,'QS Takeoff'!$B$3:$B$202,0)),"")</f>
        <v/>
      </c>
      <c r="F292" s="81">
        <f>IFERROR(INDEX('QS Takeoff'!$D$3:$D$202,MATCH(B292,'QS Takeoff'!$B$3:$B$202,0)),"")</f>
        <v/>
      </c>
      <c r="G292" s="81">
        <f>IFERROR(INDEX('QS Takeoff'!$J$3:$J$202,MATCH(B292,'QS Takeoff'!$B$3:$B$202,0)),"")</f>
        <v/>
      </c>
      <c r="H292" s="53" t="n"/>
      <c r="I292" s="60" t="n"/>
      <c r="J292" s="60" t="n"/>
      <c r="K292" s="82">
        <f>IF(OR(B292="",I292="",I292=0),"",E292/I292)</f>
        <v/>
      </c>
      <c r="L292" s="60" t="n"/>
      <c r="M292" s="82">
        <f>IF(L292&gt;0,L292,K292)</f>
        <v/>
      </c>
      <c r="N292" s="53" t="n"/>
      <c r="O292" s="53" t="n"/>
      <c r="P292" s="53" t="n"/>
      <c r="Q292" s="81">
        <f>IFERROR(INDEX('Resource Rate Library'!$C$5:$C$200,MATCH(P292,'Resource Rate Library'!$A$5:$A$200,0)),"")</f>
        <v/>
      </c>
      <c r="R292" s="53" t="n"/>
      <c r="S292" s="53" t="n"/>
      <c r="T292" s="81">
        <f>IFERROR(INDEX('Resource Rate Library'!$E$5:$E$200,MATCH(P292,'Resource Rate Library'!$A$5:$A$200,0)),"")</f>
        <v/>
      </c>
      <c r="U292" s="1441" t="n"/>
      <c r="V292" s="1441" t="n"/>
      <c r="W292" s="1442">
        <f>IFERROR(INDEX('Resource Rate Library'!$I$5:$I$200,MATCH(P292,'Resource Rate Library'!$A$5:$A$200,0)),0)</f>
        <v/>
      </c>
      <c r="X292" s="1443" t="n"/>
      <c r="Y292" s="1442">
        <f>IF(X292&gt;0,X292,W292)</f>
        <v/>
      </c>
      <c r="Z292" s="1442">
        <f>IF(B292="","",IF(N292="Time x Count",M292*R292*IF(U292="",1,U292)*Y292,IF(N292="QS Qty x Factor",E292*R292*(1+IF(V292="",0,V292))*Y292,IF(N292="Direct Qty",S292*(1+IF(V292="",0,V292))*Y292,IF(N292="Lump Sum / Quote",S292*Y292,0)))))</f>
        <v/>
      </c>
      <c r="AA292" s="81">
        <f>IFERROR(INDEX('Resource Rate Library'!$N$5:$N$200,MATCH(P292,'Resource Rate Library'!$A$5:$A$200,0)),"")</f>
        <v/>
      </c>
      <c r="AB292" s="53" t="n"/>
      <c r="AC292" s="59" t="n"/>
      <c r="AD292" s="81">
        <f>IFERROR(INDEX('Resource Rate Library'!$G$5:$G$200,MATCH(P292,'Resource Rate Library'!$A$5:$A$200,0)),"")</f>
        <v/>
      </c>
      <c r="AE292" s="81">
        <f>IFERROR(INDEX('Resource Rate Library'!$H$5:$H$200,MATCH(P292,'Resource Rate Library'!$A$5:$A$200,0)),"")</f>
        <v/>
      </c>
      <c r="AF292" s="53" t="n"/>
      <c r="AG292" s="53" t="n"/>
      <c r="AH292" s="53" t="n"/>
      <c r="AI292" s="81">
        <f>IF(B292="","",IF(AND(P292="",N292&lt;&gt;"Lump Sum / Quote"),"RESOURCE CODE",IF(Y292=0,"RATE MISSING",IF(AND(O292="Plant",AD292="Yes",COUNTIFS($B$7:$B$306,B292,$O$7:$O$306,"Labour",$Q$7:$Q$306,"*Operator*")&gt;0),"OPERATOR DOUBLE-COUNT",IF(AND(O292="Plant",AE292="Yes",COUNTIFS($B$7:$B$306,B292,$Q$7:$Q$306,"*Fuel*")&gt;0),"FUEL DOUBLE-COUNT",IF(AH292&lt;&gt;"Yes","VERIFY","OK"))))))</f>
        <v/>
      </c>
      <c r="AJ292" s="54" t="n"/>
      <c r="AK292" s="473" t="n"/>
      <c r="AL292" s="473" t="n"/>
      <c r="AM292" s="473" t="n"/>
      <c r="AN292" s="1444">
        <f>IF(AND(AK292="Yes",OR(O292="Labour",O292="Plant")),Z292,0)</f>
        <v/>
      </c>
    </row>
    <row r="293">
      <c r="A293" s="80">
        <f>IF(B293="","",B293&amp;"-"&amp;TEXT(COUNTIF($B$7:B293,B293),"000"))</f>
        <v/>
      </c>
      <c r="B293" s="53" t="n"/>
      <c r="C293" s="81">
        <f>IFERROR(INDEX('QS Takeoff'!$A$3:$A$202,MATCH(B293,'QS Takeoff'!$B$3:$B$202,0)),"")</f>
        <v/>
      </c>
      <c r="D293" s="81">
        <f>IFERROR(INDEX('QS Takeoff'!$C$3:$C$202,MATCH(B293,'QS Takeoff'!$B$3:$B$202,0)),"")</f>
        <v/>
      </c>
      <c r="E293" s="81">
        <f>IFERROR(INDEX('QS Takeoff'!$E$3:$E$202,MATCH(B293,'QS Takeoff'!$B$3:$B$202,0)),"")</f>
        <v/>
      </c>
      <c r="F293" s="81">
        <f>IFERROR(INDEX('QS Takeoff'!$D$3:$D$202,MATCH(B293,'QS Takeoff'!$B$3:$B$202,0)),"")</f>
        <v/>
      </c>
      <c r="G293" s="81">
        <f>IFERROR(INDEX('QS Takeoff'!$J$3:$J$202,MATCH(B293,'QS Takeoff'!$B$3:$B$202,0)),"")</f>
        <v/>
      </c>
      <c r="H293" s="53" t="n"/>
      <c r="I293" s="60" t="n"/>
      <c r="J293" s="60" t="n"/>
      <c r="K293" s="82">
        <f>IF(OR(B293="",I293="",I293=0),"",E293/I293)</f>
        <v/>
      </c>
      <c r="L293" s="60" t="n"/>
      <c r="M293" s="82">
        <f>IF(L293&gt;0,L293,K293)</f>
        <v/>
      </c>
      <c r="N293" s="53" t="n"/>
      <c r="O293" s="53" t="n"/>
      <c r="P293" s="53" t="n"/>
      <c r="Q293" s="81">
        <f>IFERROR(INDEX('Resource Rate Library'!$C$5:$C$200,MATCH(P293,'Resource Rate Library'!$A$5:$A$200,0)),"")</f>
        <v/>
      </c>
      <c r="R293" s="53" t="n"/>
      <c r="S293" s="53" t="n"/>
      <c r="T293" s="81">
        <f>IFERROR(INDEX('Resource Rate Library'!$E$5:$E$200,MATCH(P293,'Resource Rate Library'!$A$5:$A$200,0)),"")</f>
        <v/>
      </c>
      <c r="U293" s="1441" t="n"/>
      <c r="V293" s="1441" t="n"/>
      <c r="W293" s="1442">
        <f>IFERROR(INDEX('Resource Rate Library'!$I$5:$I$200,MATCH(P293,'Resource Rate Library'!$A$5:$A$200,0)),0)</f>
        <v/>
      </c>
      <c r="X293" s="1443" t="n"/>
      <c r="Y293" s="1442">
        <f>IF(X293&gt;0,X293,W293)</f>
        <v/>
      </c>
      <c r="Z293" s="1442">
        <f>IF(B293="","",IF(N293="Time x Count",M293*R293*IF(U293="",1,U293)*Y293,IF(N293="QS Qty x Factor",E293*R293*(1+IF(V293="",0,V293))*Y293,IF(N293="Direct Qty",S293*(1+IF(V293="",0,V293))*Y293,IF(N293="Lump Sum / Quote",S293*Y293,0)))))</f>
        <v/>
      </c>
      <c r="AA293" s="81">
        <f>IFERROR(INDEX('Resource Rate Library'!$N$5:$N$200,MATCH(P293,'Resource Rate Library'!$A$5:$A$200,0)),"")</f>
        <v/>
      </c>
      <c r="AB293" s="53" t="n"/>
      <c r="AC293" s="59" t="n"/>
      <c r="AD293" s="81">
        <f>IFERROR(INDEX('Resource Rate Library'!$G$5:$G$200,MATCH(P293,'Resource Rate Library'!$A$5:$A$200,0)),"")</f>
        <v/>
      </c>
      <c r="AE293" s="81">
        <f>IFERROR(INDEX('Resource Rate Library'!$H$5:$H$200,MATCH(P293,'Resource Rate Library'!$A$5:$A$200,0)),"")</f>
        <v/>
      </c>
      <c r="AF293" s="53" t="n"/>
      <c r="AG293" s="53" t="n"/>
      <c r="AH293" s="53" t="n"/>
      <c r="AI293" s="81">
        <f>IF(B293="","",IF(AND(P293="",N293&lt;&gt;"Lump Sum / Quote"),"RESOURCE CODE",IF(Y293=0,"RATE MISSING",IF(AND(O293="Plant",AD293="Yes",COUNTIFS($B$7:$B$306,B293,$O$7:$O$306,"Labour",$Q$7:$Q$306,"*Operator*")&gt;0),"OPERATOR DOUBLE-COUNT",IF(AND(O293="Plant",AE293="Yes",COUNTIFS($B$7:$B$306,B293,$Q$7:$Q$306,"*Fuel*")&gt;0),"FUEL DOUBLE-COUNT",IF(AH293&lt;&gt;"Yes","VERIFY","OK"))))))</f>
        <v/>
      </c>
      <c r="AJ293" s="54" t="n"/>
      <c r="AK293" s="473" t="n"/>
      <c r="AL293" s="473" t="n"/>
      <c r="AM293" s="473" t="n"/>
      <c r="AN293" s="1444">
        <f>IF(AND(AK293="Yes",OR(O293="Labour",O293="Plant")),Z293,0)</f>
        <v/>
      </c>
    </row>
    <row r="294">
      <c r="A294" s="80">
        <f>IF(B294="","",B294&amp;"-"&amp;TEXT(COUNTIF($B$7:B294,B294),"000"))</f>
        <v/>
      </c>
      <c r="B294" s="53" t="n"/>
      <c r="C294" s="81">
        <f>IFERROR(INDEX('QS Takeoff'!$A$3:$A$202,MATCH(B294,'QS Takeoff'!$B$3:$B$202,0)),"")</f>
        <v/>
      </c>
      <c r="D294" s="81">
        <f>IFERROR(INDEX('QS Takeoff'!$C$3:$C$202,MATCH(B294,'QS Takeoff'!$B$3:$B$202,0)),"")</f>
        <v/>
      </c>
      <c r="E294" s="81">
        <f>IFERROR(INDEX('QS Takeoff'!$E$3:$E$202,MATCH(B294,'QS Takeoff'!$B$3:$B$202,0)),"")</f>
        <v/>
      </c>
      <c r="F294" s="81">
        <f>IFERROR(INDEX('QS Takeoff'!$D$3:$D$202,MATCH(B294,'QS Takeoff'!$B$3:$B$202,0)),"")</f>
        <v/>
      </c>
      <c r="G294" s="81">
        <f>IFERROR(INDEX('QS Takeoff'!$J$3:$J$202,MATCH(B294,'QS Takeoff'!$B$3:$B$202,0)),"")</f>
        <v/>
      </c>
      <c r="H294" s="53" t="n"/>
      <c r="I294" s="60" t="n"/>
      <c r="J294" s="60" t="n"/>
      <c r="K294" s="82">
        <f>IF(OR(B294="",I294="",I294=0),"",E294/I294)</f>
        <v/>
      </c>
      <c r="L294" s="60" t="n"/>
      <c r="M294" s="82">
        <f>IF(L294&gt;0,L294,K294)</f>
        <v/>
      </c>
      <c r="N294" s="53" t="n"/>
      <c r="O294" s="53" t="n"/>
      <c r="P294" s="53" t="n"/>
      <c r="Q294" s="81">
        <f>IFERROR(INDEX('Resource Rate Library'!$C$5:$C$200,MATCH(P294,'Resource Rate Library'!$A$5:$A$200,0)),"")</f>
        <v/>
      </c>
      <c r="R294" s="53" t="n"/>
      <c r="S294" s="53" t="n"/>
      <c r="T294" s="81">
        <f>IFERROR(INDEX('Resource Rate Library'!$E$5:$E$200,MATCH(P294,'Resource Rate Library'!$A$5:$A$200,0)),"")</f>
        <v/>
      </c>
      <c r="U294" s="1441" t="n"/>
      <c r="V294" s="1441" t="n"/>
      <c r="W294" s="1442">
        <f>IFERROR(INDEX('Resource Rate Library'!$I$5:$I$200,MATCH(P294,'Resource Rate Library'!$A$5:$A$200,0)),0)</f>
        <v/>
      </c>
      <c r="X294" s="1443" t="n"/>
      <c r="Y294" s="1442">
        <f>IF(X294&gt;0,X294,W294)</f>
        <v/>
      </c>
      <c r="Z294" s="1442">
        <f>IF(B294="","",IF(N294="Time x Count",M294*R294*IF(U294="",1,U294)*Y294,IF(N294="QS Qty x Factor",E294*R294*(1+IF(V294="",0,V294))*Y294,IF(N294="Direct Qty",S294*(1+IF(V294="",0,V294))*Y294,IF(N294="Lump Sum / Quote",S294*Y294,0)))))</f>
        <v/>
      </c>
      <c r="AA294" s="81">
        <f>IFERROR(INDEX('Resource Rate Library'!$N$5:$N$200,MATCH(P294,'Resource Rate Library'!$A$5:$A$200,0)),"")</f>
        <v/>
      </c>
      <c r="AB294" s="53" t="n"/>
      <c r="AC294" s="59" t="n"/>
      <c r="AD294" s="81">
        <f>IFERROR(INDEX('Resource Rate Library'!$G$5:$G$200,MATCH(P294,'Resource Rate Library'!$A$5:$A$200,0)),"")</f>
        <v/>
      </c>
      <c r="AE294" s="81">
        <f>IFERROR(INDEX('Resource Rate Library'!$H$5:$H$200,MATCH(P294,'Resource Rate Library'!$A$5:$A$200,0)),"")</f>
        <v/>
      </c>
      <c r="AF294" s="53" t="n"/>
      <c r="AG294" s="53" t="n"/>
      <c r="AH294" s="53" t="n"/>
      <c r="AI294" s="81">
        <f>IF(B294="","",IF(AND(P294="",N294&lt;&gt;"Lump Sum / Quote"),"RESOURCE CODE",IF(Y294=0,"RATE MISSING",IF(AND(O294="Plant",AD294="Yes",COUNTIFS($B$7:$B$306,B294,$O$7:$O$306,"Labour",$Q$7:$Q$306,"*Operator*")&gt;0),"OPERATOR DOUBLE-COUNT",IF(AND(O294="Plant",AE294="Yes",COUNTIFS($B$7:$B$306,B294,$Q$7:$Q$306,"*Fuel*")&gt;0),"FUEL DOUBLE-COUNT",IF(AH294&lt;&gt;"Yes","VERIFY","OK"))))))</f>
        <v/>
      </c>
      <c r="AJ294" s="54" t="n"/>
      <c r="AK294" s="473" t="n"/>
      <c r="AL294" s="473" t="n"/>
      <c r="AM294" s="473" t="n"/>
      <c r="AN294" s="1444">
        <f>IF(AND(AK294="Yes",OR(O294="Labour",O294="Plant")),Z294,0)</f>
        <v/>
      </c>
    </row>
    <row r="295">
      <c r="A295" s="80">
        <f>IF(B295="","",B295&amp;"-"&amp;TEXT(COUNTIF($B$7:B295,B295),"000"))</f>
        <v/>
      </c>
      <c r="B295" s="53" t="n"/>
      <c r="C295" s="81">
        <f>IFERROR(INDEX('QS Takeoff'!$A$3:$A$202,MATCH(B295,'QS Takeoff'!$B$3:$B$202,0)),"")</f>
        <v/>
      </c>
      <c r="D295" s="81">
        <f>IFERROR(INDEX('QS Takeoff'!$C$3:$C$202,MATCH(B295,'QS Takeoff'!$B$3:$B$202,0)),"")</f>
        <v/>
      </c>
      <c r="E295" s="81">
        <f>IFERROR(INDEX('QS Takeoff'!$E$3:$E$202,MATCH(B295,'QS Takeoff'!$B$3:$B$202,0)),"")</f>
        <v/>
      </c>
      <c r="F295" s="81">
        <f>IFERROR(INDEX('QS Takeoff'!$D$3:$D$202,MATCH(B295,'QS Takeoff'!$B$3:$B$202,0)),"")</f>
        <v/>
      </c>
      <c r="G295" s="81">
        <f>IFERROR(INDEX('QS Takeoff'!$J$3:$J$202,MATCH(B295,'QS Takeoff'!$B$3:$B$202,0)),"")</f>
        <v/>
      </c>
      <c r="H295" s="53" t="n"/>
      <c r="I295" s="60" t="n"/>
      <c r="J295" s="60" t="n"/>
      <c r="K295" s="82">
        <f>IF(OR(B295="",I295="",I295=0),"",E295/I295)</f>
        <v/>
      </c>
      <c r="L295" s="60" t="n"/>
      <c r="M295" s="82">
        <f>IF(L295&gt;0,L295,K295)</f>
        <v/>
      </c>
      <c r="N295" s="53" t="n"/>
      <c r="O295" s="53" t="n"/>
      <c r="P295" s="53" t="n"/>
      <c r="Q295" s="81">
        <f>IFERROR(INDEX('Resource Rate Library'!$C$5:$C$200,MATCH(P295,'Resource Rate Library'!$A$5:$A$200,0)),"")</f>
        <v/>
      </c>
      <c r="R295" s="53" t="n"/>
      <c r="S295" s="53" t="n"/>
      <c r="T295" s="81">
        <f>IFERROR(INDEX('Resource Rate Library'!$E$5:$E$200,MATCH(P295,'Resource Rate Library'!$A$5:$A$200,0)),"")</f>
        <v/>
      </c>
      <c r="U295" s="1441" t="n"/>
      <c r="V295" s="1441" t="n"/>
      <c r="W295" s="1442">
        <f>IFERROR(INDEX('Resource Rate Library'!$I$5:$I$200,MATCH(P295,'Resource Rate Library'!$A$5:$A$200,0)),0)</f>
        <v/>
      </c>
      <c r="X295" s="1443" t="n"/>
      <c r="Y295" s="1442">
        <f>IF(X295&gt;0,X295,W295)</f>
        <v/>
      </c>
      <c r="Z295" s="1442">
        <f>IF(B295="","",IF(N295="Time x Count",M295*R295*IF(U295="",1,U295)*Y295,IF(N295="QS Qty x Factor",E295*R295*(1+IF(V295="",0,V295))*Y295,IF(N295="Direct Qty",S295*(1+IF(V295="",0,V295))*Y295,IF(N295="Lump Sum / Quote",S295*Y295,0)))))</f>
        <v/>
      </c>
      <c r="AA295" s="81">
        <f>IFERROR(INDEX('Resource Rate Library'!$N$5:$N$200,MATCH(P295,'Resource Rate Library'!$A$5:$A$200,0)),"")</f>
        <v/>
      </c>
      <c r="AB295" s="53" t="n"/>
      <c r="AC295" s="59" t="n"/>
      <c r="AD295" s="81">
        <f>IFERROR(INDEX('Resource Rate Library'!$G$5:$G$200,MATCH(P295,'Resource Rate Library'!$A$5:$A$200,0)),"")</f>
        <v/>
      </c>
      <c r="AE295" s="81">
        <f>IFERROR(INDEX('Resource Rate Library'!$H$5:$H$200,MATCH(P295,'Resource Rate Library'!$A$5:$A$200,0)),"")</f>
        <v/>
      </c>
      <c r="AF295" s="53" t="n"/>
      <c r="AG295" s="53" t="n"/>
      <c r="AH295" s="53" t="n"/>
      <c r="AI295" s="81">
        <f>IF(B295="","",IF(AND(P295="",N295&lt;&gt;"Lump Sum / Quote"),"RESOURCE CODE",IF(Y295=0,"RATE MISSING",IF(AND(O295="Plant",AD295="Yes",COUNTIFS($B$7:$B$306,B295,$O$7:$O$306,"Labour",$Q$7:$Q$306,"*Operator*")&gt;0),"OPERATOR DOUBLE-COUNT",IF(AND(O295="Plant",AE295="Yes",COUNTIFS($B$7:$B$306,B295,$Q$7:$Q$306,"*Fuel*")&gt;0),"FUEL DOUBLE-COUNT",IF(AH295&lt;&gt;"Yes","VERIFY","OK"))))))</f>
        <v/>
      </c>
      <c r="AJ295" s="54" t="n"/>
      <c r="AK295" s="473" t="n"/>
      <c r="AL295" s="473" t="n"/>
      <c r="AM295" s="473" t="n"/>
      <c r="AN295" s="1444">
        <f>IF(AND(AK295="Yes",OR(O295="Labour",O295="Plant")),Z295,0)</f>
        <v/>
      </c>
    </row>
    <row r="296">
      <c r="A296" s="80">
        <f>IF(B296="","",B296&amp;"-"&amp;TEXT(COUNTIF($B$7:B296,B296),"000"))</f>
        <v/>
      </c>
      <c r="B296" s="53" t="n"/>
      <c r="C296" s="81">
        <f>IFERROR(INDEX('QS Takeoff'!$A$3:$A$202,MATCH(B296,'QS Takeoff'!$B$3:$B$202,0)),"")</f>
        <v/>
      </c>
      <c r="D296" s="81">
        <f>IFERROR(INDEX('QS Takeoff'!$C$3:$C$202,MATCH(B296,'QS Takeoff'!$B$3:$B$202,0)),"")</f>
        <v/>
      </c>
      <c r="E296" s="81">
        <f>IFERROR(INDEX('QS Takeoff'!$E$3:$E$202,MATCH(B296,'QS Takeoff'!$B$3:$B$202,0)),"")</f>
        <v/>
      </c>
      <c r="F296" s="81">
        <f>IFERROR(INDEX('QS Takeoff'!$D$3:$D$202,MATCH(B296,'QS Takeoff'!$B$3:$B$202,0)),"")</f>
        <v/>
      </c>
      <c r="G296" s="81">
        <f>IFERROR(INDEX('QS Takeoff'!$J$3:$J$202,MATCH(B296,'QS Takeoff'!$B$3:$B$202,0)),"")</f>
        <v/>
      </c>
      <c r="H296" s="53" t="n"/>
      <c r="I296" s="60" t="n"/>
      <c r="J296" s="60" t="n"/>
      <c r="K296" s="82">
        <f>IF(OR(B296="",I296="",I296=0),"",E296/I296)</f>
        <v/>
      </c>
      <c r="L296" s="60" t="n"/>
      <c r="M296" s="82">
        <f>IF(L296&gt;0,L296,K296)</f>
        <v/>
      </c>
      <c r="N296" s="53" t="n"/>
      <c r="O296" s="53" t="n"/>
      <c r="P296" s="53" t="n"/>
      <c r="Q296" s="81">
        <f>IFERROR(INDEX('Resource Rate Library'!$C$5:$C$200,MATCH(P296,'Resource Rate Library'!$A$5:$A$200,0)),"")</f>
        <v/>
      </c>
      <c r="R296" s="53" t="n"/>
      <c r="S296" s="53" t="n"/>
      <c r="T296" s="81">
        <f>IFERROR(INDEX('Resource Rate Library'!$E$5:$E$200,MATCH(P296,'Resource Rate Library'!$A$5:$A$200,0)),"")</f>
        <v/>
      </c>
      <c r="U296" s="1441" t="n"/>
      <c r="V296" s="1441" t="n"/>
      <c r="W296" s="1442">
        <f>IFERROR(INDEX('Resource Rate Library'!$I$5:$I$200,MATCH(P296,'Resource Rate Library'!$A$5:$A$200,0)),0)</f>
        <v/>
      </c>
      <c r="X296" s="1443" t="n"/>
      <c r="Y296" s="1442">
        <f>IF(X296&gt;0,X296,W296)</f>
        <v/>
      </c>
      <c r="Z296" s="1442">
        <f>IF(B296="","",IF(N296="Time x Count",M296*R296*IF(U296="",1,U296)*Y296,IF(N296="QS Qty x Factor",E296*R296*(1+IF(V296="",0,V296))*Y296,IF(N296="Direct Qty",S296*(1+IF(V296="",0,V296))*Y296,IF(N296="Lump Sum / Quote",S296*Y296,0)))))</f>
        <v/>
      </c>
      <c r="AA296" s="81">
        <f>IFERROR(INDEX('Resource Rate Library'!$N$5:$N$200,MATCH(P296,'Resource Rate Library'!$A$5:$A$200,0)),"")</f>
        <v/>
      </c>
      <c r="AB296" s="53" t="n"/>
      <c r="AC296" s="59" t="n"/>
      <c r="AD296" s="81">
        <f>IFERROR(INDEX('Resource Rate Library'!$G$5:$G$200,MATCH(P296,'Resource Rate Library'!$A$5:$A$200,0)),"")</f>
        <v/>
      </c>
      <c r="AE296" s="81">
        <f>IFERROR(INDEX('Resource Rate Library'!$H$5:$H$200,MATCH(P296,'Resource Rate Library'!$A$5:$A$200,0)),"")</f>
        <v/>
      </c>
      <c r="AF296" s="53" t="n"/>
      <c r="AG296" s="53" t="n"/>
      <c r="AH296" s="53" t="n"/>
      <c r="AI296" s="81">
        <f>IF(B296="","",IF(AND(P296="",N296&lt;&gt;"Lump Sum / Quote"),"RESOURCE CODE",IF(Y296=0,"RATE MISSING",IF(AND(O296="Plant",AD296="Yes",COUNTIFS($B$7:$B$306,B296,$O$7:$O$306,"Labour",$Q$7:$Q$306,"*Operator*")&gt;0),"OPERATOR DOUBLE-COUNT",IF(AND(O296="Plant",AE296="Yes",COUNTIFS($B$7:$B$306,B296,$Q$7:$Q$306,"*Fuel*")&gt;0),"FUEL DOUBLE-COUNT",IF(AH296&lt;&gt;"Yes","VERIFY","OK"))))))</f>
        <v/>
      </c>
      <c r="AJ296" s="54" t="n"/>
      <c r="AK296" s="473" t="n"/>
      <c r="AL296" s="473" t="n"/>
      <c r="AM296" s="473" t="n"/>
      <c r="AN296" s="1444">
        <f>IF(AND(AK296="Yes",OR(O296="Labour",O296="Plant")),Z296,0)</f>
        <v/>
      </c>
    </row>
    <row r="297">
      <c r="A297" s="80">
        <f>IF(B297="","",B297&amp;"-"&amp;TEXT(COUNTIF($B$7:B297,B297),"000"))</f>
        <v/>
      </c>
      <c r="B297" s="53" t="n"/>
      <c r="C297" s="81">
        <f>IFERROR(INDEX('QS Takeoff'!$A$3:$A$202,MATCH(B297,'QS Takeoff'!$B$3:$B$202,0)),"")</f>
        <v/>
      </c>
      <c r="D297" s="81">
        <f>IFERROR(INDEX('QS Takeoff'!$C$3:$C$202,MATCH(B297,'QS Takeoff'!$B$3:$B$202,0)),"")</f>
        <v/>
      </c>
      <c r="E297" s="81">
        <f>IFERROR(INDEX('QS Takeoff'!$E$3:$E$202,MATCH(B297,'QS Takeoff'!$B$3:$B$202,0)),"")</f>
        <v/>
      </c>
      <c r="F297" s="81">
        <f>IFERROR(INDEX('QS Takeoff'!$D$3:$D$202,MATCH(B297,'QS Takeoff'!$B$3:$B$202,0)),"")</f>
        <v/>
      </c>
      <c r="G297" s="81">
        <f>IFERROR(INDEX('QS Takeoff'!$J$3:$J$202,MATCH(B297,'QS Takeoff'!$B$3:$B$202,0)),"")</f>
        <v/>
      </c>
      <c r="H297" s="53" t="n"/>
      <c r="I297" s="60" t="n"/>
      <c r="J297" s="60" t="n"/>
      <c r="K297" s="82">
        <f>IF(OR(B297="",I297="",I297=0),"",E297/I297)</f>
        <v/>
      </c>
      <c r="L297" s="60" t="n"/>
      <c r="M297" s="82">
        <f>IF(L297&gt;0,L297,K297)</f>
        <v/>
      </c>
      <c r="N297" s="53" t="n"/>
      <c r="O297" s="53" t="n"/>
      <c r="P297" s="53" t="n"/>
      <c r="Q297" s="81">
        <f>IFERROR(INDEX('Resource Rate Library'!$C$5:$C$200,MATCH(P297,'Resource Rate Library'!$A$5:$A$200,0)),"")</f>
        <v/>
      </c>
      <c r="R297" s="53" t="n"/>
      <c r="S297" s="53" t="n"/>
      <c r="T297" s="81">
        <f>IFERROR(INDEX('Resource Rate Library'!$E$5:$E$200,MATCH(P297,'Resource Rate Library'!$A$5:$A$200,0)),"")</f>
        <v/>
      </c>
      <c r="U297" s="1441" t="n"/>
      <c r="V297" s="1441" t="n"/>
      <c r="W297" s="1442">
        <f>IFERROR(INDEX('Resource Rate Library'!$I$5:$I$200,MATCH(P297,'Resource Rate Library'!$A$5:$A$200,0)),0)</f>
        <v/>
      </c>
      <c r="X297" s="1443" t="n"/>
      <c r="Y297" s="1442">
        <f>IF(X297&gt;0,X297,W297)</f>
        <v/>
      </c>
      <c r="Z297" s="1442">
        <f>IF(B297="","",IF(N297="Time x Count",M297*R297*IF(U297="",1,U297)*Y297,IF(N297="QS Qty x Factor",E297*R297*(1+IF(V297="",0,V297))*Y297,IF(N297="Direct Qty",S297*(1+IF(V297="",0,V297))*Y297,IF(N297="Lump Sum / Quote",S297*Y297,0)))))</f>
        <v/>
      </c>
      <c r="AA297" s="81">
        <f>IFERROR(INDEX('Resource Rate Library'!$N$5:$N$200,MATCH(P297,'Resource Rate Library'!$A$5:$A$200,0)),"")</f>
        <v/>
      </c>
      <c r="AB297" s="53" t="n"/>
      <c r="AC297" s="59" t="n"/>
      <c r="AD297" s="81">
        <f>IFERROR(INDEX('Resource Rate Library'!$G$5:$G$200,MATCH(P297,'Resource Rate Library'!$A$5:$A$200,0)),"")</f>
        <v/>
      </c>
      <c r="AE297" s="81">
        <f>IFERROR(INDEX('Resource Rate Library'!$H$5:$H$200,MATCH(P297,'Resource Rate Library'!$A$5:$A$200,0)),"")</f>
        <v/>
      </c>
      <c r="AF297" s="53" t="n"/>
      <c r="AG297" s="53" t="n"/>
      <c r="AH297" s="53" t="n"/>
      <c r="AI297" s="81">
        <f>IF(B297="","",IF(AND(P297="",N297&lt;&gt;"Lump Sum / Quote"),"RESOURCE CODE",IF(Y297=0,"RATE MISSING",IF(AND(O297="Plant",AD297="Yes",COUNTIFS($B$7:$B$306,B297,$O$7:$O$306,"Labour",$Q$7:$Q$306,"*Operator*")&gt;0),"OPERATOR DOUBLE-COUNT",IF(AND(O297="Plant",AE297="Yes",COUNTIFS($B$7:$B$306,B297,$Q$7:$Q$306,"*Fuel*")&gt;0),"FUEL DOUBLE-COUNT",IF(AH297&lt;&gt;"Yes","VERIFY","OK"))))))</f>
        <v/>
      </c>
      <c r="AJ297" s="54" t="n"/>
      <c r="AK297" s="473" t="n"/>
      <c r="AL297" s="473" t="n"/>
      <c r="AM297" s="473" t="n"/>
      <c r="AN297" s="1444">
        <f>IF(AND(AK297="Yes",OR(O297="Labour",O297="Plant")),Z297,0)</f>
        <v/>
      </c>
    </row>
    <row r="298">
      <c r="A298" s="80">
        <f>IF(B298="","",B298&amp;"-"&amp;TEXT(COUNTIF($B$7:B298,B298),"000"))</f>
        <v/>
      </c>
      <c r="B298" s="53" t="n"/>
      <c r="C298" s="81">
        <f>IFERROR(INDEX('QS Takeoff'!$A$3:$A$202,MATCH(B298,'QS Takeoff'!$B$3:$B$202,0)),"")</f>
        <v/>
      </c>
      <c r="D298" s="81">
        <f>IFERROR(INDEX('QS Takeoff'!$C$3:$C$202,MATCH(B298,'QS Takeoff'!$B$3:$B$202,0)),"")</f>
        <v/>
      </c>
      <c r="E298" s="81">
        <f>IFERROR(INDEX('QS Takeoff'!$E$3:$E$202,MATCH(B298,'QS Takeoff'!$B$3:$B$202,0)),"")</f>
        <v/>
      </c>
      <c r="F298" s="81">
        <f>IFERROR(INDEX('QS Takeoff'!$D$3:$D$202,MATCH(B298,'QS Takeoff'!$B$3:$B$202,0)),"")</f>
        <v/>
      </c>
      <c r="G298" s="81">
        <f>IFERROR(INDEX('QS Takeoff'!$J$3:$J$202,MATCH(B298,'QS Takeoff'!$B$3:$B$202,0)),"")</f>
        <v/>
      </c>
      <c r="H298" s="53" t="n"/>
      <c r="I298" s="60" t="n"/>
      <c r="J298" s="60" t="n"/>
      <c r="K298" s="82">
        <f>IF(OR(B298="",I298="",I298=0),"",E298/I298)</f>
        <v/>
      </c>
      <c r="L298" s="60" t="n"/>
      <c r="M298" s="82">
        <f>IF(L298&gt;0,L298,K298)</f>
        <v/>
      </c>
      <c r="N298" s="53" t="n"/>
      <c r="O298" s="53" t="n"/>
      <c r="P298" s="53" t="n"/>
      <c r="Q298" s="81">
        <f>IFERROR(INDEX('Resource Rate Library'!$C$5:$C$200,MATCH(P298,'Resource Rate Library'!$A$5:$A$200,0)),"")</f>
        <v/>
      </c>
      <c r="R298" s="53" t="n"/>
      <c r="S298" s="53" t="n"/>
      <c r="T298" s="81">
        <f>IFERROR(INDEX('Resource Rate Library'!$E$5:$E$200,MATCH(P298,'Resource Rate Library'!$A$5:$A$200,0)),"")</f>
        <v/>
      </c>
      <c r="U298" s="1441" t="n"/>
      <c r="V298" s="1441" t="n"/>
      <c r="W298" s="1442">
        <f>IFERROR(INDEX('Resource Rate Library'!$I$5:$I$200,MATCH(P298,'Resource Rate Library'!$A$5:$A$200,0)),0)</f>
        <v/>
      </c>
      <c r="X298" s="1443" t="n"/>
      <c r="Y298" s="1442">
        <f>IF(X298&gt;0,X298,W298)</f>
        <v/>
      </c>
      <c r="Z298" s="1442">
        <f>IF(B298="","",IF(N298="Time x Count",M298*R298*IF(U298="",1,U298)*Y298,IF(N298="QS Qty x Factor",E298*R298*(1+IF(V298="",0,V298))*Y298,IF(N298="Direct Qty",S298*(1+IF(V298="",0,V298))*Y298,IF(N298="Lump Sum / Quote",S298*Y298,0)))))</f>
        <v/>
      </c>
      <c r="AA298" s="81">
        <f>IFERROR(INDEX('Resource Rate Library'!$N$5:$N$200,MATCH(P298,'Resource Rate Library'!$A$5:$A$200,0)),"")</f>
        <v/>
      </c>
      <c r="AB298" s="53" t="n"/>
      <c r="AC298" s="59" t="n"/>
      <c r="AD298" s="81">
        <f>IFERROR(INDEX('Resource Rate Library'!$G$5:$G$200,MATCH(P298,'Resource Rate Library'!$A$5:$A$200,0)),"")</f>
        <v/>
      </c>
      <c r="AE298" s="81">
        <f>IFERROR(INDEX('Resource Rate Library'!$H$5:$H$200,MATCH(P298,'Resource Rate Library'!$A$5:$A$200,0)),"")</f>
        <v/>
      </c>
      <c r="AF298" s="53" t="n"/>
      <c r="AG298" s="53" t="n"/>
      <c r="AH298" s="53" t="n"/>
      <c r="AI298" s="81">
        <f>IF(B298="","",IF(AND(P298="",N298&lt;&gt;"Lump Sum / Quote"),"RESOURCE CODE",IF(Y298=0,"RATE MISSING",IF(AND(O298="Plant",AD298="Yes",COUNTIFS($B$7:$B$306,B298,$O$7:$O$306,"Labour",$Q$7:$Q$306,"*Operator*")&gt;0),"OPERATOR DOUBLE-COUNT",IF(AND(O298="Plant",AE298="Yes",COUNTIFS($B$7:$B$306,B298,$Q$7:$Q$306,"*Fuel*")&gt;0),"FUEL DOUBLE-COUNT",IF(AH298&lt;&gt;"Yes","VERIFY","OK"))))))</f>
        <v/>
      </c>
      <c r="AJ298" s="54" t="n"/>
      <c r="AK298" s="473" t="n"/>
      <c r="AL298" s="473" t="n"/>
      <c r="AM298" s="473" t="n"/>
      <c r="AN298" s="1444">
        <f>IF(AND(AK298="Yes",OR(O298="Labour",O298="Plant")),Z298,0)</f>
        <v/>
      </c>
    </row>
    <row r="299">
      <c r="A299" s="80">
        <f>IF(B299="","",B299&amp;"-"&amp;TEXT(COUNTIF($B$7:B299,B299),"000"))</f>
        <v/>
      </c>
      <c r="B299" s="53" t="n"/>
      <c r="C299" s="81">
        <f>IFERROR(INDEX('QS Takeoff'!$A$3:$A$202,MATCH(B299,'QS Takeoff'!$B$3:$B$202,0)),"")</f>
        <v/>
      </c>
      <c r="D299" s="81">
        <f>IFERROR(INDEX('QS Takeoff'!$C$3:$C$202,MATCH(B299,'QS Takeoff'!$B$3:$B$202,0)),"")</f>
        <v/>
      </c>
      <c r="E299" s="81">
        <f>IFERROR(INDEX('QS Takeoff'!$E$3:$E$202,MATCH(B299,'QS Takeoff'!$B$3:$B$202,0)),"")</f>
        <v/>
      </c>
      <c r="F299" s="81">
        <f>IFERROR(INDEX('QS Takeoff'!$D$3:$D$202,MATCH(B299,'QS Takeoff'!$B$3:$B$202,0)),"")</f>
        <v/>
      </c>
      <c r="G299" s="81">
        <f>IFERROR(INDEX('QS Takeoff'!$J$3:$J$202,MATCH(B299,'QS Takeoff'!$B$3:$B$202,0)),"")</f>
        <v/>
      </c>
      <c r="H299" s="53" t="n"/>
      <c r="I299" s="60" t="n"/>
      <c r="J299" s="60" t="n"/>
      <c r="K299" s="82">
        <f>IF(OR(B299="",I299="",I299=0),"",E299/I299)</f>
        <v/>
      </c>
      <c r="L299" s="60" t="n"/>
      <c r="M299" s="82">
        <f>IF(L299&gt;0,L299,K299)</f>
        <v/>
      </c>
      <c r="N299" s="53" t="n"/>
      <c r="O299" s="53" t="n"/>
      <c r="P299" s="53" t="n"/>
      <c r="Q299" s="81">
        <f>IFERROR(INDEX('Resource Rate Library'!$C$5:$C$200,MATCH(P299,'Resource Rate Library'!$A$5:$A$200,0)),"")</f>
        <v/>
      </c>
      <c r="R299" s="53" t="n"/>
      <c r="S299" s="53" t="n"/>
      <c r="T299" s="81">
        <f>IFERROR(INDEX('Resource Rate Library'!$E$5:$E$200,MATCH(P299,'Resource Rate Library'!$A$5:$A$200,0)),"")</f>
        <v/>
      </c>
      <c r="U299" s="1441" t="n"/>
      <c r="V299" s="1441" t="n"/>
      <c r="W299" s="1442">
        <f>IFERROR(INDEX('Resource Rate Library'!$I$5:$I$200,MATCH(P299,'Resource Rate Library'!$A$5:$A$200,0)),0)</f>
        <v/>
      </c>
      <c r="X299" s="1443" t="n"/>
      <c r="Y299" s="1442">
        <f>IF(X299&gt;0,X299,W299)</f>
        <v/>
      </c>
      <c r="Z299" s="1442">
        <f>IF(B299="","",IF(N299="Time x Count",M299*R299*IF(U299="",1,U299)*Y299,IF(N299="QS Qty x Factor",E299*R299*(1+IF(V299="",0,V299))*Y299,IF(N299="Direct Qty",S299*(1+IF(V299="",0,V299))*Y299,IF(N299="Lump Sum / Quote",S299*Y299,0)))))</f>
        <v/>
      </c>
      <c r="AA299" s="81">
        <f>IFERROR(INDEX('Resource Rate Library'!$N$5:$N$200,MATCH(P299,'Resource Rate Library'!$A$5:$A$200,0)),"")</f>
        <v/>
      </c>
      <c r="AB299" s="53" t="n"/>
      <c r="AC299" s="59" t="n"/>
      <c r="AD299" s="81">
        <f>IFERROR(INDEX('Resource Rate Library'!$G$5:$G$200,MATCH(P299,'Resource Rate Library'!$A$5:$A$200,0)),"")</f>
        <v/>
      </c>
      <c r="AE299" s="81">
        <f>IFERROR(INDEX('Resource Rate Library'!$H$5:$H$200,MATCH(P299,'Resource Rate Library'!$A$5:$A$200,0)),"")</f>
        <v/>
      </c>
      <c r="AF299" s="53" t="n"/>
      <c r="AG299" s="53" t="n"/>
      <c r="AH299" s="53" t="n"/>
      <c r="AI299" s="81">
        <f>IF(B299="","",IF(AND(P299="",N299&lt;&gt;"Lump Sum / Quote"),"RESOURCE CODE",IF(Y299=0,"RATE MISSING",IF(AND(O299="Plant",AD299="Yes",COUNTIFS($B$7:$B$306,B299,$O$7:$O$306,"Labour",$Q$7:$Q$306,"*Operator*")&gt;0),"OPERATOR DOUBLE-COUNT",IF(AND(O299="Plant",AE299="Yes",COUNTIFS($B$7:$B$306,B299,$Q$7:$Q$306,"*Fuel*")&gt;0),"FUEL DOUBLE-COUNT",IF(AH299&lt;&gt;"Yes","VERIFY","OK"))))))</f>
        <v/>
      </c>
      <c r="AJ299" s="54" t="n"/>
      <c r="AK299" s="473" t="n"/>
      <c r="AL299" s="473" t="n"/>
      <c r="AM299" s="473" t="n"/>
      <c r="AN299" s="1444">
        <f>IF(AND(AK299="Yes",OR(O299="Labour",O299="Plant")),Z299,0)</f>
        <v/>
      </c>
    </row>
    <row r="300">
      <c r="A300" s="80">
        <f>IF(B300="","",B300&amp;"-"&amp;TEXT(COUNTIF($B$7:B300,B300),"000"))</f>
        <v/>
      </c>
      <c r="B300" s="53" t="n"/>
      <c r="C300" s="81">
        <f>IFERROR(INDEX('QS Takeoff'!$A$3:$A$202,MATCH(B300,'QS Takeoff'!$B$3:$B$202,0)),"")</f>
        <v/>
      </c>
      <c r="D300" s="81">
        <f>IFERROR(INDEX('QS Takeoff'!$C$3:$C$202,MATCH(B300,'QS Takeoff'!$B$3:$B$202,0)),"")</f>
        <v/>
      </c>
      <c r="E300" s="81">
        <f>IFERROR(INDEX('QS Takeoff'!$E$3:$E$202,MATCH(B300,'QS Takeoff'!$B$3:$B$202,0)),"")</f>
        <v/>
      </c>
      <c r="F300" s="81">
        <f>IFERROR(INDEX('QS Takeoff'!$D$3:$D$202,MATCH(B300,'QS Takeoff'!$B$3:$B$202,0)),"")</f>
        <v/>
      </c>
      <c r="G300" s="81">
        <f>IFERROR(INDEX('QS Takeoff'!$J$3:$J$202,MATCH(B300,'QS Takeoff'!$B$3:$B$202,0)),"")</f>
        <v/>
      </c>
      <c r="H300" s="53" t="n"/>
      <c r="I300" s="60" t="n"/>
      <c r="J300" s="60" t="n"/>
      <c r="K300" s="82">
        <f>IF(OR(B300="",I300="",I300=0),"",E300/I300)</f>
        <v/>
      </c>
      <c r="L300" s="60" t="n"/>
      <c r="M300" s="82">
        <f>IF(L300&gt;0,L300,K300)</f>
        <v/>
      </c>
      <c r="N300" s="53" t="n"/>
      <c r="O300" s="53" t="n"/>
      <c r="P300" s="53" t="n"/>
      <c r="Q300" s="81">
        <f>IFERROR(INDEX('Resource Rate Library'!$C$5:$C$200,MATCH(P300,'Resource Rate Library'!$A$5:$A$200,0)),"")</f>
        <v/>
      </c>
      <c r="R300" s="53" t="n"/>
      <c r="S300" s="53" t="n"/>
      <c r="T300" s="81">
        <f>IFERROR(INDEX('Resource Rate Library'!$E$5:$E$200,MATCH(P300,'Resource Rate Library'!$A$5:$A$200,0)),"")</f>
        <v/>
      </c>
      <c r="U300" s="1441" t="n"/>
      <c r="V300" s="1441" t="n"/>
      <c r="W300" s="1442">
        <f>IFERROR(INDEX('Resource Rate Library'!$I$5:$I$200,MATCH(P300,'Resource Rate Library'!$A$5:$A$200,0)),0)</f>
        <v/>
      </c>
      <c r="X300" s="1443" t="n"/>
      <c r="Y300" s="1442">
        <f>IF(X300&gt;0,X300,W300)</f>
        <v/>
      </c>
      <c r="Z300" s="1442">
        <f>IF(B300="","",IF(N300="Time x Count",M300*R300*IF(U300="",1,U300)*Y300,IF(N300="QS Qty x Factor",E300*R300*(1+IF(V300="",0,V300))*Y300,IF(N300="Direct Qty",S300*(1+IF(V300="",0,V300))*Y300,IF(N300="Lump Sum / Quote",S300*Y300,0)))))</f>
        <v/>
      </c>
      <c r="AA300" s="81">
        <f>IFERROR(INDEX('Resource Rate Library'!$N$5:$N$200,MATCH(P300,'Resource Rate Library'!$A$5:$A$200,0)),"")</f>
        <v/>
      </c>
      <c r="AB300" s="53" t="n"/>
      <c r="AC300" s="59" t="n"/>
      <c r="AD300" s="81">
        <f>IFERROR(INDEX('Resource Rate Library'!$G$5:$G$200,MATCH(P300,'Resource Rate Library'!$A$5:$A$200,0)),"")</f>
        <v/>
      </c>
      <c r="AE300" s="81">
        <f>IFERROR(INDEX('Resource Rate Library'!$H$5:$H$200,MATCH(P300,'Resource Rate Library'!$A$5:$A$200,0)),"")</f>
        <v/>
      </c>
      <c r="AF300" s="53" t="n"/>
      <c r="AG300" s="53" t="n"/>
      <c r="AH300" s="53" t="n"/>
      <c r="AI300" s="81">
        <f>IF(B300="","",IF(AND(P300="",N300&lt;&gt;"Lump Sum / Quote"),"RESOURCE CODE",IF(Y300=0,"RATE MISSING",IF(AND(O300="Plant",AD300="Yes",COUNTIFS($B$7:$B$306,B300,$O$7:$O$306,"Labour",$Q$7:$Q$306,"*Operator*")&gt;0),"OPERATOR DOUBLE-COUNT",IF(AND(O300="Plant",AE300="Yes",COUNTIFS($B$7:$B$306,B300,$Q$7:$Q$306,"*Fuel*")&gt;0),"FUEL DOUBLE-COUNT",IF(AH300&lt;&gt;"Yes","VERIFY","OK"))))))</f>
        <v/>
      </c>
      <c r="AJ300" s="54" t="n"/>
      <c r="AK300" s="473" t="n"/>
      <c r="AL300" s="473" t="n"/>
      <c r="AM300" s="473" t="n"/>
      <c r="AN300" s="1444">
        <f>IF(AND(AK300="Yes",OR(O300="Labour",O300="Plant")),Z300,0)</f>
        <v/>
      </c>
    </row>
    <row r="301">
      <c r="A301" s="80">
        <f>IF(B301="","",B301&amp;"-"&amp;TEXT(COUNTIF($B$7:B301,B301),"000"))</f>
        <v/>
      </c>
      <c r="B301" s="53" t="n"/>
      <c r="C301" s="81">
        <f>IFERROR(INDEX('QS Takeoff'!$A$3:$A$202,MATCH(B301,'QS Takeoff'!$B$3:$B$202,0)),"")</f>
        <v/>
      </c>
      <c r="D301" s="81">
        <f>IFERROR(INDEX('QS Takeoff'!$C$3:$C$202,MATCH(B301,'QS Takeoff'!$B$3:$B$202,0)),"")</f>
        <v/>
      </c>
      <c r="E301" s="81">
        <f>IFERROR(INDEX('QS Takeoff'!$E$3:$E$202,MATCH(B301,'QS Takeoff'!$B$3:$B$202,0)),"")</f>
        <v/>
      </c>
      <c r="F301" s="81">
        <f>IFERROR(INDEX('QS Takeoff'!$D$3:$D$202,MATCH(B301,'QS Takeoff'!$B$3:$B$202,0)),"")</f>
        <v/>
      </c>
      <c r="G301" s="81">
        <f>IFERROR(INDEX('QS Takeoff'!$J$3:$J$202,MATCH(B301,'QS Takeoff'!$B$3:$B$202,0)),"")</f>
        <v/>
      </c>
      <c r="H301" s="53" t="n"/>
      <c r="I301" s="60" t="n"/>
      <c r="J301" s="60" t="n"/>
      <c r="K301" s="82">
        <f>IF(OR(B301="",I301="",I301=0),"",E301/I301)</f>
        <v/>
      </c>
      <c r="L301" s="60" t="n"/>
      <c r="M301" s="82">
        <f>IF(L301&gt;0,L301,K301)</f>
        <v/>
      </c>
      <c r="N301" s="53" t="n"/>
      <c r="O301" s="53" t="n"/>
      <c r="P301" s="53" t="n"/>
      <c r="Q301" s="81">
        <f>IFERROR(INDEX('Resource Rate Library'!$C$5:$C$200,MATCH(P301,'Resource Rate Library'!$A$5:$A$200,0)),"")</f>
        <v/>
      </c>
      <c r="R301" s="53" t="n"/>
      <c r="S301" s="53" t="n"/>
      <c r="T301" s="81">
        <f>IFERROR(INDEX('Resource Rate Library'!$E$5:$E$200,MATCH(P301,'Resource Rate Library'!$A$5:$A$200,0)),"")</f>
        <v/>
      </c>
      <c r="U301" s="1441" t="n"/>
      <c r="V301" s="1441" t="n"/>
      <c r="W301" s="1442">
        <f>IFERROR(INDEX('Resource Rate Library'!$I$5:$I$200,MATCH(P301,'Resource Rate Library'!$A$5:$A$200,0)),0)</f>
        <v/>
      </c>
      <c r="X301" s="1443" t="n"/>
      <c r="Y301" s="1442">
        <f>IF(X301&gt;0,X301,W301)</f>
        <v/>
      </c>
      <c r="Z301" s="1442">
        <f>IF(B301="","",IF(N301="Time x Count",M301*R301*IF(U301="",1,U301)*Y301,IF(N301="QS Qty x Factor",E301*R301*(1+IF(V301="",0,V301))*Y301,IF(N301="Direct Qty",S301*(1+IF(V301="",0,V301))*Y301,IF(N301="Lump Sum / Quote",S301*Y301,0)))))</f>
        <v/>
      </c>
      <c r="AA301" s="81">
        <f>IFERROR(INDEX('Resource Rate Library'!$N$5:$N$200,MATCH(P301,'Resource Rate Library'!$A$5:$A$200,0)),"")</f>
        <v/>
      </c>
      <c r="AB301" s="53" t="n"/>
      <c r="AC301" s="59" t="n"/>
      <c r="AD301" s="81">
        <f>IFERROR(INDEX('Resource Rate Library'!$G$5:$G$200,MATCH(P301,'Resource Rate Library'!$A$5:$A$200,0)),"")</f>
        <v/>
      </c>
      <c r="AE301" s="81">
        <f>IFERROR(INDEX('Resource Rate Library'!$H$5:$H$200,MATCH(P301,'Resource Rate Library'!$A$5:$A$200,0)),"")</f>
        <v/>
      </c>
      <c r="AF301" s="53" t="n"/>
      <c r="AG301" s="53" t="n"/>
      <c r="AH301" s="53" t="n"/>
      <c r="AI301" s="81">
        <f>IF(B301="","",IF(AND(P301="",N301&lt;&gt;"Lump Sum / Quote"),"RESOURCE CODE",IF(Y301=0,"RATE MISSING",IF(AND(O301="Plant",AD301="Yes",COUNTIFS($B$7:$B$306,B301,$O$7:$O$306,"Labour",$Q$7:$Q$306,"*Operator*")&gt;0),"OPERATOR DOUBLE-COUNT",IF(AND(O301="Plant",AE301="Yes",COUNTIFS($B$7:$B$306,B301,$Q$7:$Q$306,"*Fuel*")&gt;0),"FUEL DOUBLE-COUNT",IF(AH301&lt;&gt;"Yes","VERIFY","OK"))))))</f>
        <v/>
      </c>
      <c r="AJ301" s="54" t="n"/>
      <c r="AK301" s="473" t="n"/>
      <c r="AL301" s="473" t="n"/>
      <c r="AM301" s="473" t="n"/>
      <c r="AN301" s="1444">
        <f>IF(AND(AK301="Yes",OR(O301="Labour",O301="Plant")),Z301,0)</f>
        <v/>
      </c>
    </row>
    <row r="302">
      <c r="A302" s="80">
        <f>IF(B302="","",B302&amp;"-"&amp;TEXT(COUNTIF($B$7:B302,B302),"000"))</f>
        <v/>
      </c>
      <c r="B302" s="53" t="n"/>
      <c r="C302" s="81">
        <f>IFERROR(INDEX('QS Takeoff'!$A$3:$A$202,MATCH(B302,'QS Takeoff'!$B$3:$B$202,0)),"")</f>
        <v/>
      </c>
      <c r="D302" s="81">
        <f>IFERROR(INDEX('QS Takeoff'!$C$3:$C$202,MATCH(B302,'QS Takeoff'!$B$3:$B$202,0)),"")</f>
        <v/>
      </c>
      <c r="E302" s="81">
        <f>IFERROR(INDEX('QS Takeoff'!$E$3:$E$202,MATCH(B302,'QS Takeoff'!$B$3:$B$202,0)),"")</f>
        <v/>
      </c>
      <c r="F302" s="81">
        <f>IFERROR(INDEX('QS Takeoff'!$D$3:$D$202,MATCH(B302,'QS Takeoff'!$B$3:$B$202,0)),"")</f>
        <v/>
      </c>
      <c r="G302" s="81">
        <f>IFERROR(INDEX('QS Takeoff'!$J$3:$J$202,MATCH(B302,'QS Takeoff'!$B$3:$B$202,0)),"")</f>
        <v/>
      </c>
      <c r="H302" s="53" t="n"/>
      <c r="I302" s="60" t="n"/>
      <c r="J302" s="60" t="n"/>
      <c r="K302" s="82">
        <f>IF(OR(B302="",I302="",I302=0),"",E302/I302)</f>
        <v/>
      </c>
      <c r="L302" s="60" t="n"/>
      <c r="M302" s="82">
        <f>IF(L302&gt;0,L302,K302)</f>
        <v/>
      </c>
      <c r="N302" s="53" t="n"/>
      <c r="O302" s="53" t="n"/>
      <c r="P302" s="53" t="n"/>
      <c r="Q302" s="81">
        <f>IFERROR(INDEX('Resource Rate Library'!$C$5:$C$200,MATCH(P302,'Resource Rate Library'!$A$5:$A$200,0)),"")</f>
        <v/>
      </c>
      <c r="R302" s="53" t="n"/>
      <c r="S302" s="53" t="n"/>
      <c r="T302" s="81">
        <f>IFERROR(INDEX('Resource Rate Library'!$E$5:$E$200,MATCH(P302,'Resource Rate Library'!$A$5:$A$200,0)),"")</f>
        <v/>
      </c>
      <c r="U302" s="1441" t="n"/>
      <c r="V302" s="1441" t="n"/>
      <c r="W302" s="1442">
        <f>IFERROR(INDEX('Resource Rate Library'!$I$5:$I$200,MATCH(P302,'Resource Rate Library'!$A$5:$A$200,0)),0)</f>
        <v/>
      </c>
      <c r="X302" s="1443" t="n"/>
      <c r="Y302" s="1442">
        <f>IF(X302&gt;0,X302,W302)</f>
        <v/>
      </c>
      <c r="Z302" s="1442">
        <f>IF(B302="","",IF(N302="Time x Count",M302*R302*IF(U302="",1,U302)*Y302,IF(N302="QS Qty x Factor",E302*R302*(1+IF(V302="",0,V302))*Y302,IF(N302="Direct Qty",S302*(1+IF(V302="",0,V302))*Y302,IF(N302="Lump Sum / Quote",S302*Y302,0)))))</f>
        <v/>
      </c>
      <c r="AA302" s="81">
        <f>IFERROR(INDEX('Resource Rate Library'!$N$5:$N$200,MATCH(P302,'Resource Rate Library'!$A$5:$A$200,0)),"")</f>
        <v/>
      </c>
      <c r="AB302" s="53" t="n"/>
      <c r="AC302" s="59" t="n"/>
      <c r="AD302" s="81">
        <f>IFERROR(INDEX('Resource Rate Library'!$G$5:$G$200,MATCH(P302,'Resource Rate Library'!$A$5:$A$200,0)),"")</f>
        <v/>
      </c>
      <c r="AE302" s="81">
        <f>IFERROR(INDEX('Resource Rate Library'!$H$5:$H$200,MATCH(P302,'Resource Rate Library'!$A$5:$A$200,0)),"")</f>
        <v/>
      </c>
      <c r="AF302" s="53" t="n"/>
      <c r="AG302" s="53" t="n"/>
      <c r="AH302" s="53" t="n"/>
      <c r="AI302" s="81">
        <f>IF(B302="","",IF(AND(P302="",N302&lt;&gt;"Lump Sum / Quote"),"RESOURCE CODE",IF(Y302=0,"RATE MISSING",IF(AND(O302="Plant",AD302="Yes",COUNTIFS($B$7:$B$306,B302,$O$7:$O$306,"Labour",$Q$7:$Q$306,"*Operator*")&gt;0),"OPERATOR DOUBLE-COUNT",IF(AND(O302="Plant",AE302="Yes",COUNTIFS($B$7:$B$306,B302,$Q$7:$Q$306,"*Fuel*")&gt;0),"FUEL DOUBLE-COUNT",IF(AH302&lt;&gt;"Yes","VERIFY","OK"))))))</f>
        <v/>
      </c>
      <c r="AJ302" s="54" t="n"/>
      <c r="AK302" s="473" t="n"/>
      <c r="AL302" s="473" t="n"/>
      <c r="AM302" s="473" t="n"/>
      <c r="AN302" s="1444">
        <f>IF(AND(AK302="Yes",OR(O302="Labour",O302="Plant")),Z302,0)</f>
        <v/>
      </c>
    </row>
    <row r="303">
      <c r="A303" s="80">
        <f>IF(B303="","",B303&amp;"-"&amp;TEXT(COUNTIF($B$7:B303,B303),"000"))</f>
        <v/>
      </c>
      <c r="B303" s="53" t="n"/>
      <c r="C303" s="81">
        <f>IFERROR(INDEX('QS Takeoff'!$A$3:$A$202,MATCH(B303,'QS Takeoff'!$B$3:$B$202,0)),"")</f>
        <v/>
      </c>
      <c r="D303" s="81">
        <f>IFERROR(INDEX('QS Takeoff'!$C$3:$C$202,MATCH(B303,'QS Takeoff'!$B$3:$B$202,0)),"")</f>
        <v/>
      </c>
      <c r="E303" s="81">
        <f>IFERROR(INDEX('QS Takeoff'!$E$3:$E$202,MATCH(B303,'QS Takeoff'!$B$3:$B$202,0)),"")</f>
        <v/>
      </c>
      <c r="F303" s="81">
        <f>IFERROR(INDEX('QS Takeoff'!$D$3:$D$202,MATCH(B303,'QS Takeoff'!$B$3:$B$202,0)),"")</f>
        <v/>
      </c>
      <c r="G303" s="81">
        <f>IFERROR(INDEX('QS Takeoff'!$J$3:$J$202,MATCH(B303,'QS Takeoff'!$B$3:$B$202,0)),"")</f>
        <v/>
      </c>
      <c r="H303" s="53" t="n"/>
      <c r="I303" s="60" t="n"/>
      <c r="J303" s="60" t="n"/>
      <c r="K303" s="82">
        <f>IF(OR(B303="",I303="",I303=0),"",E303/I303)</f>
        <v/>
      </c>
      <c r="L303" s="60" t="n"/>
      <c r="M303" s="82">
        <f>IF(L303&gt;0,L303,K303)</f>
        <v/>
      </c>
      <c r="N303" s="53" t="n"/>
      <c r="O303" s="53" t="n"/>
      <c r="P303" s="53" t="n"/>
      <c r="Q303" s="81">
        <f>IFERROR(INDEX('Resource Rate Library'!$C$5:$C$200,MATCH(P303,'Resource Rate Library'!$A$5:$A$200,0)),"")</f>
        <v/>
      </c>
      <c r="R303" s="53" t="n"/>
      <c r="S303" s="53" t="n"/>
      <c r="T303" s="81">
        <f>IFERROR(INDEX('Resource Rate Library'!$E$5:$E$200,MATCH(P303,'Resource Rate Library'!$A$5:$A$200,0)),"")</f>
        <v/>
      </c>
      <c r="U303" s="1441" t="n"/>
      <c r="V303" s="1441" t="n"/>
      <c r="W303" s="1442">
        <f>IFERROR(INDEX('Resource Rate Library'!$I$5:$I$200,MATCH(P303,'Resource Rate Library'!$A$5:$A$200,0)),0)</f>
        <v/>
      </c>
      <c r="X303" s="1443" t="n"/>
      <c r="Y303" s="1442">
        <f>IF(X303&gt;0,X303,W303)</f>
        <v/>
      </c>
      <c r="Z303" s="1442">
        <f>IF(B303="","",IF(N303="Time x Count",M303*R303*IF(U303="",1,U303)*Y303,IF(N303="QS Qty x Factor",E303*R303*(1+IF(V303="",0,V303))*Y303,IF(N303="Direct Qty",S303*(1+IF(V303="",0,V303))*Y303,IF(N303="Lump Sum / Quote",S303*Y303,0)))))</f>
        <v/>
      </c>
      <c r="AA303" s="81">
        <f>IFERROR(INDEX('Resource Rate Library'!$N$5:$N$200,MATCH(P303,'Resource Rate Library'!$A$5:$A$200,0)),"")</f>
        <v/>
      </c>
      <c r="AB303" s="53" t="n"/>
      <c r="AC303" s="59" t="n"/>
      <c r="AD303" s="81">
        <f>IFERROR(INDEX('Resource Rate Library'!$G$5:$G$200,MATCH(P303,'Resource Rate Library'!$A$5:$A$200,0)),"")</f>
        <v/>
      </c>
      <c r="AE303" s="81">
        <f>IFERROR(INDEX('Resource Rate Library'!$H$5:$H$200,MATCH(P303,'Resource Rate Library'!$A$5:$A$200,0)),"")</f>
        <v/>
      </c>
      <c r="AF303" s="53" t="n"/>
      <c r="AG303" s="53" t="n"/>
      <c r="AH303" s="53" t="n"/>
      <c r="AI303" s="81">
        <f>IF(B303="","",IF(AND(P303="",N303&lt;&gt;"Lump Sum / Quote"),"RESOURCE CODE",IF(Y303=0,"RATE MISSING",IF(AND(O303="Plant",AD303="Yes",COUNTIFS($B$7:$B$306,B303,$O$7:$O$306,"Labour",$Q$7:$Q$306,"*Operator*")&gt;0),"OPERATOR DOUBLE-COUNT",IF(AND(O303="Plant",AE303="Yes",COUNTIFS($B$7:$B$306,B303,$Q$7:$Q$306,"*Fuel*")&gt;0),"FUEL DOUBLE-COUNT",IF(AH303&lt;&gt;"Yes","VERIFY","OK"))))))</f>
        <v/>
      </c>
      <c r="AJ303" s="54" t="n"/>
      <c r="AK303" s="473" t="n"/>
      <c r="AL303" s="473" t="n"/>
      <c r="AM303" s="473" t="n"/>
      <c r="AN303" s="1444">
        <f>IF(AND(AK303="Yes",OR(O303="Labour",O303="Plant")),Z303,0)</f>
        <v/>
      </c>
    </row>
    <row r="304">
      <c r="A304" s="80">
        <f>IF(B304="","",B304&amp;"-"&amp;TEXT(COUNTIF($B$7:B304,B304),"000"))</f>
        <v/>
      </c>
      <c r="B304" s="53" t="n"/>
      <c r="C304" s="81">
        <f>IFERROR(INDEX('QS Takeoff'!$A$3:$A$202,MATCH(B304,'QS Takeoff'!$B$3:$B$202,0)),"")</f>
        <v/>
      </c>
      <c r="D304" s="81">
        <f>IFERROR(INDEX('QS Takeoff'!$C$3:$C$202,MATCH(B304,'QS Takeoff'!$B$3:$B$202,0)),"")</f>
        <v/>
      </c>
      <c r="E304" s="81">
        <f>IFERROR(INDEX('QS Takeoff'!$E$3:$E$202,MATCH(B304,'QS Takeoff'!$B$3:$B$202,0)),"")</f>
        <v/>
      </c>
      <c r="F304" s="81">
        <f>IFERROR(INDEX('QS Takeoff'!$D$3:$D$202,MATCH(B304,'QS Takeoff'!$B$3:$B$202,0)),"")</f>
        <v/>
      </c>
      <c r="G304" s="81">
        <f>IFERROR(INDEX('QS Takeoff'!$J$3:$J$202,MATCH(B304,'QS Takeoff'!$B$3:$B$202,0)),"")</f>
        <v/>
      </c>
      <c r="H304" s="53" t="n"/>
      <c r="I304" s="60" t="n"/>
      <c r="J304" s="60" t="n"/>
      <c r="K304" s="82">
        <f>IF(OR(B304="",I304="",I304=0),"",E304/I304)</f>
        <v/>
      </c>
      <c r="L304" s="60" t="n"/>
      <c r="M304" s="82">
        <f>IF(L304&gt;0,L304,K304)</f>
        <v/>
      </c>
      <c r="N304" s="53" t="n"/>
      <c r="O304" s="53" t="n"/>
      <c r="P304" s="53" t="n"/>
      <c r="Q304" s="81">
        <f>IFERROR(INDEX('Resource Rate Library'!$C$5:$C$200,MATCH(P304,'Resource Rate Library'!$A$5:$A$200,0)),"")</f>
        <v/>
      </c>
      <c r="R304" s="53" t="n"/>
      <c r="S304" s="53" t="n"/>
      <c r="T304" s="81">
        <f>IFERROR(INDEX('Resource Rate Library'!$E$5:$E$200,MATCH(P304,'Resource Rate Library'!$A$5:$A$200,0)),"")</f>
        <v/>
      </c>
      <c r="U304" s="1441" t="n"/>
      <c r="V304" s="1441" t="n"/>
      <c r="W304" s="1442">
        <f>IFERROR(INDEX('Resource Rate Library'!$I$5:$I$200,MATCH(P304,'Resource Rate Library'!$A$5:$A$200,0)),0)</f>
        <v/>
      </c>
      <c r="X304" s="1443" t="n"/>
      <c r="Y304" s="1442">
        <f>IF(X304&gt;0,X304,W304)</f>
        <v/>
      </c>
      <c r="Z304" s="1442">
        <f>IF(B304="","",IF(N304="Time x Count",M304*R304*IF(U304="",1,U304)*Y304,IF(N304="QS Qty x Factor",E304*R304*(1+IF(V304="",0,V304))*Y304,IF(N304="Direct Qty",S304*(1+IF(V304="",0,V304))*Y304,IF(N304="Lump Sum / Quote",S304*Y304,0)))))</f>
        <v/>
      </c>
      <c r="AA304" s="81">
        <f>IFERROR(INDEX('Resource Rate Library'!$N$5:$N$200,MATCH(P304,'Resource Rate Library'!$A$5:$A$200,0)),"")</f>
        <v/>
      </c>
      <c r="AB304" s="53" t="n"/>
      <c r="AC304" s="59" t="n"/>
      <c r="AD304" s="81">
        <f>IFERROR(INDEX('Resource Rate Library'!$G$5:$G$200,MATCH(P304,'Resource Rate Library'!$A$5:$A$200,0)),"")</f>
        <v/>
      </c>
      <c r="AE304" s="81">
        <f>IFERROR(INDEX('Resource Rate Library'!$H$5:$H$200,MATCH(P304,'Resource Rate Library'!$A$5:$A$200,0)),"")</f>
        <v/>
      </c>
      <c r="AF304" s="53" t="n"/>
      <c r="AG304" s="53" t="n"/>
      <c r="AH304" s="53" t="n"/>
      <c r="AI304" s="81">
        <f>IF(B304="","",IF(AND(P304="",N304&lt;&gt;"Lump Sum / Quote"),"RESOURCE CODE",IF(Y304=0,"RATE MISSING",IF(AND(O304="Plant",AD304="Yes",COUNTIFS($B$7:$B$306,B304,$O$7:$O$306,"Labour",$Q$7:$Q$306,"*Operator*")&gt;0),"OPERATOR DOUBLE-COUNT",IF(AND(O304="Plant",AE304="Yes",COUNTIFS($B$7:$B$306,B304,$Q$7:$Q$306,"*Fuel*")&gt;0),"FUEL DOUBLE-COUNT",IF(AH304&lt;&gt;"Yes","VERIFY","OK"))))))</f>
        <v/>
      </c>
      <c r="AJ304" s="54" t="n"/>
      <c r="AK304" s="473" t="n"/>
      <c r="AL304" s="473" t="n"/>
      <c r="AM304" s="473" t="n"/>
      <c r="AN304" s="1444">
        <f>IF(AND(AK304="Yes",OR(O304="Labour",O304="Plant")),Z304,0)</f>
        <v/>
      </c>
    </row>
    <row r="305">
      <c r="A305" s="80">
        <f>IF(B305="","",B305&amp;"-"&amp;TEXT(COUNTIF($B$7:B305,B305),"000"))</f>
        <v/>
      </c>
      <c r="B305" s="53" t="n"/>
      <c r="C305" s="81">
        <f>IFERROR(INDEX('QS Takeoff'!$A$3:$A$202,MATCH(B305,'QS Takeoff'!$B$3:$B$202,0)),"")</f>
        <v/>
      </c>
      <c r="D305" s="81">
        <f>IFERROR(INDEX('QS Takeoff'!$C$3:$C$202,MATCH(B305,'QS Takeoff'!$B$3:$B$202,0)),"")</f>
        <v/>
      </c>
      <c r="E305" s="81">
        <f>IFERROR(INDEX('QS Takeoff'!$E$3:$E$202,MATCH(B305,'QS Takeoff'!$B$3:$B$202,0)),"")</f>
        <v/>
      </c>
      <c r="F305" s="81">
        <f>IFERROR(INDEX('QS Takeoff'!$D$3:$D$202,MATCH(B305,'QS Takeoff'!$B$3:$B$202,0)),"")</f>
        <v/>
      </c>
      <c r="G305" s="81">
        <f>IFERROR(INDEX('QS Takeoff'!$J$3:$J$202,MATCH(B305,'QS Takeoff'!$B$3:$B$202,0)),"")</f>
        <v/>
      </c>
      <c r="H305" s="53" t="n"/>
      <c r="I305" s="60" t="n"/>
      <c r="J305" s="60" t="n"/>
      <c r="K305" s="82">
        <f>IF(OR(B305="",I305="",I305=0),"",E305/I305)</f>
        <v/>
      </c>
      <c r="L305" s="60" t="n"/>
      <c r="M305" s="82">
        <f>IF(L305&gt;0,L305,K305)</f>
        <v/>
      </c>
      <c r="N305" s="53" t="n"/>
      <c r="O305" s="53" t="n"/>
      <c r="P305" s="53" t="n"/>
      <c r="Q305" s="81">
        <f>IFERROR(INDEX('Resource Rate Library'!$C$5:$C$200,MATCH(P305,'Resource Rate Library'!$A$5:$A$200,0)),"")</f>
        <v/>
      </c>
      <c r="R305" s="53" t="n"/>
      <c r="S305" s="53" t="n"/>
      <c r="T305" s="81">
        <f>IFERROR(INDEX('Resource Rate Library'!$E$5:$E$200,MATCH(P305,'Resource Rate Library'!$A$5:$A$200,0)),"")</f>
        <v/>
      </c>
      <c r="U305" s="1441" t="n"/>
      <c r="V305" s="1441" t="n"/>
      <c r="W305" s="1442">
        <f>IFERROR(INDEX('Resource Rate Library'!$I$5:$I$200,MATCH(P305,'Resource Rate Library'!$A$5:$A$200,0)),0)</f>
        <v/>
      </c>
      <c r="X305" s="1443" t="n"/>
      <c r="Y305" s="1442">
        <f>IF(X305&gt;0,X305,W305)</f>
        <v/>
      </c>
      <c r="Z305" s="1442">
        <f>IF(B305="","",IF(N305="Time x Count",M305*R305*IF(U305="",1,U305)*Y305,IF(N305="QS Qty x Factor",E305*R305*(1+IF(V305="",0,V305))*Y305,IF(N305="Direct Qty",S305*(1+IF(V305="",0,V305))*Y305,IF(N305="Lump Sum / Quote",S305*Y305,0)))))</f>
        <v/>
      </c>
      <c r="AA305" s="81">
        <f>IFERROR(INDEX('Resource Rate Library'!$N$5:$N$200,MATCH(P305,'Resource Rate Library'!$A$5:$A$200,0)),"")</f>
        <v/>
      </c>
      <c r="AB305" s="53" t="n"/>
      <c r="AC305" s="59" t="n"/>
      <c r="AD305" s="81">
        <f>IFERROR(INDEX('Resource Rate Library'!$G$5:$G$200,MATCH(P305,'Resource Rate Library'!$A$5:$A$200,0)),"")</f>
        <v/>
      </c>
      <c r="AE305" s="81">
        <f>IFERROR(INDEX('Resource Rate Library'!$H$5:$H$200,MATCH(P305,'Resource Rate Library'!$A$5:$A$200,0)),"")</f>
        <v/>
      </c>
      <c r="AF305" s="53" t="n"/>
      <c r="AG305" s="53" t="n"/>
      <c r="AH305" s="53" t="n"/>
      <c r="AI305" s="81">
        <f>IF(B305="","",IF(AND(P305="",N305&lt;&gt;"Lump Sum / Quote"),"RESOURCE CODE",IF(Y305=0,"RATE MISSING",IF(AND(O305="Plant",AD305="Yes",COUNTIFS($B$7:$B$306,B305,$O$7:$O$306,"Labour",$Q$7:$Q$306,"*Operator*")&gt;0),"OPERATOR DOUBLE-COUNT",IF(AND(O305="Plant",AE305="Yes",COUNTIFS($B$7:$B$306,B305,$Q$7:$Q$306,"*Fuel*")&gt;0),"FUEL DOUBLE-COUNT",IF(AH305&lt;&gt;"Yes","VERIFY","OK"))))))</f>
        <v/>
      </c>
      <c r="AJ305" s="54" t="n"/>
      <c r="AK305" s="473" t="n"/>
      <c r="AL305" s="473" t="n"/>
      <c r="AM305" s="473" t="n"/>
      <c r="AN305" s="1444">
        <f>IF(AND(AK305="Yes",OR(O305="Labour",O305="Plant")),Z305,0)</f>
        <v/>
      </c>
    </row>
    <row r="306">
      <c r="A306" s="84">
        <f>IF(B306="","",B306&amp;"-"&amp;TEXT(COUNTIF($B$7:B306,B306),"000"))</f>
        <v/>
      </c>
      <c r="B306" s="56" t="n"/>
      <c r="C306" s="85">
        <f>IFERROR(INDEX('QS Takeoff'!$A$3:$A$202,MATCH(B306,'QS Takeoff'!$B$3:$B$202,0)),"")</f>
        <v/>
      </c>
      <c r="D306" s="85">
        <f>IFERROR(INDEX('QS Takeoff'!$C$3:$C$202,MATCH(B306,'QS Takeoff'!$B$3:$B$202,0)),"")</f>
        <v/>
      </c>
      <c r="E306" s="85">
        <f>IFERROR(INDEX('QS Takeoff'!$E$3:$E$202,MATCH(B306,'QS Takeoff'!$B$3:$B$202,0)),"")</f>
        <v/>
      </c>
      <c r="F306" s="85">
        <f>IFERROR(INDEX('QS Takeoff'!$D$3:$D$202,MATCH(B306,'QS Takeoff'!$B$3:$B$202,0)),"")</f>
        <v/>
      </c>
      <c r="G306" s="85">
        <f>IFERROR(INDEX('QS Takeoff'!$J$3:$J$202,MATCH(B306,'QS Takeoff'!$B$3:$B$202,0)),"")</f>
        <v/>
      </c>
      <c r="H306" s="56" t="n"/>
      <c r="I306" s="61" t="n"/>
      <c r="J306" s="61" t="n"/>
      <c r="K306" s="86">
        <f>IF(OR(B306="",I306="",I306=0),"",E306/I306)</f>
        <v/>
      </c>
      <c r="L306" s="61" t="n"/>
      <c r="M306" s="86">
        <f>IF(L306&gt;0,L306,K306)</f>
        <v/>
      </c>
      <c r="N306" s="56" t="n"/>
      <c r="O306" s="56" t="n"/>
      <c r="P306" s="56" t="n"/>
      <c r="Q306" s="85">
        <f>IFERROR(INDEX('Resource Rate Library'!$C$5:$C$200,MATCH(P306,'Resource Rate Library'!$A$5:$A$200,0)),"")</f>
        <v/>
      </c>
      <c r="R306" s="56" t="n"/>
      <c r="S306" s="56" t="n"/>
      <c r="T306" s="85">
        <f>IFERROR(INDEX('Resource Rate Library'!$E$5:$E$200,MATCH(P306,'Resource Rate Library'!$A$5:$A$200,0)),"")</f>
        <v/>
      </c>
      <c r="U306" s="1447" t="n"/>
      <c r="V306" s="1447" t="n"/>
      <c r="W306" s="1448">
        <f>IFERROR(INDEX('Resource Rate Library'!$I$5:$I$200,MATCH(P306,'Resource Rate Library'!$A$5:$A$200,0)),0)</f>
        <v/>
      </c>
      <c r="X306" s="1449" t="n"/>
      <c r="Y306" s="1448">
        <f>IF(X306&gt;0,X306,W306)</f>
        <v/>
      </c>
      <c r="Z306" s="1448">
        <f>IF(B306="","",IF(N306="Time x Count",M306*R306*IF(U306="",1,U306)*Y306,IF(N306="QS Qty x Factor",E306*R306*(1+IF(V306="",0,V306))*Y306,IF(N306="Direct Qty",S306*(1+IF(V306="",0,V306))*Y306,IF(N306="Lump Sum / Quote",S306*Y306,0)))))</f>
        <v/>
      </c>
      <c r="AA306" s="85">
        <f>IFERROR(INDEX('Resource Rate Library'!$N$5:$N$200,MATCH(P306,'Resource Rate Library'!$A$5:$A$200,0)),"")</f>
        <v/>
      </c>
      <c r="AB306" s="56" t="n"/>
      <c r="AC306" s="64" t="n"/>
      <c r="AD306" s="85">
        <f>IFERROR(INDEX('Resource Rate Library'!$G$5:$G$200,MATCH(P306,'Resource Rate Library'!$A$5:$A$200,0)),"")</f>
        <v/>
      </c>
      <c r="AE306" s="85">
        <f>IFERROR(INDEX('Resource Rate Library'!$H$5:$H$200,MATCH(P306,'Resource Rate Library'!$A$5:$A$200,0)),"")</f>
        <v/>
      </c>
      <c r="AF306" s="56" t="n"/>
      <c r="AG306" s="56" t="n"/>
      <c r="AH306" s="56" t="n"/>
      <c r="AI306" s="85">
        <f>IF(B306="","",IF(AND(P306="",N306&lt;&gt;"Lump Sum / Quote"),"RESOURCE CODE",IF(Y306=0,"RATE MISSING",IF(AND(O306="Plant",AD306="Yes",COUNTIFS($B$7:$B$306,B306,$O$7:$O$306,"Labour",$Q$7:$Q$306,"*Operator*")&gt;0),"OPERATOR DOUBLE-COUNT",IF(AND(O306="Plant",AE306="Yes",COUNTIFS($B$7:$B$306,B306,$Q$7:$Q$306,"*Fuel*")&gt;0),"FUEL DOUBLE-COUNT",IF(AH306&lt;&gt;"Yes","VERIFY","OK"))))))</f>
        <v/>
      </c>
      <c r="AJ306" s="57" t="n"/>
      <c r="AK306" s="473" t="n"/>
      <c r="AL306" s="473" t="n"/>
      <c r="AM306" s="473" t="n"/>
      <c r="AN306" s="1444">
        <f>IF(AND(AK306="Yes",OR(O306="Labour",O306="Plant")),Z306,0)</f>
        <v/>
      </c>
    </row>
  </sheetData>
  <mergeCells count="5">
    <mergeCell ref="A3:AJ3"/>
    <mergeCell ref="A4:AJ4"/>
    <mergeCell ref="A2:AJ2"/>
    <mergeCell ref="A5:AN5"/>
    <mergeCell ref="A1:AJ1"/>
  </mergeCells>
  <conditionalFormatting sqref="AJ7:AJ306">
    <cfRule type="expression" priority="1" dxfId="2">
      <formula>$AJ7="OK"</formula>
    </cfRule>
    <cfRule type="expression" priority="2" dxfId="1">
      <formula>OR($AJ7="VERIFY",$AJ7="RATE MISSING",$AJ7="RESOURCE CODE")</formula>
    </cfRule>
    <cfRule type="expression" priority="3" dxfId="0">
      <formula>OR($AJ7="OPERATOR DOUBLE-COUNT",$AJ7="FUEL DOUBLE-COUNT")</formula>
    </cfRule>
  </conditionalFormatting>
  <dataValidations count="8">
    <dataValidation sqref="N7:N306" showDropDown="0" showInputMessage="0" showErrorMessage="0" allowBlank="0" type="list">
      <formula1>"Time x Count,QS Qty x Factor,Direct Qty,Lump Sum / Quote"</formula1>
    </dataValidation>
    <dataValidation sqref="O7:O306" showDropDown="0" showInputMessage="0" showErrorMessage="0" allowBlank="0" type="list">
      <formula1>"Labour,Plant,Material,Subcontract,Cartage,Disposal,Testing,Other"</formula1>
    </dataValidation>
    <dataValidation sqref="AF7:AF306" showDropDown="0" showInputMessage="0" showErrorMessage="0" allowBlank="0" type="list">
      <formula1>"High,Medium,Low,Quote-backed,Not assessed"</formula1>
    </dataValidation>
    <dataValidation sqref="AH7:AH306" showDropDown="0" showInputMessage="0" showErrorMessage="0" allowBlank="0" type="list">
      <formula1>"Yes,No,Pending"</formula1>
    </dataValidation>
    <dataValidation sqref="A7:A306 C7:G306 K7:K306 M7:M306 Q7:Q306 T7:T306 W7:W306 Y7:AA306 AD7:AE306 AI7:AI306" showDropDown="0" showInputMessage="0" showErrorMessage="1" allowBlank="1" errorTitle="Linked formula cell" error="This value is linked. Change the upstream input/source instead of overwriting this cell." type="custom">
      <formula1>FALSE</formula1>
    </dataValidation>
    <dataValidation sqref="AK7:AK306" showDropDown="0" showInputMessage="0" showErrorMessage="0" allowBlank="0" type="list">
      <formula1>"Yes,No"</formula1>
    </dataValidation>
    <dataValidation sqref="AL7:AL306" showDropDown="0" showInputMessage="0" showErrorMessage="0" allowBlank="0" type="list">
      <formula1>'Weather Risk'!$J$54:$J$71</formula1>
    </dataValidation>
    <dataValidation sqref="P7:P306" showDropDown="0" showInputMessage="0" showErrorMessage="0" allowBlank="0" type="list">
      <formula1>'Resource Rate Library'!$A$5:$A$200</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T200"/>
  <sheetViews>
    <sheetView workbookViewId="0">
      <selection activeCell="A1" sqref="A1"/>
    </sheetView>
  </sheetViews>
  <sheetFormatPr baseColWidth="8" defaultRowHeight="13.80000019073486"/>
  <cols>
    <col width="18" customWidth="1" style="491" min="1" max="1"/>
    <col width="14" customWidth="1" style="491" min="2" max="2"/>
    <col width="55.19921875" customWidth="1" style="491" min="3" max="3"/>
    <col width="14" customWidth="1" style="491" min="4" max="4"/>
    <col width="10" customWidth="1" style="491" min="5" max="5"/>
    <col width="24" customWidth="1" style="491" min="6" max="6"/>
    <col width="13" customWidth="1" style="491" min="7" max="8"/>
    <col width="14" customWidth="1" style="491" min="9" max="9"/>
    <col width="18" customWidth="1" style="491" min="10" max="10"/>
    <col width="13" customWidth="1" style="491" min="11" max="11"/>
    <col width="30.59765625" customWidth="1" style="491" min="12" max="12"/>
    <col width="49.796875" customWidth="1" style="491" min="13" max="13"/>
    <col width="44.296875" customWidth="1" style="491" min="14" max="14"/>
    <col width="18" customWidth="1" style="491" min="15" max="15"/>
    <col width="52.09765625" customWidth="1" style="491" min="16" max="16"/>
    <col width="46.296875" customWidth="1" style="491" min="17" max="17"/>
    <col width="12" customWidth="1" style="491" min="18" max="18"/>
    <col width="55.8984375" customWidth="1" style="491" min="19" max="19"/>
    <col width="75.59765625" customWidth="1" style="491" min="20" max="20"/>
  </cols>
  <sheetData>
    <row r="1" ht="27.29999923706055" customHeight="1" s="491">
      <c r="A1" s="451" t="inlineStr">
        <is>
          <t>COMPANY RESOURCE RATE LIBRARY - MASTER ESTIMATE WORKBOOK</t>
        </is>
      </c>
      <c r="B1" s="242" t="n"/>
      <c r="C1" s="242" t="n"/>
      <c r="D1" s="242" t="n"/>
      <c r="E1" s="242" t="n"/>
      <c r="F1" s="242" t="n"/>
      <c r="G1" s="242" t="n"/>
      <c r="H1" s="242" t="n"/>
      <c r="I1" s="242" t="n"/>
      <c r="J1" s="242" t="n"/>
      <c r="K1" s="242" t="n"/>
      <c r="L1" s="242" t="n"/>
      <c r="M1" s="242" t="n"/>
      <c r="N1" s="242" t="n"/>
      <c r="O1" s="242" t="n"/>
      <c r="P1" s="242" t="n"/>
      <c r="Q1" s="242" t="n"/>
      <c r="R1" s="242" t="n"/>
      <c r="S1" s="242" t="n"/>
      <c r="T1" s="242" t="n"/>
    </row>
    <row r="2" ht="16.35000038146973" customFormat="1" customHeight="1" s="217">
      <c r="A2" s="344" t="inlineStr">
        <is>
          <t>Reusable company / benchmark resource library. Retain useful history; update verified rates with source, effective date, region, GST basis, inclusions/exclusions and supersession reason.</t>
        </is>
      </c>
      <c r="B2" s="242" t="n"/>
      <c r="C2" s="242" t="n"/>
      <c r="D2" s="242" t="n"/>
      <c r="E2" s="242" t="n"/>
      <c r="F2" s="242" t="n"/>
      <c r="G2" s="242" t="n"/>
      <c r="H2" s="242" t="n"/>
      <c r="I2" s="242" t="n"/>
      <c r="J2" s="242" t="n"/>
      <c r="K2" s="242" t="n"/>
      <c r="L2" s="242" t="n"/>
      <c r="M2" s="242" t="n"/>
      <c r="N2" s="242" t="n"/>
      <c r="O2" s="242" t="n"/>
      <c r="P2" s="242" t="n"/>
      <c r="Q2" s="242" t="n"/>
      <c r="R2" s="242" t="n"/>
      <c r="S2" s="242" t="n"/>
      <c r="T2" s="242" t="n"/>
    </row>
    <row r="3" ht="16.35000038146973" customFormat="1" customHeight="1" s="217">
      <c r="A3" s="425" t="inlineStr">
        <is>
          <t>Enter verified actual company/supplier rates with source, date, region, GST basis, inclusions and exclusions. Mark replaced rates superseded/inactive rather than deleting useful history.</t>
        </is>
      </c>
      <c r="B3" s="242" t="n"/>
      <c r="C3" s="242" t="n"/>
      <c r="D3" s="242" t="n"/>
      <c r="E3" s="242" t="n"/>
      <c r="F3" s="242" t="n"/>
      <c r="G3" s="242" t="n"/>
      <c r="H3" s="242" t="n"/>
      <c r="I3" s="242" t="n"/>
      <c r="J3" s="242" t="n"/>
      <c r="K3" s="242" t="n"/>
      <c r="L3" s="242" t="n"/>
      <c r="M3" s="242" t="n"/>
      <c r="N3" s="242" t="n"/>
      <c r="O3" s="242" t="n"/>
      <c r="P3" s="242" t="n"/>
      <c r="Q3" s="242" t="n"/>
      <c r="R3" s="242" t="n"/>
      <c r="S3" s="242" t="n"/>
      <c r="T3" s="242" t="n"/>
    </row>
    <row r="4" ht="29.25" customFormat="1" customHeight="1" s="217">
      <c r="A4" s="31" t="inlineStr">
        <is>
          <t>Resource Code</t>
        </is>
      </c>
      <c r="B4" s="31" t="inlineStr">
        <is>
          <t>Resource Category</t>
        </is>
      </c>
      <c r="C4" s="31" t="inlineStr">
        <is>
          <t>Resource Description</t>
        </is>
      </c>
      <c r="D4" s="31" t="inlineStr">
        <is>
          <t>Default Cost Type</t>
        </is>
      </c>
      <c r="E4" s="31" t="inlineStr">
        <is>
          <t>Unit</t>
        </is>
      </c>
      <c r="F4" s="31" t="inlineStr">
        <is>
          <t>Procurement Mode</t>
        </is>
      </c>
      <c r="G4" s="31" t="inlineStr">
        <is>
          <t>Operator Included?</t>
        </is>
      </c>
      <c r="H4" s="31" t="inlineStr">
        <is>
          <t>Fuel Included?</t>
        </is>
      </c>
      <c r="I4" s="31" t="inlineStr">
        <is>
          <t>Base Rate excl. GST</t>
        </is>
      </c>
      <c r="J4" s="31" t="inlineStr">
        <is>
          <t>Region / Market</t>
        </is>
      </c>
      <c r="K4" s="31" t="inlineStr">
        <is>
          <t>Effective Date</t>
        </is>
      </c>
      <c r="L4" s="31" t="inlineStr">
        <is>
          <t>Source Type</t>
        </is>
      </c>
      <c r="M4" s="31" t="inlineStr">
        <is>
          <t>Supplier / Source</t>
        </is>
      </c>
      <c r="N4" s="31" t="inlineStr">
        <is>
          <t>Source URL / Quote Ref</t>
        </is>
      </c>
      <c r="O4" s="31" t="inlineStr">
        <is>
          <t>Minimum / Mobilisation</t>
        </is>
      </c>
      <c r="P4" s="31" t="inlineStr">
        <is>
          <t>Rate Inclusions</t>
        </is>
      </c>
      <c r="Q4" s="31" t="inlineStr">
        <is>
          <t>Rate Exclusions</t>
        </is>
      </c>
      <c r="R4" s="31" t="inlineStr">
        <is>
          <t>Confidence</t>
        </is>
      </c>
      <c r="S4" s="31" t="inlineStr">
        <is>
          <t>Verification Status</t>
        </is>
      </c>
      <c r="T4" s="31" t="inlineStr">
        <is>
          <t>Notes</t>
        </is>
      </c>
    </row>
    <row r="5" ht="19.20000076293945" customHeight="1" s="491">
      <c r="A5" s="45" t="inlineStr">
        <is>
          <t>LAB-FOREMAN</t>
        </is>
      </c>
      <c r="B5" s="46" t="inlineStr">
        <is>
          <t>Labour</t>
        </is>
      </c>
      <c r="C5" s="46" t="inlineStr">
        <is>
          <t>Civil foreman / working foreman</t>
        </is>
      </c>
      <c r="D5" s="46" t="inlineStr">
        <is>
          <t>Labour</t>
        </is>
      </c>
      <c r="E5" s="46" t="inlineStr">
        <is>
          <t>hr</t>
        </is>
      </c>
      <c r="F5" s="46" t="inlineStr">
        <is>
          <t>Internal / agency</t>
        </is>
      </c>
      <c r="G5" s="46" t="inlineStr">
        <is>
          <t>N/A</t>
        </is>
      </c>
      <c r="H5" s="46" t="inlineStr">
        <is>
          <t>N/A</t>
        </is>
      </c>
      <c r="I5" s="1450" t="n">
        <v>64</v>
      </c>
      <c r="J5" s="50" t="inlineStr">
        <is>
          <t>Auckland / NZ</t>
        </is>
      </c>
      <c r="K5" s="58" t="inlineStr">
        <is>
          <t>13-Aug-2026</t>
        </is>
      </c>
      <c r="L5" s="50" t="inlineStr">
        <is>
          <t>Template market benchmark</t>
        </is>
      </c>
      <c r="M5" s="50" t="inlineStr">
        <is>
          <t>SEEK / statutory on-cost basis</t>
        </is>
      </c>
      <c r="N5" s="50" t="inlineStr">
        <is>
          <t>https://nz.seek.com/civil-drainage-jobs/in-All-Auckland | https://nz.seek.com/drainage-foreman-jobs/in-All-Auckland/full-time</t>
        </is>
      </c>
      <c r="O5" s="50" t="n"/>
      <c r="P5" s="50" t="inlineStr">
        <is>
          <t>Direct employment allowance</t>
        </is>
      </c>
      <c r="Q5" s="50" t="inlineStr">
        <is>
          <t>Margin, vehicle, overtime</t>
        </is>
      </c>
      <c r="R5" s="50" t="inlineStr">
        <is>
          <t>Medium</t>
        </is>
      </c>
      <c r="S5" s="50" t="inlineStr">
        <is>
          <t>AMBER - market/on-cost benchmark; company payroll required</t>
        </is>
      </c>
      <c r="T5" s="51" t="inlineStr">
        <is>
          <t>Firm to company payroll before award</t>
        </is>
      </c>
    </row>
    <row r="6" ht="19.20000076293945" customHeight="1" s="491">
      <c r="A6" s="47" t="inlineStr">
        <is>
          <t>LAB-SUPERVISOR</t>
        </is>
      </c>
      <c r="B6" s="48" t="inlineStr">
        <is>
          <t>Labour</t>
        </is>
      </c>
      <c r="C6" s="48" t="inlineStr">
        <is>
          <t>Site supervisor / project manager</t>
        </is>
      </c>
      <c r="D6" s="48" t="inlineStr">
        <is>
          <t>Labour</t>
        </is>
      </c>
      <c r="E6" s="48" t="inlineStr">
        <is>
          <t>hr</t>
        </is>
      </c>
      <c r="F6" s="48" t="inlineStr">
        <is>
          <t>Internal / agency</t>
        </is>
      </c>
      <c r="G6" s="48" t="inlineStr">
        <is>
          <t>N/A</t>
        </is>
      </c>
      <c r="H6" s="48" t="inlineStr">
        <is>
          <t>N/A</t>
        </is>
      </c>
      <c r="I6" s="1443" t="n">
        <v>73</v>
      </c>
      <c r="J6" s="53" t="inlineStr">
        <is>
          <t>Auckland / NZ</t>
        </is>
      </c>
      <c r="K6" s="59" t="inlineStr">
        <is>
          <t>13-Aug-2026</t>
        </is>
      </c>
      <c r="L6" s="53" t="inlineStr">
        <is>
          <t>Template market benchmark</t>
        </is>
      </c>
      <c r="M6" s="53" t="inlineStr">
        <is>
          <t>SEEK / statutory on-cost basis</t>
        </is>
      </c>
      <c r="N6" s="53" t="inlineStr">
        <is>
          <t>https://nz.seek.com/civil-drainage-jobs/in-All-Auckland | https://nz.seek.com/drainage-foreman-jobs/in-All-Auckland/full-time</t>
        </is>
      </c>
      <c r="O6" s="53" t="n"/>
      <c r="P6" s="53" t="inlineStr">
        <is>
          <t>Direct employment allowance</t>
        </is>
      </c>
      <c r="Q6" s="53" t="inlineStr">
        <is>
          <t>Margin, vehicle, overtime</t>
        </is>
      </c>
      <c r="R6" s="53" t="inlineStr">
        <is>
          <t>Medium</t>
        </is>
      </c>
      <c r="S6" s="53" t="inlineStr">
        <is>
          <t>AMBER - market/on-cost benchmark; company payroll required</t>
        </is>
      </c>
      <c r="T6" s="54" t="inlineStr">
        <is>
          <t>Firm to company payroll before award</t>
        </is>
      </c>
    </row>
    <row r="7" ht="19.20000076293945" customHeight="1" s="491">
      <c r="A7" s="47" t="inlineStr">
        <is>
          <t>LAB-OPERATOR</t>
        </is>
      </c>
      <c r="B7" s="48" t="inlineStr">
        <is>
          <t>Labour</t>
        </is>
      </c>
      <c r="C7" s="48" t="inlineStr">
        <is>
          <t>Plant operator</t>
        </is>
      </c>
      <c r="D7" s="48" t="inlineStr">
        <is>
          <t>Labour</t>
        </is>
      </c>
      <c r="E7" s="48" t="inlineStr">
        <is>
          <t>hr</t>
        </is>
      </c>
      <c r="F7" s="48" t="inlineStr">
        <is>
          <t>Internal / agency</t>
        </is>
      </c>
      <c r="G7" s="48" t="inlineStr">
        <is>
          <t>N/A</t>
        </is>
      </c>
      <c r="H7" s="48" t="inlineStr">
        <is>
          <t>N/A</t>
        </is>
      </c>
      <c r="I7" s="1443" t="n">
        <v>45</v>
      </c>
      <c r="J7" s="53" t="inlineStr">
        <is>
          <t>Auckland / NZ</t>
        </is>
      </c>
      <c r="K7" s="59" t="inlineStr">
        <is>
          <t>13-Aug-2026</t>
        </is>
      </c>
      <c r="L7" s="53" t="inlineStr">
        <is>
          <t>Template market benchmark</t>
        </is>
      </c>
      <c r="M7" s="53" t="inlineStr">
        <is>
          <t>Auckland civil market</t>
        </is>
      </c>
      <c r="N7" s="53" t="inlineStr">
        <is>
          <t>https://nz.seek.com/civil-drainage-jobs/in-All-Auckland | https://nz.seek.com/drainage-foreman-jobs/in-All-Auckland/full-time</t>
        </is>
      </c>
      <c r="O7" s="53" t="n"/>
      <c r="P7" s="53" t="inlineStr">
        <is>
          <t>Direct employment allowance</t>
        </is>
      </c>
      <c r="Q7" s="53" t="inlineStr">
        <is>
          <t>Plant and overtime</t>
        </is>
      </c>
      <c r="R7" s="53" t="inlineStr">
        <is>
          <t>Medium</t>
        </is>
      </c>
      <c r="S7" s="53" t="inlineStr">
        <is>
          <t>AMBER - market/on-cost benchmark; company payroll required</t>
        </is>
      </c>
      <c r="T7" s="54" t="n"/>
    </row>
    <row r="8" ht="19.20000076293945" customHeight="1" s="491">
      <c r="A8" s="47" t="inlineStr">
        <is>
          <t>LAB-DRAINLAYER</t>
        </is>
      </c>
      <c r="B8" s="48" t="inlineStr">
        <is>
          <t>Labour</t>
        </is>
      </c>
      <c r="C8" s="48" t="inlineStr">
        <is>
          <t>Registered drainlayer / pipe layer</t>
        </is>
      </c>
      <c r="D8" s="48" t="inlineStr">
        <is>
          <t>Labour</t>
        </is>
      </c>
      <c r="E8" s="48" t="inlineStr">
        <is>
          <t>hr</t>
        </is>
      </c>
      <c r="F8" s="48" t="inlineStr">
        <is>
          <t>Internal / agency</t>
        </is>
      </c>
      <c r="G8" s="48" t="inlineStr">
        <is>
          <t>N/A</t>
        </is>
      </c>
      <c r="H8" s="48" t="inlineStr">
        <is>
          <t>N/A</t>
        </is>
      </c>
      <c r="I8" s="1443" t="n">
        <v>51</v>
      </c>
      <c r="J8" s="53" t="inlineStr">
        <is>
          <t>Auckland / NZ</t>
        </is>
      </c>
      <c r="K8" s="59" t="inlineStr">
        <is>
          <t>13-Aug-2026</t>
        </is>
      </c>
      <c r="L8" s="53" t="inlineStr">
        <is>
          <t>Template market benchmark</t>
        </is>
      </c>
      <c r="M8" s="53" t="inlineStr">
        <is>
          <t>Auckland civil market</t>
        </is>
      </c>
      <c r="N8" s="53" t="inlineStr">
        <is>
          <t>https://nz.seek.com/civil-drainage-jobs/in-All-Auckland | https://nz.seek.com/drainage-foreman-jobs/in-All-Auckland/full-time</t>
        </is>
      </c>
      <c r="O8" s="53" t="n"/>
      <c r="P8" s="53" t="inlineStr">
        <is>
          <t>Direct employment allowance</t>
        </is>
      </c>
      <c r="Q8" s="53" t="inlineStr">
        <is>
          <t>Vehicle and overtime</t>
        </is>
      </c>
      <c r="R8" s="53" t="inlineStr">
        <is>
          <t>Medium</t>
        </is>
      </c>
      <c r="S8" s="53" t="inlineStr">
        <is>
          <t>AMBER - market/on-cost benchmark; company payroll required</t>
        </is>
      </c>
      <c r="T8" s="54" t="n"/>
    </row>
    <row r="9" ht="19.20000076293945" customHeight="1" s="491">
      <c r="A9" s="47" t="inlineStr">
        <is>
          <t>LAB-LABOURER</t>
        </is>
      </c>
      <c r="B9" s="48" t="inlineStr">
        <is>
          <t>Labour</t>
        </is>
      </c>
      <c r="C9" s="48" t="inlineStr">
        <is>
          <t>Civil labourer</t>
        </is>
      </c>
      <c r="D9" s="48" t="inlineStr">
        <is>
          <t>Labour</t>
        </is>
      </c>
      <c r="E9" s="48" t="inlineStr">
        <is>
          <t>hr</t>
        </is>
      </c>
      <c r="F9" s="48" t="inlineStr">
        <is>
          <t>Internal / agency</t>
        </is>
      </c>
      <c r="G9" s="48" t="inlineStr">
        <is>
          <t>N/A</t>
        </is>
      </c>
      <c r="H9" s="48" t="inlineStr">
        <is>
          <t>N/A</t>
        </is>
      </c>
      <c r="I9" s="1443" t="n">
        <v>38</v>
      </c>
      <c r="J9" s="53" t="inlineStr">
        <is>
          <t>Auckland / NZ</t>
        </is>
      </c>
      <c r="K9" s="59" t="inlineStr">
        <is>
          <t>13-Aug-2026</t>
        </is>
      </c>
      <c r="L9" s="53" t="inlineStr">
        <is>
          <t>Template market benchmark</t>
        </is>
      </c>
      <c r="M9" s="53" t="inlineStr">
        <is>
          <t>Auckland civil market</t>
        </is>
      </c>
      <c r="N9" s="53" t="inlineStr">
        <is>
          <t>https://nz.seek.com/civil-drainage-jobs/in-All-Auckland | https://nz.seek.com/drainage-foreman-jobs/in-All-Auckland/full-time</t>
        </is>
      </c>
      <c r="O9" s="53" t="n"/>
      <c r="P9" s="53" t="inlineStr">
        <is>
          <t>Direct employment allowance</t>
        </is>
      </c>
      <c r="Q9" s="53" t="inlineStr">
        <is>
          <t>Overtime</t>
        </is>
      </c>
      <c r="R9" s="53" t="inlineStr">
        <is>
          <t>Medium</t>
        </is>
      </c>
      <c r="S9" s="53" t="inlineStr">
        <is>
          <t>AMBER - market/on-cost benchmark; company payroll required</t>
        </is>
      </c>
      <c r="T9" s="54" t="n"/>
    </row>
    <row r="10" ht="19.20000076293945" customHeight="1" s="491">
      <c r="A10" s="47" t="inlineStr">
        <is>
          <t>LAB-CONCRETE</t>
        </is>
      </c>
      <c r="B10" s="48" t="inlineStr">
        <is>
          <t>Labour</t>
        </is>
      </c>
      <c r="C10" s="48" t="inlineStr">
        <is>
          <t>Concrete placer / finisher</t>
        </is>
      </c>
      <c r="D10" s="48" t="inlineStr">
        <is>
          <t>Labour</t>
        </is>
      </c>
      <c r="E10" s="48" t="inlineStr">
        <is>
          <t>hr</t>
        </is>
      </c>
      <c r="F10" s="48" t="inlineStr">
        <is>
          <t>Internal / agency</t>
        </is>
      </c>
      <c r="G10" s="48" t="inlineStr">
        <is>
          <t>N/A</t>
        </is>
      </c>
      <c r="H10" s="48" t="inlineStr">
        <is>
          <t>N/A</t>
        </is>
      </c>
      <c r="I10" s="1443" t="n">
        <v>44</v>
      </c>
      <c r="J10" s="53" t="inlineStr">
        <is>
          <t>Auckland / NZ</t>
        </is>
      </c>
      <c r="K10" s="59" t="inlineStr">
        <is>
          <t>13-Aug-2026</t>
        </is>
      </c>
      <c r="L10" s="53" t="inlineStr">
        <is>
          <t>Template market benchmark</t>
        </is>
      </c>
      <c r="M10" s="53" t="inlineStr">
        <is>
          <t>Auckland civil market</t>
        </is>
      </c>
      <c r="N10" s="53" t="inlineStr">
        <is>
          <t>https://nz.seek.com/civil-drainage-jobs/in-All-Auckland | https://nz.seek.com/drainage-foreman-jobs/in-All-Auckland/full-time</t>
        </is>
      </c>
      <c r="O10" s="53" t="n"/>
      <c r="P10" s="53" t="inlineStr">
        <is>
          <t>Direct employment allowance</t>
        </is>
      </c>
      <c r="Q10" s="53" t="inlineStr">
        <is>
          <t>Specialist pump</t>
        </is>
      </c>
      <c r="R10" s="53" t="inlineStr">
        <is>
          <t>Medium</t>
        </is>
      </c>
      <c r="S10" s="53" t="inlineStr">
        <is>
          <t>AMBER - market/on-cost benchmark; company payroll required</t>
        </is>
      </c>
      <c r="T10" s="54" t="n"/>
    </row>
    <row r="11" ht="19.20000076293945" customHeight="1" s="491">
      <c r="A11" s="47" t="inlineStr">
        <is>
          <t>PL-EXC-1.7</t>
        </is>
      </c>
      <c r="B11" s="48" t="inlineStr">
        <is>
          <t>Plant</t>
        </is>
      </c>
      <c r="C11" s="48" t="inlineStr">
        <is>
          <t>1.7 t excavator wet hire</t>
        </is>
      </c>
      <c r="D11" s="48" t="inlineStr">
        <is>
          <t>Plant</t>
        </is>
      </c>
      <c r="E11" s="48" t="inlineStr">
        <is>
          <t>hr</t>
        </is>
      </c>
      <c r="F11" s="48" t="inlineStr">
        <is>
          <t>Wet hire</t>
        </is>
      </c>
      <c r="G11" s="48" t="inlineStr">
        <is>
          <t>Yes</t>
        </is>
      </c>
      <c r="H11" s="48" t="inlineStr">
        <is>
          <t>Yes</t>
        </is>
      </c>
      <c r="I11" s="1443" t="n">
        <v>85</v>
      </c>
      <c r="J11" s="53" t="inlineStr">
        <is>
          <t>Auckland</t>
        </is>
      </c>
      <c r="K11" s="59" t="inlineStr">
        <is>
          <t>13-Aug-2026</t>
        </is>
      </c>
      <c r="L11" s="53" t="inlineStr">
        <is>
          <t>Published supplier wet-hire rate</t>
        </is>
      </c>
      <c r="M11" s="53" t="inlineStr">
        <is>
          <t>ASAP Machine Hire; NZ Machine Hire cross-check</t>
        </is>
      </c>
      <c r="N11" s="53" t="inlineStr">
        <is>
          <t>https://www.asapmachinehire.co.nz/price-list | https://www.nzmachinehire.co.nz/_files/ugd/d7f8c7_1379402df1a242f88fef70fc3ce1475c.pdf</t>
        </is>
      </c>
      <c r="O11" s="53" t="inlineStr">
        <is>
          <t>Delivery by quote</t>
        </is>
      </c>
      <c r="P11" s="53" t="inlineStr">
        <is>
          <t>Machine, operator, fuel and normal buckets</t>
        </is>
      </c>
      <c r="Q11" s="53" t="inlineStr">
        <is>
          <t>Delivery, overtime and specialist attachments</t>
        </is>
      </c>
      <c r="R11" s="53" t="inlineStr">
        <is>
          <t>High</t>
        </is>
      </c>
      <c r="S11" s="53" t="inlineStr">
        <is>
          <t>GREEN - 3-point checked</t>
        </is>
      </c>
      <c r="T11" s="54" t="inlineStr">
        <is>
          <t>Wet rate. Do not add a separate operator or fuel line.</t>
        </is>
      </c>
    </row>
    <row r="12" ht="19.20000076293945" customHeight="1" s="491">
      <c r="A12" s="47" t="inlineStr">
        <is>
          <t>PL-EXC-5</t>
        </is>
      </c>
      <c r="B12" s="48" t="inlineStr">
        <is>
          <t>Plant</t>
        </is>
      </c>
      <c r="C12" s="48" t="inlineStr">
        <is>
          <t>5.5 t excavator wet hire</t>
        </is>
      </c>
      <c r="D12" s="48" t="inlineStr">
        <is>
          <t>Plant</t>
        </is>
      </c>
      <c r="E12" s="48" t="inlineStr">
        <is>
          <t>hr</t>
        </is>
      </c>
      <c r="F12" s="48" t="inlineStr">
        <is>
          <t>Wet hire</t>
        </is>
      </c>
      <c r="G12" s="48" t="inlineStr">
        <is>
          <t>Yes</t>
        </is>
      </c>
      <c r="H12" s="48" t="inlineStr">
        <is>
          <t>Yes</t>
        </is>
      </c>
      <c r="I12" s="1443" t="n">
        <v>110</v>
      </c>
      <c r="J12" s="53" t="inlineStr">
        <is>
          <t>Auckland</t>
        </is>
      </c>
      <c r="K12" s="59" t="inlineStr">
        <is>
          <t>13-Aug-2026</t>
        </is>
      </c>
      <c r="L12" s="53" t="inlineStr">
        <is>
          <t>Published supplier wet-hire rate</t>
        </is>
      </c>
      <c r="M12" s="53" t="inlineStr">
        <is>
          <t>ASAP Machine Hire; NZ Machine Hire cross-check</t>
        </is>
      </c>
      <c r="N12" s="53" t="inlineStr">
        <is>
          <t>https://www.asapmachinehire.co.nz/price-list | https://www.nzmachinehire.co.nz/_files/ugd/d7f8c7_1379402df1a242f88fef70fc3ce1475c.pdf</t>
        </is>
      </c>
      <c r="O12" s="53" t="inlineStr">
        <is>
          <t>Delivery by quote</t>
        </is>
      </c>
      <c r="P12" s="53" t="inlineStr">
        <is>
          <t>Machine, operator, fuel and normal buckets</t>
        </is>
      </c>
      <c r="Q12" s="53" t="inlineStr">
        <is>
          <t>Delivery, overtime and specialist attachments</t>
        </is>
      </c>
      <c r="R12" s="53" t="inlineStr">
        <is>
          <t>High</t>
        </is>
      </c>
      <c r="S12" s="53" t="inlineStr">
        <is>
          <t>GREEN - 3-point checked</t>
        </is>
      </c>
      <c r="T12" s="54" t="inlineStr">
        <is>
          <t>Wet rate. Separate excavator-operator lines set to zero.</t>
        </is>
      </c>
    </row>
    <row r="13" ht="19.20000076293945" customHeight="1" s="491">
      <c r="A13" s="47" t="inlineStr">
        <is>
          <t>PL-EXC-13</t>
        </is>
      </c>
      <c r="B13" s="48" t="inlineStr">
        <is>
          <t>Plant</t>
        </is>
      </c>
      <c r="C13" s="48" t="inlineStr">
        <is>
          <t>14 t excavator wet hire</t>
        </is>
      </c>
      <c r="D13" s="48" t="inlineStr">
        <is>
          <t>Plant</t>
        </is>
      </c>
      <c r="E13" s="48" t="inlineStr">
        <is>
          <t>hr</t>
        </is>
      </c>
      <c r="F13" s="48" t="inlineStr">
        <is>
          <t>Wet hire</t>
        </is>
      </c>
      <c r="G13" s="48" t="inlineStr">
        <is>
          <t>Yes</t>
        </is>
      </c>
      <c r="H13" s="48" t="inlineStr">
        <is>
          <t>Yes</t>
        </is>
      </c>
      <c r="I13" s="1443" t="n">
        <v>150</v>
      </c>
      <c r="J13" s="53" t="inlineStr">
        <is>
          <t>Auckland</t>
        </is>
      </c>
      <c r="K13" s="59" t="inlineStr">
        <is>
          <t>13-Aug-2026</t>
        </is>
      </c>
      <c r="L13" s="53" t="inlineStr">
        <is>
          <t>Published supplier wet-hire rate</t>
        </is>
      </c>
      <c r="M13" s="53" t="inlineStr">
        <is>
          <t>ASAP Machine Hire; NZ Machine Hire cross-check</t>
        </is>
      </c>
      <c r="N13" s="53" t="inlineStr">
        <is>
          <t>https://www.asapmachinehire.co.nz/price-list | https://www.nzmachinehire.co.nz/_files/ugd/d7f8c7_1379402df1a242f88fef70fc3ce1475c.pdf</t>
        </is>
      </c>
      <c r="O13" s="53" t="inlineStr">
        <is>
          <t>Delivery by quote</t>
        </is>
      </c>
      <c r="P13" s="53" t="inlineStr">
        <is>
          <t>Machine, operator, fuel and normal buckets</t>
        </is>
      </c>
      <c r="Q13" s="53" t="inlineStr">
        <is>
          <t>Delivery, overtime and specialist attachments</t>
        </is>
      </c>
      <c r="R13" s="53" t="inlineStr">
        <is>
          <t>High</t>
        </is>
      </c>
      <c r="S13" s="53" t="inlineStr">
        <is>
          <t>GREEN - 3-point checked</t>
        </is>
      </c>
      <c r="T13" s="54" t="inlineStr">
        <is>
          <t>Published current wet rate. Separate excavator-operator lines set to zero.</t>
        </is>
      </c>
    </row>
    <row r="14" ht="19.20000076293945" customHeight="1" s="491">
      <c r="A14" s="47" t="inlineStr">
        <is>
          <t>PL-ROLLER</t>
        </is>
      </c>
      <c r="B14" s="48" t="inlineStr">
        <is>
          <t>Plant</t>
        </is>
      </c>
      <c r="C14" s="48" t="inlineStr">
        <is>
          <t>7-9 t roller wet-hire equivalent</t>
        </is>
      </c>
      <c r="D14" s="48" t="inlineStr">
        <is>
          <t>Plant</t>
        </is>
      </c>
      <c r="E14" s="48" t="inlineStr">
        <is>
          <t>hr</t>
        </is>
      </c>
      <c r="F14" s="48" t="inlineStr">
        <is>
          <t>Wet-hire equivalent</t>
        </is>
      </c>
      <c r="G14" s="48" t="inlineStr">
        <is>
          <t>Yes</t>
        </is>
      </c>
      <c r="H14" s="48" t="inlineStr">
        <is>
          <t>Yes</t>
        </is>
      </c>
      <c r="I14" s="1443" t="n">
        <v>110</v>
      </c>
      <c r="J14" s="53" t="inlineStr">
        <is>
          <t>Auckland</t>
        </is>
      </c>
      <c r="K14" s="59" t="inlineStr">
        <is>
          <t>13-Aug-2026</t>
        </is>
      </c>
      <c r="L14" s="53" t="inlineStr">
        <is>
          <t>Two-supplier dry-rate build-up</t>
        </is>
      </c>
      <c r="M14" s="53" t="inlineStr">
        <is>
          <t>NZ Machine Hire; Hire Smart</t>
        </is>
      </c>
      <c r="N14" s="53" t="inlineStr">
        <is>
          <t>https://www.nzmachinehire.co.nz/all-rollers | https://www.hiresmart.co.nz/for-hire/rollers/</t>
        </is>
      </c>
      <c r="O14" s="53" t="inlineStr">
        <is>
          <t>Transport by quote</t>
        </is>
      </c>
      <c r="P14" s="53" t="inlineStr">
        <is>
          <t>Dry hire, operator, normal fuel and insurance allowance</t>
        </is>
      </c>
      <c r="Q14" s="53" t="inlineStr">
        <is>
          <t>Transport, overtime and specialist attachments</t>
        </is>
      </c>
      <c r="R14" s="53" t="inlineStr">
        <is>
          <t>Medium</t>
        </is>
      </c>
      <c r="S14" s="53" t="inlineStr">
        <is>
          <t>AMBER - 3-point benchmark; quote required</t>
        </is>
      </c>
      <c r="T14" s="54" t="inlineStr">
        <is>
          <t>Built from two published dry rates plus operator/fuel allowance; obtain a project quote.</t>
        </is>
      </c>
    </row>
    <row r="15" ht="19.20000076293945" customHeight="1" s="491">
      <c r="A15" s="47" t="inlineStr">
        <is>
          <t>PL-LOADER</t>
        </is>
      </c>
      <c r="B15" s="48" t="inlineStr">
        <is>
          <t>Plant</t>
        </is>
      </c>
      <c r="C15" s="48" t="inlineStr">
        <is>
          <t>Loader / skid-steer dry hire</t>
        </is>
      </c>
      <c r="D15" s="48" t="inlineStr">
        <is>
          <t>Plant</t>
        </is>
      </c>
      <c r="E15" s="48" t="inlineStr">
        <is>
          <t>hr</t>
        </is>
      </c>
      <c r="F15" s="48" t="inlineStr">
        <is>
          <t>Dry hire</t>
        </is>
      </c>
      <c r="G15" s="48" t="inlineStr">
        <is>
          <t>No</t>
        </is>
      </c>
      <c r="H15" s="48" t="inlineStr">
        <is>
          <t>No</t>
        </is>
      </c>
      <c r="I15" s="1443" t="n">
        <v>120</v>
      </c>
      <c r="J15" s="53" t="inlineStr">
        <is>
          <t>Auckland</t>
        </is>
      </c>
      <c r="K15" s="59" t="inlineStr">
        <is>
          <t>13-Aug-2026</t>
        </is>
      </c>
      <c r="L15" s="53" t="inlineStr">
        <is>
          <t>Estimator benchmark</t>
        </is>
      </c>
      <c r="M15" s="53" t="inlineStr">
        <is>
          <t>Plant-hire market</t>
        </is>
      </c>
      <c r="N15" s="53" t="inlineStr">
        <is>
          <t>Allowance - obtain hire quote</t>
        </is>
      </c>
      <c r="O15" s="53" t="n"/>
      <c r="P15" s="53" t="inlineStr">
        <is>
          <t>Machine only</t>
        </is>
      </c>
      <c r="Q15" s="53" t="inlineStr">
        <is>
          <t>Operator, fuel, mobilisation</t>
        </is>
      </c>
      <c r="R15" s="53" t="inlineStr">
        <is>
          <t>Medium</t>
        </is>
      </c>
      <c r="S15" s="53" t="inlineStr">
        <is>
          <t>AMBER - benchmark/allowance only</t>
        </is>
      </c>
      <c r="T15" s="54" t="n"/>
    </row>
    <row r="16" ht="19.20000076293945" customHeight="1" s="491">
      <c r="A16" s="47" t="inlineStr">
        <is>
          <t>MAT-IMPFILL</t>
        </is>
      </c>
      <c r="B16" s="48" t="inlineStr">
        <is>
          <t>Material</t>
        </is>
      </c>
      <c r="C16" s="48" t="inlineStr">
        <is>
          <t>AP65-equivalent approved engineered fill delivered</t>
        </is>
      </c>
      <c r="D16" s="48" t="inlineStr">
        <is>
          <t>Material</t>
        </is>
      </c>
      <c r="E16" s="48" t="inlineStr">
        <is>
          <t>m3</t>
        </is>
      </c>
      <c r="F16" s="48" t="inlineStr">
        <is>
          <t>Merchant supply</t>
        </is>
      </c>
      <c r="G16" s="48" t="inlineStr">
        <is>
          <t>N/A</t>
        </is>
      </c>
      <c r="H16" s="48" t="inlineStr">
        <is>
          <t>N/A</t>
        </is>
      </c>
      <c r="I16" s="1443" t="n">
        <v>65</v>
      </c>
      <c r="J16" s="53" t="inlineStr">
        <is>
          <t>Auckland</t>
        </is>
      </c>
      <c r="K16" s="59" t="inlineStr">
        <is>
          <t>13-Aug-2026</t>
        </is>
      </c>
      <c r="L16" s="53" t="inlineStr">
        <is>
          <t>Tender allowance</t>
        </is>
      </c>
      <c r="M16" s="53" t="inlineStr">
        <is>
          <t>Aggregate supplier</t>
        </is>
      </c>
      <c r="N16" s="53" t="inlineStr">
        <is>
          <t>https://www.urbanquarry.co.nz/pricelist-2-2 | https://www.aggregate2u.co.nz/aggregates-delivery-south-auckland</t>
        </is>
      </c>
      <c r="O16" s="53" t="n"/>
      <c r="P16" s="53" t="inlineStr">
        <is>
          <t>Delivered clean approved fill</t>
        </is>
      </c>
      <c r="Q16" s="53" t="inlineStr">
        <is>
          <t>Testing and placement</t>
        </is>
      </c>
      <c r="R16" s="53" t="inlineStr">
        <is>
          <t>Low</t>
        </is>
      </c>
      <c r="S16" s="53" t="inlineStr">
        <is>
          <t>AMBER - two market checks; specification/delivery quote required</t>
        </is>
      </c>
      <c r="T16" s="54" t="inlineStr">
        <is>
          <t>Product specification and delivered rate still require supplier confirmation.</t>
        </is>
      </c>
    </row>
    <row r="17" ht="19.20000076293945" customHeight="1" s="491">
      <c r="A17" s="47" t="inlineStr">
        <is>
          <t>MAT-AP65</t>
        </is>
      </c>
      <c r="B17" s="48" t="inlineStr">
        <is>
          <t>Material</t>
        </is>
      </c>
      <c r="C17" s="48" t="inlineStr">
        <is>
          <t>AP65 subbase aggregate</t>
        </is>
      </c>
      <c r="D17" s="48" t="inlineStr">
        <is>
          <t>Material</t>
        </is>
      </c>
      <c r="E17" s="48" t="inlineStr">
        <is>
          <t>t</t>
        </is>
      </c>
      <c r="F17" s="48" t="inlineStr">
        <is>
          <t>Merchant supply</t>
        </is>
      </c>
      <c r="G17" s="48" t="inlineStr">
        <is>
          <t>N/A</t>
        </is>
      </c>
      <c r="H17" s="48" t="inlineStr">
        <is>
          <t>N/A</t>
        </is>
      </c>
      <c r="I17" s="1443" t="n">
        <v>30.5</v>
      </c>
      <c r="J17" s="53" t="inlineStr">
        <is>
          <t>Auckland</t>
        </is>
      </c>
      <c r="K17" s="59" t="inlineStr">
        <is>
          <t>13-Aug-2026</t>
        </is>
      </c>
      <c r="L17" s="53" t="inlineStr">
        <is>
          <t>Template market benchmark</t>
        </is>
      </c>
      <c r="M17" s="53" t="inlineStr">
        <is>
          <t>Auckland quarry market</t>
        </is>
      </c>
      <c r="N17" s="53" t="inlineStr">
        <is>
          <t>https://www.urbanquarry.co.nz/pricelist-2-2 | https://www.aggregate2u.co.nz/aggregates-delivery-south-auckland</t>
        </is>
      </c>
      <c r="O17" s="53" t="n"/>
      <c r="P17" s="53" t="inlineStr">
        <is>
          <t>Ex-quarry / base material allowance</t>
        </is>
      </c>
      <c r="Q17" s="53" t="inlineStr">
        <is>
          <t>Haul and placement</t>
        </is>
      </c>
      <c r="R17" s="53" t="inlineStr">
        <is>
          <t>High</t>
        </is>
      </c>
      <c r="S17" s="53" t="inlineStr">
        <is>
          <t>AMBER - two market checks; specification/delivery quote required</t>
        </is>
      </c>
      <c r="T17" s="54" t="inlineStr">
        <is>
          <t>Published GAP/AP benchmark; confirm specified grading and haul.</t>
        </is>
      </c>
    </row>
    <row r="18" ht="19.20000076293945" customHeight="1" s="491">
      <c r="A18" s="47" t="inlineStr">
        <is>
          <t>MAT-AP40</t>
        </is>
      </c>
      <c r="B18" s="48" t="inlineStr">
        <is>
          <t>Material</t>
        </is>
      </c>
      <c r="C18" s="48" t="inlineStr">
        <is>
          <t>AP40 / GAP40 basecourse aggregate</t>
        </is>
      </c>
      <c r="D18" s="48" t="inlineStr">
        <is>
          <t>Material</t>
        </is>
      </c>
      <c r="E18" s="48" t="inlineStr">
        <is>
          <t>t</t>
        </is>
      </c>
      <c r="F18" s="48" t="inlineStr">
        <is>
          <t>Merchant supply</t>
        </is>
      </c>
      <c r="G18" s="48" t="inlineStr">
        <is>
          <t>N/A</t>
        </is>
      </c>
      <c r="H18" s="48" t="inlineStr">
        <is>
          <t>N/A</t>
        </is>
      </c>
      <c r="I18" s="1443" t="n">
        <v>31</v>
      </c>
      <c r="J18" s="53" t="inlineStr">
        <is>
          <t>Auckland</t>
        </is>
      </c>
      <c r="K18" s="59" t="inlineStr">
        <is>
          <t>13-Aug-2026</t>
        </is>
      </c>
      <c r="L18" s="53" t="inlineStr">
        <is>
          <t>Template market benchmark</t>
        </is>
      </c>
      <c r="M18" s="53" t="inlineStr">
        <is>
          <t>Auckland quarry market</t>
        </is>
      </c>
      <c r="N18" s="53" t="inlineStr">
        <is>
          <t>https://www.urbanquarry.co.nz/pricelist-2-2 | https://www.aggregate2u.co.nz/aggregates-delivery-south-auckland</t>
        </is>
      </c>
      <c r="O18" s="53" t="n"/>
      <c r="P18" s="53" t="inlineStr">
        <is>
          <t>Ex-quarry / base material allowance</t>
        </is>
      </c>
      <c r="Q18" s="53" t="inlineStr">
        <is>
          <t>Haul and placement</t>
        </is>
      </c>
      <c r="R18" s="53" t="inlineStr">
        <is>
          <t>High</t>
        </is>
      </c>
      <c r="S18" s="53" t="inlineStr">
        <is>
          <t>AMBER - two market checks; specification/delivery quote required</t>
        </is>
      </c>
      <c r="T18" s="54" t="inlineStr">
        <is>
          <t>Published GAP/AP benchmark; confirm specified grading and haul.</t>
        </is>
      </c>
    </row>
    <row r="19" ht="19.20000076293945" customHeight="1" s="491">
      <c r="A19" s="47" t="inlineStr">
        <is>
          <t>MAT-DRAINAGG</t>
        </is>
      </c>
      <c r="B19" s="48" t="inlineStr">
        <is>
          <t>Material</t>
        </is>
      </c>
      <c r="C19" s="48" t="inlineStr">
        <is>
          <t>Drainage aggregate</t>
        </is>
      </c>
      <c r="D19" s="48" t="inlineStr">
        <is>
          <t>Material</t>
        </is>
      </c>
      <c r="E19" s="48" t="inlineStr">
        <is>
          <t>t</t>
        </is>
      </c>
      <c r="F19" s="48" t="inlineStr">
        <is>
          <t>Merchant supply</t>
        </is>
      </c>
      <c r="G19" s="48" t="inlineStr">
        <is>
          <t>N/A</t>
        </is>
      </c>
      <c r="H19" s="48" t="inlineStr">
        <is>
          <t>N/A</t>
        </is>
      </c>
      <c r="I19" s="1443" t="n">
        <v>48.5</v>
      </c>
      <c r="J19" s="53" t="inlineStr">
        <is>
          <t>Auckland</t>
        </is>
      </c>
      <c r="K19" s="59" t="inlineStr">
        <is>
          <t>13-Aug-2026</t>
        </is>
      </c>
      <c r="L19" s="53" t="inlineStr">
        <is>
          <t>Template market benchmark</t>
        </is>
      </c>
      <c r="M19" s="53" t="inlineStr">
        <is>
          <t>Auckland quarry market</t>
        </is>
      </c>
      <c r="N19" s="53" t="inlineStr">
        <is>
          <t>https://www.aggregate2u.co.nz/aggregates-delivery-south-auckland | https://www.urbanquarry.co.nz/pricelist-2-2</t>
        </is>
      </c>
      <c r="O19" s="53" t="n"/>
      <c r="P19" s="53" t="inlineStr">
        <is>
          <t>Aggregate</t>
        </is>
      </c>
      <c r="Q19" s="53" t="inlineStr">
        <is>
          <t>Haul and placement</t>
        </is>
      </c>
      <c r="R19" s="53" t="inlineStr">
        <is>
          <t>High</t>
        </is>
      </c>
      <c r="S19" s="53" t="inlineStr">
        <is>
          <t>AMBER - two market checks; specification/delivery quote required</t>
        </is>
      </c>
      <c r="T19" s="54" t="inlineStr">
        <is>
          <t>Drainage aggregate benchmark; confirm delivered project quote.</t>
        </is>
      </c>
    </row>
    <row r="20" ht="19.20000076293945" customHeight="1" s="491">
      <c r="A20" s="47" t="inlineStr">
        <is>
          <t>MAT-GEOTEXTILE</t>
        </is>
      </c>
      <c r="B20" s="48" t="inlineStr">
        <is>
          <t>Material</t>
        </is>
      </c>
      <c r="C20" s="48" t="inlineStr">
        <is>
          <t>Bidim A19 or approved geotextile</t>
        </is>
      </c>
      <c r="D20" s="48" t="inlineStr">
        <is>
          <t>Material</t>
        </is>
      </c>
      <c r="E20" s="48" t="inlineStr">
        <is>
          <t>m2</t>
        </is>
      </c>
      <c r="F20" s="48" t="inlineStr">
        <is>
          <t>Merchant supply</t>
        </is>
      </c>
      <c r="G20" s="48" t="inlineStr">
        <is>
          <t>N/A</t>
        </is>
      </c>
      <c r="H20" s="48" t="inlineStr">
        <is>
          <t>N/A</t>
        </is>
      </c>
      <c r="I20" s="1443" t="n">
        <v>3.25</v>
      </c>
      <c r="J20" s="53" t="inlineStr">
        <is>
          <t>Auckland</t>
        </is>
      </c>
      <c r="K20" s="59" t="inlineStr">
        <is>
          <t>13-Aug-2026</t>
        </is>
      </c>
      <c r="L20" s="53" t="inlineStr">
        <is>
          <t>Template market benchmark</t>
        </is>
      </c>
      <c r="M20" s="53" t="inlineStr">
        <is>
          <t>Civil merchant</t>
        </is>
      </c>
      <c r="N20" s="53" t="inlineStr">
        <is>
          <t>Template baseline dated 13-Aug-2026</t>
        </is>
      </c>
      <c r="O20" s="53" t="n"/>
      <c r="P20" s="53" t="inlineStr">
        <is>
          <t>Material only</t>
        </is>
      </c>
      <c r="Q20" s="53" t="inlineStr">
        <is>
          <t>Installation</t>
        </is>
      </c>
      <c r="R20" s="53" t="inlineStr">
        <is>
          <t>Medium</t>
        </is>
      </c>
      <c r="S20" s="53" t="inlineStr">
        <is>
          <t>AMBER - benchmark/allowance only</t>
        </is>
      </c>
      <c r="T20" s="54" t="n"/>
    </row>
    <row r="21" ht="19.20000076293945" customHeight="1" s="491">
      <c r="A21" s="47" t="inlineStr">
        <is>
          <t>MAT-CONC25</t>
        </is>
      </c>
      <c r="B21" s="48" t="inlineStr">
        <is>
          <t>Material</t>
        </is>
      </c>
      <c r="C21" s="48" t="inlineStr">
        <is>
          <t>25 MPa ready-mix concrete</t>
        </is>
      </c>
      <c r="D21" s="48" t="inlineStr">
        <is>
          <t>Material</t>
        </is>
      </c>
      <c r="E21" s="48" t="inlineStr">
        <is>
          <t>m3</t>
        </is>
      </c>
      <c r="F21" s="48" t="inlineStr">
        <is>
          <t>Delivered supply</t>
        </is>
      </c>
      <c r="G21" s="48" t="inlineStr">
        <is>
          <t>N/A</t>
        </is>
      </c>
      <c r="H21" s="48" t="inlineStr">
        <is>
          <t>N/A</t>
        </is>
      </c>
      <c r="I21" s="1443" t="n">
        <v>325</v>
      </c>
      <c r="J21" s="53" t="inlineStr">
        <is>
          <t>Auckland</t>
        </is>
      </c>
      <c r="K21" s="59" t="inlineStr">
        <is>
          <t>13-Aug-2026</t>
        </is>
      </c>
      <c r="L21" s="53" t="inlineStr">
        <is>
          <t>Template market benchmark</t>
        </is>
      </c>
      <c r="M21" s="53" t="inlineStr">
        <is>
          <t>Ready-mix market</t>
        </is>
      </c>
      <c r="N21" s="53" t="inlineStr">
        <is>
          <t>Template baseline dated 13-Aug-2026</t>
        </is>
      </c>
      <c r="O21" s="53" t="n"/>
      <c r="P21" s="53" t="inlineStr">
        <is>
          <t>Delivered concrete allowance</t>
        </is>
      </c>
      <c r="Q21" s="53" t="inlineStr">
        <is>
          <t>Pump, testing, placing</t>
        </is>
      </c>
      <c r="R21" s="53" t="inlineStr">
        <is>
          <t>Medium</t>
        </is>
      </c>
      <c r="S21" s="53" t="inlineStr">
        <is>
          <t>AMBER - benchmark/allowance only</t>
        </is>
      </c>
      <c r="T21" s="54" t="n"/>
    </row>
    <row r="22" ht="19.20000076293945" customHeight="1" s="491">
      <c r="A22" s="47" t="inlineStr">
        <is>
          <t>MAT-MESH</t>
        </is>
      </c>
      <c r="B22" s="48" t="inlineStr">
        <is>
          <t>Material</t>
        </is>
      </c>
      <c r="C22" s="48" t="inlineStr">
        <is>
          <t>SE62 / 662 mesh allowance</t>
        </is>
      </c>
      <c r="D22" s="48" t="inlineStr">
        <is>
          <t>Material</t>
        </is>
      </c>
      <c r="E22" s="48" t="inlineStr">
        <is>
          <t>m2</t>
        </is>
      </c>
      <c r="F22" s="48" t="inlineStr">
        <is>
          <t>Merchant supply</t>
        </is>
      </c>
      <c r="G22" s="48" t="inlineStr">
        <is>
          <t>N/A</t>
        </is>
      </c>
      <c r="H22" s="48" t="inlineStr">
        <is>
          <t>N/A</t>
        </is>
      </c>
      <c r="I22" s="1443" t="n">
        <v>20</v>
      </c>
      <c r="J22" s="53" t="inlineStr">
        <is>
          <t>Auckland</t>
        </is>
      </c>
      <c r="K22" s="59" t="inlineStr">
        <is>
          <t>13-Aug-2026</t>
        </is>
      </c>
      <c r="L22" s="53" t="inlineStr">
        <is>
          <t>Template market benchmark</t>
        </is>
      </c>
      <c r="M22" s="53" t="inlineStr">
        <is>
          <t>Steel merchant</t>
        </is>
      </c>
      <c r="N22" s="53" t="inlineStr">
        <is>
          <t>Template baseline dated 13-Aug-2026</t>
        </is>
      </c>
      <c r="O22" s="53" t="n"/>
      <c r="P22" s="53" t="inlineStr">
        <is>
          <t>Mesh material</t>
        </is>
      </c>
      <c r="Q22" s="53" t="inlineStr">
        <is>
          <t>Chairs, laps above waste factor</t>
        </is>
      </c>
      <c r="R22" s="53" t="inlineStr">
        <is>
          <t>Medium</t>
        </is>
      </c>
      <c r="S22" s="53" t="inlineStr">
        <is>
          <t>AMBER - benchmark/allowance only</t>
        </is>
      </c>
      <c r="T22" s="54" t="inlineStr">
        <is>
          <t>Confirm project-specific mesh grade and specification before order.</t>
        </is>
      </c>
    </row>
    <row r="23" ht="19.20000076293945" customHeight="1" s="491">
      <c r="A23" s="47" t="inlineStr">
        <is>
          <t>MAT-PIPE150</t>
        </is>
      </c>
      <c r="B23" s="48" t="inlineStr">
        <is>
          <t>Material</t>
        </is>
      </c>
      <c r="C23" s="48" t="inlineStr">
        <is>
          <t>150 mm uPVC RRJ drainage pipe</t>
        </is>
      </c>
      <c r="D23" s="48" t="inlineStr">
        <is>
          <t>Material</t>
        </is>
      </c>
      <c r="E23" s="48" t="inlineStr">
        <is>
          <t>lm</t>
        </is>
      </c>
      <c r="F23" s="48" t="inlineStr">
        <is>
          <t>Merchant supply</t>
        </is>
      </c>
      <c r="G23" s="48" t="inlineStr">
        <is>
          <t>N/A</t>
        </is>
      </c>
      <c r="H23" s="48" t="inlineStr">
        <is>
          <t>N/A</t>
        </is>
      </c>
      <c r="I23" s="1443" t="n">
        <v>45</v>
      </c>
      <c r="J23" s="53" t="inlineStr">
        <is>
          <t>Auckland</t>
        </is>
      </c>
      <c r="K23" s="59" t="inlineStr">
        <is>
          <t>13-Aug-2026</t>
        </is>
      </c>
      <c r="L23" s="53" t="inlineStr">
        <is>
          <t>Tender allowance</t>
        </is>
      </c>
      <c r="M23" s="53" t="inlineStr">
        <is>
          <t>Civil merchant</t>
        </is>
      </c>
      <c r="N23" s="53" t="inlineStr">
        <is>
          <t>Quote required</t>
        </is>
      </c>
      <c r="O23" s="53" t="n"/>
      <c r="P23" s="53" t="inlineStr">
        <is>
          <t>Pipe and standard joints</t>
        </is>
      </c>
      <c r="Q23" s="53" t="inlineStr">
        <is>
          <t>Fittings, bedding, install</t>
        </is>
      </c>
      <c r="R23" s="53" t="inlineStr">
        <is>
          <t>Low</t>
        </is>
      </c>
      <c r="S23" s="53" t="inlineStr">
        <is>
          <t>AMBER - benchmark/allowance only</t>
        </is>
      </c>
      <c r="T23" s="54" t="n"/>
    </row>
    <row r="24" ht="19.20000076293945" customHeight="1" s="491">
      <c r="A24" s="47" t="inlineStr">
        <is>
          <t>MAT-PIPE225</t>
        </is>
      </c>
      <c r="B24" s="48" t="inlineStr">
        <is>
          <t>Material</t>
        </is>
      </c>
      <c r="C24" s="48" t="inlineStr">
        <is>
          <t>225 mm uPVC RRJ stormwater pipe</t>
        </is>
      </c>
      <c r="D24" s="48" t="inlineStr">
        <is>
          <t>Material</t>
        </is>
      </c>
      <c r="E24" s="48" t="inlineStr">
        <is>
          <t>lm</t>
        </is>
      </c>
      <c r="F24" s="48" t="inlineStr">
        <is>
          <t>Merchant supply</t>
        </is>
      </c>
      <c r="G24" s="48" t="inlineStr">
        <is>
          <t>N/A</t>
        </is>
      </c>
      <c r="H24" s="48" t="inlineStr">
        <is>
          <t>N/A</t>
        </is>
      </c>
      <c r="I24" s="1443" t="n">
        <v>95</v>
      </c>
      <c r="J24" s="53" t="inlineStr">
        <is>
          <t>Auckland</t>
        </is>
      </c>
      <c r="K24" s="59" t="inlineStr">
        <is>
          <t>13-Aug-2026</t>
        </is>
      </c>
      <c r="L24" s="53" t="inlineStr">
        <is>
          <t>Tender allowance</t>
        </is>
      </c>
      <c r="M24" s="53" t="inlineStr">
        <is>
          <t>Civil merchant</t>
        </is>
      </c>
      <c r="N24" s="53" t="inlineStr">
        <is>
          <t>Quote required</t>
        </is>
      </c>
      <c r="O24" s="53" t="n"/>
      <c r="P24" s="53" t="inlineStr">
        <is>
          <t>Pipe and standard joints</t>
        </is>
      </c>
      <c r="Q24" s="53" t="inlineStr">
        <is>
          <t>Fittings, bedding, install</t>
        </is>
      </c>
      <c r="R24" s="53" t="inlineStr">
        <is>
          <t>Low</t>
        </is>
      </c>
      <c r="S24" s="53" t="inlineStr">
        <is>
          <t>AMBER - benchmark/allowance only</t>
        </is>
      </c>
      <c r="T24" s="54" t="n"/>
    </row>
    <row r="25" ht="19.20000076293945" customHeight="1" s="491">
      <c r="A25" s="47" t="inlineStr">
        <is>
          <t>MAT-SUB110</t>
        </is>
      </c>
      <c r="B25" s="48" t="inlineStr">
        <is>
          <t>Material</t>
        </is>
      </c>
      <c r="C25" s="48" t="inlineStr">
        <is>
          <t>110 mm perforated subsoil pipe with sock</t>
        </is>
      </c>
      <c r="D25" s="48" t="inlineStr">
        <is>
          <t>Material</t>
        </is>
      </c>
      <c r="E25" s="48" t="inlineStr">
        <is>
          <t>lm</t>
        </is>
      </c>
      <c r="F25" s="48" t="inlineStr">
        <is>
          <t>Merchant supply</t>
        </is>
      </c>
      <c r="G25" s="48" t="inlineStr">
        <is>
          <t>N/A</t>
        </is>
      </c>
      <c r="H25" s="48" t="inlineStr">
        <is>
          <t>N/A</t>
        </is>
      </c>
      <c r="I25" s="1443" t="n">
        <v>20</v>
      </c>
      <c r="J25" s="53" t="inlineStr">
        <is>
          <t>Auckland</t>
        </is>
      </c>
      <c r="K25" s="59" t="inlineStr">
        <is>
          <t>13-Aug-2026</t>
        </is>
      </c>
      <c r="L25" s="53" t="inlineStr">
        <is>
          <t>Tender allowance</t>
        </is>
      </c>
      <c r="M25" s="53" t="inlineStr">
        <is>
          <t>Civil merchant</t>
        </is>
      </c>
      <c r="N25" s="53" t="inlineStr">
        <is>
          <t>Quote required</t>
        </is>
      </c>
      <c r="O25" s="53" t="n"/>
      <c r="P25" s="53" t="inlineStr">
        <is>
          <t>Pipe and sock</t>
        </is>
      </c>
      <c r="Q25" s="53" t="inlineStr">
        <is>
          <t>Aggregate and install</t>
        </is>
      </c>
      <c r="R25" s="53" t="inlineStr">
        <is>
          <t>Low</t>
        </is>
      </c>
      <c r="S25" s="53" t="inlineStr">
        <is>
          <t>AMBER - benchmark/allowance only</t>
        </is>
      </c>
      <c r="T25" s="54" t="n"/>
    </row>
    <row r="26" ht="19.20000076293945" customHeight="1" s="491">
      <c r="A26" s="47" t="inlineStr">
        <is>
          <t>MAT-WATER50</t>
        </is>
      </c>
      <c r="B26" s="48" t="inlineStr">
        <is>
          <t>Material</t>
        </is>
      </c>
      <c r="C26" s="48" t="inlineStr">
        <is>
          <t>50 mm PE watermain and fittings allowance</t>
        </is>
      </c>
      <c r="D26" s="48" t="inlineStr">
        <is>
          <t>Material</t>
        </is>
      </c>
      <c r="E26" s="48" t="inlineStr">
        <is>
          <t>lm</t>
        </is>
      </c>
      <c r="F26" s="48" t="inlineStr">
        <is>
          <t>Merchant supply</t>
        </is>
      </c>
      <c r="G26" s="48" t="inlineStr">
        <is>
          <t>N/A</t>
        </is>
      </c>
      <c r="H26" s="48" t="inlineStr">
        <is>
          <t>N/A</t>
        </is>
      </c>
      <c r="I26" s="1443" t="n">
        <v>22</v>
      </c>
      <c r="J26" s="53" t="inlineStr">
        <is>
          <t>Auckland</t>
        </is>
      </c>
      <c r="K26" s="59" t="inlineStr">
        <is>
          <t>13-Aug-2026</t>
        </is>
      </c>
      <c r="L26" s="53" t="inlineStr">
        <is>
          <t>Tender allowance</t>
        </is>
      </c>
      <c r="M26" s="53" t="inlineStr">
        <is>
          <t>Civil merchant</t>
        </is>
      </c>
      <c r="N26" s="53" t="inlineStr">
        <is>
          <t>Quote required</t>
        </is>
      </c>
      <c r="O26" s="53" t="n"/>
      <c r="P26" s="53" t="inlineStr">
        <is>
          <t>PE pipe and normal fittings</t>
        </is>
      </c>
      <c r="Q26" s="53" t="inlineStr">
        <is>
          <t>Connection, meter, testing</t>
        </is>
      </c>
      <c r="R26" s="53" t="inlineStr">
        <is>
          <t>Low</t>
        </is>
      </c>
      <c r="S26" s="53" t="inlineStr">
        <is>
          <t>AMBER - benchmark/allowance only</t>
        </is>
      </c>
      <c r="T26" s="54" t="n"/>
    </row>
    <row r="27" ht="19.20000076293945" customHeight="1" s="491">
      <c r="A27" s="47" t="inlineStr">
        <is>
          <t>MAT-SWMH</t>
        </is>
      </c>
      <c r="B27" s="48" t="inlineStr">
        <is>
          <t>Material</t>
        </is>
      </c>
      <c r="C27" s="48" t="inlineStr">
        <is>
          <t>Precast stormwater manhole set</t>
        </is>
      </c>
      <c r="D27" s="48" t="inlineStr">
        <is>
          <t>Material</t>
        </is>
      </c>
      <c r="E27" s="48" t="inlineStr">
        <is>
          <t>ea</t>
        </is>
      </c>
      <c r="F27" s="48" t="inlineStr">
        <is>
          <t>Precast supplier</t>
        </is>
      </c>
      <c r="G27" s="48" t="inlineStr">
        <is>
          <t>N/A</t>
        </is>
      </c>
      <c r="H27" s="48" t="inlineStr">
        <is>
          <t>N/A</t>
        </is>
      </c>
      <c r="I27" s="1443" t="n">
        <v>5500</v>
      </c>
      <c r="J27" s="53" t="inlineStr">
        <is>
          <t>Auckland</t>
        </is>
      </c>
      <c r="K27" s="59" t="inlineStr">
        <is>
          <t>13-Aug-2026</t>
        </is>
      </c>
      <c r="L27" s="53" t="inlineStr">
        <is>
          <t>Tender allowance</t>
        </is>
      </c>
      <c r="M27" s="53" t="inlineStr">
        <is>
          <t>Precast supplier</t>
        </is>
      </c>
      <c r="N27" s="53" t="inlineStr">
        <is>
          <t>Quote required</t>
        </is>
      </c>
      <c r="O27" s="53" t="n"/>
      <c r="P27" s="53" t="inlineStr">
        <is>
          <t>Chamber/riser/lid allowance</t>
        </is>
      </c>
      <c r="Q27" s="53" t="inlineStr">
        <is>
          <t>Excavation, concrete, install</t>
        </is>
      </c>
      <c r="R27" s="53" t="inlineStr">
        <is>
          <t>Low</t>
        </is>
      </c>
      <c r="S27" s="53" t="inlineStr">
        <is>
          <t>AMBER - benchmark/allowance only</t>
        </is>
      </c>
      <c r="T27" s="54" t="n"/>
    </row>
    <row r="28" ht="19.20000076293945" customHeight="1" s="491">
      <c r="A28" s="47" t="inlineStr">
        <is>
          <t>MAT-SSMH</t>
        </is>
      </c>
      <c r="B28" s="48" t="inlineStr">
        <is>
          <t>Material</t>
        </is>
      </c>
      <c r="C28" s="48" t="inlineStr">
        <is>
          <t>Precast sewer manhole set</t>
        </is>
      </c>
      <c r="D28" s="48" t="inlineStr">
        <is>
          <t>Material</t>
        </is>
      </c>
      <c r="E28" s="48" t="inlineStr">
        <is>
          <t>ea</t>
        </is>
      </c>
      <c r="F28" s="48" t="inlineStr">
        <is>
          <t>Precast supplier</t>
        </is>
      </c>
      <c r="G28" s="48" t="inlineStr">
        <is>
          <t>N/A</t>
        </is>
      </c>
      <c r="H28" s="48" t="inlineStr">
        <is>
          <t>N/A</t>
        </is>
      </c>
      <c r="I28" s="1443" t="n">
        <v>7000</v>
      </c>
      <c r="J28" s="53" t="inlineStr">
        <is>
          <t>Auckland</t>
        </is>
      </c>
      <c r="K28" s="59" t="inlineStr">
        <is>
          <t>13-Aug-2026</t>
        </is>
      </c>
      <c r="L28" s="53" t="inlineStr">
        <is>
          <t>Tender allowance</t>
        </is>
      </c>
      <c r="M28" s="53" t="inlineStr">
        <is>
          <t>Precast supplier</t>
        </is>
      </c>
      <c r="N28" s="53" t="inlineStr">
        <is>
          <t>Quote required</t>
        </is>
      </c>
      <c r="O28" s="53" t="n"/>
      <c r="P28" s="53" t="inlineStr">
        <is>
          <t>Chamber/riser/lid allowance</t>
        </is>
      </c>
      <c r="Q28" s="53" t="inlineStr">
        <is>
          <t>Excavation, testing, install</t>
        </is>
      </c>
      <c r="R28" s="53" t="inlineStr">
        <is>
          <t>Low</t>
        </is>
      </c>
      <c r="S28" s="53" t="inlineStr">
        <is>
          <t>AMBER - benchmark/allowance only</t>
        </is>
      </c>
      <c r="T28" s="54" t="n"/>
    </row>
    <row r="29" ht="19.20000076293945" customHeight="1" s="491">
      <c r="A29" s="47" t="inlineStr">
        <is>
          <t>MAT-IC600</t>
        </is>
      </c>
      <c r="B29" s="48" t="inlineStr">
        <is>
          <t>Material</t>
        </is>
      </c>
      <c r="C29" s="48" t="inlineStr">
        <is>
          <t>600 mm inspection chamber set</t>
        </is>
      </c>
      <c r="D29" s="48" t="inlineStr">
        <is>
          <t>Material</t>
        </is>
      </c>
      <c r="E29" s="48" t="inlineStr">
        <is>
          <t>ea</t>
        </is>
      </c>
      <c r="F29" s="48" t="inlineStr">
        <is>
          <t>Merchant supply</t>
        </is>
      </c>
      <c r="G29" s="48" t="inlineStr">
        <is>
          <t>N/A</t>
        </is>
      </c>
      <c r="H29" s="48" t="inlineStr">
        <is>
          <t>N/A</t>
        </is>
      </c>
      <c r="I29" s="1443" t="n">
        <v>1800</v>
      </c>
      <c r="J29" s="53" t="inlineStr">
        <is>
          <t>Auckland</t>
        </is>
      </c>
      <c r="K29" s="59" t="inlineStr">
        <is>
          <t>13-Aug-2026</t>
        </is>
      </c>
      <c r="L29" s="53" t="inlineStr">
        <is>
          <t>Tender allowance</t>
        </is>
      </c>
      <c r="M29" s="53" t="inlineStr">
        <is>
          <t>Civil merchant</t>
        </is>
      </c>
      <c r="N29" s="53" t="inlineStr">
        <is>
          <t>Quote required</t>
        </is>
      </c>
      <c r="O29" s="53" t="n"/>
      <c r="P29" s="53" t="inlineStr">
        <is>
          <t>Chamber and lid</t>
        </is>
      </c>
      <c r="Q29" s="53" t="inlineStr">
        <is>
          <t>Excavation and install</t>
        </is>
      </c>
      <c r="R29" s="53" t="inlineStr">
        <is>
          <t>Low</t>
        </is>
      </c>
      <c r="S29" s="53" t="inlineStr">
        <is>
          <t>AMBER - benchmark/allowance only</t>
        </is>
      </c>
      <c r="T29" s="54" t="n"/>
    </row>
    <row r="30" ht="19.20000076293945" customHeight="1" s="491">
      <c r="A30" s="47" t="inlineStr">
        <is>
          <t>MAT-CP</t>
        </is>
      </c>
      <c r="B30" s="48" t="inlineStr">
        <is>
          <t>Material</t>
        </is>
      </c>
      <c r="C30" s="48" t="inlineStr">
        <is>
          <t>Standard catchpit set</t>
        </is>
      </c>
      <c r="D30" s="48" t="inlineStr">
        <is>
          <t>Material</t>
        </is>
      </c>
      <c r="E30" s="48" t="inlineStr">
        <is>
          <t>ea</t>
        </is>
      </c>
      <c r="F30" s="48" t="inlineStr">
        <is>
          <t>Precast supplier</t>
        </is>
      </c>
      <c r="G30" s="48" t="inlineStr">
        <is>
          <t>N/A</t>
        </is>
      </c>
      <c r="H30" s="48" t="inlineStr">
        <is>
          <t>N/A</t>
        </is>
      </c>
      <c r="I30" s="1443" t="n">
        <v>1800</v>
      </c>
      <c r="J30" s="53" t="inlineStr">
        <is>
          <t>Auckland</t>
        </is>
      </c>
      <c r="K30" s="59" t="inlineStr">
        <is>
          <t>13-Aug-2026</t>
        </is>
      </c>
      <c r="L30" s="53" t="inlineStr">
        <is>
          <t>Tender allowance</t>
        </is>
      </c>
      <c r="M30" s="53" t="inlineStr">
        <is>
          <t>Precast supplier</t>
        </is>
      </c>
      <c r="N30" s="53" t="inlineStr">
        <is>
          <t>Quote required</t>
        </is>
      </c>
      <c r="O30" s="53" t="n"/>
      <c r="P30" s="53" t="inlineStr">
        <is>
          <t>Chamber, lid and grate</t>
        </is>
      </c>
      <c r="Q30" s="53" t="inlineStr">
        <is>
          <t>Excavation and install</t>
        </is>
      </c>
      <c r="R30" s="53" t="inlineStr">
        <is>
          <t>Low</t>
        </is>
      </c>
      <c r="S30" s="53" t="inlineStr">
        <is>
          <t>AMBER - benchmark/allowance only</t>
        </is>
      </c>
      <c r="T30" s="54" t="n"/>
    </row>
    <row r="31" ht="19.20000076293945" customHeight="1" s="491">
      <c r="A31" s="47" t="inlineStr">
        <is>
          <t>MAT-DCP</t>
        </is>
      </c>
      <c r="B31" s="48" t="inlineStr">
        <is>
          <t>Material</t>
        </is>
      </c>
      <c r="C31" s="48" t="inlineStr">
        <is>
          <t>Double side-entry cesspit set</t>
        </is>
      </c>
      <c r="D31" s="48" t="inlineStr">
        <is>
          <t>Material</t>
        </is>
      </c>
      <c r="E31" s="48" t="inlineStr">
        <is>
          <t>ea</t>
        </is>
      </c>
      <c r="F31" s="48" t="inlineStr">
        <is>
          <t>Precast supplier</t>
        </is>
      </c>
      <c r="G31" s="48" t="inlineStr">
        <is>
          <t>N/A</t>
        </is>
      </c>
      <c r="H31" s="48" t="inlineStr">
        <is>
          <t>N/A</t>
        </is>
      </c>
      <c r="I31" s="1443" t="n">
        <v>4500</v>
      </c>
      <c r="J31" s="53" t="inlineStr">
        <is>
          <t>Auckland</t>
        </is>
      </c>
      <c r="K31" s="59" t="inlineStr">
        <is>
          <t>13-Aug-2026</t>
        </is>
      </c>
      <c r="L31" s="53" t="inlineStr">
        <is>
          <t>Tender allowance</t>
        </is>
      </c>
      <c r="M31" s="53" t="inlineStr">
        <is>
          <t>Precast supplier</t>
        </is>
      </c>
      <c r="N31" s="53" t="inlineStr">
        <is>
          <t>Quote required</t>
        </is>
      </c>
      <c r="O31" s="53" t="n"/>
      <c r="P31" s="53" t="inlineStr">
        <is>
          <t>Chamber, lid and grates</t>
        </is>
      </c>
      <c r="Q31" s="53" t="inlineStr">
        <is>
          <t>Excavation and install</t>
        </is>
      </c>
      <c r="R31" s="53" t="inlineStr">
        <is>
          <t>Low</t>
        </is>
      </c>
      <c r="S31" s="53" t="inlineStr">
        <is>
          <t>AMBER - benchmark/allowance only</t>
        </is>
      </c>
      <c r="T31" s="54" t="n"/>
    </row>
    <row r="32" ht="19.20000076293945" customHeight="1" s="491">
      <c r="A32" s="47" t="inlineStr">
        <is>
          <t>SUB-ASPHALT30</t>
        </is>
      </c>
      <c r="B32" s="48" t="inlineStr">
        <is>
          <t>Subcontract</t>
        </is>
      </c>
      <c r="C32" s="48" t="inlineStr">
        <is>
          <t>30 mm asphalt surfacing incl prime/seal</t>
        </is>
      </c>
      <c r="D32" s="48" t="inlineStr">
        <is>
          <t>Subcontract</t>
        </is>
      </c>
      <c r="E32" s="48" t="inlineStr">
        <is>
          <t>m2</t>
        </is>
      </c>
      <c r="F32" s="48" t="inlineStr">
        <is>
          <t>Specialist subcontract</t>
        </is>
      </c>
      <c r="G32" s="48" t="inlineStr">
        <is>
          <t>Yes</t>
        </is>
      </c>
      <c r="H32" s="48" t="inlineStr">
        <is>
          <t>Yes</t>
        </is>
      </c>
      <c r="I32" s="1443" t="n">
        <v>55</v>
      </c>
      <c r="J32" s="53" t="inlineStr">
        <is>
          <t>Auckland</t>
        </is>
      </c>
      <c r="K32" s="59" t="inlineStr">
        <is>
          <t>13-Aug-2026</t>
        </is>
      </c>
      <c r="L32" s="53" t="inlineStr">
        <is>
          <t>Budget allowance</t>
        </is>
      </c>
      <c r="M32" s="53" t="inlineStr">
        <is>
          <t>Asphalt subcontractor</t>
        </is>
      </c>
      <c r="N32" s="53" t="inlineStr">
        <is>
          <t>Quote required</t>
        </is>
      </c>
      <c r="O32" s="53" t="n"/>
      <c r="P32" s="53" t="inlineStr">
        <is>
          <t>30 mm asphalt surfacing allowance</t>
        </is>
      </c>
      <c r="Q32" s="53" t="inlineStr">
        <is>
          <t>Basecourse and testing</t>
        </is>
      </c>
      <c r="R32" s="53" t="inlineStr">
        <is>
          <t>Low</t>
        </is>
      </c>
      <c r="S32" s="53" t="inlineStr">
        <is>
          <t>RED - quote or job-specific evidence required</t>
        </is>
      </c>
      <c r="T32" s="54" t="n"/>
    </row>
    <row r="33" ht="19.20000076293945" customHeight="1" s="491">
      <c r="A33" s="47" t="inlineStr">
        <is>
          <t>SUB-KERB-T3</t>
        </is>
      </c>
      <c r="B33" s="48" t="inlineStr">
        <is>
          <t>Subcontract</t>
        </is>
      </c>
      <c r="C33" s="48" t="inlineStr">
        <is>
          <t>Type 3 kerb and channel installed</t>
        </is>
      </c>
      <c r="D33" s="48" t="inlineStr">
        <is>
          <t>Subcontract</t>
        </is>
      </c>
      <c r="E33" s="48" t="inlineStr">
        <is>
          <t>lm</t>
        </is>
      </c>
      <c r="F33" s="48" t="inlineStr">
        <is>
          <t>Specialist subcontract</t>
        </is>
      </c>
      <c r="G33" s="48" t="inlineStr">
        <is>
          <t>Yes</t>
        </is>
      </c>
      <c r="H33" s="48" t="inlineStr">
        <is>
          <t>Yes</t>
        </is>
      </c>
      <c r="I33" s="1443" t="n">
        <v>145</v>
      </c>
      <c r="J33" s="53" t="inlineStr">
        <is>
          <t>Auckland</t>
        </is>
      </c>
      <c r="K33" s="59" t="inlineStr">
        <is>
          <t>13-Aug-2026</t>
        </is>
      </c>
      <c r="L33" s="53" t="inlineStr">
        <is>
          <t>Budget allowance</t>
        </is>
      </c>
      <c r="M33" s="53" t="inlineStr">
        <is>
          <t>Kerb contractor</t>
        </is>
      </c>
      <c r="N33" s="53" t="inlineStr">
        <is>
          <t>Quote required</t>
        </is>
      </c>
      <c r="O33" s="53" t="n"/>
      <c r="P33" s="53" t="inlineStr">
        <is>
          <t>Form/place/finish concrete kerb/channel</t>
        </is>
      </c>
      <c r="Q33" s="53" t="inlineStr">
        <is>
          <t>Excavation and major base repair</t>
        </is>
      </c>
      <c r="R33" s="53" t="inlineStr">
        <is>
          <t>Low</t>
        </is>
      </c>
      <c r="S33" s="53" t="inlineStr">
        <is>
          <t>RED - quote or job-specific evidence required</t>
        </is>
      </c>
      <c r="T33" s="54" t="n"/>
    </row>
    <row r="34" ht="19.20000076293945" customHeight="1" s="491">
      <c r="A34" s="47" t="inlineStr">
        <is>
          <t>SUB-KERB-T7</t>
        </is>
      </c>
      <c r="B34" s="48" t="inlineStr">
        <is>
          <t>Subcontract</t>
        </is>
      </c>
      <c r="C34" s="48" t="inlineStr">
        <is>
          <t>Type 7 kerb installed</t>
        </is>
      </c>
      <c r="D34" s="48" t="inlineStr">
        <is>
          <t>Subcontract</t>
        </is>
      </c>
      <c r="E34" s="48" t="inlineStr">
        <is>
          <t>lm</t>
        </is>
      </c>
      <c r="F34" s="48" t="inlineStr">
        <is>
          <t>Specialist subcontract</t>
        </is>
      </c>
      <c r="G34" s="48" t="inlineStr">
        <is>
          <t>Yes</t>
        </is>
      </c>
      <c r="H34" s="48" t="inlineStr">
        <is>
          <t>Yes</t>
        </is>
      </c>
      <c r="I34" s="1443" t="n">
        <v>115</v>
      </c>
      <c r="J34" s="53" t="inlineStr">
        <is>
          <t>Auckland</t>
        </is>
      </c>
      <c r="K34" s="59" t="inlineStr">
        <is>
          <t>13-Aug-2026</t>
        </is>
      </c>
      <c r="L34" s="53" t="inlineStr">
        <is>
          <t>Budget allowance</t>
        </is>
      </c>
      <c r="M34" s="53" t="inlineStr">
        <is>
          <t>Kerb contractor</t>
        </is>
      </c>
      <c r="N34" s="53" t="inlineStr">
        <is>
          <t>Quote required</t>
        </is>
      </c>
      <c r="O34" s="53" t="n"/>
      <c r="P34" s="53" t="inlineStr">
        <is>
          <t>Form/place/finish kerb</t>
        </is>
      </c>
      <c r="Q34" s="53" t="inlineStr">
        <is>
          <t>Excavation and major base repair</t>
        </is>
      </c>
      <c r="R34" s="53" t="inlineStr">
        <is>
          <t>Low</t>
        </is>
      </c>
      <c r="S34" s="53" t="inlineStr">
        <is>
          <t>RED - quote or job-specific evidence required</t>
        </is>
      </c>
      <c r="T34" s="54" t="n"/>
    </row>
    <row r="35" ht="19.20000076293945" customHeight="1" s="491">
      <c r="A35" s="47" t="inlineStr">
        <is>
          <t>SUB-ACO-K100</t>
        </is>
      </c>
      <c r="B35" s="48" t="inlineStr">
        <is>
          <t>Subcontract</t>
        </is>
      </c>
      <c r="C35" s="48" t="inlineStr">
        <is>
          <t>ACO K100S channel drain installed</t>
        </is>
      </c>
      <c r="D35" s="48" t="inlineStr">
        <is>
          <t>Subcontract</t>
        </is>
      </c>
      <c r="E35" s="48" t="inlineStr">
        <is>
          <t>lm</t>
        </is>
      </c>
      <c r="F35" s="48" t="inlineStr">
        <is>
          <t>Specialist subcontract</t>
        </is>
      </c>
      <c r="G35" s="48" t="inlineStr">
        <is>
          <t>Yes</t>
        </is>
      </c>
      <c r="H35" s="48" t="inlineStr">
        <is>
          <t>Yes</t>
        </is>
      </c>
      <c r="I35" s="1443" t="n">
        <v>275</v>
      </c>
      <c r="J35" s="53" t="inlineStr">
        <is>
          <t>Auckland</t>
        </is>
      </c>
      <c r="K35" s="59" t="inlineStr">
        <is>
          <t>13-Aug-2026</t>
        </is>
      </c>
      <c r="L35" s="53" t="inlineStr">
        <is>
          <t>Budget allowance</t>
        </is>
      </c>
      <c r="M35" s="53" t="inlineStr">
        <is>
          <t>ACO / drainage installer</t>
        </is>
      </c>
      <c r="N35" s="53" t="inlineStr">
        <is>
          <t>Quote required</t>
        </is>
      </c>
      <c r="O35" s="53" t="n"/>
      <c r="P35" s="53" t="inlineStr">
        <is>
          <t>Channel, grates and concrete surround allowance</t>
        </is>
      </c>
      <c r="Q35" s="53" t="inlineStr">
        <is>
          <t>Outlet structures and design changes</t>
        </is>
      </c>
      <c r="R35" s="53" t="inlineStr">
        <is>
          <t>Low</t>
        </is>
      </c>
      <c r="S35" s="53" t="inlineStr">
        <is>
          <t>RED - quote or job-specific evidence required</t>
        </is>
      </c>
      <c r="T35" s="54" t="n"/>
    </row>
    <row r="36" ht="19.20000076293945" customHeight="1" s="491">
      <c r="A36" s="47" t="inlineStr">
        <is>
          <t>SUB-SPECIALIST</t>
        </is>
      </c>
      <c r="B36" s="48" t="inlineStr">
        <is>
          <t>Subcontract</t>
        </is>
      </c>
      <c r="C36" s="48" t="inlineStr">
        <is>
          <t>Project-specific specialist package</t>
        </is>
      </c>
      <c r="D36" s="48" t="inlineStr">
        <is>
          <t>Subcontract</t>
        </is>
      </c>
      <c r="E36" s="48" t="inlineStr">
        <is>
          <t>LS</t>
        </is>
      </c>
      <c r="F36" s="48" t="inlineStr">
        <is>
          <t>Specialist subcontract</t>
        </is>
      </c>
      <c r="G36" s="48" t="inlineStr">
        <is>
          <t>N/A</t>
        </is>
      </c>
      <c r="H36" s="48" t="inlineStr">
        <is>
          <t>N/A</t>
        </is>
      </c>
      <c r="I36" s="1443" t="n">
        <v>1</v>
      </c>
      <c r="J36" s="53" t="inlineStr">
        <is>
          <t>Project-specific</t>
        </is>
      </c>
      <c r="K36" s="59" t="inlineStr">
        <is>
          <t>13-Aug-2026</t>
        </is>
      </c>
      <c r="L36" s="53" t="inlineStr">
        <is>
          <t>Job override required</t>
        </is>
      </c>
      <c r="M36" s="53" t="inlineStr">
        <is>
          <t>Relevant specialist</t>
        </is>
      </c>
      <c r="N36" s="53" t="inlineStr">
        <is>
          <t>Quote / PC allowance shown in Resource Build-Up</t>
        </is>
      </c>
      <c r="O36" s="53" t="n"/>
      <c r="P36" s="53" t="inlineStr">
        <is>
          <t>Only scope stated on build-up row</t>
        </is>
      </c>
      <c r="Q36" s="53" t="inlineStr">
        <is>
          <t>Unstated scope</t>
        </is>
      </c>
      <c r="R36" s="53" t="inlineStr">
        <is>
          <t>Low</t>
        </is>
      </c>
      <c r="S36" s="53" t="inlineStr">
        <is>
          <t>RED - quote or job-specific evidence required</t>
        </is>
      </c>
      <c r="T36" s="54" t="inlineStr">
        <is>
          <t>Base $1 forces explicit job-rate override</t>
        </is>
      </c>
    </row>
    <row r="37" ht="19.20000076293945" customHeight="1" s="491">
      <c r="A37" s="47" t="inlineStr">
        <is>
          <t>OTH-GENERAL</t>
        </is>
      </c>
      <c r="B37" s="48" t="inlineStr">
        <is>
          <t>Other</t>
        </is>
      </c>
      <c r="C37" s="48" t="inlineStr">
        <is>
          <t>Project-specific transparent allowance</t>
        </is>
      </c>
      <c r="D37" s="48" t="inlineStr">
        <is>
          <t>Other</t>
        </is>
      </c>
      <c r="E37" s="48" t="inlineStr">
        <is>
          <t>LS</t>
        </is>
      </c>
      <c r="F37" s="48" t="inlineStr">
        <is>
          <t>Job-specific</t>
        </is>
      </c>
      <c r="G37" s="48" t="inlineStr">
        <is>
          <t>N/A</t>
        </is>
      </c>
      <c r="H37" s="48" t="inlineStr">
        <is>
          <t>N/A</t>
        </is>
      </c>
      <c r="I37" s="1443" t="n">
        <v>1</v>
      </c>
      <c r="J37" s="53" t="inlineStr">
        <is>
          <t>Project-specific</t>
        </is>
      </c>
      <c r="K37" s="59" t="inlineStr">
        <is>
          <t>13-Aug-2026</t>
        </is>
      </c>
      <c r="L37" s="53" t="inlineStr">
        <is>
          <t>Job override required</t>
        </is>
      </c>
      <c r="M37" s="53" t="inlineStr">
        <is>
          <t>Estimator allowance</t>
        </is>
      </c>
      <c r="N37" s="53" t="inlineStr">
        <is>
          <t>Basis shown in Resource Build-Up</t>
        </is>
      </c>
      <c r="O37" s="53" t="n"/>
      <c r="P37" s="53" t="inlineStr">
        <is>
          <t>Only scope stated on build-up row</t>
        </is>
      </c>
      <c r="Q37" s="53" t="inlineStr">
        <is>
          <t>Unstated scope</t>
        </is>
      </c>
      <c r="R37" s="53" t="inlineStr">
        <is>
          <t>Medium</t>
        </is>
      </c>
      <c r="S37" s="53" t="inlineStr">
        <is>
          <t>RED - quote or job-specific evidence required</t>
        </is>
      </c>
      <c r="T37" s="54" t="inlineStr">
        <is>
          <t>Base $1 forces explicit job-rate override</t>
        </is>
      </c>
    </row>
    <row r="38" ht="19.20000076293945" customHeight="1" s="491">
      <c r="A38" s="47" t="inlineStr">
        <is>
          <t>OTH-DISPOSAL</t>
        </is>
      </c>
      <c r="B38" s="48" t="inlineStr">
        <is>
          <t>Other</t>
        </is>
      </c>
      <c r="C38" s="48" t="inlineStr">
        <is>
          <t>Clean spoil disposal / tipping fee</t>
        </is>
      </c>
      <c r="D38" s="48" t="inlineStr">
        <is>
          <t>Other</t>
        </is>
      </c>
      <c r="E38" s="48" t="inlineStr">
        <is>
          <t>t</t>
        </is>
      </c>
      <c r="F38" s="48" t="inlineStr">
        <is>
          <t>Commercial tip</t>
        </is>
      </c>
      <c r="G38" s="48" t="inlineStr">
        <is>
          <t>N/A</t>
        </is>
      </c>
      <c r="H38" s="48" t="inlineStr">
        <is>
          <t>N/A</t>
        </is>
      </c>
      <c r="I38" s="1443" t="n">
        <v>22</v>
      </c>
      <c r="J38" s="53" t="inlineStr">
        <is>
          <t>Auckland</t>
        </is>
      </c>
      <c r="K38" s="59" t="inlineStr">
        <is>
          <t>13-Aug-2026</t>
        </is>
      </c>
      <c r="L38" s="53" t="inlineStr">
        <is>
          <t>Template market benchmark</t>
        </is>
      </c>
      <c r="M38" s="53" t="inlineStr">
        <is>
          <t>Auckland disposal market</t>
        </is>
      </c>
      <c r="N38" s="53" t="inlineStr">
        <is>
          <t>Template baseline dated 13-Aug-2026</t>
        </is>
      </c>
      <c r="O38" s="53" t="n"/>
      <c r="P38" s="53" t="inlineStr">
        <is>
          <t>Clean spoil tipping</t>
        </is>
      </c>
      <c r="Q38" s="53" t="inlineStr">
        <is>
          <t>Haul and contaminated material</t>
        </is>
      </c>
      <c r="R38" s="53" t="inlineStr">
        <is>
          <t>High</t>
        </is>
      </c>
      <c r="S38" s="53" t="inlineStr">
        <is>
          <t>AMBER - benchmark/allowance only</t>
        </is>
      </c>
      <c r="T38" s="54" t="n"/>
    </row>
    <row r="39" ht="19.20000076293945" customHeight="1" s="491">
      <c r="A39" s="47" t="inlineStr">
        <is>
          <t>LAB-RIGGER</t>
        </is>
      </c>
      <c r="B39" s="48" t="inlineStr">
        <is>
          <t>Labour</t>
        </is>
      </c>
      <c r="C39" s="48" t="inlineStr">
        <is>
          <t>Certified crane rigger / dogman / lifting crew</t>
        </is>
      </c>
      <c r="D39" s="48" t="inlineStr">
        <is>
          <t>Labour</t>
        </is>
      </c>
      <c r="E39" s="48" t="inlineStr">
        <is>
          <t>hr</t>
        </is>
      </c>
      <c r="F39" s="48" t="inlineStr">
        <is>
          <t>Specialist labour / subcontract</t>
        </is>
      </c>
      <c r="G39" s="48" t="inlineStr">
        <is>
          <t>N/A</t>
        </is>
      </c>
      <c r="H39" s="48" t="inlineStr">
        <is>
          <t>N/A</t>
        </is>
      </c>
      <c r="I39" s="1443" t="n">
        <v>1</v>
      </c>
      <c r="J39" s="53" t="inlineStr">
        <is>
          <t>NZ / AU project-specific</t>
        </is>
      </c>
      <c r="K39" s="59" t="inlineStr">
        <is>
          <t>15-Aug-2026</t>
        </is>
      </c>
      <c r="L39" s="53" t="inlineStr">
        <is>
          <t>Job override required</t>
        </is>
      </c>
      <c r="M39" s="53" t="inlineStr">
        <is>
          <t>Crane / rigging subcontractor</t>
        </is>
      </c>
      <c r="N39" s="53" t="inlineStr">
        <is>
          <t>Quote required</t>
        </is>
      </c>
      <c r="O39" s="53" t="inlineStr">
        <is>
          <t>Minimum call-out by quote</t>
        </is>
      </c>
      <c r="P39" s="53" t="inlineStr">
        <is>
          <t>Certified rigger/dogman labour to stated lift methodology</t>
        </is>
      </c>
      <c r="Q39" s="53" t="inlineStr">
        <is>
          <t>Crane, rigging gear, travel and overtime unless specifically included</t>
        </is>
      </c>
      <c r="R39" s="53" t="inlineStr">
        <is>
          <t>Low</t>
        </is>
      </c>
      <c r="S39" s="53" t="inlineStr">
        <is>
          <t>RED - quote or job-specific evidence required</t>
        </is>
      </c>
      <c r="T39" s="54" t="inlineStr">
        <is>
          <t>Base $1 forces explicit job-rate override; verify competency and crew composition.</t>
        </is>
      </c>
    </row>
    <row r="40" ht="19.20000076293945" customHeight="1" s="491">
      <c r="A40" s="47" t="inlineStr">
        <is>
          <t>PL-CRANE-70AT</t>
        </is>
      </c>
      <c r="B40" s="48" t="inlineStr">
        <is>
          <t>Plant</t>
        </is>
      </c>
      <c r="C40" s="48" t="inlineStr">
        <is>
          <t>70 t all-terrain mobile crane wet hire</t>
        </is>
      </c>
      <c r="D40" s="48" t="inlineStr">
        <is>
          <t>Plant</t>
        </is>
      </c>
      <c r="E40" s="48" t="inlineStr">
        <is>
          <t>hr</t>
        </is>
      </c>
      <c r="F40" s="48" t="inlineStr">
        <is>
          <t>Specialist crane hire</t>
        </is>
      </c>
      <c r="G40" s="48" t="inlineStr">
        <is>
          <t>Yes</t>
        </is>
      </c>
      <c r="H40" s="48" t="inlineStr">
        <is>
          <t>Yes</t>
        </is>
      </c>
      <c r="I40" s="1443" t="n">
        <v>1</v>
      </c>
      <c r="J40" s="53" t="inlineStr">
        <is>
          <t>NZ / AU project-specific</t>
        </is>
      </c>
      <c r="K40" s="59" t="inlineStr">
        <is>
          <t>15-Aug-2026</t>
        </is>
      </c>
      <c r="L40" s="53" t="inlineStr">
        <is>
          <t>Job override required</t>
        </is>
      </c>
      <c r="M40" s="53" t="inlineStr">
        <is>
          <t>Mobile crane supplier</t>
        </is>
      </c>
      <c r="N40" s="53" t="inlineStr">
        <is>
          <t>Quote required</t>
        </is>
      </c>
      <c r="O40" s="53" t="inlineStr">
        <is>
          <t>Minimum hire + mobilisation by quote</t>
        </is>
      </c>
      <c r="P40" s="53" t="inlineStr">
        <is>
          <t>Crane, operator and normal fuel subject to supplier quote</t>
        </is>
      </c>
      <c r="Q40" s="53" t="inlineStr">
        <is>
          <t>Mobilisation, ballast transport, rigging, dogman, mats, travel/overtime unless included</t>
        </is>
      </c>
      <c r="R40" s="53" t="inlineStr">
        <is>
          <t>Low</t>
        </is>
      </c>
      <c r="S40" s="53" t="inlineStr">
        <is>
          <t>RED - quote or job-specific evidence required</t>
        </is>
      </c>
      <c r="T40" s="54" t="inlineStr">
        <is>
          <t>Capacity class only. Verify certified load chart, lift radius, ballast, outrigger reactions, access and minimum hire.</t>
        </is>
      </c>
    </row>
    <row r="41" ht="19.20000076293945" customHeight="1" s="491">
      <c r="A41" s="47" t="inlineStr">
        <is>
          <t>PL-CRANE-90AT</t>
        </is>
      </c>
      <c r="B41" s="48" t="inlineStr">
        <is>
          <t>Plant</t>
        </is>
      </c>
      <c r="C41" s="48" t="inlineStr">
        <is>
          <t>90 t all-terrain mobile crane wet hire</t>
        </is>
      </c>
      <c r="D41" s="48" t="inlineStr">
        <is>
          <t>Plant</t>
        </is>
      </c>
      <c r="E41" s="48" t="inlineStr">
        <is>
          <t>hr</t>
        </is>
      </c>
      <c r="F41" s="48" t="inlineStr">
        <is>
          <t>Specialist crane hire</t>
        </is>
      </c>
      <c r="G41" s="48" t="inlineStr">
        <is>
          <t>Yes</t>
        </is>
      </c>
      <c r="H41" s="48" t="inlineStr">
        <is>
          <t>Yes</t>
        </is>
      </c>
      <c r="I41" s="1443" t="n">
        <v>1</v>
      </c>
      <c r="J41" s="53" t="inlineStr">
        <is>
          <t>NZ / AU project-specific</t>
        </is>
      </c>
      <c r="K41" s="59" t="inlineStr">
        <is>
          <t>15-Aug-2026</t>
        </is>
      </c>
      <c r="L41" s="53" t="inlineStr">
        <is>
          <t>Job override required</t>
        </is>
      </c>
      <c r="M41" s="53" t="inlineStr">
        <is>
          <t>Mobile crane supplier</t>
        </is>
      </c>
      <c r="N41" s="53" t="inlineStr">
        <is>
          <t>Quote required</t>
        </is>
      </c>
      <c r="O41" s="53" t="inlineStr">
        <is>
          <t>Minimum hire + mobilisation by quote</t>
        </is>
      </c>
      <c r="P41" s="53" t="inlineStr">
        <is>
          <t>Crane, operator and normal fuel subject to supplier quote</t>
        </is>
      </c>
      <c r="Q41" s="53" t="inlineStr">
        <is>
          <t>Mobilisation, ballast transport, rigging, dogman, mats, travel/overtime unless included</t>
        </is>
      </c>
      <c r="R41" s="53" t="inlineStr">
        <is>
          <t>Low</t>
        </is>
      </c>
      <c r="S41" s="53" t="inlineStr">
        <is>
          <t>RED - quote or job-specific evidence required</t>
        </is>
      </c>
      <c r="T41" s="54" t="inlineStr">
        <is>
          <t>Capacity class only. Verify certified load chart, lift radius, ballast, outrigger reactions, access and minimum hire.</t>
        </is>
      </c>
    </row>
    <row r="42" ht="19.20000076293945" customHeight="1" s="491">
      <c r="A42" s="47" t="inlineStr">
        <is>
          <t>PL-CRANE-120AT</t>
        </is>
      </c>
      <c r="B42" s="48" t="inlineStr">
        <is>
          <t>Plant</t>
        </is>
      </c>
      <c r="C42" s="48" t="inlineStr">
        <is>
          <t>120 t all-terrain mobile crane wet hire</t>
        </is>
      </c>
      <c r="D42" s="48" t="inlineStr">
        <is>
          <t>Plant</t>
        </is>
      </c>
      <c r="E42" s="48" t="inlineStr">
        <is>
          <t>hr</t>
        </is>
      </c>
      <c r="F42" s="48" t="inlineStr">
        <is>
          <t>Specialist crane hire</t>
        </is>
      </c>
      <c r="G42" s="48" t="inlineStr">
        <is>
          <t>Yes</t>
        </is>
      </c>
      <c r="H42" s="48" t="inlineStr">
        <is>
          <t>Yes</t>
        </is>
      </c>
      <c r="I42" s="1443" t="n">
        <v>1</v>
      </c>
      <c r="J42" s="53" t="inlineStr">
        <is>
          <t>NZ / AU project-specific</t>
        </is>
      </c>
      <c r="K42" s="59" t="inlineStr">
        <is>
          <t>15-Aug-2026</t>
        </is>
      </c>
      <c r="L42" s="53" t="inlineStr">
        <is>
          <t>Job override required</t>
        </is>
      </c>
      <c r="M42" s="53" t="inlineStr">
        <is>
          <t>Mobile crane supplier</t>
        </is>
      </c>
      <c r="N42" s="53" t="inlineStr">
        <is>
          <t>Quote required</t>
        </is>
      </c>
      <c r="O42" s="53" t="inlineStr">
        <is>
          <t>Minimum hire + mobilisation by quote</t>
        </is>
      </c>
      <c r="P42" s="53" t="inlineStr">
        <is>
          <t>Crane, operator and normal fuel subject to supplier quote</t>
        </is>
      </c>
      <c r="Q42" s="53" t="inlineStr">
        <is>
          <t>Mobilisation, ballast transport, rigging, dogman, mats, travel/overtime unless included</t>
        </is>
      </c>
      <c r="R42" s="53" t="inlineStr">
        <is>
          <t>Low</t>
        </is>
      </c>
      <c r="S42" s="53" t="inlineStr">
        <is>
          <t>RED - quote or job-specific evidence required</t>
        </is>
      </c>
      <c r="T42" s="54" t="inlineStr">
        <is>
          <t>Capacity class only. Verify certified load chart, lift radius, ballast, outrigger reactions, access and minimum hire.</t>
        </is>
      </c>
    </row>
    <row r="43" ht="19.20000076293945" customHeight="1" s="491">
      <c r="A43" s="47" t="inlineStr">
        <is>
          <t>PL-CRANE-MATS</t>
        </is>
      </c>
      <c r="B43" s="48" t="inlineStr">
        <is>
          <t>Plant</t>
        </is>
      </c>
      <c r="C43" s="48" t="inlineStr">
        <is>
          <t>Crane mats / outrigger spreader mats hire set</t>
        </is>
      </c>
      <c r="D43" s="48" t="inlineStr">
        <is>
          <t>Plant</t>
        </is>
      </c>
      <c r="E43" s="48" t="inlineStr">
        <is>
          <t>day</t>
        </is>
      </c>
      <c r="F43" s="48" t="inlineStr">
        <is>
          <t>Specialist hire</t>
        </is>
      </c>
      <c r="G43" s="48" t="inlineStr">
        <is>
          <t>N/A</t>
        </is>
      </c>
      <c r="H43" s="48" t="inlineStr">
        <is>
          <t>N/A</t>
        </is>
      </c>
      <c r="I43" s="1443" t="n">
        <v>1</v>
      </c>
      <c r="J43" s="53" t="inlineStr">
        <is>
          <t>NZ / AU project-specific</t>
        </is>
      </c>
      <c r="K43" s="59" t="inlineStr">
        <is>
          <t>15-Aug-2026</t>
        </is>
      </c>
      <c r="L43" s="53" t="inlineStr">
        <is>
          <t>Job override required</t>
        </is>
      </c>
      <c r="M43" s="53" t="inlineStr">
        <is>
          <t>Crane / temporary works supplier</t>
        </is>
      </c>
      <c r="N43" s="53" t="inlineStr">
        <is>
          <t>Quote required</t>
        </is>
      </c>
      <c r="O43" s="53" t="inlineStr">
        <is>
          <t>Minimum hire / transport by quote</t>
        </is>
      </c>
      <c r="P43" s="53" t="inlineStr">
        <is>
          <t>Mats/spreader set to supplier/temp-works requirement</t>
        </is>
      </c>
      <c r="Q43" s="53" t="inlineStr">
        <is>
          <t>Transport, placement, design/certification and abnormal ground treatment unless included</t>
        </is>
      </c>
      <c r="R43" s="53" t="inlineStr">
        <is>
          <t>Low</t>
        </is>
      </c>
      <c r="S43" s="53" t="inlineStr">
        <is>
          <t>RED - quote or job-specific evidence required</t>
        </is>
      </c>
      <c r="T43" s="54" t="inlineStr">
        <is>
          <t>Base $1 forces explicit job override. Check whether crane supplier already includes mats to avoid duplication.</t>
        </is>
      </c>
    </row>
    <row r="44" ht="19.20000076293945" customHeight="1" s="491">
      <c r="A44" s="47" t="inlineStr">
        <is>
          <t>PL-RIGGING-SET</t>
        </is>
      </c>
      <c r="B44" s="48" t="inlineStr">
        <is>
          <t>Plant</t>
        </is>
      </c>
      <c r="C44" s="48" t="inlineStr">
        <is>
          <t>Certified crane rigging / lifting gear set</t>
        </is>
      </c>
      <c r="D44" s="48" t="inlineStr">
        <is>
          <t>Plant</t>
        </is>
      </c>
      <c r="E44" s="48" t="inlineStr">
        <is>
          <t>day</t>
        </is>
      </c>
      <c r="F44" s="48" t="inlineStr">
        <is>
          <t>Specialist hire</t>
        </is>
      </c>
      <c r="G44" s="48" t="inlineStr">
        <is>
          <t>N/A</t>
        </is>
      </c>
      <c r="H44" s="48" t="inlineStr">
        <is>
          <t>N/A</t>
        </is>
      </c>
      <c r="I44" s="1443" t="n">
        <v>1</v>
      </c>
      <c r="J44" s="53" t="inlineStr">
        <is>
          <t>NZ / AU project-specific</t>
        </is>
      </c>
      <c r="K44" s="59" t="inlineStr">
        <is>
          <t>15-Aug-2026</t>
        </is>
      </c>
      <c r="L44" s="53" t="inlineStr">
        <is>
          <t>Job override required</t>
        </is>
      </c>
      <c r="M44" s="53" t="inlineStr">
        <is>
          <t>Crane / rigging supplier</t>
        </is>
      </c>
      <c r="N44" s="53" t="inlineStr">
        <is>
          <t>Quote required</t>
        </is>
      </c>
      <c r="O44" s="53" t="inlineStr">
        <is>
          <t>Minimum hire / mobilisation by quote</t>
        </is>
      </c>
      <c r="P44" s="53" t="inlineStr">
        <is>
          <t>Certified slings, shackles and stated lifting gear set</t>
        </is>
      </c>
      <c r="Q44" s="53" t="inlineStr">
        <is>
          <t>Project-specific lifting beam, proprietary clutches, engineered lifting frame and rigger labour unless included</t>
        </is>
      </c>
      <c r="R44" s="53" t="inlineStr">
        <is>
          <t>Low</t>
        </is>
      </c>
      <c r="S44" s="53" t="inlineStr">
        <is>
          <t>RED - quote or job-specific evidence required</t>
        </is>
      </c>
      <c r="T44" s="54" t="inlineStr">
        <is>
          <t>Base $1 forces explicit job override; reconcile with crane quote and precaster lifting requirements.</t>
        </is>
      </c>
    </row>
    <row r="45" ht="19.20000076293945" customHeight="1" s="491">
      <c r="A45" s="47" t="inlineStr">
        <is>
          <t>PL-TRUCK-6W</t>
        </is>
      </c>
      <c r="B45" s="48" t="inlineStr">
        <is>
          <t>Plant</t>
        </is>
      </c>
      <c r="C45" s="48" t="inlineStr">
        <is>
          <t>6-wheel tip truck wet hire</t>
        </is>
      </c>
      <c r="D45" s="48" t="inlineStr">
        <is>
          <t>Plant</t>
        </is>
      </c>
      <c r="E45" s="48" t="inlineStr">
        <is>
          <t>hr</t>
        </is>
      </c>
      <c r="F45" s="48" t="inlineStr">
        <is>
          <t>Wet hire / cartage</t>
        </is>
      </c>
      <c r="G45" s="48" t="inlineStr">
        <is>
          <t>Yes</t>
        </is>
      </c>
      <c r="H45" s="48" t="inlineStr">
        <is>
          <t>Yes</t>
        </is>
      </c>
      <c r="I45" s="1443" t="n">
        <v>1</v>
      </c>
      <c r="J45" s="53" t="inlineStr">
        <is>
          <t>NZ / AU project-specific</t>
        </is>
      </c>
      <c r="K45" s="59" t="inlineStr">
        <is>
          <t>15-Aug-2026</t>
        </is>
      </c>
      <c r="L45" s="53" t="inlineStr">
        <is>
          <t>Job override required</t>
        </is>
      </c>
      <c r="M45" s="53" t="inlineStr">
        <is>
          <t>Civil cartage supplier</t>
        </is>
      </c>
      <c r="N45" s="53" t="inlineStr">
        <is>
          <t>Quote required</t>
        </is>
      </c>
      <c r="O45" s="53" t="inlineStr">
        <is>
          <t>Minimum hours / travel by quote</t>
        </is>
      </c>
      <c r="P45" s="53" t="inlineStr">
        <is>
          <t>Truck, driver and normal fuel subject to quote</t>
        </is>
      </c>
      <c r="Q45" s="53" t="inlineStr">
        <is>
          <t>Tipping fees, material supply, permits and abnormal waiting unless included</t>
        </is>
      </c>
      <c r="R45" s="53" t="inlineStr">
        <is>
          <t>Low</t>
        </is>
      </c>
      <c r="S45" s="53" t="inlineStr">
        <is>
          <t>RED - quote or job-specific evidence required</t>
        </is>
      </c>
      <c r="T45" s="54" t="inlineStr">
        <is>
          <t>Use for internal/site cartage where hourly wet hire is the truthful basis; do not duplicate supplier-delivery charges.</t>
        </is>
      </c>
    </row>
    <row r="46" ht="19.20000076293945" customHeight="1" s="491">
      <c r="A46" s="47" t="inlineStr">
        <is>
          <t>PL-TRANSPORT-HEAVY</t>
        </is>
      </c>
      <c r="B46" s="48" t="inlineStr">
        <is>
          <t>Plant</t>
        </is>
      </c>
      <c r="C46" s="48" t="inlineStr">
        <is>
          <t>Heavy / oversize transporter or precast internal haul</t>
        </is>
      </c>
      <c r="D46" s="48" t="inlineStr">
        <is>
          <t>Plant</t>
        </is>
      </c>
      <c r="E46" s="48" t="inlineStr">
        <is>
          <t>trip</t>
        </is>
      </c>
      <c r="F46" s="48" t="inlineStr">
        <is>
          <t>Specialist transport</t>
        </is>
      </c>
      <c r="G46" s="48" t="inlineStr">
        <is>
          <t>Yes</t>
        </is>
      </c>
      <c r="H46" s="48" t="inlineStr">
        <is>
          <t>Yes</t>
        </is>
      </c>
      <c r="I46" s="1443" t="n">
        <v>1</v>
      </c>
      <c r="J46" s="53" t="inlineStr">
        <is>
          <t>NZ / AU project-specific</t>
        </is>
      </c>
      <c r="K46" s="59" t="inlineStr">
        <is>
          <t>15-Aug-2026</t>
        </is>
      </c>
      <c r="L46" s="53" t="inlineStr">
        <is>
          <t>Job override required</t>
        </is>
      </c>
      <c r="M46" s="53" t="inlineStr">
        <is>
          <t>Heavy transport / precast carrier</t>
        </is>
      </c>
      <c r="N46" s="53" t="inlineStr">
        <is>
          <t>Quote required</t>
        </is>
      </c>
      <c r="O46" s="53" t="inlineStr">
        <is>
          <t>Mobilisation, permits and escort by quote</t>
        </is>
      </c>
      <c r="P46" s="53" t="inlineStr">
        <is>
          <t>Transport vehicle and driver to stated route/load</t>
        </is>
      </c>
      <c r="Q46" s="53" t="inlineStr">
        <is>
          <t>Craneage, loading/unloading, permits/escorts and route strengthening unless included</t>
        </is>
      </c>
      <c r="R46" s="53" t="inlineStr">
        <is>
          <t>Low</t>
        </is>
      </c>
      <c r="S46" s="53" t="inlineStr">
        <is>
          <t>RED - quote or job-specific evidence required</t>
        </is>
      </c>
      <c r="T46" s="54" t="inlineStr">
        <is>
          <t>Use only where contractor transport scope is confirmed. Verify route, axle/load limits, turning and delivery responsibility.</t>
        </is>
      </c>
    </row>
    <row r="47" ht="19.20000076293945" customHeight="1" s="491">
      <c r="A47" s="47" t="inlineStr">
        <is>
          <t>OTH-CARTAGE-LOAD</t>
        </is>
      </c>
      <c r="B47" s="48" t="inlineStr">
        <is>
          <t>Other</t>
        </is>
      </c>
      <c r="C47" s="48" t="inlineStr">
        <is>
          <t>Supplier delivery / cartage charge per load</t>
        </is>
      </c>
      <c r="D47" s="48" t="inlineStr">
        <is>
          <t>Other</t>
        </is>
      </c>
      <c r="E47" s="48" t="inlineStr">
        <is>
          <t>load</t>
        </is>
      </c>
      <c r="F47" s="48" t="inlineStr">
        <is>
          <t>Job-specific supplier delivery</t>
        </is>
      </c>
      <c r="G47" s="48" t="inlineStr">
        <is>
          <t>N/A</t>
        </is>
      </c>
      <c r="H47" s="48" t="inlineStr">
        <is>
          <t>N/A</t>
        </is>
      </c>
      <c r="I47" s="1443" t="n">
        <v>1</v>
      </c>
      <c r="J47" s="53" t="inlineStr">
        <is>
          <t>Project-specific</t>
        </is>
      </c>
      <c r="K47" s="59" t="inlineStr">
        <is>
          <t>15-Aug-2026</t>
        </is>
      </c>
      <c r="L47" s="53" t="inlineStr">
        <is>
          <t>Job override required</t>
        </is>
      </c>
      <c r="M47" s="53" t="inlineStr">
        <is>
          <t>Material supplier / carrier</t>
        </is>
      </c>
      <c r="N47" s="53" t="inlineStr">
        <is>
          <t>Quote required</t>
        </is>
      </c>
      <c r="O47" s="53" t="inlineStr">
        <is>
          <t>Load size / zone / minimum by quote</t>
        </is>
      </c>
      <c r="P47" s="53" t="inlineStr">
        <is>
          <t>Delivery/cartage charge only to stated site and load size</t>
        </is>
      </c>
      <c r="Q47" s="53" t="inlineStr">
        <is>
          <t>Material supply, waiting time, tipping, permits and rehandling unless included</t>
        </is>
      </c>
      <c r="R47" s="53" t="inlineStr">
        <is>
          <t>Low</t>
        </is>
      </c>
      <c r="S47" s="53" t="inlineStr">
        <is>
          <t>RED - quote or job-specific evidence required</t>
        </is>
      </c>
      <c r="T47" s="54" t="inlineStr">
        <is>
          <t>Reusable cost code only; project location, load size and delivered rate must be overridden from current evidence.</t>
        </is>
      </c>
    </row>
    <row r="48" ht="19.20000076293945" customHeight="1" s="491">
      <c r="A48" s="47" t="inlineStr">
        <is>
          <t>SUB-PROOFROLL</t>
        </is>
      </c>
      <c r="B48" s="48" t="inlineStr">
        <is>
          <t>Subcontract</t>
        </is>
      </c>
      <c r="C48" s="48" t="inlineStr">
        <is>
          <t>Proof-roll / working-platform verification / field testing attendance</t>
        </is>
      </c>
      <c r="D48" s="48" t="inlineStr">
        <is>
          <t>Subcontract</t>
        </is>
      </c>
      <c r="E48" s="48" t="inlineStr">
        <is>
          <t>LS</t>
        </is>
      </c>
      <c r="F48" s="48" t="inlineStr">
        <is>
          <t>Specialist subcontract</t>
        </is>
      </c>
      <c r="G48" s="48" t="inlineStr">
        <is>
          <t>N/A</t>
        </is>
      </c>
      <c r="H48" s="48" t="inlineStr">
        <is>
          <t>N/A</t>
        </is>
      </c>
      <c r="I48" s="1443" t="n">
        <v>1</v>
      </c>
      <c r="J48" s="53" t="inlineStr">
        <is>
          <t>NZ / AU project-specific</t>
        </is>
      </c>
      <c r="K48" s="59" t="inlineStr">
        <is>
          <t>15-Aug-2026</t>
        </is>
      </c>
      <c r="L48" s="53" t="inlineStr">
        <is>
          <t>Job override required</t>
        </is>
      </c>
      <c r="M48" s="53" t="inlineStr">
        <is>
          <t>Geotech / testing provider</t>
        </is>
      </c>
      <c r="N48" s="53" t="inlineStr">
        <is>
          <t>Quote required</t>
        </is>
      </c>
      <c r="O48" s="53" t="inlineStr">
        <is>
          <t>Attendance / testing scope by quote</t>
        </is>
      </c>
      <c r="P48" s="53" t="inlineStr">
        <is>
          <t>Proof-roll or stated field-verification/testing attendance</t>
        </is>
      </c>
      <c r="Q48" s="53" t="inlineStr">
        <is>
          <t>Temporary works design, geotech design certification, remediation and repeat visits unless included</t>
        </is>
      </c>
      <c r="R48" s="53" t="inlineStr">
        <is>
          <t>Low</t>
        </is>
      </c>
      <c r="S48" s="53" t="inlineStr">
        <is>
          <t>RED - quote or job-specific evidence required</t>
        </is>
      </c>
      <c r="T48" s="54" t="inlineStr">
        <is>
          <t>Keep testing/verification separate from temporary-works design and from physical platform construction.</t>
        </is>
      </c>
    </row>
    <row r="49" ht="19.20000076293945" customHeight="1" s="491">
      <c r="A49" s="47" t="inlineStr">
        <is>
          <t>MAT-GEOGRID</t>
        </is>
      </c>
      <c r="B49" s="48" t="inlineStr">
        <is>
          <t>Material</t>
        </is>
      </c>
      <c r="C49" s="48" t="inlineStr">
        <is>
          <t>Geogrid / ground-stabilisation reinforcement - project specified</t>
        </is>
      </c>
      <c r="D49" s="48" t="inlineStr">
        <is>
          <t>Material</t>
        </is>
      </c>
      <c r="E49" s="48" t="inlineStr">
        <is>
          <t>m2</t>
        </is>
      </c>
      <c r="F49" s="48" t="inlineStr">
        <is>
          <t>Merchant supply</t>
        </is>
      </c>
      <c r="G49" s="48" t="inlineStr">
        <is>
          <t>N/A</t>
        </is>
      </c>
      <c r="H49" s="48" t="inlineStr">
        <is>
          <t>N/A</t>
        </is>
      </c>
      <c r="I49" s="1443" t="n">
        <v>1</v>
      </c>
      <c r="J49" s="53" t="inlineStr">
        <is>
          <t>NZ / AU project-specific</t>
        </is>
      </c>
      <c r="K49" s="59" t="inlineStr">
        <is>
          <t>15-Aug-2026</t>
        </is>
      </c>
      <c r="L49" s="53" t="inlineStr">
        <is>
          <t>Job override required</t>
        </is>
      </c>
      <c r="M49" s="53" t="inlineStr">
        <is>
          <t>Civil merchant / geosynthetics supplier</t>
        </is>
      </c>
      <c r="N49" s="53" t="inlineStr">
        <is>
          <t>Quote required</t>
        </is>
      </c>
      <c r="O49" s="53" t="inlineStr">
        <is>
          <t>Product/specification by quote</t>
        </is>
      </c>
      <c r="P49" s="53" t="inlineStr">
        <is>
          <t>Specified geogrid material only</t>
        </is>
      </c>
      <c r="Q49" s="53" t="inlineStr">
        <is>
          <t>Design, geotextile, aggregate, installation and laps/waste unless included</t>
        </is>
      </c>
      <c r="R49" s="53" t="inlineStr">
        <is>
          <t>Low</t>
        </is>
      </c>
      <c r="S49" s="53" t="inlineStr">
        <is>
          <t>RED - quote or job-specific evidence required</t>
        </is>
      </c>
      <c r="T49" s="54" t="inlineStr">
        <is>
          <t>No generic rate. Select product from temporary works/geotech design and obtain project-specific quote.</t>
        </is>
      </c>
    </row>
    <row r="50" ht="34" customHeight="1" s="491">
      <c r="A50" s="47" t="inlineStr">
        <is>
          <t>HIST-LAB-FOREMAN-01</t>
        </is>
      </c>
      <c r="B50" s="48" t="inlineStr">
        <is>
          <t>Labour</t>
        </is>
      </c>
      <c r="C50" s="48" t="inlineStr">
        <is>
          <t>Civil foreman / working foreman - historical contractor benchmark</t>
        </is>
      </c>
      <c r="D50" s="48" t="inlineStr">
        <is>
          <t>Labour</t>
        </is>
      </c>
      <c r="E50" s="48" t="inlineStr">
        <is>
          <t>hr</t>
        </is>
      </c>
      <c r="F50" s="48" t="inlineStr">
        <is>
          <t>Internal / agency</t>
        </is>
      </c>
      <c r="G50" s="48" t="inlineStr">
        <is>
          <t>N/A</t>
        </is>
      </c>
      <c r="H50" s="48" t="inlineStr">
        <is>
          <t>N/A</t>
        </is>
      </c>
      <c r="I50" s="1443" t="n">
        <v>65</v>
      </c>
      <c r="J50" s="53" t="inlineStr">
        <is>
          <t>Auckland / NZ</t>
        </is>
      </c>
      <c r="K50" s="59" t="inlineStr">
        <is>
          <t>17-Aug-2026</t>
        </is>
      </c>
      <c r="L50" s="53" t="inlineStr">
        <is>
          <t>Historical contractor benchmark (AMBER)</t>
        </is>
      </c>
      <c r="M50" s="53" t="inlineStr">
        <is>
          <t>Internal historical contractor benchmark</t>
        </is>
      </c>
      <c r="N50" s="53" t="inlineStr">
        <is>
          <t>HBR-001; comparison baseline LAB-FOREMAN = $64.00/hr</t>
        </is>
      </c>
      <c r="O50" s="53" t="n"/>
      <c r="P50" s="53" t="inlineStr">
        <is>
          <t>Direct employment allowance</t>
        </is>
      </c>
      <c r="Q50" s="53" t="inlineStr">
        <is>
          <t>Margin, vehicle, overtime</t>
        </is>
      </c>
      <c r="R50" s="53" t="inlineStr">
        <is>
          <t>Medium</t>
        </is>
      </c>
      <c r="S50" s="53" t="inlineStr">
        <is>
          <t>AMBER - historical benchmark only</t>
        </is>
      </c>
      <c r="T50" s="54" t="inlineStr">
        <is>
          <t>Verify against current project/company/supplier evidence before use.</t>
        </is>
      </c>
    </row>
    <row r="51" ht="34" customHeight="1" s="491">
      <c r="A51" s="47" t="inlineStr">
        <is>
          <t>HIST-LAB-SUPERVISOR-01</t>
        </is>
      </c>
      <c r="B51" s="48" t="inlineStr">
        <is>
          <t>Labour</t>
        </is>
      </c>
      <c r="C51" s="48" t="inlineStr">
        <is>
          <t>Site supervisor / project manager - historical contractor benchmark</t>
        </is>
      </c>
      <c r="D51" s="48" t="inlineStr">
        <is>
          <t>Labour</t>
        </is>
      </c>
      <c r="E51" s="48" t="inlineStr">
        <is>
          <t>hr</t>
        </is>
      </c>
      <c r="F51" s="48" t="inlineStr">
        <is>
          <t>Internal / agency</t>
        </is>
      </c>
      <c r="G51" s="48" t="inlineStr">
        <is>
          <t>N/A</t>
        </is>
      </c>
      <c r="H51" s="48" t="inlineStr">
        <is>
          <t>N/A</t>
        </is>
      </c>
      <c r="I51" s="1443" t="n">
        <v>70</v>
      </c>
      <c r="J51" s="53" t="inlineStr">
        <is>
          <t>Auckland / NZ</t>
        </is>
      </c>
      <c r="K51" s="59" t="inlineStr">
        <is>
          <t>17-Aug-2026</t>
        </is>
      </c>
      <c r="L51" s="53" t="inlineStr">
        <is>
          <t>Historical contractor benchmark (AMBER)</t>
        </is>
      </c>
      <c r="M51" s="53" t="inlineStr">
        <is>
          <t>Internal historical contractor benchmark</t>
        </is>
      </c>
      <c r="N51" s="53" t="inlineStr">
        <is>
          <t>HBR-002; comparison baseline LAB-SUPERVISOR = $73.00/hr</t>
        </is>
      </c>
      <c r="O51" s="53" t="n"/>
      <c r="P51" s="53" t="inlineStr">
        <is>
          <t>Direct employment allowance</t>
        </is>
      </c>
      <c r="Q51" s="53" t="inlineStr">
        <is>
          <t>Margin, vehicle, overtime</t>
        </is>
      </c>
      <c r="R51" s="53" t="inlineStr">
        <is>
          <t>Medium</t>
        </is>
      </c>
      <c r="S51" s="53" t="inlineStr">
        <is>
          <t>AMBER - historical benchmark only</t>
        </is>
      </c>
      <c r="T51" s="54" t="inlineStr">
        <is>
          <t>Verify against current project/company/supplier evidence before use.</t>
        </is>
      </c>
    </row>
    <row r="52" ht="34" customHeight="1" s="491">
      <c r="A52" s="47" t="inlineStr">
        <is>
          <t>HIST-LAB-DRAINLAYER-01</t>
        </is>
      </c>
      <c r="B52" s="48" t="inlineStr">
        <is>
          <t>Labour</t>
        </is>
      </c>
      <c r="C52" s="48" t="inlineStr">
        <is>
          <t>Registered drainlayer / pipe layer - historical contractor benchmark</t>
        </is>
      </c>
      <c r="D52" s="48" t="inlineStr">
        <is>
          <t>Labour</t>
        </is>
      </c>
      <c r="E52" s="48" t="inlineStr">
        <is>
          <t>hr</t>
        </is>
      </c>
      <c r="F52" s="48" t="inlineStr">
        <is>
          <t>Internal / agency</t>
        </is>
      </c>
      <c r="G52" s="48" t="inlineStr">
        <is>
          <t>N/A</t>
        </is>
      </c>
      <c r="H52" s="48" t="inlineStr">
        <is>
          <t>N/A</t>
        </is>
      </c>
      <c r="I52" s="1443" t="n">
        <v>45</v>
      </c>
      <c r="J52" s="53" t="inlineStr">
        <is>
          <t>Auckland / NZ</t>
        </is>
      </c>
      <c r="K52" s="59" t="inlineStr">
        <is>
          <t>17-Aug-2026</t>
        </is>
      </c>
      <c r="L52" s="53" t="inlineStr">
        <is>
          <t>Historical contractor benchmark (AMBER)</t>
        </is>
      </c>
      <c r="M52" s="53" t="inlineStr">
        <is>
          <t>Internal historical contractor benchmark</t>
        </is>
      </c>
      <c r="N52" s="53" t="inlineStr">
        <is>
          <t>HBR-003; comparison baseline LAB-DRAINLAYER = $51.00/hr</t>
        </is>
      </c>
      <c r="O52" s="53" t="n"/>
      <c r="P52" s="53" t="inlineStr">
        <is>
          <t>Direct employment allowance</t>
        </is>
      </c>
      <c r="Q52" s="53" t="inlineStr">
        <is>
          <t>Vehicle and overtime</t>
        </is>
      </c>
      <c r="R52" s="53" t="inlineStr">
        <is>
          <t>Medium</t>
        </is>
      </c>
      <c r="S52" s="53" t="inlineStr">
        <is>
          <t>AMBER - historical benchmark only</t>
        </is>
      </c>
      <c r="T52" s="54" t="inlineStr">
        <is>
          <t>Verify against current project/company/supplier evidence before use.</t>
        </is>
      </c>
    </row>
    <row r="53" ht="34" customHeight="1" s="491">
      <c r="A53" s="47" t="inlineStr">
        <is>
          <t>HIST-PL-EXC-1.7-01</t>
        </is>
      </c>
      <c r="B53" s="48" t="inlineStr">
        <is>
          <t>Plant</t>
        </is>
      </c>
      <c r="C53" s="48" t="inlineStr">
        <is>
          <t>1.7 t excavator wet hire - historical contractor benchmark</t>
        </is>
      </c>
      <c r="D53" s="48" t="inlineStr">
        <is>
          <t>Plant</t>
        </is>
      </c>
      <c r="E53" s="48" t="inlineStr">
        <is>
          <t>hr</t>
        </is>
      </c>
      <c r="F53" s="48" t="inlineStr">
        <is>
          <t>Wet hire</t>
        </is>
      </c>
      <c r="G53" s="48" t="inlineStr">
        <is>
          <t>Yes</t>
        </is>
      </c>
      <c r="H53" s="48" t="inlineStr">
        <is>
          <t>Yes</t>
        </is>
      </c>
      <c r="I53" s="1443" t="n">
        <v>75</v>
      </c>
      <c r="J53" s="53" t="inlineStr">
        <is>
          <t>Auckland</t>
        </is>
      </c>
      <c r="K53" s="59" t="inlineStr">
        <is>
          <t>17-Aug-2026</t>
        </is>
      </c>
      <c r="L53" s="53" t="inlineStr">
        <is>
          <t>Historical contractor benchmark (AMBER)</t>
        </is>
      </c>
      <c r="M53" s="53" t="inlineStr">
        <is>
          <t>Internal historical contractor benchmark</t>
        </is>
      </c>
      <c r="N53" s="53" t="inlineStr">
        <is>
          <t>HBR-004; comparison baseline PL-EXC-1.7 = $85.00/hr</t>
        </is>
      </c>
      <c r="O53" s="53" t="inlineStr">
        <is>
          <t>Delivery by quote</t>
        </is>
      </c>
      <c r="P53" s="53" t="inlineStr">
        <is>
          <t>Machine, operator, fuel and normal buckets</t>
        </is>
      </c>
      <c r="Q53" s="53" t="inlineStr">
        <is>
          <t>Delivery, overtime and specialist attachments</t>
        </is>
      </c>
      <c r="R53" s="53" t="inlineStr">
        <is>
          <t>Medium</t>
        </is>
      </c>
      <c r="S53" s="53" t="inlineStr">
        <is>
          <t>AMBER - historical benchmark only</t>
        </is>
      </c>
      <c r="T53" s="54" t="inlineStr">
        <is>
          <t>Verify against current project/company/supplier evidence before use.</t>
        </is>
      </c>
    </row>
    <row r="54" ht="34" customHeight="1" s="491">
      <c r="A54" s="47" t="inlineStr">
        <is>
          <t>HIST-MAT-AP65-01</t>
        </is>
      </c>
      <c r="B54" s="48" t="inlineStr">
        <is>
          <t>Material</t>
        </is>
      </c>
      <c r="C54" s="48" t="inlineStr">
        <is>
          <t>AP65 subbase aggregate - historical contractor benchmark</t>
        </is>
      </c>
      <c r="D54" s="48" t="inlineStr">
        <is>
          <t>Material</t>
        </is>
      </c>
      <c r="E54" s="48" t="inlineStr">
        <is>
          <t>t</t>
        </is>
      </c>
      <c r="F54" s="48" t="inlineStr">
        <is>
          <t>Merchant supply</t>
        </is>
      </c>
      <c r="G54" s="48" t="inlineStr">
        <is>
          <t>N/A</t>
        </is>
      </c>
      <c r="H54" s="48" t="inlineStr">
        <is>
          <t>N/A</t>
        </is>
      </c>
      <c r="I54" s="1443" t="n">
        <v>29</v>
      </c>
      <c r="J54" s="53" t="inlineStr">
        <is>
          <t>Auckland</t>
        </is>
      </c>
      <c r="K54" s="59" t="inlineStr">
        <is>
          <t>17-Aug-2026</t>
        </is>
      </c>
      <c r="L54" s="53" t="inlineStr">
        <is>
          <t>Historical supplier benchmark (AMBER)</t>
        </is>
      </c>
      <c r="M54" s="53" t="inlineStr">
        <is>
          <t>Auckland quarry historical contractor basis</t>
        </is>
      </c>
      <c r="N54" s="53" t="inlineStr">
        <is>
          <t>HBR-005; comparison baseline MAT-AP65 = $30.50/t</t>
        </is>
      </c>
      <c r="O54" s="53" t="n"/>
      <c r="P54" s="53" t="inlineStr">
        <is>
          <t>Ex-quarry / base material allowance</t>
        </is>
      </c>
      <c r="Q54" s="53" t="inlineStr">
        <is>
          <t>Haul and placement; confirm whether historical contractor $/t basis includes T&amp;T direct delivery</t>
        </is>
      </c>
      <c r="R54" s="53" t="inlineStr">
        <is>
          <t>Medium</t>
        </is>
      </c>
      <c r="S54" s="53" t="inlineStr">
        <is>
          <t>AMBER - historical benchmark only</t>
        </is>
      </c>
      <c r="T54" s="54" t="inlineStr">
        <is>
          <t>Verify against current project/company/supplier evidence before use.</t>
        </is>
      </c>
    </row>
    <row r="55" ht="34" customHeight="1" s="491">
      <c r="A55" s="47" t="inlineStr">
        <is>
          <t>HIST-MAT-AP40-01</t>
        </is>
      </c>
      <c r="B55" s="48" t="inlineStr">
        <is>
          <t>Material</t>
        </is>
      </c>
      <c r="C55" s="48" t="inlineStr">
        <is>
          <t>AP40 / GAP40 basecourse aggregate - historical contractor benchmark</t>
        </is>
      </c>
      <c r="D55" s="48" t="inlineStr">
        <is>
          <t>Material</t>
        </is>
      </c>
      <c r="E55" s="48" t="inlineStr">
        <is>
          <t>t</t>
        </is>
      </c>
      <c r="F55" s="48" t="inlineStr">
        <is>
          <t>Merchant supply</t>
        </is>
      </c>
      <c r="G55" s="48" t="inlineStr">
        <is>
          <t>N/A</t>
        </is>
      </c>
      <c r="H55" s="48" t="inlineStr">
        <is>
          <t>N/A</t>
        </is>
      </c>
      <c r="I55" s="1443" t="n">
        <v>29</v>
      </c>
      <c r="J55" s="53" t="inlineStr">
        <is>
          <t>Auckland</t>
        </is>
      </c>
      <c r="K55" s="59" t="inlineStr">
        <is>
          <t>17-Aug-2026</t>
        </is>
      </c>
      <c r="L55" s="53" t="inlineStr">
        <is>
          <t>Historical supplier benchmark (AMBER)</t>
        </is>
      </c>
      <c r="M55" s="53" t="inlineStr">
        <is>
          <t>Auckland quarry historical contractor basis</t>
        </is>
      </c>
      <c r="N55" s="53" t="inlineStr">
        <is>
          <t>HBR-006; comparison baseline MAT-AP40 = $31.00/t</t>
        </is>
      </c>
      <c r="O55" s="53" t="n"/>
      <c r="P55" s="53" t="inlineStr">
        <is>
          <t>Ex-quarry / base material allowance</t>
        </is>
      </c>
      <c r="Q55" s="53" t="inlineStr">
        <is>
          <t>Haul and placement; confirm whether historical contractor $/t basis includes T&amp;T direct delivery</t>
        </is>
      </c>
      <c r="R55" s="53" t="inlineStr">
        <is>
          <t>Medium</t>
        </is>
      </c>
      <c r="S55" s="53" t="inlineStr">
        <is>
          <t>AMBER - historical benchmark only</t>
        </is>
      </c>
      <c r="T55" s="54" t="inlineStr">
        <is>
          <t>Verify against current project/company/supplier evidence before use.</t>
        </is>
      </c>
    </row>
    <row r="56" ht="34" customHeight="1" s="491">
      <c r="A56" s="47" t="inlineStr">
        <is>
          <t>HIST-MAT-DRAINAGG-01</t>
        </is>
      </c>
      <c r="B56" s="48" t="inlineStr">
        <is>
          <t>Material</t>
        </is>
      </c>
      <c r="C56" s="48" t="inlineStr">
        <is>
          <t>Drainage aggregate - historical contractor benchmark</t>
        </is>
      </c>
      <c r="D56" s="48" t="inlineStr">
        <is>
          <t>Material</t>
        </is>
      </c>
      <c r="E56" s="48" t="inlineStr">
        <is>
          <t>t</t>
        </is>
      </c>
      <c r="F56" s="48" t="inlineStr">
        <is>
          <t>Merchant supply</t>
        </is>
      </c>
      <c r="G56" s="48" t="inlineStr">
        <is>
          <t>N/A</t>
        </is>
      </c>
      <c r="H56" s="48" t="inlineStr">
        <is>
          <t>N/A</t>
        </is>
      </c>
      <c r="I56" s="1443" t="n">
        <v>36</v>
      </c>
      <c r="J56" s="53" t="inlineStr">
        <is>
          <t>Auckland</t>
        </is>
      </c>
      <c r="K56" s="59" t="inlineStr">
        <is>
          <t>17-Aug-2026</t>
        </is>
      </c>
      <c r="L56" s="53" t="inlineStr">
        <is>
          <t>Historical supplier benchmark (AMBER)</t>
        </is>
      </c>
      <c r="M56" s="53" t="inlineStr">
        <is>
          <t>Auckland quarry historical contractor basis</t>
        </is>
      </c>
      <c r="N56" s="53" t="inlineStr">
        <is>
          <t>HBR-007; comparison baseline MAT-DRAINAGG = $48.50/t</t>
        </is>
      </c>
      <c r="O56" s="53" t="n"/>
      <c r="P56" s="53" t="inlineStr">
        <is>
          <t>Aggregate</t>
        </is>
      </c>
      <c r="Q56" s="53" t="inlineStr">
        <is>
          <t>Haul and placement; confirm whether historical contractor $/t basis includes T&amp;T direct delivery</t>
        </is>
      </c>
      <c r="R56" s="53" t="inlineStr">
        <is>
          <t>Medium</t>
        </is>
      </c>
      <c r="S56" s="53" t="inlineStr">
        <is>
          <t>AMBER - historical benchmark only</t>
        </is>
      </c>
      <c r="T56" s="54" t="inlineStr">
        <is>
          <t>Verify against current project/company/supplier evidence before use.</t>
        </is>
      </c>
    </row>
    <row r="57" ht="34" customHeight="1" s="491">
      <c r="A57" s="47" t="inlineStr">
        <is>
          <t>HIST-MAT-SWMH-01</t>
        </is>
      </c>
      <c r="B57" s="48" t="inlineStr">
        <is>
          <t>Material</t>
        </is>
      </c>
      <c r="C57" s="48" t="inlineStr">
        <is>
          <t>Precast stormwater manhole set - historical contractor benchmark</t>
        </is>
      </c>
      <c r="D57" s="48" t="inlineStr">
        <is>
          <t>Material</t>
        </is>
      </c>
      <c r="E57" s="48" t="inlineStr">
        <is>
          <t>ea</t>
        </is>
      </c>
      <c r="F57" s="48" t="inlineStr">
        <is>
          <t>Precast supplier</t>
        </is>
      </c>
      <c r="G57" s="48" t="inlineStr">
        <is>
          <t>N/A</t>
        </is>
      </c>
      <c r="H57" s="48" t="inlineStr">
        <is>
          <t>N/A</t>
        </is>
      </c>
      <c r="I57" s="1443" t="n">
        <v>7000</v>
      </c>
      <c r="J57" s="53" t="inlineStr">
        <is>
          <t>Auckland</t>
        </is>
      </c>
      <c r="K57" s="59" t="inlineStr">
        <is>
          <t>17-Aug-2026</t>
        </is>
      </c>
      <c r="L57" s="53" t="inlineStr">
        <is>
          <t>Historical contractor benchmark (AMBER)</t>
        </is>
      </c>
      <c r="M57" s="53" t="inlineStr">
        <is>
          <t>Internal historical contractor benchmark / authority requirement</t>
        </is>
      </c>
      <c r="N57" s="53" t="inlineStr">
        <is>
          <t>HBR-008; comparison baseline MAT-SWMH = $5,500/ea</t>
        </is>
      </c>
      <c r="O57" s="53" t="n"/>
      <c r="P57" s="53" t="inlineStr">
        <is>
          <t>Chamber, riser, lid and safety grate allowance</t>
        </is>
      </c>
      <c r="Q57" s="53" t="inlineStr">
        <is>
          <t>Excavation, concrete and installation</t>
        </is>
      </c>
      <c r="R57" s="53" t="inlineStr">
        <is>
          <t>Medium</t>
        </is>
      </c>
      <c r="S57" s="53" t="inlineStr">
        <is>
          <t>AMBER - historical benchmark only</t>
        </is>
      </c>
      <c r="T57" s="54" t="inlineStr">
        <is>
          <t>Verify against current project/company/supplier evidence before use.</t>
        </is>
      </c>
    </row>
    <row r="58" ht="34" customHeight="1" s="491">
      <c r="A58" s="47" t="inlineStr">
        <is>
          <t>HIST-OTH-FACILITIES-01</t>
        </is>
      </c>
      <c r="B58" s="48" t="inlineStr">
        <is>
          <t>Other</t>
        </is>
      </c>
      <c r="C58" s="48" t="inlineStr">
        <is>
          <t>Temporary facilities, utilities and welfare weekly allowance - historical benchmark</t>
        </is>
      </c>
      <c r="D58" s="48" t="inlineStr">
        <is>
          <t>Other</t>
        </is>
      </c>
      <c r="E58" s="48" t="inlineStr">
        <is>
          <t>week</t>
        </is>
      </c>
      <c r="F58" s="48" t="inlineStr">
        <is>
          <t>Job-specific / hire allowance</t>
        </is>
      </c>
      <c r="G58" s="48" t="inlineStr">
        <is>
          <t>N/A</t>
        </is>
      </c>
      <c r="H58" s="48" t="inlineStr">
        <is>
          <t>N/A</t>
        </is>
      </c>
      <c r="I58" s="1443" t="n">
        <v>410</v>
      </c>
      <c r="J58" s="53" t="inlineStr">
        <is>
          <t>Auckland</t>
        </is>
      </c>
      <c r="K58" s="59" t="inlineStr">
        <is>
          <t>17-Aug-2026</t>
        </is>
      </c>
      <c r="L58" s="53" t="inlineStr">
        <is>
          <t>Historical contractor benchmark (AMBER)</t>
        </is>
      </c>
      <c r="M58" s="53" t="inlineStr">
        <is>
          <t>Internal historical contractor benchmark</t>
        </is>
      </c>
      <c r="N58" s="53" t="inlineStr">
        <is>
          <t>HBR-009; 20-week historical control = $8,200</t>
        </is>
      </c>
      <c r="O58" s="53" t="inlineStr">
        <is>
          <t>Confirm hire minimums and mobilisation</t>
        </is>
      </c>
      <c r="P58" s="53" t="inlineStr">
        <is>
          <t>Weekly facilities, toilet, temporary power/water and consumables allowance</t>
        </is>
      </c>
      <c r="Q58" s="53" t="inlineStr">
        <is>
          <t>Mobilisation, site-specific setup and abnormal servicing unless confirmed</t>
        </is>
      </c>
      <c r="R58" s="53" t="inlineStr">
        <is>
          <t>Medium</t>
        </is>
      </c>
      <c r="S58" s="53" t="inlineStr">
        <is>
          <t>AMBER - historical benchmark only</t>
        </is>
      </c>
      <c r="T58" s="54" t="inlineStr">
        <is>
          <t>Verify against current project/company/supplier evidence before use.</t>
        </is>
      </c>
    </row>
    <row r="59" ht="34" customHeight="1" s="491">
      <c r="A59" s="47" t="inlineStr">
        <is>
          <t>HIST-SUB-SURVEY-SET-01</t>
        </is>
      </c>
      <c r="B59" s="48" t="inlineStr">
        <is>
          <t>Subcontract</t>
        </is>
      </c>
      <c r="C59" s="48" t="inlineStr">
        <is>
          <t>Drainage construction setout package - historical benchmark</t>
        </is>
      </c>
      <c r="D59" s="48" t="inlineStr">
        <is>
          <t>Subcontract</t>
        </is>
      </c>
      <c r="E59" s="48" t="inlineStr">
        <is>
          <t>LS</t>
        </is>
      </c>
      <c r="F59" s="48" t="inlineStr">
        <is>
          <t>Specialist subcontract</t>
        </is>
      </c>
      <c r="G59" s="48" t="inlineStr">
        <is>
          <t>N/A</t>
        </is>
      </c>
      <c r="H59" s="48" t="inlineStr">
        <is>
          <t>N/A</t>
        </is>
      </c>
      <c r="I59" s="1443" t="n">
        <v>1500</v>
      </c>
      <c r="J59" s="53" t="inlineStr">
        <is>
          <t>Auckland</t>
        </is>
      </c>
      <c r="K59" s="59" t="inlineStr">
        <is>
          <t>17-Aug-2026</t>
        </is>
      </c>
      <c r="L59" s="53" t="inlineStr">
        <is>
          <t>Historical supplier benchmark (AMBER)</t>
        </is>
      </c>
      <c r="M59" s="53" t="inlineStr">
        <is>
          <t>Historical survey supplier - identity withheld in client issue</t>
        </is>
      </c>
      <c r="N59" s="53" t="inlineStr">
        <is>
          <t>HBR-010; historical rate recorded excl. GST</t>
        </is>
      </c>
      <c r="O59" s="53" t="inlineStr">
        <is>
          <t>One drainage setout package</t>
        </is>
      </c>
      <c r="P59" s="53" t="inlineStr">
        <is>
          <t>Drainage construction setout</t>
        </is>
      </c>
      <c r="Q59" s="53" t="inlineStr">
        <is>
          <t>Other survey, rework, as-builts and additional visits</t>
        </is>
      </c>
      <c r="R59" s="53" t="inlineStr">
        <is>
          <t>Medium</t>
        </is>
      </c>
      <c r="S59" s="53" t="inlineStr">
        <is>
          <t>AMBER - historical benchmark only</t>
        </is>
      </c>
      <c r="T59" s="54" t="inlineStr">
        <is>
          <t>Verify against current project/company/supplier evidence before use.</t>
        </is>
      </c>
    </row>
    <row r="60" ht="34" customHeight="1" s="491">
      <c r="A60" s="47" t="inlineStr">
        <is>
          <t>HIST-SUB-SURVEY-ASB-01</t>
        </is>
      </c>
      <c r="B60" s="48" t="inlineStr">
        <is>
          <t>Subcontract</t>
        </is>
      </c>
      <c r="C60" s="48" t="inlineStr">
        <is>
          <t>Drainage as-built survey package - historical benchmark</t>
        </is>
      </c>
      <c r="D60" s="48" t="inlineStr">
        <is>
          <t>Subcontract</t>
        </is>
      </c>
      <c r="E60" s="48" t="inlineStr">
        <is>
          <t>LS</t>
        </is>
      </c>
      <c r="F60" s="48" t="inlineStr">
        <is>
          <t>Specialist subcontract</t>
        </is>
      </c>
      <c r="G60" s="48" t="inlineStr">
        <is>
          <t>N/A</t>
        </is>
      </c>
      <c r="H60" s="48" t="inlineStr">
        <is>
          <t>N/A</t>
        </is>
      </c>
      <c r="I60" s="1443" t="n">
        <v>2500</v>
      </c>
      <c r="J60" s="53" t="inlineStr">
        <is>
          <t>Auckland</t>
        </is>
      </c>
      <c r="K60" s="59" t="inlineStr">
        <is>
          <t>17-Aug-2026</t>
        </is>
      </c>
      <c r="L60" s="53" t="inlineStr">
        <is>
          <t>Historical supplier benchmark (AMBER)</t>
        </is>
      </c>
      <c r="M60" s="53" t="inlineStr">
        <is>
          <t>Historical survey supplier - identity withheld in client issue</t>
        </is>
      </c>
      <c r="N60" s="53" t="inlineStr">
        <is>
          <t>HBR-011; historical rate recorded excl. GST</t>
        </is>
      </c>
      <c r="O60" s="53" t="inlineStr">
        <is>
          <t>One drainage as-built package</t>
        </is>
      </c>
      <c r="P60" s="53" t="inlineStr">
        <is>
          <t>Drainage as-built survey</t>
        </is>
      </c>
      <c r="Q60" s="53" t="inlineStr">
        <is>
          <t>Setout, other survey, rework and additional visits</t>
        </is>
      </c>
      <c r="R60" s="53" t="inlineStr">
        <is>
          <t>Medium</t>
        </is>
      </c>
      <c r="S60" s="53" t="inlineStr">
        <is>
          <t>AMBER - historical benchmark only</t>
        </is>
      </c>
      <c r="T60" s="54" t="inlineStr">
        <is>
          <t>Verify against current project/company/supplier evidence before use.</t>
        </is>
      </c>
    </row>
    <row r="61" ht="34" customHeight="1" s="491">
      <c r="A61" s="47" t="inlineStr">
        <is>
          <t>HIST-SUB-GPR-VISIT-01</t>
        </is>
      </c>
      <c r="B61" s="48" t="inlineStr">
        <is>
          <t>Subcontract</t>
        </is>
      </c>
      <c r="C61" s="48" t="inlineStr">
        <is>
          <t>GPR utility-locating visit - historical benchmark</t>
        </is>
      </c>
      <c r="D61" s="48" t="inlineStr">
        <is>
          <t>Subcontract</t>
        </is>
      </c>
      <c r="E61" s="48" t="inlineStr">
        <is>
          <t>visit</t>
        </is>
      </c>
      <c r="F61" s="48" t="inlineStr">
        <is>
          <t>Specialist subcontract</t>
        </is>
      </c>
      <c r="G61" s="48" t="inlineStr">
        <is>
          <t>N/A</t>
        </is>
      </c>
      <c r="H61" s="48" t="inlineStr">
        <is>
          <t>N/A</t>
        </is>
      </c>
      <c r="I61" s="1443" t="n">
        <v>250</v>
      </c>
      <c r="J61" s="53" t="inlineStr">
        <is>
          <t>Auckland</t>
        </is>
      </c>
      <c r="K61" s="59" t="inlineStr">
        <is>
          <t>17-Aug-2026</t>
        </is>
      </c>
      <c r="L61" s="53" t="inlineStr">
        <is>
          <t>Historical supplier benchmark (AMBER)</t>
        </is>
      </c>
      <c r="M61" s="53" t="inlineStr">
        <is>
          <t>Historical utility-locating supplier - identity withheld in client issue</t>
        </is>
      </c>
      <c r="N61" s="53" t="inlineStr">
        <is>
          <t>HBR-012; historical commercial basis requires verification</t>
        </is>
      </c>
      <c r="O61" s="53" t="inlineStr">
        <is>
          <t>Per visit; minimums and mobilisation to confirm</t>
        </is>
      </c>
      <c r="P61" s="53" t="inlineStr">
        <is>
          <t>GPR utility-locating visit</t>
        </is>
      </c>
      <c r="Q61" s="53" t="inlineStr">
        <is>
          <t>Potholing, traffic management, additional visits and formal report unless confirmed</t>
        </is>
      </c>
      <c r="R61" s="53" t="inlineStr">
        <is>
          <t>Medium</t>
        </is>
      </c>
      <c r="S61" s="53" t="inlineStr">
        <is>
          <t>AMBER - historical benchmark only</t>
        </is>
      </c>
      <c r="T61" s="54" t="inlineStr">
        <is>
          <t>Verify against current project/company/supplier evidence before use.</t>
        </is>
      </c>
    </row>
    <row r="62" ht="34" customHeight="1" s="491">
      <c r="A62" s="65" t="inlineStr">
        <is>
          <t>HIST-SUB-TMP-DAY-01</t>
        </is>
      </c>
      <c r="B62" s="66" t="inlineStr">
        <is>
          <t>Subcontract</t>
        </is>
      </c>
      <c r="C62" s="66" t="inlineStr">
        <is>
          <t>Traffic management delivery day - historical benchmark</t>
        </is>
      </c>
      <c r="D62" s="66" t="inlineStr">
        <is>
          <t>Subcontract</t>
        </is>
      </c>
      <c r="E62" s="66" t="inlineStr">
        <is>
          <t>day</t>
        </is>
      </c>
      <c r="F62" s="66" t="inlineStr">
        <is>
          <t>Specialist subcontract</t>
        </is>
      </c>
      <c r="G62" s="66" t="inlineStr">
        <is>
          <t>Yes</t>
        </is>
      </c>
      <c r="H62" s="66" t="inlineStr">
        <is>
          <t>Yes</t>
        </is>
      </c>
      <c r="I62" s="1451" t="n">
        <v>1600</v>
      </c>
      <c r="J62" s="73" t="inlineStr">
        <is>
          <t>Auckland</t>
        </is>
      </c>
      <c r="K62" s="74" t="inlineStr">
        <is>
          <t>17-Aug-2026</t>
        </is>
      </c>
      <c r="L62" s="73" t="inlineStr">
        <is>
          <t>Historical supplier benchmark (AMBER)</t>
        </is>
      </c>
      <c r="M62" s="73" t="inlineStr">
        <is>
          <t>Historical traffic-management supplier - identity withheld in client issue</t>
        </is>
      </c>
      <c r="N62" s="73" t="inlineStr">
        <is>
          <t>HBR-013; TMP plan/design additional</t>
        </is>
      </c>
      <c r="O62" s="73" t="inlineStr">
        <is>
          <t>Daily minimum; confirm working hours</t>
        </is>
      </c>
      <c r="P62" s="73" t="inlineStr">
        <is>
          <t>On-site traffic management delivery day</t>
        </is>
      </c>
      <c r="Q62" s="73" t="inlineStr">
        <is>
          <t>TMP plan/design, approvals, after-hours, fees and extensions</t>
        </is>
      </c>
      <c r="R62" s="73" t="inlineStr">
        <is>
          <t>Medium</t>
        </is>
      </c>
      <c r="S62" s="73" t="inlineStr">
        <is>
          <t>AMBER - historical benchmark only</t>
        </is>
      </c>
      <c r="T62" s="75" t="inlineStr">
        <is>
          <t>Verify against current project/company/supplier evidence before use.</t>
        </is>
      </c>
    </row>
    <row r="63" ht="34" customHeight="1" s="491">
      <c r="A63" s="65" t="inlineStr">
        <is>
          <t>HIST-SUB-LINEMARK-01</t>
        </is>
      </c>
      <c r="B63" s="66" t="inlineStr">
        <is>
          <t>Subcontract</t>
        </is>
      </c>
      <c r="C63" s="66" t="inlineStr">
        <is>
          <t>Standard line marking - historical benchmark</t>
        </is>
      </c>
      <c r="D63" s="66" t="inlineStr">
        <is>
          <t>Subcontract</t>
        </is>
      </c>
      <c r="E63" s="66" t="inlineStr">
        <is>
          <t>lm</t>
        </is>
      </c>
      <c r="F63" s="66" t="inlineStr">
        <is>
          <t>Specialist subcontract</t>
        </is>
      </c>
      <c r="G63" s="66" t="inlineStr">
        <is>
          <t>Yes</t>
        </is>
      </c>
      <c r="H63" s="66" t="inlineStr">
        <is>
          <t>Yes</t>
        </is>
      </c>
      <c r="I63" s="1451" t="n">
        <v>22</v>
      </c>
      <c r="J63" s="73" t="inlineStr">
        <is>
          <t>Auckland</t>
        </is>
      </c>
      <c r="K63" s="74" t="inlineStr">
        <is>
          <t>17-Aug-2026</t>
        </is>
      </c>
      <c r="L63" s="73" t="inlineStr">
        <is>
          <t>Historical supplier benchmark (AMBER)</t>
        </is>
      </c>
      <c r="M63" s="73" t="inlineStr">
        <is>
          <t>Historical line-marking supplier - identity withheld in client issue</t>
        </is>
      </c>
      <c r="N63" s="73" t="inlineStr">
        <is>
          <t>HBR-014; historical line-marking benchmark</t>
        </is>
      </c>
      <c r="O63" s="73" t="inlineStr">
        <is>
          <t>Minimum job charge to confirm</t>
        </is>
      </c>
      <c r="P63" s="73" t="inlineStr">
        <is>
          <t>Standard line marking per lineal metre</t>
        </is>
      </c>
      <c r="Q63" s="73" t="inlineStr">
        <is>
          <t>Arrows, symbols, accessible markings, signs, preparation and traffic management unless quoted</t>
        </is>
      </c>
      <c r="R63" s="73" t="inlineStr">
        <is>
          <t>Medium</t>
        </is>
      </c>
      <c r="S63" s="73" t="inlineStr">
        <is>
          <t>AMBER - historical benchmark only</t>
        </is>
      </c>
      <c r="T63" s="75" t="inlineStr">
        <is>
          <t>Verify against current project/company/supplier evidence before use.</t>
        </is>
      </c>
    </row>
    <row r="64" ht="19.20000076293945" customHeight="1" s="491">
      <c r="A64" s="65" t="inlineStr">
        <is>
          <t>MAT-AP20</t>
        </is>
      </c>
      <c r="B64" s="66" t="inlineStr">
        <is>
          <t>Material</t>
        </is>
      </c>
      <c r="C64" s="66" t="inlineStr">
        <is>
          <t>AP20 / GAP20 basecourse aggregate</t>
        </is>
      </c>
      <c r="D64" s="66" t="inlineStr">
        <is>
          <t>Material</t>
        </is>
      </c>
      <c r="E64" s="66" t="inlineStr">
        <is>
          <t>t</t>
        </is>
      </c>
      <c r="F64" s="66" t="inlineStr">
        <is>
          <t>Merchant supply</t>
        </is>
      </c>
      <c r="G64" s="66" t="inlineStr">
        <is>
          <t>N/A</t>
        </is>
      </c>
      <c r="H64" s="66" t="inlineStr">
        <is>
          <t>N/A</t>
        </is>
      </c>
      <c r="I64" s="1451" t="n">
        <v>39.5</v>
      </c>
      <c r="J64" s="73" t="inlineStr">
        <is>
          <t>Auckland</t>
        </is>
      </c>
      <c r="K64" s="74" t="inlineStr">
        <is>
          <t>11-May-2026</t>
        </is>
      </c>
      <c r="L64" s="73" t="inlineStr">
        <is>
          <t>Published supplier price</t>
        </is>
      </c>
      <c r="M64" s="73" t="inlineStr">
        <is>
          <t>The Urban Quarry - Onehunga</t>
        </is>
      </c>
      <c r="N64" s="73" t="inlineStr">
        <is>
          <t>https://www.urbanquarry.co.nz/pricelist-2-2</t>
        </is>
      </c>
      <c r="O64" s="73" t="n"/>
      <c r="P64" s="73" t="inlineStr">
        <is>
          <t>Ex-gate aggregate supply</t>
        </is>
      </c>
      <c r="Q64" s="73" t="inlineStr">
        <is>
          <t>GST, delivery/haul and placement</t>
        </is>
      </c>
      <c r="R64" s="73" t="inlineStr">
        <is>
          <t>High</t>
        </is>
      </c>
      <c r="S64" s="73" t="inlineStr">
        <is>
          <t>AMBER - current published price; delivered project quote required</t>
        </is>
      </c>
      <c r="T64" s="75" t="inlineStr">
        <is>
          <t>Valid from 11-May-2026 until further notice; current web check 06-Sep-2026.</t>
        </is>
      </c>
    </row>
    <row r="65" ht="19.20000076293945" customHeight="1" s="491">
      <c r="A65" s="65" t="inlineStr">
        <is>
          <t>MAT-MESH665</t>
        </is>
      </c>
      <c r="B65" s="66" t="inlineStr">
        <is>
          <t>Material</t>
        </is>
      </c>
      <c r="C65" s="66" t="inlineStr">
        <is>
          <t>665 reinforcing mesh 4.51m x 1.96m</t>
        </is>
      </c>
      <c r="D65" s="66" t="inlineStr">
        <is>
          <t>Material</t>
        </is>
      </c>
      <c r="E65" s="66" t="inlineStr">
        <is>
          <t>sheet</t>
        </is>
      </c>
      <c r="F65" s="66" t="inlineStr">
        <is>
          <t>Merchant supply</t>
        </is>
      </c>
      <c r="G65" s="66" t="inlineStr">
        <is>
          <t>N/A</t>
        </is>
      </c>
      <c r="H65" s="66" t="inlineStr">
        <is>
          <t>N/A</t>
        </is>
      </c>
      <c r="I65" s="1451" t="n">
        <v>62.5</v>
      </c>
      <c r="J65" s="73" t="inlineStr">
        <is>
          <t>Auckland</t>
        </is>
      </c>
      <c r="K65" s="74" t="inlineStr">
        <is>
          <t>06-Sep-2026</t>
        </is>
      </c>
      <c r="L65" s="73" t="inlineStr">
        <is>
          <t>Current published supplier price</t>
        </is>
      </c>
      <c r="M65" s="73" t="inlineStr">
        <is>
          <t>Quality Steel Supplies Auckland</t>
        </is>
      </c>
      <c r="N65" s="73" t="inlineStr">
        <is>
          <t>https://qualitysteelsupplies.co.nz/shop/</t>
        </is>
      </c>
      <c r="O65" s="73" t="n"/>
      <c r="P65" s="73" t="inlineStr">
        <is>
          <t>665 mesh sheet supply</t>
        </is>
      </c>
      <c r="Q65" s="73" t="inlineStr">
        <is>
          <t>Delivery, laps/waste, chairs and installation</t>
        </is>
      </c>
      <c r="R65" s="73" t="inlineStr">
        <is>
          <t>High</t>
        </is>
      </c>
      <c r="S65" s="73" t="inlineStr">
        <is>
          <t>AMBER - current supplier price; project order/delivery quote required</t>
        </is>
      </c>
      <c r="T65" s="75" t="inlineStr">
        <is>
          <t>Current published price excl. GST. Effective cover/waste to be calculated in job build-up.</t>
        </is>
      </c>
    </row>
    <row r="66" ht="19.20000076293945" customHeight="1" s="491">
      <c r="A66" s="65" t="inlineStr">
        <is>
          <t>MAT-KEYSTONE-COMPAC</t>
        </is>
      </c>
      <c r="B66" s="66" t="inlineStr">
        <is>
          <t>Material</t>
        </is>
      </c>
      <c r="C66" s="66" t="inlineStr">
        <is>
          <t>Firth Keystone Compac III straight-face block</t>
        </is>
      </c>
      <c r="D66" s="66" t="inlineStr">
        <is>
          <t>Material</t>
        </is>
      </c>
      <c r="E66" s="66" t="inlineStr">
        <is>
          <t>ea</t>
        </is>
      </c>
      <c r="F66" s="66" t="inlineStr">
        <is>
          <t>Merchant / manufacturer supply</t>
        </is>
      </c>
      <c r="G66" s="66" t="inlineStr">
        <is>
          <t>N/A</t>
        </is>
      </c>
      <c r="H66" s="66" t="inlineStr">
        <is>
          <t>N/A</t>
        </is>
      </c>
      <c r="I66" s="1451" t="n">
        <v>19.35</v>
      </c>
      <c r="J66" s="73" t="inlineStr">
        <is>
          <t>Auckland / NZ</t>
        </is>
      </c>
      <c r="K66" s="74" t="inlineStr">
        <is>
          <t>06-Sep-2026</t>
        </is>
      </c>
      <c r="L66" s="73" t="inlineStr">
        <is>
          <t>Current published market benchmark</t>
        </is>
      </c>
      <c r="M66" s="73" t="inlineStr">
        <is>
          <t>Mighty Outdoor; Firth technical cross-check</t>
        </is>
      </c>
      <c r="N66" s="73" t="inlineStr">
        <is>
          <t>https://www.mightyoutdoor.co.nz/retaining-wall-selection/firth-retaining-blocks/keycomiii.html | https://www.firth.co.nz/paving-and-retaining/retaining-and-fences/compac-iii</t>
        </is>
      </c>
      <c r="O66" s="73" t="n"/>
      <c r="P66" s="73" t="inlineStr">
        <is>
          <t>Straight-face Compac III block supply</t>
        </is>
      </c>
      <c r="Q66" s="73" t="inlineStr">
        <is>
          <t>Freight, pins, caps, corners, no-fines concrete and installation</t>
        </is>
      </c>
      <c r="R66" s="73" t="inlineStr">
        <is>
          <t>Medium</t>
        </is>
      </c>
      <c r="S66" s="73" t="inlineStr">
        <is>
          <t>AMBER - published market benchmark; project supplier quote required</t>
        </is>
      </c>
      <c r="T66" s="75" t="inlineStr">
        <is>
          <t>$22.25 incl. GST converted to $19.35 excl. GST; Bunnings current independent price is higher.</t>
        </is>
      </c>
    </row>
    <row r="67" ht="19.20000076293945" customHeight="1" s="491">
      <c r="A67" s="65" t="inlineStr">
        <is>
          <t>MAT-KEYSTONE-CAP</t>
        </is>
      </c>
      <c r="B67" s="66" t="inlineStr">
        <is>
          <t>Material</t>
        </is>
      </c>
      <c r="C67" s="66" t="inlineStr">
        <is>
          <t>Firth Keystone Compac III capping unit</t>
        </is>
      </c>
      <c r="D67" s="66" t="inlineStr">
        <is>
          <t>Material</t>
        </is>
      </c>
      <c r="E67" s="66" t="inlineStr">
        <is>
          <t>ea</t>
        </is>
      </c>
      <c r="F67" s="66" t="inlineStr">
        <is>
          <t>Merchant / manufacturer supply</t>
        </is>
      </c>
      <c r="G67" s="66" t="inlineStr">
        <is>
          <t>N/A</t>
        </is>
      </c>
      <c r="H67" s="66" t="inlineStr">
        <is>
          <t>N/A</t>
        </is>
      </c>
      <c r="I67" s="1451" t="n">
        <v>12.57</v>
      </c>
      <c r="J67" s="73" t="inlineStr">
        <is>
          <t>Auckland / NZ</t>
        </is>
      </c>
      <c r="K67" s="74" t="inlineStr">
        <is>
          <t>06-Sep-2026</t>
        </is>
      </c>
      <c r="L67" s="73" t="inlineStr">
        <is>
          <t>Current published market benchmark</t>
        </is>
      </c>
      <c r="M67" s="73" t="inlineStr">
        <is>
          <t>Bunnings NZ; Firth technical cross-check</t>
        </is>
      </c>
      <c r="N67" s="73" t="inlineStr">
        <is>
          <t>https://www.bunnings.co.nz/firth-100-x-457-x-270mm-compac-iii-rockface-keystone-retaining-cap_p0271202 | https://www.firth.co.nz/paving-and-retaining/retaining-and-fences/compac-iii</t>
        </is>
      </c>
      <c r="O67" s="73" t="n"/>
      <c r="P67" s="73" t="inlineStr">
        <is>
          <t>Compac III cap supply</t>
        </is>
      </c>
      <c r="Q67" s="73" t="inlineStr">
        <is>
          <t>Freight, adhesive, blocks, corners and installation</t>
        </is>
      </c>
      <c r="R67" s="73" t="inlineStr">
        <is>
          <t>Medium</t>
        </is>
      </c>
      <c r="S67" s="73" t="inlineStr">
        <is>
          <t>AMBER - published market benchmark; project supplier quote required</t>
        </is>
      </c>
      <c r="T67" s="75" t="inlineStr">
        <is>
          <t>$14.45 incl. GST converted to $12.57 excl. GST. Confirm actual trade/supplier rate and colour.</t>
        </is>
      </c>
    </row>
    <row r="68" ht="19.20000076293945" customHeight="1" s="491">
      <c r="A68" s="65" t="inlineStr">
        <is>
          <t>PL-EXC-3-INHOUSE</t>
        </is>
      </c>
      <c r="B68" s="66" t="inlineStr">
        <is>
          <t>Plant</t>
        </is>
      </c>
      <c r="C68" s="66" t="inlineStr">
        <is>
          <t>3.0 t excavator in-house historical project rate - operator included</t>
        </is>
      </c>
      <c r="D68" s="66" t="inlineStr">
        <is>
          <t>Plant</t>
        </is>
      </c>
      <c r="E68" s="66" t="inlineStr">
        <is>
          <t>hr</t>
        </is>
      </c>
      <c r="F68" s="66" t="inlineStr">
        <is>
          <t>In-house / historical company-project control</t>
        </is>
      </c>
      <c r="G68" s="66" t="inlineStr">
        <is>
          <t>Yes</t>
        </is>
      </c>
      <c r="H68" s="66" t="inlineStr">
        <is>
          <t>Unclear - historical rate treated all-in; no separate fuel added</t>
        </is>
      </c>
      <c r="I68" s="1451" t="n">
        <v>97.5</v>
      </c>
      <c r="J68" s="73" t="inlineStr">
        <is>
          <t>Auckland</t>
        </is>
      </c>
      <c r="K68" s="74" t="inlineStr">
        <is>
          <t>19-Mar-2026</t>
        </is>
      </c>
      <c r="L68" s="73" t="inlineStr">
        <is>
          <t>Historical project estimate / company control</t>
        </is>
      </c>
      <c r="M68" s="73" t="inlineStr">
        <is>
          <t>48 Eastglen Road - Blackline estimate cost tracker</t>
        </is>
      </c>
      <c r="N68" s="73" t="inlineStr">
        <is>
          <t>Blackline_Estimate_Cost_Tracker_48_Eastglen.xlsx / 48 Eastglen project</t>
        </is>
      </c>
      <c r="O68" s="73" t="n"/>
      <c r="P68" s="73" t="inlineStr">
        <is>
          <t>3.0t excavator historical direct project rate incl. operator</t>
        </is>
      </c>
      <c r="Q68" s="73" t="inlineStr">
        <is>
          <t>Specialist auger attachment, mobilisation, overtime; fuel basis not separately evidenced</t>
        </is>
      </c>
      <c r="R68" s="73" t="inlineStr">
        <is>
          <t>Medium</t>
        </is>
      </c>
      <c r="S68" s="73" t="inlineStr">
        <is>
          <t>AMBER - company comparable; current-project productivity/plant availability to verify</t>
        </is>
      </c>
      <c r="T68" s="75" t="inlineStr">
        <is>
          <t>Use only as an in-house self-perform control. Independent reasonableness check: current 5.5t wet hire = $110/hr; do not add a separate operator.</t>
        </is>
      </c>
    </row>
    <row r="69" ht="19.20000076293945" customHeight="1" s="491">
      <c r="A69" s="65" t="inlineStr">
        <is>
          <t>PL-AUGER-3T-INHOUSE</t>
        </is>
      </c>
      <c r="B69" s="66" t="inlineStr">
        <is>
          <t>Plant</t>
        </is>
      </c>
      <c r="C69" s="66" t="inlineStr">
        <is>
          <t>3 t excavator auger / drill attachment in-house historical project rate</t>
        </is>
      </c>
      <c r="D69" s="66" t="inlineStr">
        <is>
          <t>Plant</t>
        </is>
      </c>
      <c r="E69" s="66" t="inlineStr">
        <is>
          <t>hr</t>
        </is>
      </c>
      <c r="F69" s="66" t="inlineStr">
        <is>
          <t>In-house / historical company-project control</t>
        </is>
      </c>
      <c r="G69" s="66" t="inlineStr">
        <is>
          <t>N/A</t>
        </is>
      </c>
      <c r="H69" s="66" t="inlineStr">
        <is>
          <t>N/A</t>
        </is>
      </c>
      <c r="I69" s="1451" t="n">
        <v>22.5</v>
      </c>
      <c r="J69" s="73" t="inlineStr">
        <is>
          <t>Auckland</t>
        </is>
      </c>
      <c r="K69" s="74" t="inlineStr">
        <is>
          <t>19-Mar-2026</t>
        </is>
      </c>
      <c r="L69" s="73" t="inlineStr">
        <is>
          <t>Historical project estimate / company control</t>
        </is>
      </c>
      <c r="M69" s="73" t="inlineStr">
        <is>
          <t>48 Eastglen Road - Blackline estimate cost tracker</t>
        </is>
      </c>
      <c r="N69" s="73" t="inlineStr">
        <is>
          <t>Blackline_Estimate_Cost_Tracker_48_Eastglen.xlsx / 48 Eastglen project</t>
        </is>
      </c>
      <c r="O69" s="73" t="n"/>
      <c r="P69" s="73" t="inlineStr">
        <is>
          <t>Auger / drill attachment historical project rate</t>
        </is>
      </c>
      <c r="Q69" s="73" t="inlineStr">
        <is>
          <t>Excavator, operator, mobilisation, extraordinary wear, specialist casing/formtube</t>
        </is>
      </c>
      <c r="R69" s="73" t="inlineStr">
        <is>
          <t>Medium</t>
        </is>
      </c>
      <c r="S69" s="73" t="inlineStr">
        <is>
          <t>AMBER - company comparable; confirm 450/500mm tooling and condition</t>
        </is>
      </c>
      <c r="T69" s="75" t="inlineStr">
        <is>
          <t>Eastglen comparable used 3t drill gear as a separate plant resource. Pair with PL-EXC-3-INHOUSE; do not duplicate machine/operator.</t>
        </is>
      </c>
    </row>
    <row r="70" ht="19.20000076293945" customHeight="1" s="491">
      <c r="A70" s="65" t="inlineStr">
        <is>
          <t>OTH-PORTABLE-TOILET</t>
        </is>
      </c>
      <c r="B70" s="66" t="inlineStr">
        <is>
          <t>Other</t>
        </is>
      </c>
      <c r="C70" s="66" t="inlineStr">
        <is>
          <t>Portable toilet hire and servicing - tender benchmark</t>
        </is>
      </c>
      <c r="D70" s="66" t="inlineStr">
        <is>
          <t>Other</t>
        </is>
      </c>
      <c r="E70" s="66" t="inlineStr">
        <is>
          <t>week</t>
        </is>
      </c>
      <c r="F70" s="66" t="inlineStr">
        <is>
          <t>Hire allowance</t>
        </is>
      </c>
      <c r="G70" s="66" t="inlineStr">
        <is>
          <t>N/A</t>
        </is>
      </c>
      <c r="H70" s="66" t="inlineStr">
        <is>
          <t>N/A</t>
        </is>
      </c>
      <c r="I70" s="1451" t="n">
        <v>120</v>
      </c>
      <c r="J70" s="73" t="inlineStr">
        <is>
          <t>Auckland / NZ</t>
        </is>
      </c>
      <c r="K70" s="74" t="inlineStr">
        <is>
          <t>08-Sep-2026</t>
        </is>
      </c>
      <c r="L70" s="73" t="inlineStr">
        <is>
          <t>Reviewed comparable estimate allowance</t>
        </is>
      </c>
      <c r="M70" s="73" t="inlineStr">
        <is>
          <t>3Bears / Orion Point Stage 5</t>
        </is>
      </c>
      <c r="N70" s="73" t="inlineStr">
        <is>
          <t>Orion_Point_Stage5_Client_Estimate_Report_Draft.pdf</t>
        </is>
      </c>
      <c r="O70" s="73" t="inlineStr">
        <is>
          <t>Confirm delivery/pickup/servicing</t>
        </is>
      </c>
      <c r="P70" s="73" t="inlineStr">
        <is>
          <t>Portable toilet weekly hire/service allowance</t>
        </is>
      </c>
      <c r="Q70" s="73" t="inlineStr">
        <is>
          <t>Abnormal servicing, damage, relocation and project-specific supplier minimums</t>
        </is>
      </c>
      <c r="R70" s="73" t="inlineStr">
        <is>
          <t>Medium</t>
        </is>
      </c>
      <c r="S70" s="73" t="inlineStr">
        <is>
          <t>AMBER - comparable estimate benchmark</t>
        </is>
      </c>
      <c r="T70" s="75" t="inlineStr">
        <is>
          <t>Use as tender benchmark only; replace with Siteworks/supplier actual if provided.</t>
        </is>
      </c>
    </row>
    <row r="71" ht="19.20000076293945" customHeight="1" s="491">
      <c r="A71" s="65" t="inlineStr">
        <is>
          <t>OTH-SITE-LOCKUP</t>
        </is>
      </c>
      <c r="B71" s="66" t="inlineStr">
        <is>
          <t>Other</t>
        </is>
      </c>
      <c r="C71" s="66" t="inlineStr">
        <is>
          <t>20ft lockable container / site lockup - tender benchmark</t>
        </is>
      </c>
      <c r="D71" s="66" t="inlineStr">
        <is>
          <t>Other</t>
        </is>
      </c>
      <c r="E71" s="66" t="inlineStr">
        <is>
          <t>week</t>
        </is>
      </c>
      <c r="F71" s="66" t="inlineStr">
        <is>
          <t>Hire allowance</t>
        </is>
      </c>
      <c r="G71" s="66" t="inlineStr">
        <is>
          <t>N/A</t>
        </is>
      </c>
      <c r="H71" s="66" t="inlineStr">
        <is>
          <t>N/A</t>
        </is>
      </c>
      <c r="I71" s="1451" t="n">
        <v>175</v>
      </c>
      <c r="J71" s="73" t="inlineStr">
        <is>
          <t>Auckland / NZ</t>
        </is>
      </c>
      <c r="K71" s="74" t="inlineStr">
        <is>
          <t>08-Sep-2026</t>
        </is>
      </c>
      <c r="L71" s="73" t="inlineStr">
        <is>
          <t>Reviewed comparable estimate allowance</t>
        </is>
      </c>
      <c r="M71" s="73" t="inlineStr">
        <is>
          <t>3Bears / Orion Point Stage 5</t>
        </is>
      </c>
      <c r="N71" s="73" t="inlineStr">
        <is>
          <t>Orion_Point_Stage5_Client_Estimate_Report_Draft.pdf</t>
        </is>
      </c>
      <c r="O71" s="73" t="inlineStr">
        <is>
          <t>Confirm delivery/pickup/minimum hire</t>
        </is>
      </c>
      <c r="P71" s="73" t="inlineStr">
        <is>
          <t>20ft lockable container / site lockup weekly allowance</t>
        </is>
      </c>
      <c r="Q71" s="73" t="inlineStr">
        <is>
          <t>Separate office cabin, abnormal delivery/craneage, power and security</t>
        </is>
      </c>
      <c r="R71" s="73" t="inlineStr">
        <is>
          <t>Medium</t>
        </is>
      </c>
      <c r="S71" s="73" t="inlineStr">
        <is>
          <t>AMBER - comparable estimate benchmark</t>
        </is>
      </c>
      <c r="T71" s="75" t="inlineStr">
        <is>
          <t>Use as tender benchmark only; replace with Siteworks/supplier actual if provided.</t>
        </is>
      </c>
    </row>
    <row r="72" ht="19.20000076293945" customHeight="1" s="491">
      <c r="A72" s="65" t="inlineStr">
        <is>
          <t>OTH-PLANT-TRANSPORT-PROXY</t>
        </is>
      </c>
      <c r="B72" s="66" t="inlineStr">
        <is>
          <t>Other</t>
        </is>
      </c>
      <c r="C72" s="66" t="inlineStr">
        <is>
          <t>Plant mobilisation / transporter wet-hire proxy</t>
        </is>
      </c>
      <c r="D72" s="66" t="inlineStr">
        <is>
          <t>Other</t>
        </is>
      </c>
      <c r="E72" s="66" t="inlineStr">
        <is>
          <t>hr</t>
        </is>
      </c>
      <c r="F72" s="66" t="inlineStr">
        <is>
          <t>Transport allowance</t>
        </is>
      </c>
      <c r="G72" s="66" t="inlineStr">
        <is>
          <t>Yes</t>
        </is>
      </c>
      <c r="H72" s="66" t="inlineStr">
        <is>
          <t>Yes</t>
        </is>
      </c>
      <c r="I72" s="1451" t="n">
        <v>175</v>
      </c>
      <c r="J72" s="73" t="inlineStr">
        <is>
          <t>Auckland / NZ</t>
        </is>
      </c>
      <c r="K72" s="74" t="inlineStr">
        <is>
          <t>08-Sep-2026</t>
        </is>
      </c>
      <c r="L72" s="73" t="inlineStr">
        <is>
          <t>Current published supplier benchmark</t>
        </is>
      </c>
      <c r="M72" s="73" t="inlineStr">
        <is>
          <t>ASAP Machine Hire &amp; Earthworks</t>
        </is>
      </c>
      <c r="N72" s="73" t="inlineStr">
        <is>
          <t>https://www.asapmachinehire.co.nz/price-list</t>
        </is>
      </c>
      <c r="O72" s="73" t="inlineStr">
        <is>
          <t>Actual 5.5t+ transporter rates by quote</t>
        </is>
      </c>
      <c r="P72" s="73" t="inlineStr">
        <is>
          <t>Truck/trailer, driver and normal fuel benchmark</t>
        </is>
      </c>
      <c r="Q72" s="73" t="inlineStr">
        <is>
          <t>Heavy transporter premium, permits, escorts, waiting and abnormal access</t>
        </is>
      </c>
      <c r="R72" s="73" t="inlineStr">
        <is>
          <t>Medium</t>
        </is>
      </c>
      <c r="S72" s="73" t="inlineStr">
        <is>
          <t>AMBER - transport proxy / heavy transporter rate to verify</t>
        </is>
      </c>
      <c r="T72" s="75" t="inlineStr">
        <is>
          <t>Published truck-and-trailer wet-hire benchmark only. ASAP states 5.5t+ transporter rates are by quote.</t>
        </is>
      </c>
    </row>
    <row r="73" ht="19.20000076293945" customHeight="1" s="491">
      <c r="A73" s="65" t="inlineStr">
        <is>
          <t>MAT-SILTFENCE-50</t>
        </is>
      </c>
      <c r="B73" s="66" t="inlineStr">
        <is>
          <t>Material</t>
        </is>
      </c>
      <c r="C73" s="66" t="inlineStr">
        <is>
          <t>Cirtex premium silt fence 1.0 x 50m, code 76027</t>
        </is>
      </c>
      <c r="D73" s="66" t="inlineStr">
        <is>
          <t>Material</t>
        </is>
      </c>
      <c r="E73" s="66" t="inlineStr">
        <is>
          <t>roll</t>
        </is>
      </c>
      <c r="F73" s="66" t="inlineStr">
        <is>
          <t>Merchant supply</t>
        </is>
      </c>
      <c r="G73" s="66" t="inlineStr">
        <is>
          <t>N/A</t>
        </is>
      </c>
      <c r="H73" s="66" t="inlineStr">
        <is>
          <t>N/A</t>
        </is>
      </c>
      <c r="I73" s="1451" t="n">
        <v>87.06999999999999</v>
      </c>
      <c r="J73" s="73" t="inlineStr">
        <is>
          <t>Auckland / NZ</t>
        </is>
      </c>
      <c r="K73" s="74" t="inlineStr">
        <is>
          <t>08-Sep-2026</t>
        </is>
      </c>
      <c r="L73" s="73" t="inlineStr">
        <is>
          <t>Current account pricebook</t>
        </is>
      </c>
      <c r="M73" s="73" t="inlineStr">
        <is>
          <t>CARTERS / Cirtex 76027</t>
        </is>
      </c>
      <c r="N73" s="73" t="inlineStr">
        <is>
          <t>CARTERS Standard Price Book export 08-Sep-2026</t>
        </is>
      </c>
      <c r="O73" s="73" t="inlineStr">
        <is>
          <t>50m roll</t>
        </is>
      </c>
      <c r="P73" s="73" t="inlineStr">
        <is>
          <t>Fabric supply only</t>
        </is>
      </c>
      <c r="Q73" s="73" t="inlineStr">
        <is>
          <t>Posts, wire, clips/pins, caps, delivery and installation</t>
        </is>
      </c>
      <c r="R73" s="73" t="inlineStr">
        <is>
          <t>High</t>
        </is>
      </c>
      <c r="S73" s="73" t="inlineStr">
        <is>
          <t>GREEN - current account rate + independent current retail + quantity check</t>
        </is>
      </c>
      <c r="T73" s="75" t="inlineStr">
        <is>
          <t>CARTERS $87.07/roll excl GST. Independent Mitre10 $72.98. https://www.mitre10.co.nz/shop/strol-cirtex-silt-fence-woven-silt-sediment-control-fabric-1m-x-50m-black/p/228126</t>
        </is>
      </c>
    </row>
    <row r="74" ht="19.20000076293945" customHeight="1" s="491">
      <c r="A74" s="65" t="inlineStr">
        <is>
          <t>MAT-YPOST-180</t>
        </is>
      </c>
      <c r="B74" s="66" t="inlineStr">
        <is>
          <t>Material</t>
        </is>
      </c>
      <c r="C74" s="66" t="inlineStr">
        <is>
          <t>Fencing standard Y post 1.80m</t>
        </is>
      </c>
      <c r="D74" s="66" t="inlineStr">
        <is>
          <t>Material</t>
        </is>
      </c>
      <c r="E74" s="66" t="inlineStr">
        <is>
          <t>ea</t>
        </is>
      </c>
      <c r="F74" s="66" t="inlineStr">
        <is>
          <t>Merchant supply</t>
        </is>
      </c>
      <c r="G74" s="66" t="inlineStr">
        <is>
          <t>N/A</t>
        </is>
      </c>
      <c r="H74" s="66" t="inlineStr">
        <is>
          <t>N/A</t>
        </is>
      </c>
      <c r="I74" s="1451" t="n">
        <v>12.8</v>
      </c>
      <c r="J74" s="73" t="inlineStr">
        <is>
          <t>Auckland / NZ</t>
        </is>
      </c>
      <c r="K74" s="74" t="inlineStr">
        <is>
          <t>08-Sep-2026</t>
        </is>
      </c>
      <c r="L74" s="73" t="inlineStr">
        <is>
          <t>Current account pricebook</t>
        </is>
      </c>
      <c r="M74" s="73" t="inlineStr">
        <is>
          <t>CARTERS</t>
        </is>
      </c>
      <c r="N74" s="73" t="inlineStr">
        <is>
          <t>CARTERS Standard Price Book export 08-Sep-2026</t>
        </is>
      </c>
      <c r="O74" s="73" t="inlineStr">
        <is>
          <t>Each</t>
        </is>
      </c>
      <c r="P74" s="73" t="inlineStr">
        <is>
          <t>1.8m Y post supply</t>
        </is>
      </c>
      <c r="Q74" s="73" t="inlineStr">
        <is>
          <t>Safety cap, delivery and installation</t>
        </is>
      </c>
      <c r="R74" s="73" t="inlineStr">
        <is>
          <t>High</t>
        </is>
      </c>
      <c r="S74" s="73" t="inlineStr">
        <is>
          <t>GREEN - current account rate + independent retail + spacing check</t>
        </is>
      </c>
      <c r="T74" s="75" t="inlineStr">
        <is>
          <t>CARTERS $12.80/ea excl GST. Bunnings current $11.93. https://www.bunnings.co.nz/summit-steel-wire-1-8m-black-y-post_p0814015</t>
        </is>
      </c>
    </row>
    <row r="75" ht="19.20000076293945" customHeight="1" s="491">
      <c r="A75" s="65" t="inlineStr">
        <is>
          <t>MAT-YPOST-CAP</t>
        </is>
      </c>
      <c r="B75" s="66" t="inlineStr">
        <is>
          <t>Material</t>
        </is>
      </c>
      <c r="C75" s="66" t="inlineStr">
        <is>
          <t>Safety cap for starter / Y post</t>
        </is>
      </c>
      <c r="D75" s="66" t="inlineStr">
        <is>
          <t>Material</t>
        </is>
      </c>
      <c r="E75" s="66" t="inlineStr">
        <is>
          <t>ea</t>
        </is>
      </c>
      <c r="F75" s="66" t="inlineStr">
        <is>
          <t>Merchant supply</t>
        </is>
      </c>
      <c r="G75" s="66" t="inlineStr">
        <is>
          <t>N/A</t>
        </is>
      </c>
      <c r="H75" s="66" t="inlineStr">
        <is>
          <t>N/A</t>
        </is>
      </c>
      <c r="I75" s="1451" t="n">
        <v>0.98</v>
      </c>
      <c r="J75" s="73" t="inlineStr">
        <is>
          <t>Auckland / NZ</t>
        </is>
      </c>
      <c r="K75" s="74" t="inlineStr">
        <is>
          <t>08-Sep-2026</t>
        </is>
      </c>
      <c r="L75" s="73" t="inlineStr">
        <is>
          <t>Current account pricebook</t>
        </is>
      </c>
      <c r="M75" s="73" t="inlineStr">
        <is>
          <t>CARTERS</t>
        </is>
      </c>
      <c r="N75" s="73" t="inlineStr">
        <is>
          <t>CARTERS Standard Price Book export 08-Sep-2026</t>
        </is>
      </c>
      <c r="O75" s="73" t="inlineStr">
        <is>
          <t>Each</t>
        </is>
      </c>
      <c r="P75" s="73" t="inlineStr">
        <is>
          <t>Safety cap supply</t>
        </is>
      </c>
      <c r="Q75" s="73" t="inlineStr">
        <is>
          <t>Post and installation</t>
        </is>
      </c>
      <c r="R75" s="73" t="inlineStr">
        <is>
          <t>Medium</t>
        </is>
      </c>
      <c r="S75" s="73" t="inlineStr">
        <is>
          <t>AMBER - current primary price / independent direct price incomplete</t>
        </is>
      </c>
      <c r="T75" s="75" t="inlineStr">
        <is>
          <t>One cap per Y post.</t>
        </is>
      </c>
    </row>
    <row r="76" ht="19.20000076293945" customHeight="1" s="491">
      <c r="A76" s="65" t="inlineStr">
        <is>
          <t>MAT-WIRE-HT650</t>
        </is>
      </c>
      <c r="B76" s="66" t="inlineStr">
        <is>
          <t>Material</t>
        </is>
      </c>
      <c r="C76" s="66" t="inlineStr">
        <is>
          <t>Premium fencing wire 2.5mm HT, 25kg / 650m coil</t>
        </is>
      </c>
      <c r="D76" s="66" t="inlineStr">
        <is>
          <t>Material</t>
        </is>
      </c>
      <c r="E76" s="66" t="inlineStr">
        <is>
          <t>coil</t>
        </is>
      </c>
      <c r="F76" s="66" t="inlineStr">
        <is>
          <t>Merchant supply</t>
        </is>
      </c>
      <c r="G76" s="66" t="inlineStr">
        <is>
          <t>N/A</t>
        </is>
      </c>
      <c r="H76" s="66" t="inlineStr">
        <is>
          <t>N/A</t>
        </is>
      </c>
      <c r="I76" s="1451" t="n">
        <v>114.91</v>
      </c>
      <c r="J76" s="73" t="inlineStr">
        <is>
          <t>Auckland / NZ</t>
        </is>
      </c>
      <c r="K76" s="74" t="inlineStr">
        <is>
          <t>08-Sep-2026</t>
        </is>
      </c>
      <c r="L76" s="73" t="inlineStr">
        <is>
          <t>Current account pricebook</t>
        </is>
      </c>
      <c r="M76" s="73" t="inlineStr">
        <is>
          <t>CARTERS</t>
        </is>
      </c>
      <c r="N76" s="73" t="inlineStr">
        <is>
          <t>CARTERS Standard Price Book export 08-Sep-2026</t>
        </is>
      </c>
      <c r="O76" s="73" t="inlineStr">
        <is>
          <t>650m coil</t>
        </is>
      </c>
      <c r="P76" s="73" t="inlineStr">
        <is>
          <t>High-tensile support wire</t>
        </is>
      </c>
      <c r="Q76" s="73" t="inlineStr">
        <is>
          <t>Fixings and installation</t>
        </is>
      </c>
      <c r="R76" s="73" t="inlineStr">
        <is>
          <t>Medium</t>
        </is>
      </c>
      <c r="S76" s="73" t="inlineStr">
        <is>
          <t>AMBER - current primary price</t>
        </is>
      </c>
      <c r="T76" s="75" t="inlineStr">
        <is>
          <t>One coil exceeds current working fence length and leaves repair reserve.</t>
        </is>
      </c>
    </row>
    <row r="77" ht="19.20000076293945" customHeight="1" s="491">
      <c r="A77" s="65" t="inlineStr">
        <is>
          <t>MAT-SILTFENCE-PINS100</t>
        </is>
      </c>
      <c r="B77" s="66" t="inlineStr">
        <is>
          <t>Material</t>
        </is>
      </c>
      <c r="C77" s="66" t="inlineStr">
        <is>
          <t>Cirtex 75mm SiltFence pins - 100 pack</t>
        </is>
      </c>
      <c r="D77" s="66" t="inlineStr">
        <is>
          <t>Material</t>
        </is>
      </c>
      <c r="E77" s="66" t="inlineStr">
        <is>
          <t>bag</t>
        </is>
      </c>
      <c r="F77" s="66" t="inlineStr">
        <is>
          <t>Retail / merchant</t>
        </is>
      </c>
      <c r="G77" s="66" t="inlineStr">
        <is>
          <t>N/A</t>
        </is>
      </c>
      <c r="H77" s="66" t="inlineStr">
        <is>
          <t>N/A</t>
        </is>
      </c>
      <c r="I77" s="1451" t="n">
        <v>27</v>
      </c>
      <c r="J77" s="73" t="inlineStr">
        <is>
          <t>NZ / Auckland</t>
        </is>
      </c>
      <c r="K77" s="74" t="inlineStr">
        <is>
          <t>09-Sep-2026</t>
        </is>
      </c>
      <c r="L77" s="73" t="inlineStr">
        <is>
          <t>Current published retail</t>
        </is>
      </c>
      <c r="M77" s="73" t="inlineStr">
        <is>
          <t>Bunnings NZ / Cirtex 76062</t>
        </is>
      </c>
      <c r="N77" s="73" t="inlineStr">
        <is>
          <t>https://www.bunnings.co.nz/search/products?q=siltfence+pack</t>
        </is>
      </c>
      <c r="O77" s="73" t="inlineStr">
        <is>
          <t>100 pins/bag</t>
        </is>
      </c>
      <c r="P77" s="73" t="inlineStr">
        <is>
          <t>Pins for fixing fence fabric to support wire</t>
        </is>
      </c>
      <c r="Q77" s="73" t="inlineStr">
        <is>
          <t>Delivery and installation</t>
        </is>
      </c>
      <c r="R77" s="73" t="inlineStr">
        <is>
          <t>Medium</t>
        </is>
      </c>
      <c r="S77" s="73" t="inlineStr">
        <is>
          <t>AMBER - current retail / project merchant quote not held</t>
        </is>
      </c>
      <c r="T77" s="75" t="inlineStr">
        <is>
          <t>Cirtex guidance permits pins/clips; high-tensile wire basis uses up to 500mm fixing spacing.</t>
        </is>
      </c>
    </row>
    <row r="78" ht="19.20000076293945" customHeight="1" s="491">
      <c r="A78" s="65" t="inlineStr">
        <is>
          <t>MAT-WIRE-STRAINER</t>
        </is>
      </c>
      <c r="B78" s="66" t="inlineStr">
        <is>
          <t>Material</t>
        </is>
      </c>
      <c r="C78" s="66" t="inlineStr">
        <is>
          <t>Wire strainer clip-lock type</t>
        </is>
      </c>
      <c r="D78" s="66" t="inlineStr">
        <is>
          <t>Material</t>
        </is>
      </c>
      <c r="E78" s="66" t="inlineStr">
        <is>
          <t>ea</t>
        </is>
      </c>
      <c r="F78" s="66" t="inlineStr">
        <is>
          <t>Merchant supply</t>
        </is>
      </c>
      <c r="G78" s="66" t="inlineStr">
        <is>
          <t>N/A</t>
        </is>
      </c>
      <c r="H78" s="66" t="inlineStr">
        <is>
          <t>N/A</t>
        </is>
      </c>
      <c r="I78" s="1451" t="n">
        <v>4.88</v>
      </c>
      <c r="J78" s="73" t="inlineStr">
        <is>
          <t>Auckland / NZ</t>
        </is>
      </c>
      <c r="K78" s="74" t="inlineStr">
        <is>
          <t>08-Sep-2026</t>
        </is>
      </c>
      <c r="L78" s="73" t="inlineStr">
        <is>
          <t>Current account pricebook</t>
        </is>
      </c>
      <c r="M78" s="73" t="inlineStr">
        <is>
          <t>CARTERS / Strainrite</t>
        </is>
      </c>
      <c r="N78" s="73" t="inlineStr">
        <is>
          <t>CARTERS Standard Price Book export 08-Sep-2026</t>
        </is>
      </c>
      <c r="O78" s="73" t="inlineStr">
        <is>
          <t>Each</t>
        </is>
      </c>
      <c r="P78" s="73" t="inlineStr">
        <is>
          <t>Wire strainer supply</t>
        </is>
      </c>
      <c r="Q78" s="73" t="inlineStr">
        <is>
          <t>Installation</t>
        </is>
      </c>
      <c r="R78" s="73" t="inlineStr">
        <is>
          <t>Medium</t>
        </is>
      </c>
      <c r="S78" s="73" t="inlineStr">
        <is>
          <t>AMBER - current primary / functional equivalent</t>
        </is>
      </c>
      <c r="T78" s="75" t="inlineStr">
        <is>
          <t>Cirtex calculator calls for one wire strainer per 25m; exact proprietary strainer not project-specified.</t>
        </is>
      </c>
    </row>
    <row r="79" ht="19.20000076293945" customHeight="1" s="491">
      <c r="A79" s="65" t="inlineStr">
        <is>
          <t>MAT-GEOTEX-AS280ROLL</t>
        </is>
      </c>
      <c r="B79" s="66" t="inlineStr">
        <is>
          <t>Material</t>
        </is>
      </c>
      <c r="C79" s="66" t="inlineStr">
        <is>
          <t>Duraforce AS280 geotextile 1.9 x 50m roll, code 76021</t>
        </is>
      </c>
      <c r="D79" s="66" t="inlineStr">
        <is>
          <t>Material</t>
        </is>
      </c>
      <c r="E79" s="66" t="inlineStr">
        <is>
          <t>roll</t>
        </is>
      </c>
      <c r="F79" s="66" t="inlineStr">
        <is>
          <t>Merchant supply</t>
        </is>
      </c>
      <c r="G79" s="66" t="inlineStr">
        <is>
          <t>N/A</t>
        </is>
      </c>
      <c r="H79" s="66" t="inlineStr">
        <is>
          <t>N/A</t>
        </is>
      </c>
      <c r="I79" s="1451" t="n">
        <v>176.64</v>
      </c>
      <c r="J79" s="73" t="inlineStr">
        <is>
          <t>Auckland / NZ</t>
        </is>
      </c>
      <c r="K79" s="74" t="inlineStr">
        <is>
          <t>08-Sep-2026</t>
        </is>
      </c>
      <c r="L79" s="73" t="inlineStr">
        <is>
          <t>Current account pricebook</t>
        </is>
      </c>
      <c r="M79" s="73" t="inlineStr">
        <is>
          <t>CARTERS / Cirtex</t>
        </is>
      </c>
      <c r="N79" s="73" t="inlineStr">
        <is>
          <t>CARTERS Standard Price Book export 08-Sep-2026</t>
        </is>
      </c>
      <c r="O79" s="73" t="inlineStr">
        <is>
          <t>95m2 roll</t>
        </is>
      </c>
      <c r="P79" s="73" t="inlineStr">
        <is>
          <t>Geotextile material</t>
        </is>
      </c>
      <c r="Q79" s="73" t="inlineStr">
        <is>
          <t>Delivery and placement</t>
        </is>
      </c>
      <c r="R79" s="73" t="inlineStr">
        <is>
          <t>Medium</t>
        </is>
      </c>
      <c r="S79" s="73" t="inlineStr">
        <is>
          <t>AMBER - current primary / final approved geotextile grade to confirm</t>
        </is>
      </c>
      <c r="T79" s="75" t="inlineStr">
        <is>
          <t>One roll covers 49m2 entrance including overlaps/cuts.</t>
        </is>
      </c>
    </row>
    <row r="80" ht="19.20000076293945" customHeight="1" s="491">
      <c r="A80" s="65" t="inlineStr">
        <is>
          <t>MAT-ESC-AGG15050</t>
        </is>
      </c>
      <c r="B80" s="66" t="inlineStr">
        <is>
          <t>Material</t>
        </is>
      </c>
      <c r="C80" s="66" t="inlineStr">
        <is>
          <t>SGC 150/50 aggregate - stabilised entrance size control</t>
        </is>
      </c>
      <c r="D80" s="66" t="inlineStr">
        <is>
          <t>Material</t>
        </is>
      </c>
      <c r="E80" s="66" t="inlineStr">
        <is>
          <t>t</t>
        </is>
      </c>
      <c r="F80" s="66" t="inlineStr">
        <is>
          <t>Quarry supply</t>
        </is>
      </c>
      <c r="G80" s="66" t="inlineStr">
        <is>
          <t>N/A</t>
        </is>
      </c>
      <c r="H80" s="66" t="inlineStr">
        <is>
          <t>N/A</t>
        </is>
      </c>
      <c r="I80" s="1451" t="n">
        <v>42</v>
      </c>
      <c r="J80" s="73" t="inlineStr">
        <is>
          <t>Auckland / NZ</t>
        </is>
      </c>
      <c r="K80" s="74" t="inlineStr">
        <is>
          <t>09-Sep-2026</t>
        </is>
      </c>
      <c r="L80" s="73" t="inlineStr">
        <is>
          <t>Current published quarry price</t>
        </is>
      </c>
      <c r="M80" s="73" t="inlineStr">
        <is>
          <t>The Landing Quarry - Mangere</t>
        </is>
      </c>
      <c r="N80" s="73" t="inlineStr">
        <is>
          <t>https://www.thelandingquarry.co.nz/products</t>
        </is>
      </c>
      <c r="O80" s="73" t="inlineStr">
        <is>
          <t>Ex-gate; published density 1.05t/m3</t>
        </is>
      </c>
      <c r="P80" s="73" t="inlineStr">
        <is>
          <t>150/50 aggregate supply</t>
        </is>
      </c>
      <c r="Q80" s="73" t="inlineStr">
        <is>
          <t>Delivery, placement; washed status/project acceptance not explicitly confirmed</t>
        </is>
      </c>
      <c r="R80" s="73" t="inlineStr">
        <is>
          <t>Medium</t>
        </is>
      </c>
      <c r="S80" s="73" t="inlineStr">
        <is>
          <t>AMBER - exact size current / washed status and delivery to confirm</t>
        </is>
      </c>
      <c r="T80" s="75" t="inlineStr">
        <is>
          <t>DWG241 requires 50-150mm washed aggregate. Published SGC150/50 matches size; source warns engineering gradings require project testing/confirmation.</t>
        </is>
      </c>
    </row>
    <row r="81" ht="19.20000076293945" customHeight="1" s="491">
      <c r="A81" s="65" t="n"/>
      <c r="B81" s="66" t="n"/>
      <c r="C81" s="66" t="n"/>
      <c r="D81" s="66" t="n"/>
      <c r="E81" s="66" t="n"/>
      <c r="F81" s="66" t="n"/>
      <c r="G81" s="66" t="n"/>
      <c r="H81" s="66" t="n"/>
      <c r="I81" s="1451" t="n"/>
      <c r="J81" s="73" t="n"/>
      <c r="K81" s="74" t="n"/>
      <c r="L81" s="73" t="n"/>
      <c r="M81" s="73" t="n"/>
      <c r="N81" s="73" t="n"/>
      <c r="O81" s="73" t="n"/>
      <c r="P81" s="73" t="n"/>
      <c r="Q81" s="73" t="n"/>
      <c r="R81" s="73" t="n"/>
      <c r="S81" s="73" t="n"/>
      <c r="T81" s="75" t="n"/>
    </row>
    <row r="82" ht="19.20000076293945" customHeight="1" s="491">
      <c r="A82" s="305" t="n"/>
      <c r="B82" s="306" t="n"/>
      <c r="C82" s="306" t="n"/>
      <c r="D82" s="306" t="n"/>
      <c r="E82" s="306" t="n"/>
      <c r="F82" s="306" t="n"/>
      <c r="G82" s="306" t="n"/>
      <c r="H82" s="306" t="n"/>
      <c r="I82" s="1452" t="n"/>
      <c r="J82" s="1453" t="n"/>
      <c r="K82" s="1454" t="n"/>
      <c r="L82" s="1453" t="n"/>
      <c r="M82" s="1453" t="n"/>
      <c r="N82" s="1453" t="n"/>
      <c r="O82" s="1453" t="n"/>
      <c r="P82" s="1453" t="n"/>
      <c r="Q82" s="1453" t="n"/>
      <c r="R82" s="1453" t="n"/>
      <c r="S82" s="1453" t="n"/>
      <c r="T82" s="1455" t="n"/>
    </row>
    <row r="83" ht="19.20000076293945" customHeight="1" s="491">
      <c r="A83" s="305" t="n"/>
      <c r="B83" s="306" t="n"/>
      <c r="C83" s="306" t="n"/>
      <c r="D83" s="306" t="n"/>
      <c r="E83" s="306" t="n"/>
      <c r="F83" s="306" t="n"/>
      <c r="G83" s="306" t="n"/>
      <c r="H83" s="306" t="n"/>
      <c r="I83" s="1452" t="n"/>
      <c r="J83" s="1453" t="n"/>
      <c r="K83" s="1454" t="n"/>
      <c r="L83" s="1453" t="n"/>
      <c r="M83" s="1453" t="n"/>
      <c r="N83" s="1453" t="n"/>
      <c r="O83" s="1453" t="n"/>
      <c r="P83" s="1453" t="n"/>
      <c r="Q83" s="1453" t="n"/>
      <c r="R83" s="1453" t="n"/>
      <c r="S83" s="1453" t="n"/>
      <c r="T83" s="1455" t="n"/>
    </row>
    <row r="84" ht="19.20000076293945" customHeight="1" s="491">
      <c r="A84" s="305" t="n"/>
      <c r="B84" s="306" t="n"/>
      <c r="C84" s="306" t="n"/>
      <c r="D84" s="306" t="n"/>
      <c r="E84" s="306" t="n"/>
      <c r="F84" s="306" t="n"/>
      <c r="G84" s="306" t="n"/>
      <c r="H84" s="306" t="n"/>
      <c r="I84" s="1452" t="n"/>
      <c r="J84" s="1453" t="n"/>
      <c r="K84" s="1454" t="n"/>
      <c r="L84" s="1453" t="n"/>
      <c r="M84" s="1453" t="n"/>
      <c r="N84" s="1453" t="n"/>
      <c r="O84" s="1453" t="n"/>
      <c r="P84" s="1453" t="n"/>
      <c r="Q84" s="1453" t="n"/>
      <c r="R84" s="1453" t="n"/>
      <c r="S84" s="1453" t="n"/>
      <c r="T84" s="1455" t="n"/>
    </row>
    <row r="85" ht="19.20000076293945" customHeight="1" s="491">
      <c r="A85" s="305" t="n"/>
      <c r="B85" s="306" t="n"/>
      <c r="C85" s="306" t="n"/>
      <c r="D85" s="306" t="n"/>
      <c r="E85" s="306" t="n"/>
      <c r="F85" s="306" t="n"/>
      <c r="G85" s="306" t="n"/>
      <c r="H85" s="306" t="n"/>
      <c r="I85" s="1452" t="n"/>
      <c r="J85" s="1453" t="n"/>
      <c r="K85" s="1454" t="n"/>
      <c r="L85" s="1453" t="n"/>
      <c r="M85" s="1453" t="n"/>
      <c r="N85" s="1453" t="n"/>
      <c r="O85" s="1453" t="n"/>
      <c r="P85" s="1453" t="n"/>
      <c r="Q85" s="1453" t="n"/>
      <c r="R85" s="1453" t="n"/>
      <c r="S85" s="1453" t="n"/>
      <c r="T85" s="1455" t="n"/>
    </row>
    <row r="86">
      <c r="A86" s="305" t="n"/>
      <c r="B86" s="306" t="n"/>
      <c r="C86" s="306" t="n"/>
      <c r="D86" s="306" t="n"/>
      <c r="E86" s="306" t="n"/>
      <c r="F86" s="306" t="n"/>
      <c r="G86" s="306" t="n"/>
      <c r="H86" s="306" t="n"/>
      <c r="I86" s="1452" t="n"/>
      <c r="J86" s="1453" t="n"/>
      <c r="K86" s="1454" t="n"/>
      <c r="L86" s="1453" t="n"/>
      <c r="M86" s="1453" t="n"/>
      <c r="N86" s="1453" t="n"/>
      <c r="O86" s="1453" t="n"/>
      <c r="P86" s="1453" t="n"/>
      <c r="Q86" s="1453" t="n"/>
      <c r="R86" s="1453" t="n"/>
      <c r="S86" s="1453" t="n"/>
      <c r="T86" s="1455" t="n"/>
    </row>
    <row r="87">
      <c r="A87" s="305" t="n"/>
      <c r="B87" s="306" t="n"/>
      <c r="C87" s="306" t="n"/>
      <c r="D87" s="306" t="n"/>
      <c r="E87" s="306" t="n"/>
      <c r="F87" s="306" t="n"/>
      <c r="G87" s="306" t="n"/>
      <c r="H87" s="306" t="n"/>
      <c r="I87" s="1452" t="n"/>
      <c r="J87" s="1453" t="n"/>
      <c r="K87" s="1454" t="n"/>
      <c r="L87" s="1453" t="n"/>
      <c r="M87" s="1453" t="n"/>
      <c r="N87" s="1453" t="n"/>
      <c r="O87" s="1453" t="n"/>
      <c r="P87" s="1453" t="n"/>
      <c r="Q87" s="1453" t="n"/>
      <c r="R87" s="1453" t="n"/>
      <c r="S87" s="1453" t="n"/>
      <c r="T87" s="1455" t="n"/>
    </row>
    <row r="88">
      <c r="A88" s="305" t="n"/>
      <c r="B88" s="306" t="n"/>
      <c r="C88" s="306" t="n"/>
      <c r="D88" s="306" t="n"/>
      <c r="E88" s="306" t="n"/>
      <c r="F88" s="306" t="n"/>
      <c r="G88" s="306" t="n"/>
      <c r="H88" s="306" t="n"/>
      <c r="I88" s="1452" t="n"/>
      <c r="J88" s="1453" t="n"/>
      <c r="K88" s="1454" t="n"/>
      <c r="L88" s="1453" t="n"/>
      <c r="M88" s="1453" t="n"/>
      <c r="N88" s="1453" t="n"/>
      <c r="O88" s="1453" t="n"/>
      <c r="P88" s="1453" t="n"/>
      <c r="Q88" s="1453" t="n"/>
      <c r="R88" s="1453" t="n"/>
      <c r="S88" s="1453" t="n"/>
      <c r="T88" s="1455" t="n"/>
    </row>
    <row r="89">
      <c r="A89" s="305" t="n"/>
      <c r="B89" s="306" t="n"/>
      <c r="C89" s="306" t="n"/>
      <c r="D89" s="306" t="n"/>
      <c r="E89" s="306" t="n"/>
      <c r="F89" s="306" t="n"/>
      <c r="G89" s="306" t="n"/>
      <c r="H89" s="306" t="n"/>
      <c r="I89" s="1452" t="n"/>
      <c r="J89" s="1453" t="n"/>
      <c r="K89" s="1454" t="n"/>
      <c r="L89" s="1453" t="n"/>
      <c r="M89" s="1453" t="n"/>
      <c r="N89" s="1453" t="n"/>
      <c r="O89" s="1453" t="n"/>
      <c r="P89" s="1453" t="n"/>
      <c r="Q89" s="1453" t="n"/>
      <c r="R89" s="1453" t="n"/>
      <c r="S89" s="1453" t="n"/>
      <c r="T89" s="1455" t="n"/>
    </row>
    <row r="90">
      <c r="A90" s="305" t="n"/>
      <c r="B90" s="306" t="n"/>
      <c r="C90" s="306" t="n"/>
      <c r="D90" s="306" t="n"/>
      <c r="E90" s="306" t="n"/>
      <c r="F90" s="306" t="n"/>
      <c r="G90" s="306" t="n"/>
      <c r="H90" s="306" t="n"/>
      <c r="I90" s="1452" t="n"/>
      <c r="J90" s="1453" t="n"/>
      <c r="K90" s="1454" t="n"/>
      <c r="L90" s="1453" t="n"/>
      <c r="M90" s="1453" t="n"/>
      <c r="N90" s="1453" t="n"/>
      <c r="O90" s="1453" t="n"/>
      <c r="P90" s="1453" t="n"/>
      <c r="Q90" s="1453" t="n"/>
      <c r="R90" s="1453" t="n"/>
      <c r="S90" s="1453" t="n"/>
      <c r="T90" s="1455" t="n"/>
    </row>
    <row r="91">
      <c r="A91" s="305" t="n"/>
      <c r="B91" s="306" t="n"/>
      <c r="C91" s="306" t="n"/>
      <c r="D91" s="306" t="n"/>
      <c r="E91" s="306" t="n"/>
      <c r="F91" s="306" t="n"/>
      <c r="G91" s="306" t="n"/>
      <c r="H91" s="306" t="n"/>
      <c r="I91" s="1452" t="n"/>
      <c r="J91" s="1453" t="n"/>
      <c r="K91" s="1454" t="n"/>
      <c r="L91" s="1453" t="n"/>
      <c r="M91" s="1453" t="n"/>
      <c r="N91" s="1453" t="n"/>
      <c r="O91" s="1453" t="n"/>
      <c r="P91" s="1453" t="n"/>
      <c r="Q91" s="1453" t="n"/>
      <c r="R91" s="1453" t="n"/>
      <c r="S91" s="1453" t="n"/>
      <c r="T91" s="1455" t="n"/>
    </row>
    <row r="92">
      <c r="A92" s="305" t="n"/>
      <c r="B92" s="306" t="n"/>
      <c r="C92" s="306" t="n"/>
      <c r="D92" s="306" t="n"/>
      <c r="E92" s="306" t="n"/>
      <c r="F92" s="306" t="n"/>
      <c r="G92" s="306" t="n"/>
      <c r="H92" s="306" t="n"/>
      <c r="I92" s="1452" t="n"/>
      <c r="J92" s="1453" t="n"/>
      <c r="K92" s="1454" t="n"/>
      <c r="L92" s="1453" t="n"/>
      <c r="M92" s="1453" t="n"/>
      <c r="N92" s="1453" t="n"/>
      <c r="O92" s="1453" t="n"/>
      <c r="P92" s="1453" t="n"/>
      <c r="Q92" s="1453" t="n"/>
      <c r="R92" s="1453" t="n"/>
      <c r="S92" s="1453" t="n"/>
      <c r="T92" s="1455" t="n"/>
    </row>
    <row r="93">
      <c r="A93" s="305" t="n"/>
      <c r="B93" s="306" t="n"/>
      <c r="C93" s="306" t="n"/>
      <c r="D93" s="306" t="n"/>
      <c r="E93" s="306" t="n"/>
      <c r="F93" s="306" t="n"/>
      <c r="G93" s="306" t="n"/>
      <c r="H93" s="306" t="n"/>
      <c r="I93" s="1452" t="n"/>
      <c r="J93" s="1453" t="n"/>
      <c r="K93" s="1454" t="n"/>
      <c r="L93" s="1453" t="n"/>
      <c r="M93" s="1453" t="n"/>
      <c r="N93" s="1453" t="n"/>
      <c r="O93" s="1453" t="n"/>
      <c r="P93" s="1453" t="n"/>
      <c r="Q93" s="1453" t="n"/>
      <c r="R93" s="1453" t="n"/>
      <c r="S93" s="1453" t="n"/>
      <c r="T93" s="1455" t="n"/>
    </row>
    <row r="94">
      <c r="A94" s="305" t="n"/>
      <c r="B94" s="306" t="n"/>
      <c r="C94" s="306" t="n"/>
      <c r="D94" s="306" t="n"/>
      <c r="E94" s="306" t="n"/>
      <c r="F94" s="306" t="n"/>
      <c r="G94" s="306" t="n"/>
      <c r="H94" s="306" t="n"/>
      <c r="I94" s="1452" t="n"/>
      <c r="J94" s="1453" t="n"/>
      <c r="K94" s="1454" t="n"/>
      <c r="L94" s="1453" t="n"/>
      <c r="M94" s="1453" t="n"/>
      <c r="N94" s="1453" t="n"/>
      <c r="O94" s="1453" t="n"/>
      <c r="P94" s="1453" t="n"/>
      <c r="Q94" s="1453" t="n"/>
      <c r="R94" s="1453" t="n"/>
      <c r="S94" s="1453" t="n"/>
      <c r="T94" s="1455" t="n"/>
    </row>
    <row r="95">
      <c r="A95" s="305" t="n"/>
      <c r="B95" s="306" t="n"/>
      <c r="C95" s="306" t="n"/>
      <c r="D95" s="306" t="n"/>
      <c r="E95" s="306" t="n"/>
      <c r="F95" s="306" t="n"/>
      <c r="G95" s="306" t="n"/>
      <c r="H95" s="306" t="n"/>
      <c r="I95" s="1452" t="n"/>
      <c r="J95" s="1453" t="n"/>
      <c r="K95" s="1454" t="n"/>
      <c r="L95" s="1453" t="n"/>
      <c r="M95" s="1453" t="n"/>
      <c r="N95" s="1453" t="n"/>
      <c r="O95" s="1453" t="n"/>
      <c r="P95" s="1453" t="n"/>
      <c r="Q95" s="1453" t="n"/>
      <c r="R95" s="1453" t="n"/>
      <c r="S95" s="1453" t="n"/>
      <c r="T95" s="1455" t="n"/>
    </row>
    <row r="96">
      <c r="A96" s="305" t="n"/>
      <c r="B96" s="306" t="n"/>
      <c r="C96" s="306" t="n"/>
      <c r="D96" s="306" t="n"/>
      <c r="E96" s="306" t="n"/>
      <c r="F96" s="306" t="n"/>
      <c r="G96" s="306" t="n"/>
      <c r="H96" s="306" t="n"/>
      <c r="I96" s="1452" t="n"/>
      <c r="J96" s="1453" t="n"/>
      <c r="K96" s="1454" t="n"/>
      <c r="L96" s="1453" t="n"/>
      <c r="M96" s="1453" t="n"/>
      <c r="N96" s="1453" t="n"/>
      <c r="O96" s="1453" t="n"/>
      <c r="P96" s="1453" t="n"/>
      <c r="Q96" s="1453" t="n"/>
      <c r="R96" s="1453" t="n"/>
      <c r="S96" s="1453" t="n"/>
      <c r="T96" s="1455" t="n"/>
    </row>
    <row r="97">
      <c r="A97" s="305" t="n"/>
      <c r="B97" s="306" t="n"/>
      <c r="C97" s="306" t="n"/>
      <c r="D97" s="306" t="n"/>
      <c r="E97" s="306" t="n"/>
      <c r="F97" s="306" t="n"/>
      <c r="G97" s="306" t="n"/>
      <c r="H97" s="306" t="n"/>
      <c r="I97" s="1452" t="n"/>
      <c r="J97" s="1453" t="n"/>
      <c r="K97" s="1454" t="n"/>
      <c r="L97" s="1453" t="n"/>
      <c r="M97" s="1453" t="n"/>
      <c r="N97" s="1453" t="n"/>
      <c r="O97" s="1453" t="n"/>
      <c r="P97" s="1453" t="n"/>
      <c r="Q97" s="1453" t="n"/>
      <c r="R97" s="1453" t="n"/>
      <c r="S97" s="1453" t="n"/>
      <c r="T97" s="1455" t="n"/>
    </row>
    <row r="98">
      <c r="A98" s="305" t="n"/>
      <c r="B98" s="306" t="n"/>
      <c r="C98" s="306" t="n"/>
      <c r="D98" s="306" t="n"/>
      <c r="E98" s="306" t="n"/>
      <c r="F98" s="306" t="n"/>
      <c r="G98" s="306" t="n"/>
      <c r="H98" s="306" t="n"/>
      <c r="I98" s="1452" t="n"/>
      <c r="J98" s="1453" t="n"/>
      <c r="K98" s="1454" t="n"/>
      <c r="L98" s="1453" t="n"/>
      <c r="M98" s="1453" t="n"/>
      <c r="N98" s="1453" t="n"/>
      <c r="O98" s="1453" t="n"/>
      <c r="P98" s="1453" t="n"/>
      <c r="Q98" s="1453" t="n"/>
      <c r="R98" s="1453" t="n"/>
      <c r="S98" s="1453" t="n"/>
      <c r="T98" s="1455" t="n"/>
    </row>
    <row r="99">
      <c r="A99" s="305" t="n"/>
      <c r="B99" s="306" t="n"/>
      <c r="C99" s="306" t="n"/>
      <c r="D99" s="306" t="n"/>
      <c r="E99" s="306" t="n"/>
      <c r="F99" s="306" t="n"/>
      <c r="G99" s="306" t="n"/>
      <c r="H99" s="306" t="n"/>
      <c r="I99" s="1452" t="n"/>
      <c r="J99" s="1453" t="n"/>
      <c r="K99" s="1454" t="n"/>
      <c r="L99" s="1453" t="n"/>
      <c r="M99" s="1453" t="n"/>
      <c r="N99" s="1453" t="n"/>
      <c r="O99" s="1453" t="n"/>
      <c r="P99" s="1453" t="n"/>
      <c r="Q99" s="1453" t="n"/>
      <c r="R99" s="1453" t="n"/>
      <c r="S99" s="1453" t="n"/>
      <c r="T99" s="1455" t="n"/>
    </row>
    <row r="100">
      <c r="A100" s="305" t="n"/>
      <c r="B100" s="306" t="n"/>
      <c r="C100" s="306" t="n"/>
      <c r="D100" s="306" t="n"/>
      <c r="E100" s="306" t="n"/>
      <c r="F100" s="306" t="n"/>
      <c r="G100" s="306" t="n"/>
      <c r="H100" s="306" t="n"/>
      <c r="I100" s="1452" t="n"/>
      <c r="J100" s="1453" t="n"/>
      <c r="K100" s="1454" t="n"/>
      <c r="L100" s="1453" t="n"/>
      <c r="M100" s="1453" t="n"/>
      <c r="N100" s="1453" t="n"/>
      <c r="O100" s="1453" t="n"/>
      <c r="P100" s="1453" t="n"/>
      <c r="Q100" s="1453" t="n"/>
      <c r="R100" s="1453" t="n"/>
      <c r="S100" s="1453" t="n"/>
      <c r="T100" s="1455" t="n"/>
    </row>
    <row r="101">
      <c r="A101" s="305" t="n"/>
      <c r="B101" s="306" t="n"/>
      <c r="C101" s="306" t="n"/>
      <c r="D101" s="306" t="n"/>
      <c r="E101" s="306" t="n"/>
      <c r="F101" s="306" t="n"/>
      <c r="G101" s="306" t="n"/>
      <c r="H101" s="306" t="n"/>
      <c r="I101" s="1452" t="n"/>
      <c r="J101" s="1453" t="n"/>
      <c r="K101" s="1454" t="n"/>
      <c r="L101" s="1453" t="n"/>
      <c r="M101" s="1453" t="n"/>
      <c r="N101" s="1453" t="n"/>
      <c r="O101" s="1453" t="n"/>
      <c r="P101" s="1453" t="n"/>
      <c r="Q101" s="1453" t="n"/>
      <c r="R101" s="1453" t="n"/>
      <c r="S101" s="1453" t="n"/>
      <c r="T101" s="1455" t="n"/>
    </row>
    <row r="102">
      <c r="A102" s="305" t="n"/>
      <c r="B102" s="306" t="n"/>
      <c r="C102" s="306" t="n"/>
      <c r="D102" s="306" t="n"/>
      <c r="E102" s="306" t="n"/>
      <c r="F102" s="306" t="n"/>
      <c r="G102" s="306" t="n"/>
      <c r="H102" s="306" t="n"/>
      <c r="I102" s="1452" t="n"/>
      <c r="J102" s="1453" t="n"/>
      <c r="K102" s="1454" t="n"/>
      <c r="L102" s="1453" t="n"/>
      <c r="M102" s="1453" t="n"/>
      <c r="N102" s="1453" t="n"/>
      <c r="O102" s="1453" t="n"/>
      <c r="P102" s="1453" t="n"/>
      <c r="Q102" s="1453" t="n"/>
      <c r="R102" s="1453" t="n"/>
      <c r="S102" s="1453" t="n"/>
      <c r="T102" s="1455" t="n"/>
    </row>
    <row r="103">
      <c r="A103" s="305" t="n"/>
      <c r="B103" s="306" t="n"/>
      <c r="C103" s="306" t="n"/>
      <c r="D103" s="306" t="n"/>
      <c r="E103" s="306" t="n"/>
      <c r="F103" s="306" t="n"/>
      <c r="G103" s="306" t="n"/>
      <c r="H103" s="306" t="n"/>
      <c r="I103" s="1452" t="n"/>
      <c r="J103" s="1453" t="n"/>
      <c r="K103" s="1454" t="n"/>
      <c r="L103" s="1453" t="n"/>
      <c r="M103" s="1453" t="n"/>
      <c r="N103" s="1453" t="n"/>
      <c r="O103" s="1453" t="n"/>
      <c r="P103" s="1453" t="n"/>
      <c r="Q103" s="1453" t="n"/>
      <c r="R103" s="1453" t="n"/>
      <c r="S103" s="1453" t="n"/>
      <c r="T103" s="1455" t="n"/>
    </row>
    <row r="104">
      <c r="A104" s="305" t="n"/>
      <c r="B104" s="306" t="n"/>
      <c r="C104" s="306" t="n"/>
      <c r="D104" s="306" t="n"/>
      <c r="E104" s="306" t="n"/>
      <c r="F104" s="306" t="n"/>
      <c r="G104" s="306" t="n"/>
      <c r="H104" s="306" t="n"/>
      <c r="I104" s="1452" t="n"/>
      <c r="J104" s="1453" t="n"/>
      <c r="K104" s="1454" t="n"/>
      <c r="L104" s="1453" t="n"/>
      <c r="M104" s="1453" t="n"/>
      <c r="N104" s="1453" t="n"/>
      <c r="O104" s="1453" t="n"/>
      <c r="P104" s="1453" t="n"/>
      <c r="Q104" s="1453" t="n"/>
      <c r="R104" s="1453" t="n"/>
      <c r="S104" s="1453" t="n"/>
      <c r="T104" s="1455" t="n"/>
    </row>
    <row r="105">
      <c r="A105" s="305" t="n"/>
      <c r="B105" s="306" t="n"/>
      <c r="C105" s="306" t="n"/>
      <c r="D105" s="306" t="n"/>
      <c r="E105" s="306" t="n"/>
      <c r="F105" s="306" t="n"/>
      <c r="G105" s="306" t="n"/>
      <c r="H105" s="306" t="n"/>
      <c r="I105" s="1452" t="n"/>
      <c r="J105" s="1453" t="n"/>
      <c r="K105" s="1454" t="n"/>
      <c r="L105" s="1453" t="n"/>
      <c r="M105" s="1453" t="n"/>
      <c r="N105" s="1453" t="n"/>
      <c r="O105" s="1453" t="n"/>
      <c r="P105" s="1453" t="n"/>
      <c r="Q105" s="1453" t="n"/>
      <c r="R105" s="1453" t="n"/>
      <c r="S105" s="1453" t="n"/>
      <c r="T105" s="1455" t="n"/>
    </row>
    <row r="106">
      <c r="A106" s="305" t="n"/>
      <c r="B106" s="306" t="n"/>
      <c r="C106" s="306" t="n"/>
      <c r="D106" s="306" t="n"/>
      <c r="E106" s="306" t="n"/>
      <c r="F106" s="306" t="n"/>
      <c r="G106" s="306" t="n"/>
      <c r="H106" s="306" t="n"/>
      <c r="I106" s="1452" t="n"/>
      <c r="J106" s="1453" t="n"/>
      <c r="K106" s="1454" t="n"/>
      <c r="L106" s="1453" t="n"/>
      <c r="M106" s="1453" t="n"/>
      <c r="N106" s="1453" t="n"/>
      <c r="O106" s="1453" t="n"/>
      <c r="P106" s="1453" t="n"/>
      <c r="Q106" s="1453" t="n"/>
      <c r="R106" s="1453" t="n"/>
      <c r="S106" s="1453" t="n"/>
      <c r="T106" s="1455" t="n"/>
    </row>
    <row r="107">
      <c r="A107" s="305" t="n"/>
      <c r="B107" s="306" t="n"/>
      <c r="C107" s="306" t="n"/>
      <c r="D107" s="306" t="n"/>
      <c r="E107" s="306" t="n"/>
      <c r="F107" s="306" t="n"/>
      <c r="G107" s="306" t="n"/>
      <c r="H107" s="306" t="n"/>
      <c r="I107" s="1452" t="n"/>
      <c r="J107" s="1453" t="n"/>
      <c r="K107" s="1454" t="n"/>
      <c r="L107" s="1453" t="n"/>
      <c r="M107" s="1453" t="n"/>
      <c r="N107" s="1453" t="n"/>
      <c r="O107" s="1453" t="n"/>
      <c r="P107" s="1453" t="n"/>
      <c r="Q107" s="1453" t="n"/>
      <c r="R107" s="1453" t="n"/>
      <c r="S107" s="1453" t="n"/>
      <c r="T107" s="1455" t="n"/>
    </row>
    <row r="108">
      <c r="A108" s="305" t="n"/>
      <c r="B108" s="306" t="n"/>
      <c r="C108" s="306" t="n"/>
      <c r="D108" s="306" t="n"/>
      <c r="E108" s="306" t="n"/>
      <c r="F108" s="306" t="n"/>
      <c r="G108" s="306" t="n"/>
      <c r="H108" s="306" t="n"/>
      <c r="I108" s="1452" t="n"/>
      <c r="J108" s="1453" t="n"/>
      <c r="K108" s="1454" t="n"/>
      <c r="L108" s="1453" t="n"/>
      <c r="M108" s="1453" t="n"/>
      <c r="N108" s="1453" t="n"/>
      <c r="O108" s="1453" t="n"/>
      <c r="P108" s="1453" t="n"/>
      <c r="Q108" s="1453" t="n"/>
      <c r="R108" s="1453" t="n"/>
      <c r="S108" s="1453" t="n"/>
      <c r="T108" s="1455" t="n"/>
    </row>
    <row r="109">
      <c r="A109" s="305" t="n"/>
      <c r="B109" s="306" t="n"/>
      <c r="C109" s="306" t="n"/>
      <c r="D109" s="306" t="n"/>
      <c r="E109" s="306" t="n"/>
      <c r="F109" s="306" t="n"/>
      <c r="G109" s="306" t="n"/>
      <c r="H109" s="306" t="n"/>
      <c r="I109" s="1452" t="n"/>
      <c r="J109" s="1453" t="n"/>
      <c r="K109" s="1454" t="n"/>
      <c r="L109" s="1453" t="n"/>
      <c r="M109" s="1453" t="n"/>
      <c r="N109" s="1453" t="n"/>
      <c r="O109" s="1453" t="n"/>
      <c r="P109" s="1453" t="n"/>
      <c r="Q109" s="1453" t="n"/>
      <c r="R109" s="1453" t="n"/>
      <c r="S109" s="1453" t="n"/>
      <c r="T109" s="1455" t="n"/>
    </row>
    <row r="110">
      <c r="A110" s="305" t="n"/>
      <c r="B110" s="306" t="n"/>
      <c r="C110" s="306" t="n"/>
      <c r="D110" s="306" t="n"/>
      <c r="E110" s="306" t="n"/>
      <c r="F110" s="306" t="n"/>
      <c r="G110" s="306" t="n"/>
      <c r="H110" s="306" t="n"/>
      <c r="I110" s="1452" t="n"/>
      <c r="J110" s="1453" t="n"/>
      <c r="K110" s="1454" t="n"/>
      <c r="L110" s="1453" t="n"/>
      <c r="M110" s="1453" t="n"/>
      <c r="N110" s="1453" t="n"/>
      <c r="O110" s="1453" t="n"/>
      <c r="P110" s="1453" t="n"/>
      <c r="Q110" s="1453" t="n"/>
      <c r="R110" s="1453" t="n"/>
      <c r="S110" s="1453" t="n"/>
      <c r="T110" s="1455" t="n"/>
    </row>
    <row r="111">
      <c r="A111" s="305" t="n"/>
      <c r="B111" s="306" t="n"/>
      <c r="C111" s="306" t="n"/>
      <c r="D111" s="306" t="n"/>
      <c r="E111" s="306" t="n"/>
      <c r="F111" s="306" t="n"/>
      <c r="G111" s="306" t="n"/>
      <c r="H111" s="306" t="n"/>
      <c r="I111" s="1452" t="n"/>
      <c r="J111" s="1453" t="n"/>
      <c r="K111" s="1454" t="n"/>
      <c r="L111" s="1453" t="n"/>
      <c r="M111" s="1453" t="n"/>
      <c r="N111" s="1453" t="n"/>
      <c r="O111" s="1453" t="n"/>
      <c r="P111" s="1453" t="n"/>
      <c r="Q111" s="1453" t="n"/>
      <c r="R111" s="1453" t="n"/>
      <c r="S111" s="1453" t="n"/>
      <c r="T111" s="1455" t="n"/>
    </row>
    <row r="112">
      <c r="A112" s="305" t="n"/>
      <c r="B112" s="306" t="n"/>
      <c r="C112" s="306" t="n"/>
      <c r="D112" s="306" t="n"/>
      <c r="E112" s="306" t="n"/>
      <c r="F112" s="306" t="n"/>
      <c r="G112" s="306" t="n"/>
      <c r="H112" s="306" t="n"/>
      <c r="I112" s="1452" t="n"/>
      <c r="J112" s="1453" t="n"/>
      <c r="K112" s="1454" t="n"/>
      <c r="L112" s="1453" t="n"/>
      <c r="M112" s="1453" t="n"/>
      <c r="N112" s="1453" t="n"/>
      <c r="O112" s="1453" t="n"/>
      <c r="P112" s="1453" t="n"/>
      <c r="Q112" s="1453" t="n"/>
      <c r="R112" s="1453" t="n"/>
      <c r="S112" s="1453" t="n"/>
      <c r="T112" s="1455" t="n"/>
    </row>
    <row r="113">
      <c r="A113" s="305" t="n"/>
      <c r="B113" s="306" t="n"/>
      <c r="C113" s="306" t="n"/>
      <c r="D113" s="306" t="n"/>
      <c r="E113" s="306" t="n"/>
      <c r="F113" s="306" t="n"/>
      <c r="G113" s="306" t="n"/>
      <c r="H113" s="306" t="n"/>
      <c r="I113" s="1452" t="n"/>
      <c r="J113" s="1453" t="n"/>
      <c r="K113" s="1454" t="n"/>
      <c r="L113" s="1453" t="n"/>
      <c r="M113" s="1453" t="n"/>
      <c r="N113" s="1453" t="n"/>
      <c r="O113" s="1453" t="n"/>
      <c r="P113" s="1453" t="n"/>
      <c r="Q113" s="1453" t="n"/>
      <c r="R113" s="1453" t="n"/>
      <c r="S113" s="1453" t="n"/>
      <c r="T113" s="1455" t="n"/>
    </row>
    <row r="114">
      <c r="A114" s="305" t="n"/>
      <c r="B114" s="306" t="n"/>
      <c r="C114" s="306" t="n"/>
      <c r="D114" s="306" t="n"/>
      <c r="E114" s="306" t="n"/>
      <c r="F114" s="306" t="n"/>
      <c r="G114" s="306" t="n"/>
      <c r="H114" s="306" t="n"/>
      <c r="I114" s="1452" t="n"/>
      <c r="J114" s="1453" t="n"/>
      <c r="K114" s="1454" t="n"/>
      <c r="L114" s="1453" t="n"/>
      <c r="M114" s="1453" t="n"/>
      <c r="N114" s="1453" t="n"/>
      <c r="O114" s="1453" t="n"/>
      <c r="P114" s="1453" t="n"/>
      <c r="Q114" s="1453" t="n"/>
      <c r="R114" s="1453" t="n"/>
      <c r="S114" s="1453" t="n"/>
      <c r="T114" s="1455" t="n"/>
    </row>
    <row r="115">
      <c r="A115" s="305" t="n"/>
      <c r="B115" s="306" t="n"/>
      <c r="C115" s="306" t="n"/>
      <c r="D115" s="306" t="n"/>
      <c r="E115" s="306" t="n"/>
      <c r="F115" s="306" t="n"/>
      <c r="G115" s="306" t="n"/>
      <c r="H115" s="306" t="n"/>
      <c r="I115" s="1452" t="n"/>
      <c r="J115" s="1453" t="n"/>
      <c r="K115" s="1454" t="n"/>
      <c r="L115" s="1453" t="n"/>
      <c r="M115" s="1453" t="n"/>
      <c r="N115" s="1453" t="n"/>
      <c r="O115" s="1453" t="n"/>
      <c r="P115" s="1453" t="n"/>
      <c r="Q115" s="1453" t="n"/>
      <c r="R115" s="1453" t="n"/>
      <c r="S115" s="1453" t="n"/>
      <c r="T115" s="1455" t="n"/>
    </row>
    <row r="116">
      <c r="A116" s="305" t="n"/>
      <c r="B116" s="306" t="n"/>
      <c r="C116" s="306" t="n"/>
      <c r="D116" s="306" t="n"/>
      <c r="E116" s="306" t="n"/>
      <c r="F116" s="306" t="n"/>
      <c r="G116" s="306" t="n"/>
      <c r="H116" s="306" t="n"/>
      <c r="I116" s="1452" t="n"/>
      <c r="J116" s="1453" t="n"/>
      <c r="K116" s="1454" t="n"/>
      <c r="L116" s="1453" t="n"/>
      <c r="M116" s="1453" t="n"/>
      <c r="N116" s="1453" t="n"/>
      <c r="O116" s="1453" t="n"/>
      <c r="P116" s="1453" t="n"/>
      <c r="Q116" s="1453" t="n"/>
      <c r="R116" s="1453" t="n"/>
      <c r="S116" s="1453" t="n"/>
      <c r="T116" s="1455" t="n"/>
    </row>
    <row r="117">
      <c r="A117" s="305" t="n"/>
      <c r="B117" s="306" t="n"/>
      <c r="C117" s="306" t="n"/>
      <c r="D117" s="306" t="n"/>
      <c r="E117" s="306" t="n"/>
      <c r="F117" s="306" t="n"/>
      <c r="G117" s="306" t="n"/>
      <c r="H117" s="306" t="n"/>
      <c r="I117" s="1452" t="n"/>
      <c r="J117" s="1453" t="n"/>
      <c r="K117" s="1454" t="n"/>
      <c r="L117" s="1453" t="n"/>
      <c r="M117" s="1453" t="n"/>
      <c r="N117" s="1453" t="n"/>
      <c r="O117" s="1453" t="n"/>
      <c r="P117" s="1453" t="n"/>
      <c r="Q117" s="1453" t="n"/>
      <c r="R117" s="1453" t="n"/>
      <c r="S117" s="1453" t="n"/>
      <c r="T117" s="1455" t="n"/>
    </row>
    <row r="118">
      <c r="A118" s="305" t="n"/>
      <c r="B118" s="306" t="n"/>
      <c r="C118" s="306" t="n"/>
      <c r="D118" s="306" t="n"/>
      <c r="E118" s="306" t="n"/>
      <c r="F118" s="306" t="n"/>
      <c r="G118" s="306" t="n"/>
      <c r="H118" s="306" t="n"/>
      <c r="I118" s="1452" t="n"/>
      <c r="J118" s="1453" t="n"/>
      <c r="K118" s="1454" t="n"/>
      <c r="L118" s="1453" t="n"/>
      <c r="M118" s="1453" t="n"/>
      <c r="N118" s="1453" t="n"/>
      <c r="O118" s="1453" t="n"/>
      <c r="P118" s="1453" t="n"/>
      <c r="Q118" s="1453" t="n"/>
      <c r="R118" s="1453" t="n"/>
      <c r="S118" s="1453" t="n"/>
      <c r="T118" s="1455" t="n"/>
    </row>
    <row r="119">
      <c r="A119" s="305" t="n"/>
      <c r="B119" s="306" t="n"/>
      <c r="C119" s="306" t="n"/>
      <c r="D119" s="306" t="n"/>
      <c r="E119" s="306" t="n"/>
      <c r="F119" s="306" t="n"/>
      <c r="G119" s="306" t="n"/>
      <c r="H119" s="306" t="n"/>
      <c r="I119" s="1452" t="n"/>
      <c r="J119" s="1453" t="n"/>
      <c r="K119" s="1454" t="n"/>
      <c r="L119" s="1453" t="n"/>
      <c r="M119" s="1453" t="n"/>
      <c r="N119" s="1453" t="n"/>
      <c r="O119" s="1453" t="n"/>
      <c r="P119" s="1453" t="n"/>
      <c r="Q119" s="1453" t="n"/>
      <c r="R119" s="1453" t="n"/>
      <c r="S119" s="1453" t="n"/>
      <c r="T119" s="1455" t="n"/>
    </row>
    <row r="120">
      <c r="A120" s="305" t="n"/>
      <c r="B120" s="306" t="n"/>
      <c r="C120" s="306" t="n"/>
      <c r="D120" s="306" t="n"/>
      <c r="E120" s="306" t="n"/>
      <c r="F120" s="306" t="n"/>
      <c r="G120" s="306" t="n"/>
      <c r="H120" s="306" t="n"/>
      <c r="I120" s="1452" t="n"/>
      <c r="J120" s="1453" t="n"/>
      <c r="K120" s="1454" t="n"/>
      <c r="L120" s="1453" t="n"/>
      <c r="M120" s="1453" t="n"/>
      <c r="N120" s="1453" t="n"/>
      <c r="O120" s="1453" t="n"/>
      <c r="P120" s="1453" t="n"/>
      <c r="Q120" s="1453" t="n"/>
      <c r="R120" s="1453" t="n"/>
      <c r="S120" s="1453" t="n"/>
      <c r="T120" s="1455" t="n"/>
    </row>
    <row r="121">
      <c r="A121" s="305" t="n"/>
      <c r="B121" s="306" t="n"/>
      <c r="C121" s="306" t="n"/>
      <c r="D121" s="306" t="n"/>
      <c r="E121" s="306" t="n"/>
      <c r="F121" s="306" t="n"/>
      <c r="G121" s="306" t="n"/>
      <c r="H121" s="306" t="n"/>
      <c r="I121" s="1452" t="n"/>
      <c r="J121" s="1453" t="n"/>
      <c r="K121" s="1454" t="n"/>
      <c r="L121" s="1453" t="n"/>
      <c r="M121" s="1453" t="n"/>
      <c r="N121" s="1453" t="n"/>
      <c r="O121" s="1453" t="n"/>
      <c r="P121" s="1453" t="n"/>
      <c r="Q121" s="1453" t="n"/>
      <c r="R121" s="1453" t="n"/>
      <c r="S121" s="1453" t="n"/>
      <c r="T121" s="1455" t="n"/>
    </row>
    <row r="122">
      <c r="A122" s="305" t="n"/>
      <c r="B122" s="306" t="n"/>
      <c r="C122" s="306" t="n"/>
      <c r="D122" s="306" t="n"/>
      <c r="E122" s="306" t="n"/>
      <c r="F122" s="306" t="n"/>
      <c r="G122" s="306" t="n"/>
      <c r="H122" s="306" t="n"/>
      <c r="I122" s="1452" t="n"/>
      <c r="J122" s="1453" t="n"/>
      <c r="K122" s="1454" t="n"/>
      <c r="L122" s="1453" t="n"/>
      <c r="M122" s="1453" t="n"/>
      <c r="N122" s="1453" t="n"/>
      <c r="O122" s="1453" t="n"/>
      <c r="P122" s="1453" t="n"/>
      <c r="Q122" s="1453" t="n"/>
      <c r="R122" s="1453" t="n"/>
      <c r="S122" s="1453" t="n"/>
      <c r="T122" s="1455" t="n"/>
    </row>
    <row r="123">
      <c r="A123" s="305" t="n"/>
      <c r="B123" s="306" t="n"/>
      <c r="C123" s="306" t="n"/>
      <c r="D123" s="306" t="n"/>
      <c r="E123" s="306" t="n"/>
      <c r="F123" s="306" t="n"/>
      <c r="G123" s="306" t="n"/>
      <c r="H123" s="306" t="n"/>
      <c r="I123" s="1452" t="n"/>
      <c r="J123" s="1453" t="n"/>
      <c r="K123" s="1454" t="n"/>
      <c r="L123" s="1453" t="n"/>
      <c r="M123" s="1453" t="n"/>
      <c r="N123" s="1453" t="n"/>
      <c r="O123" s="1453" t="n"/>
      <c r="P123" s="1453" t="n"/>
      <c r="Q123" s="1453" t="n"/>
      <c r="R123" s="1453" t="n"/>
      <c r="S123" s="1453" t="n"/>
      <c r="T123" s="1455" t="n"/>
    </row>
    <row r="124">
      <c r="A124" s="305" t="n"/>
      <c r="B124" s="306" t="n"/>
      <c r="C124" s="306" t="n"/>
      <c r="D124" s="306" t="n"/>
      <c r="E124" s="306" t="n"/>
      <c r="F124" s="306" t="n"/>
      <c r="G124" s="306" t="n"/>
      <c r="H124" s="306" t="n"/>
      <c r="I124" s="1452" t="n"/>
      <c r="J124" s="1453" t="n"/>
      <c r="K124" s="1454" t="n"/>
      <c r="L124" s="1453" t="n"/>
      <c r="M124" s="1453" t="n"/>
      <c r="N124" s="1453" t="n"/>
      <c r="O124" s="1453" t="n"/>
      <c r="P124" s="1453" t="n"/>
      <c r="Q124" s="1453" t="n"/>
      <c r="R124" s="1453" t="n"/>
      <c r="S124" s="1453" t="n"/>
      <c r="T124" s="1455" t="n"/>
    </row>
    <row r="125">
      <c r="A125" s="305" t="n"/>
      <c r="B125" s="306" t="n"/>
      <c r="C125" s="306" t="n"/>
      <c r="D125" s="306" t="n"/>
      <c r="E125" s="306" t="n"/>
      <c r="F125" s="306" t="n"/>
      <c r="G125" s="306" t="n"/>
      <c r="H125" s="306" t="n"/>
      <c r="I125" s="1452" t="n"/>
      <c r="J125" s="1453" t="n"/>
      <c r="K125" s="1454" t="n"/>
      <c r="L125" s="1453" t="n"/>
      <c r="M125" s="1453" t="n"/>
      <c r="N125" s="1453" t="n"/>
      <c r="O125" s="1453" t="n"/>
      <c r="P125" s="1453" t="n"/>
      <c r="Q125" s="1453" t="n"/>
      <c r="R125" s="1453" t="n"/>
      <c r="S125" s="1453" t="n"/>
      <c r="T125" s="1455" t="n"/>
    </row>
    <row r="126">
      <c r="A126" s="305" t="n"/>
      <c r="B126" s="306" t="n"/>
      <c r="C126" s="306" t="n"/>
      <c r="D126" s="306" t="n"/>
      <c r="E126" s="306" t="n"/>
      <c r="F126" s="306" t="n"/>
      <c r="G126" s="306" t="n"/>
      <c r="H126" s="306" t="n"/>
      <c r="I126" s="1452" t="n"/>
      <c r="J126" s="1453" t="n"/>
      <c r="K126" s="1454" t="n"/>
      <c r="L126" s="1453" t="n"/>
      <c r="M126" s="1453" t="n"/>
      <c r="N126" s="1453" t="n"/>
      <c r="O126" s="1453" t="n"/>
      <c r="P126" s="1453" t="n"/>
      <c r="Q126" s="1453" t="n"/>
      <c r="R126" s="1453" t="n"/>
      <c r="S126" s="1453" t="n"/>
      <c r="T126" s="1455" t="n"/>
    </row>
    <row r="127">
      <c r="A127" s="305" t="n"/>
      <c r="B127" s="306" t="n"/>
      <c r="C127" s="306" t="n"/>
      <c r="D127" s="306" t="n"/>
      <c r="E127" s="306" t="n"/>
      <c r="F127" s="306" t="n"/>
      <c r="G127" s="306" t="n"/>
      <c r="H127" s="306" t="n"/>
      <c r="I127" s="1452" t="n"/>
      <c r="J127" s="1453" t="n"/>
      <c r="K127" s="1454" t="n"/>
      <c r="L127" s="1453" t="n"/>
      <c r="M127" s="1453" t="n"/>
      <c r="N127" s="1453" t="n"/>
      <c r="O127" s="1453" t="n"/>
      <c r="P127" s="1453" t="n"/>
      <c r="Q127" s="1453" t="n"/>
      <c r="R127" s="1453" t="n"/>
      <c r="S127" s="1453" t="n"/>
      <c r="T127" s="1455" t="n"/>
    </row>
    <row r="128">
      <c r="A128" s="305" t="n"/>
      <c r="B128" s="306" t="n"/>
      <c r="C128" s="306" t="n"/>
      <c r="D128" s="306" t="n"/>
      <c r="E128" s="306" t="n"/>
      <c r="F128" s="306" t="n"/>
      <c r="G128" s="306" t="n"/>
      <c r="H128" s="306" t="n"/>
      <c r="I128" s="1452" t="n"/>
      <c r="J128" s="1453" t="n"/>
      <c r="K128" s="1454" t="n"/>
      <c r="L128" s="1453" t="n"/>
      <c r="M128" s="1453" t="n"/>
      <c r="N128" s="1453" t="n"/>
      <c r="O128" s="1453" t="n"/>
      <c r="P128" s="1453" t="n"/>
      <c r="Q128" s="1453" t="n"/>
      <c r="R128" s="1453" t="n"/>
      <c r="S128" s="1453" t="n"/>
      <c r="T128" s="1455" t="n"/>
    </row>
    <row r="129">
      <c r="A129" s="305" t="n"/>
      <c r="B129" s="306" t="n"/>
      <c r="C129" s="306" t="n"/>
      <c r="D129" s="306" t="n"/>
      <c r="E129" s="306" t="n"/>
      <c r="F129" s="306" t="n"/>
      <c r="G129" s="306" t="n"/>
      <c r="H129" s="306" t="n"/>
      <c r="I129" s="1452" t="n"/>
      <c r="J129" s="1453" t="n"/>
      <c r="K129" s="1454" t="n"/>
      <c r="L129" s="1453" t="n"/>
      <c r="M129" s="1453" t="n"/>
      <c r="N129" s="1453" t="n"/>
      <c r="O129" s="1453" t="n"/>
      <c r="P129" s="1453" t="n"/>
      <c r="Q129" s="1453" t="n"/>
      <c r="R129" s="1453" t="n"/>
      <c r="S129" s="1453" t="n"/>
      <c r="T129" s="1455" t="n"/>
    </row>
    <row r="130">
      <c r="A130" s="305" t="n"/>
      <c r="B130" s="306" t="n"/>
      <c r="C130" s="306" t="n"/>
      <c r="D130" s="306" t="n"/>
      <c r="E130" s="306" t="n"/>
      <c r="F130" s="306" t="n"/>
      <c r="G130" s="306" t="n"/>
      <c r="H130" s="306" t="n"/>
      <c r="I130" s="1452" t="n"/>
      <c r="J130" s="1453" t="n"/>
      <c r="K130" s="1454" t="n"/>
      <c r="L130" s="1453" t="n"/>
      <c r="M130" s="1453" t="n"/>
      <c r="N130" s="1453" t="n"/>
      <c r="O130" s="1453" t="n"/>
      <c r="P130" s="1453" t="n"/>
      <c r="Q130" s="1453" t="n"/>
      <c r="R130" s="1453" t="n"/>
      <c r="S130" s="1453" t="n"/>
      <c r="T130" s="1455" t="n"/>
    </row>
    <row r="131">
      <c r="A131" s="305" t="n"/>
      <c r="B131" s="306" t="n"/>
      <c r="C131" s="306" t="n"/>
      <c r="D131" s="306" t="n"/>
      <c r="E131" s="306" t="n"/>
      <c r="F131" s="306" t="n"/>
      <c r="G131" s="306" t="n"/>
      <c r="H131" s="306" t="n"/>
      <c r="I131" s="1452" t="n"/>
      <c r="J131" s="1453" t="n"/>
      <c r="K131" s="1454" t="n"/>
      <c r="L131" s="1453" t="n"/>
      <c r="M131" s="1453" t="n"/>
      <c r="N131" s="1453" t="n"/>
      <c r="O131" s="1453" t="n"/>
      <c r="P131" s="1453" t="n"/>
      <c r="Q131" s="1453" t="n"/>
      <c r="R131" s="1453" t="n"/>
      <c r="S131" s="1453" t="n"/>
      <c r="T131" s="1455" t="n"/>
    </row>
    <row r="132">
      <c r="A132" s="305" t="n"/>
      <c r="B132" s="306" t="n"/>
      <c r="C132" s="306" t="n"/>
      <c r="D132" s="306" t="n"/>
      <c r="E132" s="306" t="n"/>
      <c r="F132" s="306" t="n"/>
      <c r="G132" s="306" t="n"/>
      <c r="H132" s="306" t="n"/>
      <c r="I132" s="1452" t="n"/>
      <c r="J132" s="1453" t="n"/>
      <c r="K132" s="1454" t="n"/>
      <c r="L132" s="1453" t="n"/>
      <c r="M132" s="1453" t="n"/>
      <c r="N132" s="1453" t="n"/>
      <c r="O132" s="1453" t="n"/>
      <c r="P132" s="1453" t="n"/>
      <c r="Q132" s="1453" t="n"/>
      <c r="R132" s="1453" t="n"/>
      <c r="S132" s="1453" t="n"/>
      <c r="T132" s="1455" t="n"/>
    </row>
    <row r="133">
      <c r="A133" s="305" t="n"/>
      <c r="B133" s="306" t="n"/>
      <c r="C133" s="306" t="n"/>
      <c r="D133" s="306" t="n"/>
      <c r="E133" s="306" t="n"/>
      <c r="F133" s="306" t="n"/>
      <c r="G133" s="306" t="n"/>
      <c r="H133" s="306" t="n"/>
      <c r="I133" s="1452" t="n"/>
      <c r="J133" s="1453" t="n"/>
      <c r="K133" s="1454" t="n"/>
      <c r="L133" s="1453" t="n"/>
      <c r="M133" s="1453" t="n"/>
      <c r="N133" s="1453" t="n"/>
      <c r="O133" s="1453" t="n"/>
      <c r="P133" s="1453" t="n"/>
      <c r="Q133" s="1453" t="n"/>
      <c r="R133" s="1453" t="n"/>
      <c r="S133" s="1453" t="n"/>
      <c r="T133" s="1455" t="n"/>
    </row>
    <row r="134">
      <c r="A134" s="305" t="n"/>
      <c r="B134" s="306" t="n"/>
      <c r="C134" s="306" t="n"/>
      <c r="D134" s="306" t="n"/>
      <c r="E134" s="306" t="n"/>
      <c r="F134" s="306" t="n"/>
      <c r="G134" s="306" t="n"/>
      <c r="H134" s="306" t="n"/>
      <c r="I134" s="1452" t="n"/>
      <c r="J134" s="1453" t="n"/>
      <c r="K134" s="1454" t="n"/>
      <c r="L134" s="1453" t="n"/>
      <c r="M134" s="1453" t="n"/>
      <c r="N134" s="1453" t="n"/>
      <c r="O134" s="1453" t="n"/>
      <c r="P134" s="1453" t="n"/>
      <c r="Q134" s="1453" t="n"/>
      <c r="R134" s="1453" t="n"/>
      <c r="S134" s="1453" t="n"/>
      <c r="T134" s="1455" t="n"/>
    </row>
    <row r="135">
      <c r="A135" s="305" t="n"/>
      <c r="B135" s="306" t="n"/>
      <c r="C135" s="306" t="n"/>
      <c r="D135" s="306" t="n"/>
      <c r="E135" s="306" t="n"/>
      <c r="F135" s="306" t="n"/>
      <c r="G135" s="306" t="n"/>
      <c r="H135" s="306" t="n"/>
      <c r="I135" s="1452" t="n"/>
      <c r="J135" s="1453" t="n"/>
      <c r="K135" s="1454" t="n"/>
      <c r="L135" s="1453" t="n"/>
      <c r="M135" s="1453" t="n"/>
      <c r="N135" s="1453" t="n"/>
      <c r="O135" s="1453" t="n"/>
      <c r="P135" s="1453" t="n"/>
      <c r="Q135" s="1453" t="n"/>
      <c r="R135" s="1453" t="n"/>
      <c r="S135" s="1453" t="n"/>
      <c r="T135" s="1455" t="n"/>
    </row>
    <row r="136">
      <c r="A136" s="305" t="n"/>
      <c r="B136" s="306" t="n"/>
      <c r="C136" s="306" t="n"/>
      <c r="D136" s="306" t="n"/>
      <c r="E136" s="306" t="n"/>
      <c r="F136" s="306" t="n"/>
      <c r="G136" s="306" t="n"/>
      <c r="H136" s="306" t="n"/>
      <c r="I136" s="1452" t="n"/>
      <c r="J136" s="1453" t="n"/>
      <c r="K136" s="1454" t="n"/>
      <c r="L136" s="1453" t="n"/>
      <c r="M136" s="1453" t="n"/>
      <c r="N136" s="1453" t="n"/>
      <c r="O136" s="1453" t="n"/>
      <c r="P136" s="1453" t="n"/>
      <c r="Q136" s="1453" t="n"/>
      <c r="R136" s="1453" t="n"/>
      <c r="S136" s="1453" t="n"/>
      <c r="T136" s="1455" t="n"/>
    </row>
    <row r="137">
      <c r="A137" s="305" t="n"/>
      <c r="B137" s="306" t="n"/>
      <c r="C137" s="306" t="n"/>
      <c r="D137" s="306" t="n"/>
      <c r="E137" s="306" t="n"/>
      <c r="F137" s="306" t="n"/>
      <c r="G137" s="306" t="n"/>
      <c r="H137" s="306" t="n"/>
      <c r="I137" s="1452" t="n"/>
      <c r="J137" s="1453" t="n"/>
      <c r="K137" s="1454" t="n"/>
      <c r="L137" s="1453" t="n"/>
      <c r="M137" s="1453" t="n"/>
      <c r="N137" s="1453" t="n"/>
      <c r="O137" s="1453" t="n"/>
      <c r="P137" s="1453" t="n"/>
      <c r="Q137" s="1453" t="n"/>
      <c r="R137" s="1453" t="n"/>
      <c r="S137" s="1453" t="n"/>
      <c r="T137" s="1455" t="n"/>
    </row>
    <row r="138">
      <c r="A138" s="305" t="n"/>
      <c r="B138" s="306" t="n"/>
      <c r="C138" s="306" t="n"/>
      <c r="D138" s="306" t="n"/>
      <c r="E138" s="306" t="n"/>
      <c r="F138" s="306" t="n"/>
      <c r="G138" s="306" t="n"/>
      <c r="H138" s="306" t="n"/>
      <c r="I138" s="1452" t="n"/>
      <c r="J138" s="1453" t="n"/>
      <c r="K138" s="1454" t="n"/>
      <c r="L138" s="1453" t="n"/>
      <c r="M138" s="1453" t="n"/>
      <c r="N138" s="1453" t="n"/>
      <c r="O138" s="1453" t="n"/>
      <c r="P138" s="1453" t="n"/>
      <c r="Q138" s="1453" t="n"/>
      <c r="R138" s="1453" t="n"/>
      <c r="S138" s="1453" t="n"/>
      <c r="T138" s="1455" t="n"/>
    </row>
    <row r="139">
      <c r="A139" s="305" t="n"/>
      <c r="B139" s="306" t="n"/>
      <c r="C139" s="306" t="n"/>
      <c r="D139" s="306" t="n"/>
      <c r="E139" s="306" t="n"/>
      <c r="F139" s="306" t="n"/>
      <c r="G139" s="306" t="n"/>
      <c r="H139" s="306" t="n"/>
      <c r="I139" s="1452" t="n"/>
      <c r="J139" s="1453" t="n"/>
      <c r="K139" s="1454" t="n"/>
      <c r="L139" s="1453" t="n"/>
      <c r="M139" s="1453" t="n"/>
      <c r="N139" s="1453" t="n"/>
      <c r="O139" s="1453" t="n"/>
      <c r="P139" s="1453" t="n"/>
      <c r="Q139" s="1453" t="n"/>
      <c r="R139" s="1453" t="n"/>
      <c r="S139" s="1453" t="n"/>
      <c r="T139" s="1455" t="n"/>
    </row>
    <row r="140">
      <c r="A140" s="305" t="n"/>
      <c r="B140" s="306" t="n"/>
      <c r="C140" s="306" t="n"/>
      <c r="D140" s="306" t="n"/>
      <c r="E140" s="306" t="n"/>
      <c r="F140" s="306" t="n"/>
      <c r="G140" s="306" t="n"/>
      <c r="H140" s="306" t="n"/>
      <c r="I140" s="1452" t="n"/>
      <c r="J140" s="1453" t="n"/>
      <c r="K140" s="1454" t="n"/>
      <c r="L140" s="1453" t="n"/>
      <c r="M140" s="1453" t="n"/>
      <c r="N140" s="1453" t="n"/>
      <c r="O140" s="1453" t="n"/>
      <c r="P140" s="1453" t="n"/>
      <c r="Q140" s="1453" t="n"/>
      <c r="R140" s="1453" t="n"/>
      <c r="S140" s="1453" t="n"/>
      <c r="T140" s="1455" t="n"/>
    </row>
    <row r="141">
      <c r="A141" s="305" t="n"/>
      <c r="B141" s="306" t="n"/>
      <c r="C141" s="306" t="n"/>
      <c r="D141" s="306" t="n"/>
      <c r="E141" s="306" t="n"/>
      <c r="F141" s="306" t="n"/>
      <c r="G141" s="306" t="n"/>
      <c r="H141" s="306" t="n"/>
      <c r="I141" s="1452" t="n"/>
      <c r="J141" s="1453" t="n"/>
      <c r="K141" s="1454" t="n"/>
      <c r="L141" s="1453" t="n"/>
      <c r="M141" s="1453" t="n"/>
      <c r="N141" s="1453" t="n"/>
      <c r="O141" s="1453" t="n"/>
      <c r="P141" s="1453" t="n"/>
      <c r="Q141" s="1453" t="n"/>
      <c r="R141" s="1453" t="n"/>
      <c r="S141" s="1453" t="n"/>
      <c r="T141" s="1455" t="n"/>
    </row>
    <row r="142">
      <c r="A142" s="305" t="n"/>
      <c r="B142" s="306" t="n"/>
      <c r="C142" s="306" t="n"/>
      <c r="D142" s="306" t="n"/>
      <c r="E142" s="306" t="n"/>
      <c r="F142" s="306" t="n"/>
      <c r="G142" s="306" t="n"/>
      <c r="H142" s="306" t="n"/>
      <c r="I142" s="1452" t="n"/>
      <c r="J142" s="1453" t="n"/>
      <c r="K142" s="1454" t="n"/>
      <c r="L142" s="1453" t="n"/>
      <c r="M142" s="1453" t="n"/>
      <c r="N142" s="1453" t="n"/>
      <c r="O142" s="1453" t="n"/>
      <c r="P142" s="1453" t="n"/>
      <c r="Q142" s="1453" t="n"/>
      <c r="R142" s="1453" t="n"/>
      <c r="S142" s="1453" t="n"/>
      <c r="T142" s="1455" t="n"/>
    </row>
    <row r="143">
      <c r="A143" s="305" t="n"/>
      <c r="B143" s="306" t="n"/>
      <c r="C143" s="306" t="n"/>
      <c r="D143" s="306" t="n"/>
      <c r="E143" s="306" t="n"/>
      <c r="F143" s="306" t="n"/>
      <c r="G143" s="306" t="n"/>
      <c r="H143" s="306" t="n"/>
      <c r="I143" s="1452" t="n"/>
      <c r="J143" s="1453" t="n"/>
      <c r="K143" s="1454" t="n"/>
      <c r="L143" s="1453" t="n"/>
      <c r="M143" s="1453" t="n"/>
      <c r="N143" s="1453" t="n"/>
      <c r="O143" s="1453" t="n"/>
      <c r="P143" s="1453" t="n"/>
      <c r="Q143" s="1453" t="n"/>
      <c r="R143" s="1453" t="n"/>
      <c r="S143" s="1453" t="n"/>
      <c r="T143" s="1455" t="n"/>
    </row>
    <row r="144">
      <c r="A144" s="305" t="n"/>
      <c r="B144" s="306" t="n"/>
      <c r="C144" s="306" t="n"/>
      <c r="D144" s="306" t="n"/>
      <c r="E144" s="306" t="n"/>
      <c r="F144" s="306" t="n"/>
      <c r="G144" s="306" t="n"/>
      <c r="H144" s="306" t="n"/>
      <c r="I144" s="1452" t="n"/>
      <c r="J144" s="1453" t="n"/>
      <c r="K144" s="1454" t="n"/>
      <c r="L144" s="1453" t="n"/>
      <c r="M144" s="1453" t="n"/>
      <c r="N144" s="1453" t="n"/>
      <c r="O144" s="1453" t="n"/>
      <c r="P144" s="1453" t="n"/>
      <c r="Q144" s="1453" t="n"/>
      <c r="R144" s="1453" t="n"/>
      <c r="S144" s="1453" t="n"/>
      <c r="T144" s="1455" t="n"/>
    </row>
    <row r="145">
      <c r="A145" s="305" t="n"/>
      <c r="B145" s="306" t="n"/>
      <c r="C145" s="306" t="n"/>
      <c r="D145" s="306" t="n"/>
      <c r="E145" s="306" t="n"/>
      <c r="F145" s="306" t="n"/>
      <c r="G145" s="306" t="n"/>
      <c r="H145" s="306" t="n"/>
      <c r="I145" s="1452" t="n"/>
      <c r="J145" s="1453" t="n"/>
      <c r="K145" s="1454" t="n"/>
      <c r="L145" s="1453" t="n"/>
      <c r="M145" s="1453" t="n"/>
      <c r="N145" s="1453" t="n"/>
      <c r="O145" s="1453" t="n"/>
      <c r="P145" s="1453" t="n"/>
      <c r="Q145" s="1453" t="n"/>
      <c r="R145" s="1453" t="n"/>
      <c r="S145" s="1453" t="n"/>
      <c r="T145" s="1455" t="n"/>
    </row>
    <row r="146">
      <c r="A146" s="305" t="n"/>
      <c r="B146" s="306" t="n"/>
      <c r="C146" s="306" t="n"/>
      <c r="D146" s="306" t="n"/>
      <c r="E146" s="306" t="n"/>
      <c r="F146" s="306" t="n"/>
      <c r="G146" s="306" t="n"/>
      <c r="H146" s="306" t="n"/>
      <c r="I146" s="1452" t="n"/>
      <c r="J146" s="1453" t="n"/>
      <c r="K146" s="1454" t="n"/>
      <c r="L146" s="1453" t="n"/>
      <c r="M146" s="1453" t="n"/>
      <c r="N146" s="1453" t="n"/>
      <c r="O146" s="1453" t="n"/>
      <c r="P146" s="1453" t="n"/>
      <c r="Q146" s="1453" t="n"/>
      <c r="R146" s="1453" t="n"/>
      <c r="S146" s="1453" t="n"/>
      <c r="T146" s="1455" t="n"/>
    </row>
    <row r="147">
      <c r="A147" s="305" t="n"/>
      <c r="B147" s="306" t="n"/>
      <c r="C147" s="306" t="n"/>
      <c r="D147" s="306" t="n"/>
      <c r="E147" s="306" t="n"/>
      <c r="F147" s="306" t="n"/>
      <c r="G147" s="306" t="n"/>
      <c r="H147" s="306" t="n"/>
      <c r="I147" s="1452" t="n"/>
      <c r="J147" s="1453" t="n"/>
      <c r="K147" s="1454" t="n"/>
      <c r="L147" s="1453" t="n"/>
      <c r="M147" s="1453" t="n"/>
      <c r="N147" s="1453" t="n"/>
      <c r="O147" s="1453" t="n"/>
      <c r="P147" s="1453" t="n"/>
      <c r="Q147" s="1453" t="n"/>
      <c r="R147" s="1453" t="n"/>
      <c r="S147" s="1453" t="n"/>
      <c r="T147" s="1455" t="n"/>
    </row>
    <row r="148">
      <c r="A148" s="305" t="n"/>
      <c r="B148" s="306" t="n"/>
      <c r="C148" s="306" t="n"/>
      <c r="D148" s="306" t="n"/>
      <c r="E148" s="306" t="n"/>
      <c r="F148" s="306" t="n"/>
      <c r="G148" s="306" t="n"/>
      <c r="H148" s="306" t="n"/>
      <c r="I148" s="1452" t="n"/>
      <c r="J148" s="1453" t="n"/>
      <c r="K148" s="1454" t="n"/>
      <c r="L148" s="1453" t="n"/>
      <c r="M148" s="1453" t="n"/>
      <c r="N148" s="1453" t="n"/>
      <c r="O148" s="1453" t="n"/>
      <c r="P148" s="1453" t="n"/>
      <c r="Q148" s="1453" t="n"/>
      <c r="R148" s="1453" t="n"/>
      <c r="S148" s="1453" t="n"/>
      <c r="T148" s="1455" t="n"/>
    </row>
    <row r="149">
      <c r="A149" s="305" t="n"/>
      <c r="B149" s="306" t="n"/>
      <c r="C149" s="306" t="n"/>
      <c r="D149" s="306" t="n"/>
      <c r="E149" s="306" t="n"/>
      <c r="F149" s="306" t="n"/>
      <c r="G149" s="306" t="n"/>
      <c r="H149" s="306" t="n"/>
      <c r="I149" s="1452" t="n"/>
      <c r="J149" s="1453" t="n"/>
      <c r="K149" s="1454" t="n"/>
      <c r="L149" s="1453" t="n"/>
      <c r="M149" s="1453" t="n"/>
      <c r="N149" s="1453" t="n"/>
      <c r="O149" s="1453" t="n"/>
      <c r="P149" s="1453" t="n"/>
      <c r="Q149" s="1453" t="n"/>
      <c r="R149" s="1453" t="n"/>
      <c r="S149" s="1453" t="n"/>
      <c r="T149" s="1455" t="n"/>
    </row>
    <row r="150">
      <c r="A150" s="305" t="n"/>
      <c r="B150" s="306" t="n"/>
      <c r="C150" s="306" t="n"/>
      <c r="D150" s="306" t="n"/>
      <c r="E150" s="306" t="n"/>
      <c r="F150" s="306" t="n"/>
      <c r="G150" s="306" t="n"/>
      <c r="H150" s="306" t="n"/>
      <c r="I150" s="1452" t="n"/>
      <c r="J150" s="1453" t="n"/>
      <c r="K150" s="1454" t="n"/>
      <c r="L150" s="1453" t="n"/>
      <c r="M150" s="1453" t="n"/>
      <c r="N150" s="1453" t="n"/>
      <c r="O150" s="1453" t="n"/>
      <c r="P150" s="1453" t="n"/>
      <c r="Q150" s="1453" t="n"/>
      <c r="R150" s="1453" t="n"/>
      <c r="S150" s="1453" t="n"/>
      <c r="T150" s="1455" t="n"/>
    </row>
    <row r="151">
      <c r="A151" s="305" t="n"/>
      <c r="B151" s="306" t="n"/>
      <c r="C151" s="306" t="n"/>
      <c r="D151" s="306" t="n"/>
      <c r="E151" s="306" t="n"/>
      <c r="F151" s="306" t="n"/>
      <c r="G151" s="306" t="n"/>
      <c r="H151" s="306" t="n"/>
      <c r="I151" s="1452" t="n"/>
      <c r="J151" s="1453" t="n"/>
      <c r="K151" s="1454" t="n"/>
      <c r="L151" s="1453" t="n"/>
      <c r="M151" s="1453" t="n"/>
      <c r="N151" s="1453" t="n"/>
      <c r="O151" s="1453" t="n"/>
      <c r="P151" s="1453" t="n"/>
      <c r="Q151" s="1453" t="n"/>
      <c r="R151" s="1453" t="n"/>
      <c r="S151" s="1453" t="n"/>
      <c r="T151" s="1455" t="n"/>
    </row>
    <row r="152">
      <c r="A152" s="305" t="n"/>
      <c r="B152" s="306" t="n"/>
      <c r="C152" s="306" t="n"/>
      <c r="D152" s="306" t="n"/>
      <c r="E152" s="306" t="n"/>
      <c r="F152" s="306" t="n"/>
      <c r="G152" s="306" t="n"/>
      <c r="H152" s="306" t="n"/>
      <c r="I152" s="1452" t="n"/>
      <c r="J152" s="1453" t="n"/>
      <c r="K152" s="1454" t="n"/>
      <c r="L152" s="1453" t="n"/>
      <c r="M152" s="1453" t="n"/>
      <c r="N152" s="1453" t="n"/>
      <c r="O152" s="1453" t="n"/>
      <c r="P152" s="1453" t="n"/>
      <c r="Q152" s="1453" t="n"/>
      <c r="R152" s="1453" t="n"/>
      <c r="S152" s="1453" t="n"/>
      <c r="T152" s="1455" t="n"/>
    </row>
    <row r="153">
      <c r="A153" s="305" t="n"/>
      <c r="B153" s="306" t="n"/>
      <c r="C153" s="306" t="n"/>
      <c r="D153" s="306" t="n"/>
      <c r="E153" s="306" t="n"/>
      <c r="F153" s="306" t="n"/>
      <c r="G153" s="306" t="n"/>
      <c r="H153" s="306" t="n"/>
      <c r="I153" s="1452" t="n"/>
      <c r="J153" s="1453" t="n"/>
      <c r="K153" s="1454" t="n"/>
      <c r="L153" s="1453" t="n"/>
      <c r="M153" s="1453" t="n"/>
      <c r="N153" s="1453" t="n"/>
      <c r="O153" s="1453" t="n"/>
      <c r="P153" s="1453" t="n"/>
      <c r="Q153" s="1453" t="n"/>
      <c r="R153" s="1453" t="n"/>
      <c r="S153" s="1453" t="n"/>
      <c r="T153" s="1455" t="n"/>
    </row>
    <row r="154">
      <c r="A154" s="305" t="n"/>
      <c r="B154" s="306" t="n"/>
      <c r="C154" s="306" t="n"/>
      <c r="D154" s="306" t="n"/>
      <c r="E154" s="306" t="n"/>
      <c r="F154" s="306" t="n"/>
      <c r="G154" s="306" t="n"/>
      <c r="H154" s="306" t="n"/>
      <c r="I154" s="1452" t="n"/>
      <c r="J154" s="1453" t="n"/>
      <c r="K154" s="1454" t="n"/>
      <c r="L154" s="1453" t="n"/>
      <c r="M154" s="1453" t="n"/>
      <c r="N154" s="1453" t="n"/>
      <c r="O154" s="1453" t="n"/>
      <c r="P154" s="1453" t="n"/>
      <c r="Q154" s="1453" t="n"/>
      <c r="R154" s="1453" t="n"/>
      <c r="S154" s="1453" t="n"/>
      <c r="T154" s="1455" t="n"/>
    </row>
    <row r="155">
      <c r="A155" s="305" t="n"/>
      <c r="B155" s="306" t="n"/>
      <c r="C155" s="306" t="n"/>
      <c r="D155" s="306" t="n"/>
      <c r="E155" s="306" t="n"/>
      <c r="F155" s="306" t="n"/>
      <c r="G155" s="306" t="n"/>
      <c r="H155" s="306" t="n"/>
      <c r="I155" s="1452" t="n"/>
      <c r="J155" s="1453" t="n"/>
      <c r="K155" s="1454" t="n"/>
      <c r="L155" s="1453" t="n"/>
      <c r="M155" s="1453" t="n"/>
      <c r="N155" s="1453" t="n"/>
      <c r="O155" s="1453" t="n"/>
      <c r="P155" s="1453" t="n"/>
      <c r="Q155" s="1453" t="n"/>
      <c r="R155" s="1453" t="n"/>
      <c r="S155" s="1453" t="n"/>
      <c r="T155" s="1455" t="n"/>
    </row>
    <row r="156">
      <c r="A156" s="305" t="n"/>
      <c r="B156" s="306" t="n"/>
      <c r="C156" s="306" t="n"/>
      <c r="D156" s="306" t="n"/>
      <c r="E156" s="306" t="n"/>
      <c r="F156" s="306" t="n"/>
      <c r="G156" s="306" t="n"/>
      <c r="H156" s="306" t="n"/>
      <c r="I156" s="1452" t="n"/>
      <c r="J156" s="1453" t="n"/>
      <c r="K156" s="1454" t="n"/>
      <c r="L156" s="1453" t="n"/>
      <c r="M156" s="1453" t="n"/>
      <c r="N156" s="1453" t="n"/>
      <c r="O156" s="1453" t="n"/>
      <c r="P156" s="1453" t="n"/>
      <c r="Q156" s="1453" t="n"/>
      <c r="R156" s="1453" t="n"/>
      <c r="S156" s="1453" t="n"/>
      <c r="T156" s="1455" t="n"/>
    </row>
    <row r="157">
      <c r="A157" s="305" t="n"/>
      <c r="B157" s="306" t="n"/>
      <c r="C157" s="306" t="n"/>
      <c r="D157" s="306" t="n"/>
      <c r="E157" s="306" t="n"/>
      <c r="F157" s="306" t="n"/>
      <c r="G157" s="306" t="n"/>
      <c r="H157" s="306" t="n"/>
      <c r="I157" s="1452" t="n"/>
      <c r="J157" s="1453" t="n"/>
      <c r="K157" s="1454" t="n"/>
      <c r="L157" s="1453" t="n"/>
      <c r="M157" s="1453" t="n"/>
      <c r="N157" s="1453" t="n"/>
      <c r="O157" s="1453" t="n"/>
      <c r="P157" s="1453" t="n"/>
      <c r="Q157" s="1453" t="n"/>
      <c r="R157" s="1453" t="n"/>
      <c r="S157" s="1453" t="n"/>
      <c r="T157" s="1455" t="n"/>
    </row>
    <row r="158">
      <c r="A158" s="305" t="n"/>
      <c r="B158" s="306" t="n"/>
      <c r="C158" s="306" t="n"/>
      <c r="D158" s="306" t="n"/>
      <c r="E158" s="306" t="n"/>
      <c r="F158" s="306" t="n"/>
      <c r="G158" s="306" t="n"/>
      <c r="H158" s="306" t="n"/>
      <c r="I158" s="1452" t="n"/>
      <c r="J158" s="1453" t="n"/>
      <c r="K158" s="1454" t="n"/>
      <c r="L158" s="1453" t="n"/>
      <c r="M158" s="1453" t="n"/>
      <c r="N158" s="1453" t="n"/>
      <c r="O158" s="1453" t="n"/>
      <c r="P158" s="1453" t="n"/>
      <c r="Q158" s="1453" t="n"/>
      <c r="R158" s="1453" t="n"/>
      <c r="S158" s="1453" t="n"/>
      <c r="T158" s="1455" t="n"/>
    </row>
    <row r="159">
      <c r="A159" s="305" t="n"/>
      <c r="B159" s="306" t="n"/>
      <c r="C159" s="306" t="n"/>
      <c r="D159" s="306" t="n"/>
      <c r="E159" s="306" t="n"/>
      <c r="F159" s="306" t="n"/>
      <c r="G159" s="306" t="n"/>
      <c r="H159" s="306" t="n"/>
      <c r="I159" s="1452" t="n"/>
      <c r="J159" s="1453" t="n"/>
      <c r="K159" s="1454" t="n"/>
      <c r="L159" s="1453" t="n"/>
      <c r="M159" s="1453" t="n"/>
      <c r="N159" s="1453" t="n"/>
      <c r="O159" s="1453" t="n"/>
      <c r="P159" s="1453" t="n"/>
      <c r="Q159" s="1453" t="n"/>
      <c r="R159" s="1453" t="n"/>
      <c r="S159" s="1453" t="n"/>
      <c r="T159" s="1455" t="n"/>
    </row>
    <row r="160">
      <c r="A160" s="305" t="n"/>
      <c r="B160" s="306" t="n"/>
      <c r="C160" s="306" t="n"/>
      <c r="D160" s="306" t="n"/>
      <c r="E160" s="306" t="n"/>
      <c r="F160" s="306" t="n"/>
      <c r="G160" s="306" t="n"/>
      <c r="H160" s="306" t="n"/>
      <c r="I160" s="1452" t="n"/>
      <c r="J160" s="1453" t="n"/>
      <c r="K160" s="1454" t="n"/>
      <c r="L160" s="1453" t="n"/>
      <c r="M160" s="1453" t="n"/>
      <c r="N160" s="1453" t="n"/>
      <c r="O160" s="1453" t="n"/>
      <c r="P160" s="1453" t="n"/>
      <c r="Q160" s="1453" t="n"/>
      <c r="R160" s="1453" t="n"/>
      <c r="S160" s="1453" t="n"/>
      <c r="T160" s="1455" t="n"/>
    </row>
    <row r="161">
      <c r="A161" s="305" t="n"/>
      <c r="B161" s="306" t="n"/>
      <c r="C161" s="306" t="n"/>
      <c r="D161" s="306" t="n"/>
      <c r="E161" s="306" t="n"/>
      <c r="F161" s="306" t="n"/>
      <c r="G161" s="306" t="n"/>
      <c r="H161" s="306" t="n"/>
      <c r="I161" s="1452" t="n"/>
      <c r="J161" s="1453" t="n"/>
      <c r="K161" s="1454" t="n"/>
      <c r="L161" s="1453" t="n"/>
      <c r="M161" s="1453" t="n"/>
      <c r="N161" s="1453" t="n"/>
      <c r="O161" s="1453" t="n"/>
      <c r="P161" s="1453" t="n"/>
      <c r="Q161" s="1453" t="n"/>
      <c r="R161" s="1453" t="n"/>
      <c r="S161" s="1453" t="n"/>
      <c r="T161" s="1455" t="n"/>
    </row>
    <row r="162">
      <c r="A162" s="305" t="n"/>
      <c r="B162" s="306" t="n"/>
      <c r="C162" s="306" t="n"/>
      <c r="D162" s="306" t="n"/>
      <c r="E162" s="306" t="n"/>
      <c r="F162" s="306" t="n"/>
      <c r="G162" s="306" t="n"/>
      <c r="H162" s="306" t="n"/>
      <c r="I162" s="1452" t="n"/>
      <c r="J162" s="1453" t="n"/>
      <c r="K162" s="1454" t="n"/>
      <c r="L162" s="1453" t="n"/>
      <c r="M162" s="1453" t="n"/>
      <c r="N162" s="1453" t="n"/>
      <c r="O162" s="1453" t="n"/>
      <c r="P162" s="1453" t="n"/>
      <c r="Q162" s="1453" t="n"/>
      <c r="R162" s="1453" t="n"/>
      <c r="S162" s="1453" t="n"/>
      <c r="T162" s="1455" t="n"/>
    </row>
    <row r="163">
      <c r="A163" s="305" t="n"/>
      <c r="B163" s="306" t="n"/>
      <c r="C163" s="306" t="n"/>
      <c r="D163" s="306" t="n"/>
      <c r="E163" s="306" t="n"/>
      <c r="F163" s="306" t="n"/>
      <c r="G163" s="306" t="n"/>
      <c r="H163" s="306" t="n"/>
      <c r="I163" s="1452" t="n"/>
      <c r="J163" s="1453" t="n"/>
      <c r="K163" s="1454" t="n"/>
      <c r="L163" s="1453" t="n"/>
      <c r="M163" s="1453" t="n"/>
      <c r="N163" s="1453" t="n"/>
      <c r="O163" s="1453" t="n"/>
      <c r="P163" s="1453" t="n"/>
      <c r="Q163" s="1453" t="n"/>
      <c r="R163" s="1453" t="n"/>
      <c r="S163" s="1453" t="n"/>
      <c r="T163" s="1455" t="n"/>
    </row>
    <row r="164">
      <c r="A164" s="305" t="n"/>
      <c r="B164" s="306" t="n"/>
      <c r="C164" s="306" t="n"/>
      <c r="D164" s="306" t="n"/>
      <c r="E164" s="306" t="n"/>
      <c r="F164" s="306" t="n"/>
      <c r="G164" s="306" t="n"/>
      <c r="H164" s="306" t="n"/>
      <c r="I164" s="1452" t="n"/>
      <c r="J164" s="1453" t="n"/>
      <c r="K164" s="1454" t="n"/>
      <c r="L164" s="1453" t="n"/>
      <c r="M164" s="1453" t="n"/>
      <c r="N164" s="1453" t="n"/>
      <c r="O164" s="1453" t="n"/>
      <c r="P164" s="1453" t="n"/>
      <c r="Q164" s="1453" t="n"/>
      <c r="R164" s="1453" t="n"/>
      <c r="S164" s="1453" t="n"/>
      <c r="T164" s="1455" t="n"/>
    </row>
    <row r="165">
      <c r="A165" s="305" t="n"/>
      <c r="B165" s="306" t="n"/>
      <c r="C165" s="306" t="n"/>
      <c r="D165" s="306" t="n"/>
      <c r="E165" s="306" t="n"/>
      <c r="F165" s="306" t="n"/>
      <c r="G165" s="306" t="n"/>
      <c r="H165" s="306" t="n"/>
      <c r="I165" s="1452" t="n"/>
      <c r="J165" s="1453" t="n"/>
      <c r="K165" s="1454" t="n"/>
      <c r="L165" s="1453" t="n"/>
      <c r="M165" s="1453" t="n"/>
      <c r="N165" s="1453" t="n"/>
      <c r="O165" s="1453" t="n"/>
      <c r="P165" s="1453" t="n"/>
      <c r="Q165" s="1453" t="n"/>
      <c r="R165" s="1453" t="n"/>
      <c r="S165" s="1453" t="n"/>
      <c r="T165" s="1455" t="n"/>
    </row>
    <row r="166">
      <c r="A166" s="305" t="n"/>
      <c r="B166" s="306" t="n"/>
      <c r="C166" s="306" t="n"/>
      <c r="D166" s="306" t="n"/>
      <c r="E166" s="306" t="n"/>
      <c r="F166" s="306" t="n"/>
      <c r="G166" s="306" t="n"/>
      <c r="H166" s="306" t="n"/>
      <c r="I166" s="1452" t="n"/>
      <c r="J166" s="1453" t="n"/>
      <c r="K166" s="1454" t="n"/>
      <c r="L166" s="1453" t="n"/>
      <c r="M166" s="1453" t="n"/>
      <c r="N166" s="1453" t="n"/>
      <c r="O166" s="1453" t="n"/>
      <c r="P166" s="1453" t="n"/>
      <c r="Q166" s="1453" t="n"/>
      <c r="R166" s="1453" t="n"/>
      <c r="S166" s="1453" t="n"/>
      <c r="T166" s="1455" t="n"/>
    </row>
    <row r="167">
      <c r="A167" s="305" t="n"/>
      <c r="B167" s="306" t="n"/>
      <c r="C167" s="306" t="n"/>
      <c r="D167" s="306" t="n"/>
      <c r="E167" s="306" t="n"/>
      <c r="F167" s="306" t="n"/>
      <c r="G167" s="306" t="n"/>
      <c r="H167" s="306" t="n"/>
      <c r="I167" s="1452" t="n"/>
      <c r="J167" s="1453" t="n"/>
      <c r="K167" s="1454" t="n"/>
      <c r="L167" s="1453" t="n"/>
      <c r="M167" s="1453" t="n"/>
      <c r="N167" s="1453" t="n"/>
      <c r="O167" s="1453" t="n"/>
      <c r="P167" s="1453" t="n"/>
      <c r="Q167" s="1453" t="n"/>
      <c r="R167" s="1453" t="n"/>
      <c r="S167" s="1453" t="n"/>
      <c r="T167" s="1455" t="n"/>
    </row>
    <row r="168">
      <c r="A168" s="305" t="n"/>
      <c r="B168" s="306" t="n"/>
      <c r="C168" s="306" t="n"/>
      <c r="D168" s="306" t="n"/>
      <c r="E168" s="306" t="n"/>
      <c r="F168" s="306" t="n"/>
      <c r="G168" s="306" t="n"/>
      <c r="H168" s="306" t="n"/>
      <c r="I168" s="1452" t="n"/>
      <c r="J168" s="1453" t="n"/>
      <c r="K168" s="1454" t="n"/>
      <c r="L168" s="1453" t="n"/>
      <c r="M168" s="1453" t="n"/>
      <c r="N168" s="1453" t="n"/>
      <c r="O168" s="1453" t="n"/>
      <c r="P168" s="1453" t="n"/>
      <c r="Q168" s="1453" t="n"/>
      <c r="R168" s="1453" t="n"/>
      <c r="S168" s="1453" t="n"/>
      <c r="T168" s="1455" t="n"/>
    </row>
    <row r="169">
      <c r="A169" s="305" t="n"/>
      <c r="B169" s="306" t="n"/>
      <c r="C169" s="306" t="n"/>
      <c r="D169" s="306" t="n"/>
      <c r="E169" s="306" t="n"/>
      <c r="F169" s="306" t="n"/>
      <c r="G169" s="306" t="n"/>
      <c r="H169" s="306" t="n"/>
      <c r="I169" s="1452" t="n"/>
      <c r="J169" s="1453" t="n"/>
      <c r="K169" s="1454" t="n"/>
      <c r="L169" s="1453" t="n"/>
      <c r="M169" s="1453" t="n"/>
      <c r="N169" s="1453" t="n"/>
      <c r="O169" s="1453" t="n"/>
      <c r="P169" s="1453" t="n"/>
      <c r="Q169" s="1453" t="n"/>
      <c r="R169" s="1453" t="n"/>
      <c r="S169" s="1453" t="n"/>
      <c r="T169" s="1455" t="n"/>
    </row>
    <row r="170">
      <c r="A170" s="305" t="n"/>
      <c r="B170" s="306" t="n"/>
      <c r="C170" s="306" t="n"/>
      <c r="D170" s="306" t="n"/>
      <c r="E170" s="306" t="n"/>
      <c r="F170" s="306" t="n"/>
      <c r="G170" s="306" t="n"/>
      <c r="H170" s="306" t="n"/>
      <c r="I170" s="1452" t="n"/>
      <c r="J170" s="1453" t="n"/>
      <c r="K170" s="1454" t="n"/>
      <c r="L170" s="1453" t="n"/>
      <c r="M170" s="1453" t="n"/>
      <c r="N170" s="1453" t="n"/>
      <c r="O170" s="1453" t="n"/>
      <c r="P170" s="1453" t="n"/>
      <c r="Q170" s="1453" t="n"/>
      <c r="R170" s="1453" t="n"/>
      <c r="S170" s="1453" t="n"/>
      <c r="T170" s="1455" t="n"/>
    </row>
    <row r="171">
      <c r="A171" s="305" t="n"/>
      <c r="B171" s="306" t="n"/>
      <c r="C171" s="306" t="n"/>
      <c r="D171" s="306" t="n"/>
      <c r="E171" s="306" t="n"/>
      <c r="F171" s="306" t="n"/>
      <c r="G171" s="306" t="n"/>
      <c r="H171" s="306" t="n"/>
      <c r="I171" s="1452" t="n"/>
      <c r="J171" s="1453" t="n"/>
      <c r="K171" s="1454" t="n"/>
      <c r="L171" s="1453" t="n"/>
      <c r="M171" s="1453" t="n"/>
      <c r="N171" s="1453" t="n"/>
      <c r="O171" s="1453" t="n"/>
      <c r="P171" s="1453" t="n"/>
      <c r="Q171" s="1453" t="n"/>
      <c r="R171" s="1453" t="n"/>
      <c r="S171" s="1453" t="n"/>
      <c r="T171" s="1455" t="n"/>
    </row>
    <row r="172">
      <c r="A172" s="305" t="n"/>
      <c r="B172" s="306" t="n"/>
      <c r="C172" s="306" t="n"/>
      <c r="D172" s="306" t="n"/>
      <c r="E172" s="306" t="n"/>
      <c r="F172" s="306" t="n"/>
      <c r="G172" s="306" t="n"/>
      <c r="H172" s="306" t="n"/>
      <c r="I172" s="1452" t="n"/>
      <c r="J172" s="1453" t="n"/>
      <c r="K172" s="1454" t="n"/>
      <c r="L172" s="1453" t="n"/>
      <c r="M172" s="1453" t="n"/>
      <c r="N172" s="1453" t="n"/>
      <c r="O172" s="1453" t="n"/>
      <c r="P172" s="1453" t="n"/>
      <c r="Q172" s="1453" t="n"/>
      <c r="R172" s="1453" t="n"/>
      <c r="S172" s="1453" t="n"/>
      <c r="T172" s="1455" t="n"/>
    </row>
    <row r="173">
      <c r="A173" s="305" t="n"/>
      <c r="B173" s="306" t="n"/>
      <c r="C173" s="306" t="n"/>
      <c r="D173" s="306" t="n"/>
      <c r="E173" s="306" t="n"/>
      <c r="F173" s="306" t="n"/>
      <c r="G173" s="306" t="n"/>
      <c r="H173" s="306" t="n"/>
      <c r="I173" s="1452" t="n"/>
      <c r="J173" s="1453" t="n"/>
      <c r="K173" s="1454" t="n"/>
      <c r="L173" s="1453" t="n"/>
      <c r="M173" s="1453" t="n"/>
      <c r="N173" s="1453" t="n"/>
      <c r="O173" s="1453" t="n"/>
      <c r="P173" s="1453" t="n"/>
      <c r="Q173" s="1453" t="n"/>
      <c r="R173" s="1453" t="n"/>
      <c r="S173" s="1453" t="n"/>
      <c r="T173" s="1455" t="n"/>
    </row>
    <row r="174">
      <c r="A174" s="305" t="n"/>
      <c r="B174" s="306" t="n"/>
      <c r="C174" s="306" t="n"/>
      <c r="D174" s="306" t="n"/>
      <c r="E174" s="306" t="n"/>
      <c r="F174" s="306" t="n"/>
      <c r="G174" s="306" t="n"/>
      <c r="H174" s="306" t="n"/>
      <c r="I174" s="1452" t="n"/>
      <c r="J174" s="1453" t="n"/>
      <c r="K174" s="1454" t="n"/>
      <c r="L174" s="1453" t="n"/>
      <c r="M174" s="1453" t="n"/>
      <c r="N174" s="1453" t="n"/>
      <c r="O174" s="1453" t="n"/>
      <c r="P174" s="1453" t="n"/>
      <c r="Q174" s="1453" t="n"/>
      <c r="R174" s="1453" t="n"/>
      <c r="S174" s="1453" t="n"/>
      <c r="T174" s="1455" t="n"/>
    </row>
    <row r="175">
      <c r="A175" s="305" t="n"/>
      <c r="B175" s="306" t="n"/>
      <c r="C175" s="306" t="n"/>
      <c r="D175" s="306" t="n"/>
      <c r="E175" s="306" t="n"/>
      <c r="F175" s="306" t="n"/>
      <c r="G175" s="306" t="n"/>
      <c r="H175" s="306" t="n"/>
      <c r="I175" s="1452" t="n"/>
      <c r="J175" s="1453" t="n"/>
      <c r="K175" s="1454" t="n"/>
      <c r="L175" s="1453" t="n"/>
      <c r="M175" s="1453" t="n"/>
      <c r="N175" s="1453" t="n"/>
      <c r="O175" s="1453" t="n"/>
      <c r="P175" s="1453" t="n"/>
      <c r="Q175" s="1453" t="n"/>
      <c r="R175" s="1453" t="n"/>
      <c r="S175" s="1453" t="n"/>
      <c r="T175" s="1455" t="n"/>
    </row>
    <row r="176">
      <c r="A176" s="305" t="n"/>
      <c r="B176" s="306" t="n"/>
      <c r="C176" s="306" t="n"/>
      <c r="D176" s="306" t="n"/>
      <c r="E176" s="306" t="n"/>
      <c r="F176" s="306" t="n"/>
      <c r="G176" s="306" t="n"/>
      <c r="H176" s="306" t="n"/>
      <c r="I176" s="1452" t="n"/>
      <c r="J176" s="1453" t="n"/>
      <c r="K176" s="1454" t="n"/>
      <c r="L176" s="1453" t="n"/>
      <c r="M176" s="1453" t="n"/>
      <c r="N176" s="1453" t="n"/>
      <c r="O176" s="1453" t="n"/>
      <c r="P176" s="1453" t="n"/>
      <c r="Q176" s="1453" t="n"/>
      <c r="R176" s="1453" t="n"/>
      <c r="S176" s="1453" t="n"/>
      <c r="T176" s="1455" t="n"/>
    </row>
    <row r="177">
      <c r="A177" s="305" t="n"/>
      <c r="B177" s="306" t="n"/>
      <c r="C177" s="306" t="n"/>
      <c r="D177" s="306" t="n"/>
      <c r="E177" s="306" t="n"/>
      <c r="F177" s="306" t="n"/>
      <c r="G177" s="306" t="n"/>
      <c r="H177" s="306" t="n"/>
      <c r="I177" s="1452" t="n"/>
      <c r="J177" s="1453" t="n"/>
      <c r="K177" s="1454" t="n"/>
      <c r="L177" s="1453" t="n"/>
      <c r="M177" s="1453" t="n"/>
      <c r="N177" s="1453" t="n"/>
      <c r="O177" s="1453" t="n"/>
      <c r="P177" s="1453" t="n"/>
      <c r="Q177" s="1453" t="n"/>
      <c r="R177" s="1453" t="n"/>
      <c r="S177" s="1453" t="n"/>
      <c r="T177" s="1455" t="n"/>
    </row>
    <row r="178">
      <c r="A178" s="305" t="n"/>
      <c r="B178" s="306" t="n"/>
      <c r="C178" s="306" t="n"/>
      <c r="D178" s="306" t="n"/>
      <c r="E178" s="306" t="n"/>
      <c r="F178" s="306" t="n"/>
      <c r="G178" s="306" t="n"/>
      <c r="H178" s="306" t="n"/>
      <c r="I178" s="1452" t="n"/>
      <c r="J178" s="1453" t="n"/>
      <c r="K178" s="1454" t="n"/>
      <c r="L178" s="1453" t="n"/>
      <c r="M178" s="1453" t="n"/>
      <c r="N178" s="1453" t="n"/>
      <c r="O178" s="1453" t="n"/>
      <c r="P178" s="1453" t="n"/>
      <c r="Q178" s="1453" t="n"/>
      <c r="R178" s="1453" t="n"/>
      <c r="S178" s="1453" t="n"/>
      <c r="T178" s="1455" t="n"/>
    </row>
    <row r="179">
      <c r="A179" s="305" t="n"/>
      <c r="B179" s="306" t="n"/>
      <c r="C179" s="306" t="n"/>
      <c r="D179" s="306" t="n"/>
      <c r="E179" s="306" t="n"/>
      <c r="F179" s="306" t="n"/>
      <c r="G179" s="306" t="n"/>
      <c r="H179" s="306" t="n"/>
      <c r="I179" s="1452" t="n"/>
      <c r="J179" s="1453" t="n"/>
      <c r="K179" s="1454" t="n"/>
      <c r="L179" s="1453" t="n"/>
      <c r="M179" s="1453" t="n"/>
      <c r="N179" s="1453" t="n"/>
      <c r="O179" s="1453" t="n"/>
      <c r="P179" s="1453" t="n"/>
      <c r="Q179" s="1453" t="n"/>
      <c r="R179" s="1453" t="n"/>
      <c r="S179" s="1453" t="n"/>
      <c r="T179" s="1455" t="n"/>
    </row>
    <row r="180">
      <c r="A180" s="305" t="n"/>
      <c r="B180" s="306" t="n"/>
      <c r="C180" s="306" t="n"/>
      <c r="D180" s="306" t="n"/>
      <c r="E180" s="306" t="n"/>
      <c r="F180" s="306" t="n"/>
      <c r="G180" s="306" t="n"/>
      <c r="H180" s="306" t="n"/>
      <c r="I180" s="1452" t="n"/>
      <c r="J180" s="1453" t="n"/>
      <c r="K180" s="1454" t="n"/>
      <c r="L180" s="1453" t="n"/>
      <c r="M180" s="1453" t="n"/>
      <c r="N180" s="1453" t="n"/>
      <c r="O180" s="1453" t="n"/>
      <c r="P180" s="1453" t="n"/>
      <c r="Q180" s="1453" t="n"/>
      <c r="R180" s="1453" t="n"/>
      <c r="S180" s="1453" t="n"/>
      <c r="T180" s="1455" t="n"/>
    </row>
    <row r="181">
      <c r="A181" s="305" t="n"/>
      <c r="B181" s="306" t="n"/>
      <c r="C181" s="306" t="n"/>
      <c r="D181" s="306" t="n"/>
      <c r="E181" s="306" t="n"/>
      <c r="F181" s="306" t="n"/>
      <c r="G181" s="306" t="n"/>
      <c r="H181" s="306" t="n"/>
      <c r="I181" s="1452" t="n"/>
      <c r="J181" s="1453" t="n"/>
      <c r="K181" s="1454" t="n"/>
      <c r="L181" s="1453" t="n"/>
      <c r="M181" s="1453" t="n"/>
      <c r="N181" s="1453" t="n"/>
      <c r="O181" s="1453" t="n"/>
      <c r="P181" s="1453" t="n"/>
      <c r="Q181" s="1453" t="n"/>
      <c r="R181" s="1453" t="n"/>
      <c r="S181" s="1453" t="n"/>
      <c r="T181" s="1455" t="n"/>
    </row>
    <row r="182">
      <c r="A182" s="305" t="n"/>
      <c r="B182" s="306" t="n"/>
      <c r="C182" s="306" t="n"/>
      <c r="D182" s="306" t="n"/>
      <c r="E182" s="306" t="n"/>
      <c r="F182" s="306" t="n"/>
      <c r="G182" s="306" t="n"/>
      <c r="H182" s="306" t="n"/>
      <c r="I182" s="1452" t="n"/>
      <c r="J182" s="1453" t="n"/>
      <c r="K182" s="1454" t="n"/>
      <c r="L182" s="1453" t="n"/>
      <c r="M182" s="1453" t="n"/>
      <c r="N182" s="1453" t="n"/>
      <c r="O182" s="1453" t="n"/>
      <c r="P182" s="1453" t="n"/>
      <c r="Q182" s="1453" t="n"/>
      <c r="R182" s="1453" t="n"/>
      <c r="S182" s="1453" t="n"/>
      <c r="T182" s="1455" t="n"/>
    </row>
    <row r="183">
      <c r="A183" s="305" t="n"/>
      <c r="B183" s="306" t="n"/>
      <c r="C183" s="306" t="n"/>
      <c r="D183" s="306" t="n"/>
      <c r="E183" s="306" t="n"/>
      <c r="F183" s="306" t="n"/>
      <c r="G183" s="306" t="n"/>
      <c r="H183" s="306" t="n"/>
      <c r="I183" s="1452" t="n"/>
      <c r="J183" s="1453" t="n"/>
      <c r="K183" s="1454" t="n"/>
      <c r="L183" s="1453" t="n"/>
      <c r="M183" s="1453" t="n"/>
      <c r="N183" s="1453" t="n"/>
      <c r="O183" s="1453" t="n"/>
      <c r="P183" s="1453" t="n"/>
      <c r="Q183" s="1453" t="n"/>
      <c r="R183" s="1453" t="n"/>
      <c r="S183" s="1453" t="n"/>
      <c r="T183" s="1455" t="n"/>
    </row>
    <row r="184">
      <c r="A184" s="305" t="n"/>
      <c r="B184" s="306" t="n"/>
      <c r="C184" s="306" t="n"/>
      <c r="D184" s="306" t="n"/>
      <c r="E184" s="306" t="n"/>
      <c r="F184" s="306" t="n"/>
      <c r="G184" s="306" t="n"/>
      <c r="H184" s="306" t="n"/>
      <c r="I184" s="1452" t="n"/>
      <c r="J184" s="1453" t="n"/>
      <c r="K184" s="1454" t="n"/>
      <c r="L184" s="1453" t="n"/>
      <c r="M184" s="1453" t="n"/>
      <c r="N184" s="1453" t="n"/>
      <c r="O184" s="1453" t="n"/>
      <c r="P184" s="1453" t="n"/>
      <c r="Q184" s="1453" t="n"/>
      <c r="R184" s="1453" t="n"/>
      <c r="S184" s="1453" t="n"/>
      <c r="T184" s="1455" t="n"/>
    </row>
    <row r="185">
      <c r="A185" s="305" t="n"/>
      <c r="B185" s="306" t="n"/>
      <c r="C185" s="306" t="n"/>
      <c r="D185" s="306" t="n"/>
      <c r="E185" s="306" t="n"/>
      <c r="F185" s="306" t="n"/>
      <c r="G185" s="306" t="n"/>
      <c r="H185" s="306" t="n"/>
      <c r="I185" s="1452" t="n"/>
      <c r="J185" s="1453" t="n"/>
      <c r="K185" s="1454" t="n"/>
      <c r="L185" s="1453" t="n"/>
      <c r="M185" s="1453" t="n"/>
      <c r="N185" s="1453" t="n"/>
      <c r="O185" s="1453" t="n"/>
      <c r="P185" s="1453" t="n"/>
      <c r="Q185" s="1453" t="n"/>
      <c r="R185" s="1453" t="n"/>
      <c r="S185" s="1453" t="n"/>
      <c r="T185" s="1455" t="n"/>
    </row>
    <row r="186">
      <c r="A186" s="305" t="n"/>
      <c r="B186" s="306" t="n"/>
      <c r="C186" s="306" t="n"/>
      <c r="D186" s="306" t="n"/>
      <c r="E186" s="306" t="n"/>
      <c r="F186" s="306" t="n"/>
      <c r="G186" s="306" t="n"/>
      <c r="H186" s="306" t="n"/>
      <c r="I186" s="1452" t="n"/>
      <c r="J186" s="1453" t="n"/>
      <c r="K186" s="1454" t="n"/>
      <c r="L186" s="1453" t="n"/>
      <c r="M186" s="1453" t="n"/>
      <c r="N186" s="1453" t="n"/>
      <c r="O186" s="1453" t="n"/>
      <c r="P186" s="1453" t="n"/>
      <c r="Q186" s="1453" t="n"/>
      <c r="R186" s="1453" t="n"/>
      <c r="S186" s="1453" t="n"/>
      <c r="T186" s="1455" t="n"/>
    </row>
    <row r="187">
      <c r="A187" s="305" t="n"/>
      <c r="B187" s="306" t="n"/>
      <c r="C187" s="306" t="n"/>
      <c r="D187" s="306" t="n"/>
      <c r="E187" s="306" t="n"/>
      <c r="F187" s="306" t="n"/>
      <c r="G187" s="306" t="n"/>
      <c r="H187" s="306" t="n"/>
      <c r="I187" s="1452" t="n"/>
      <c r="J187" s="1453" t="n"/>
      <c r="K187" s="1454" t="n"/>
      <c r="L187" s="1453" t="n"/>
      <c r="M187" s="1453" t="n"/>
      <c r="N187" s="1453" t="n"/>
      <c r="O187" s="1453" t="n"/>
      <c r="P187" s="1453" t="n"/>
      <c r="Q187" s="1453" t="n"/>
      <c r="R187" s="1453" t="n"/>
      <c r="S187" s="1453" t="n"/>
      <c r="T187" s="1455" t="n"/>
    </row>
    <row r="188">
      <c r="A188" s="305" t="n"/>
      <c r="B188" s="306" t="n"/>
      <c r="C188" s="306" t="n"/>
      <c r="D188" s="306" t="n"/>
      <c r="E188" s="306" t="n"/>
      <c r="F188" s="306" t="n"/>
      <c r="G188" s="306" t="n"/>
      <c r="H188" s="306" t="n"/>
      <c r="I188" s="1452" t="n"/>
      <c r="J188" s="1453" t="n"/>
      <c r="K188" s="1454" t="n"/>
      <c r="L188" s="1453" t="n"/>
      <c r="M188" s="1453" t="n"/>
      <c r="N188" s="1453" t="n"/>
      <c r="O188" s="1453" t="n"/>
      <c r="P188" s="1453" t="n"/>
      <c r="Q188" s="1453" t="n"/>
      <c r="R188" s="1453" t="n"/>
      <c r="S188" s="1453" t="n"/>
      <c r="T188" s="1455" t="n"/>
    </row>
    <row r="189">
      <c r="A189" s="305" t="n"/>
      <c r="B189" s="306" t="n"/>
      <c r="C189" s="306" t="n"/>
      <c r="D189" s="306" t="n"/>
      <c r="E189" s="306" t="n"/>
      <c r="F189" s="306" t="n"/>
      <c r="G189" s="306" t="n"/>
      <c r="H189" s="306" t="n"/>
      <c r="I189" s="1452" t="n"/>
      <c r="J189" s="1453" t="n"/>
      <c r="K189" s="1454" t="n"/>
      <c r="L189" s="1453" t="n"/>
      <c r="M189" s="1453" t="n"/>
      <c r="N189" s="1453" t="n"/>
      <c r="O189" s="1453" t="n"/>
      <c r="P189" s="1453" t="n"/>
      <c r="Q189" s="1453" t="n"/>
      <c r="R189" s="1453" t="n"/>
      <c r="S189" s="1453" t="n"/>
      <c r="T189" s="1455" t="n"/>
    </row>
    <row r="190">
      <c r="A190" s="305" t="n"/>
      <c r="B190" s="306" t="n"/>
      <c r="C190" s="306" t="n"/>
      <c r="D190" s="306" t="n"/>
      <c r="E190" s="306" t="n"/>
      <c r="F190" s="306" t="n"/>
      <c r="G190" s="306" t="n"/>
      <c r="H190" s="306" t="n"/>
      <c r="I190" s="1452" t="n"/>
      <c r="J190" s="1453" t="n"/>
      <c r="K190" s="1454" t="n"/>
      <c r="L190" s="1453" t="n"/>
      <c r="M190" s="1453" t="n"/>
      <c r="N190" s="1453" t="n"/>
      <c r="O190" s="1453" t="n"/>
      <c r="P190" s="1453" t="n"/>
      <c r="Q190" s="1453" t="n"/>
      <c r="R190" s="1453" t="n"/>
      <c r="S190" s="1453" t="n"/>
      <c r="T190" s="1455" t="n"/>
    </row>
    <row r="191">
      <c r="A191" s="305" t="n"/>
      <c r="B191" s="306" t="n"/>
      <c r="C191" s="306" t="n"/>
      <c r="D191" s="306" t="n"/>
      <c r="E191" s="306" t="n"/>
      <c r="F191" s="306" t="n"/>
      <c r="G191" s="306" t="n"/>
      <c r="H191" s="306" t="n"/>
      <c r="I191" s="1452" t="n"/>
      <c r="J191" s="1453" t="n"/>
      <c r="K191" s="1454" t="n"/>
      <c r="L191" s="1453" t="n"/>
      <c r="M191" s="1453" t="n"/>
      <c r="N191" s="1453" t="n"/>
      <c r="O191" s="1453" t="n"/>
      <c r="P191" s="1453" t="n"/>
      <c r="Q191" s="1453" t="n"/>
      <c r="R191" s="1453" t="n"/>
      <c r="S191" s="1453" t="n"/>
      <c r="T191" s="1455" t="n"/>
    </row>
    <row r="192">
      <c r="A192" s="305" t="n"/>
      <c r="B192" s="306" t="n"/>
      <c r="C192" s="306" t="n"/>
      <c r="D192" s="306" t="n"/>
      <c r="E192" s="306" t="n"/>
      <c r="F192" s="306" t="n"/>
      <c r="G192" s="306" t="n"/>
      <c r="H192" s="306" t="n"/>
      <c r="I192" s="1452" t="n"/>
      <c r="J192" s="1453" t="n"/>
      <c r="K192" s="1454" t="n"/>
      <c r="L192" s="1453" t="n"/>
      <c r="M192" s="1453" t="n"/>
      <c r="N192" s="1453" t="n"/>
      <c r="O192" s="1453" t="n"/>
      <c r="P192" s="1453" t="n"/>
      <c r="Q192" s="1453" t="n"/>
      <c r="R192" s="1453" t="n"/>
      <c r="S192" s="1453" t="n"/>
      <c r="T192" s="1455" t="n"/>
    </row>
    <row r="193">
      <c r="A193" s="305" t="n"/>
      <c r="B193" s="306" t="n"/>
      <c r="C193" s="306" t="n"/>
      <c r="D193" s="306" t="n"/>
      <c r="E193" s="306" t="n"/>
      <c r="F193" s="306" t="n"/>
      <c r="G193" s="306" t="n"/>
      <c r="H193" s="306" t="n"/>
      <c r="I193" s="1452" t="n"/>
      <c r="J193" s="1453" t="n"/>
      <c r="K193" s="1454" t="n"/>
      <c r="L193" s="1453" t="n"/>
      <c r="M193" s="1453" t="n"/>
      <c r="N193" s="1453" t="n"/>
      <c r="O193" s="1453" t="n"/>
      <c r="P193" s="1453" t="n"/>
      <c r="Q193" s="1453" t="n"/>
      <c r="R193" s="1453" t="n"/>
      <c r="S193" s="1453" t="n"/>
      <c r="T193" s="1455" t="n"/>
    </row>
    <row r="194">
      <c r="A194" s="305" t="n"/>
      <c r="B194" s="306" t="n"/>
      <c r="C194" s="306" t="n"/>
      <c r="D194" s="306" t="n"/>
      <c r="E194" s="306" t="n"/>
      <c r="F194" s="306" t="n"/>
      <c r="G194" s="306" t="n"/>
      <c r="H194" s="306" t="n"/>
      <c r="I194" s="1452" t="n"/>
      <c r="J194" s="1453" t="n"/>
      <c r="K194" s="1454" t="n"/>
      <c r="L194" s="1453" t="n"/>
      <c r="M194" s="1453" t="n"/>
      <c r="N194" s="1453" t="n"/>
      <c r="O194" s="1453" t="n"/>
      <c r="P194" s="1453" t="n"/>
      <c r="Q194" s="1453" t="n"/>
      <c r="R194" s="1453" t="n"/>
      <c r="S194" s="1453" t="n"/>
      <c r="T194" s="1455" t="n"/>
    </row>
    <row r="195">
      <c r="A195" s="305" t="n"/>
      <c r="B195" s="306" t="n"/>
      <c r="C195" s="306" t="n"/>
      <c r="D195" s="306" t="n"/>
      <c r="E195" s="306" t="n"/>
      <c r="F195" s="306" t="n"/>
      <c r="G195" s="306" t="n"/>
      <c r="H195" s="306" t="n"/>
      <c r="I195" s="1452" t="n"/>
      <c r="J195" s="1453" t="n"/>
      <c r="K195" s="1454" t="n"/>
      <c r="L195" s="1453" t="n"/>
      <c r="M195" s="1453" t="n"/>
      <c r="N195" s="1453" t="n"/>
      <c r="O195" s="1453" t="n"/>
      <c r="P195" s="1453" t="n"/>
      <c r="Q195" s="1453" t="n"/>
      <c r="R195" s="1453" t="n"/>
      <c r="S195" s="1453" t="n"/>
      <c r="T195" s="1455" t="n"/>
    </row>
    <row r="196">
      <c r="A196" s="305" t="n"/>
      <c r="B196" s="306" t="n"/>
      <c r="C196" s="306" t="n"/>
      <c r="D196" s="306" t="n"/>
      <c r="E196" s="306" t="n"/>
      <c r="F196" s="306" t="n"/>
      <c r="G196" s="306" t="n"/>
      <c r="H196" s="306" t="n"/>
      <c r="I196" s="1452" t="n"/>
      <c r="J196" s="1453" t="n"/>
      <c r="K196" s="1454" t="n"/>
      <c r="L196" s="1453" t="n"/>
      <c r="M196" s="1453" t="n"/>
      <c r="N196" s="1453" t="n"/>
      <c r="O196" s="1453" t="n"/>
      <c r="P196" s="1453" t="n"/>
      <c r="Q196" s="1453" t="n"/>
      <c r="R196" s="1453" t="n"/>
      <c r="S196" s="1453" t="n"/>
      <c r="T196" s="1455" t="n"/>
    </row>
    <row r="197">
      <c r="A197" s="305" t="n"/>
      <c r="B197" s="306" t="n"/>
      <c r="C197" s="306" t="n"/>
      <c r="D197" s="306" t="n"/>
      <c r="E197" s="306" t="n"/>
      <c r="F197" s="306" t="n"/>
      <c r="G197" s="306" t="n"/>
      <c r="H197" s="306" t="n"/>
      <c r="I197" s="1452" t="n"/>
      <c r="J197" s="1453" t="n"/>
      <c r="K197" s="1454" t="n"/>
      <c r="L197" s="1453" t="n"/>
      <c r="M197" s="1453" t="n"/>
      <c r="N197" s="1453" t="n"/>
      <c r="O197" s="1453" t="n"/>
      <c r="P197" s="1453" t="n"/>
      <c r="Q197" s="1453" t="n"/>
      <c r="R197" s="1453" t="n"/>
      <c r="S197" s="1453" t="n"/>
      <c r="T197" s="1455" t="n"/>
    </row>
    <row r="198">
      <c r="A198" s="305" t="n"/>
      <c r="B198" s="306" t="n"/>
      <c r="C198" s="306" t="n"/>
      <c r="D198" s="306" t="n"/>
      <c r="E198" s="306" t="n"/>
      <c r="F198" s="306" t="n"/>
      <c r="G198" s="306" t="n"/>
      <c r="H198" s="306" t="n"/>
      <c r="I198" s="1452" t="n"/>
      <c r="J198" s="1453" t="n"/>
      <c r="K198" s="1454" t="n"/>
      <c r="L198" s="1453" t="n"/>
      <c r="M198" s="1453" t="n"/>
      <c r="N198" s="1453" t="n"/>
      <c r="O198" s="1453" t="n"/>
      <c r="P198" s="1453" t="n"/>
      <c r="Q198" s="1453" t="n"/>
      <c r="R198" s="1453" t="n"/>
      <c r="S198" s="1453" t="n"/>
      <c r="T198" s="1455" t="n"/>
    </row>
    <row r="199">
      <c r="A199" s="305" t="n"/>
      <c r="B199" s="306" t="n"/>
      <c r="C199" s="306" t="n"/>
      <c r="D199" s="306" t="n"/>
      <c r="E199" s="306" t="n"/>
      <c r="F199" s="306" t="n"/>
      <c r="G199" s="306" t="n"/>
      <c r="H199" s="306" t="n"/>
      <c r="I199" s="1452" t="n"/>
      <c r="J199" s="1453" t="n"/>
      <c r="K199" s="1454" t="n"/>
      <c r="L199" s="1453" t="n"/>
      <c r="M199" s="1453" t="n"/>
      <c r="N199" s="1453" t="n"/>
      <c r="O199" s="1453" t="n"/>
      <c r="P199" s="1453" t="n"/>
      <c r="Q199" s="1453" t="n"/>
      <c r="R199" s="1453" t="n"/>
      <c r="S199" s="1453" t="n"/>
      <c r="T199" s="1455" t="n"/>
    </row>
    <row r="200">
      <c r="A200" s="305" t="n"/>
      <c r="B200" s="306" t="n"/>
      <c r="C200" s="306" t="n"/>
      <c r="D200" s="306" t="n"/>
      <c r="E200" s="306" t="n"/>
      <c r="F200" s="306" t="n"/>
      <c r="G200" s="306" t="n"/>
      <c r="H200" s="306" t="n"/>
      <c r="I200" s="1452" t="n"/>
      <c r="J200" s="1453" t="n"/>
      <c r="K200" s="1454" t="n"/>
      <c r="L200" s="1453" t="n"/>
      <c r="M200" s="1453" t="n"/>
      <c r="N200" s="1453" t="n"/>
      <c r="O200" s="1453" t="n"/>
      <c r="P200" s="1453" t="n"/>
      <c r="Q200" s="1453" t="n"/>
      <c r="R200" s="1453" t="n"/>
      <c r="S200" s="1453" t="n"/>
      <c r="T200" s="1455" t="n"/>
    </row>
  </sheetData>
  <mergeCells count="3">
    <mergeCell ref="A1:T1"/>
    <mergeCell ref="A3:T3"/>
    <mergeCell ref="A2:T2"/>
  </mergeCells>
  <dataValidations count="4">
    <dataValidation sqref="D5:D85" showDropDown="0" showInputMessage="0" showErrorMessage="0" allowBlank="0" type="list">
      <formula1>"Labour,Plant,Material,Subcontract,Cartage,Disposal,Testing,Other"</formula1>
    </dataValidation>
    <dataValidation sqref="G5:H85" showDropDown="0" showInputMessage="0" showErrorMessage="0" allowBlank="0" type="list">
      <formula1>"Yes,No,N/A"</formula1>
    </dataValidation>
    <dataValidation sqref="R5:R85" showDropDown="0" showInputMessage="0" showErrorMessage="0" allowBlank="0" type="list">
      <formula1>"High,Medium,Low,Quote-backed,Not assessed"</formula1>
    </dataValidation>
    <dataValidation sqref="S5:S85" showDropDown="0" showInputMessage="0" showErrorMessage="0" allowBlank="0" type="list">
      <formula1>"Verified,Rate required,Quote required,Expired / Reverify,Do not use"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V307"/>
  <sheetViews>
    <sheetView showGridLines="0" workbookViewId="0">
      <selection activeCell="A1" sqref="A1"/>
    </sheetView>
  </sheetViews>
  <sheetFormatPr baseColWidth="8" defaultRowHeight="13.80000019073486"/>
  <cols>
    <col width="12" customWidth="1" style="491" min="1" max="1"/>
    <col width="14" customWidth="1" style="491" min="2" max="2"/>
    <col width="16.59765625" customWidth="1" style="491" min="3" max="3"/>
    <col width="33.59765625" customWidth="1" style="491" min="4" max="4"/>
    <col width="83.296875" customWidth="1" style="491" min="5" max="5"/>
    <col width="25.19921875" customWidth="1" style="491" min="6" max="6"/>
    <col width="48.3984375" customWidth="1" style="491" min="7" max="7"/>
    <col width="10" customWidth="1" style="491" min="8" max="8"/>
    <col width="13" customWidth="1" style="491" min="9" max="9"/>
    <col width="15" customWidth="1" style="491" min="10" max="10"/>
    <col width="44" customWidth="1" style="491" min="11" max="11"/>
    <col width="10" customWidth="1" style="491" min="12" max="12"/>
    <col width="44" customWidth="1" style="491" min="13" max="13"/>
    <col width="10" customWidth="1" style="491" min="14" max="14"/>
    <col width="44" customWidth="1" style="491" min="15" max="15"/>
    <col width="10" customWidth="1" style="491" min="16" max="16"/>
    <col width="8" customWidth="1" style="491" min="17" max="17"/>
    <col width="13" customWidth="1" style="491" min="18" max="18"/>
    <col width="12" customWidth="1" style="491" min="19" max="19"/>
    <col width="53" customWidth="1" style="491" min="20" max="20"/>
    <col width="40" customWidth="1" style="491" min="21" max="21"/>
    <col width="38" customWidth="1" style="491" min="22" max="22"/>
  </cols>
  <sheetData>
    <row r="1" ht="38.40000152587891" customFormat="1" customHeight="1" s="217">
      <c r="A1" s="1456" t="inlineStr">
        <is>
          <t>RATE &amp; ALLOWANCE VERIFICATION - MASTER ESTIMATE WORKBOOK</t>
        </is>
      </c>
      <c r="B1" s="242" t="n"/>
      <c r="C1" s="242" t="n"/>
      <c r="D1" s="242" t="n"/>
      <c r="E1" s="242" t="n"/>
      <c r="F1" s="242" t="n"/>
      <c r="G1" s="242" t="n"/>
      <c r="H1" s="242" t="n"/>
      <c r="I1" s="242" t="n"/>
      <c r="J1" s="242" t="n"/>
      <c r="K1" s="242" t="n"/>
      <c r="L1" s="242" t="n"/>
      <c r="M1" s="242" t="n"/>
      <c r="N1" s="242" t="n"/>
      <c r="O1" s="242" t="n"/>
      <c r="P1" s="242" t="n"/>
      <c r="Q1" s="242" t="n"/>
      <c r="R1" s="242" t="n"/>
      <c r="S1" s="242" t="n"/>
      <c r="T1" s="242" t="n"/>
      <c r="U1" s="242" t="n"/>
      <c r="V1" s="242" t="n"/>
    </row>
    <row r="2" ht="34.04999923706055" customFormat="1" customHeight="1" s="217">
      <c r="A2" s="1457" t="inlineStr">
        <is>
          <t>GREEN requires: (1) current primary evidence, (2) an independent market check, and (3) a first-principles quantity/scope/arithmetic check. Anything less is AMBER; missing or conflicting is RED.</t>
        </is>
      </c>
      <c r="B2" s="242" t="n"/>
      <c r="C2" s="242" t="n"/>
      <c r="D2" s="242" t="n"/>
      <c r="E2" s="242" t="n"/>
      <c r="F2" s="242" t="n"/>
      <c r="G2" s="242" t="n"/>
      <c r="H2" s="242" t="n"/>
      <c r="I2" s="242" t="n"/>
      <c r="J2" s="242" t="n"/>
      <c r="K2" s="242" t="n"/>
      <c r="L2" s="242" t="n"/>
      <c r="M2" s="242" t="n"/>
      <c r="N2" s="242" t="n"/>
      <c r="O2" s="242" t="n"/>
      <c r="P2" s="242" t="n"/>
      <c r="Q2" s="242" t="n"/>
      <c r="R2" s="242" t="n"/>
      <c r="S2" s="242" t="n"/>
      <c r="T2" s="242" t="n"/>
      <c r="U2" s="242" t="n"/>
      <c r="V2" s="242" t="n"/>
    </row>
    <row r="3" ht="18.60000038146973" customFormat="1" customHeight="1" s="217">
      <c r="A3" s="176" t="inlineStr">
        <is>
          <t>Status</t>
        </is>
      </c>
      <c r="B3" s="176" t="inlineStr">
        <is>
          <t>Active rows</t>
        </is>
      </c>
      <c r="C3" s="176" t="inlineStr">
        <is>
          <t>Cost exposure excl. GST</t>
        </is>
      </c>
      <c r="E3" s="176" t="inlineStr">
        <is>
          <t>Status</t>
        </is>
      </c>
      <c r="F3" s="176" t="inlineStr">
        <is>
          <t>Active rows</t>
        </is>
      </c>
      <c r="G3" s="176" t="inlineStr">
        <is>
          <t>Cost exposure excl. GST</t>
        </is>
      </c>
    </row>
    <row r="4" ht="18.60000038146973" customFormat="1" customHeight="1" s="217">
      <c r="A4" s="177" t="inlineStr">
        <is>
          <t>GREEN</t>
        </is>
      </c>
      <c r="B4" s="177">
        <f>COUNTIF($T$8:$T$307,"GREEN - 3-point checked")+COUNTIF($T$8:$T$307,"GREEN - duplicate prevented")</f>
        <v/>
      </c>
      <c r="C4" s="1458">
        <f>SUMIF($T$8:$T$307,"GREEN - 3-point checked",$J$8:$J$307)+SUMIF($T$8:$T$307,"GREEN - duplicate prevented",$J$8:$J$307)</f>
        <v/>
      </c>
      <c r="E4" s="179" t="inlineStr">
        <is>
          <t>RED</t>
        </is>
      </c>
      <c r="F4" s="179">
        <f>COUNTIF($T$8:$T$307,"RED - live quote/design evidence required")+COUNTIF($T$8:$T$307,"RED - allowance basis/quote required")</f>
        <v/>
      </c>
      <c r="G4" s="1459">
        <f>SUMIF($T$8:$T$307,"RED - live quote/design evidence required",$J$8:$J$307)+SUMIF($T$8:$T$307,"RED - allowance basis/quote required",$J$8:$J$307)</f>
        <v/>
      </c>
    </row>
    <row r="5" ht="18.60000038146973" customFormat="1" customHeight="1" s="217">
      <c r="A5" s="181" t="inlineStr">
        <is>
          <t>AMBER</t>
        </is>
      </c>
      <c r="B5" s="181">
        <f>COUNTIF($T$8:$T$307,"AMBER - company cost rate required")+COUNTIF($T$8:$T$307,"AMBER - explicit allowance; second evidence required")+COUNTIF($T$8:$T$307,"AMBER - benchmark only")+COUNTIF($T$8:$T$307,"AMBER - 3-point benchmark; quote required")+COUNTIF($T$8:$T$307,"AMBER - specification/delivery quote required")+COUNTIF($T$8:$T$307,"AMBER - benchmarked PC; NZ supplier quote required")+COUNTIF($T$8:$T$307,"AMBER - PC SUM / QUOTE REQUIRED")+COUNTIF($T$8:$T$307,"AMBER - PC sum / part quote requested")+COUNTIF($T$8:$T$307,"AMBER - PC SUM / RFI HOLD")+COUNTIF($T$8:$T$307,"AMBER - PC SUM / DUPLICATION CHECK")+COUNTIF($T$8:$T$307,"AMBER - QUOTE REQUEST SENT")+COUNTIF($T$8:$T$307,"AMBER - PC SUM / DESIGN HOLD")+COUNTIF($T$8:$T$307,"AMBER - QUOTE REQUEST SENT / SCOPE CONFIRM")</f>
        <v/>
      </c>
      <c r="C5" s="1460">
        <f>SUMIF($T$8:$T$307,"AMBER - company cost rate required",$J$8:$J$307)+SUMIF($T$8:$T$307,"AMBER - explicit allowance; second evidence required",$J$8:$J$307)+SUMIF($T$8:$T$307,"AMBER - benchmark only",$J$8:$J$307)+SUMIF($T$8:$T$307,"AMBER - 3-point benchmark; quote required",$J$8:$J$307)+SUMIF($T$8:$T$307,"AMBER - specification/delivery quote required",$J$8:$J$307)+SUMIF($T$8:$T$307,"AMBER - benchmarked PC; NZ supplier quote required",$J$8:$J$307)+SUMIF($T$8:$T$307,"AMBER - PC SUM / QUOTE REQUIRED",$J$8:$J$307)+SUMIF($T$8:$T$307,"AMBER - PC sum / part quote requested",$J$8:$J$307)+SUMIF($T$8:$T$307,"AMBER - PC SUM / RFI HOLD",$J$8:$J$307)+SUMIF($T$8:$T$307,"AMBER - PC SUM / DUPLICATION CHECK",$J$8:$J$307)+SUMIF($T$8:$T$307,"AMBER - QUOTE REQUEST SENT",$J$8:$J$307)+SUMIF($T$8:$T$307,"AMBER - PC SUM / DESIGN HOLD",$J$8:$J$307)+SUMIF($T$8:$T$307,"AMBER - QUOTE REQUEST SENT / SCOPE CONFIRM",$J$8:$J$307)</f>
        <v/>
      </c>
      <c r="E5" s="183" t="inlineStr">
        <is>
          <t>Release gate</t>
        </is>
      </c>
      <c r="F5" s="183" t="inlineStr">
        <is>
          <t>Tender issue only</t>
        </is>
      </c>
      <c r="G5" s="183" t="inlineStr">
        <is>
          <t>RED items must be disclosed and replaced before award</t>
        </is>
      </c>
    </row>
    <row r="6"/>
    <row r="7" ht="37.95000076293945" customHeight="1" s="491">
      <c r="A7" s="95" t="inlineStr">
        <is>
          <t>Audit ID</t>
        </is>
      </c>
      <c r="B7" s="96" t="inlineStr">
        <is>
          <t>Build-Up Row</t>
        </is>
      </c>
      <c r="C7" s="96" t="inlineStr">
        <is>
          <t>QS Code</t>
        </is>
      </c>
      <c r="D7" s="96" t="inlineStr">
        <is>
          <t>WBS / Section</t>
        </is>
      </c>
      <c r="E7" s="96" t="inlineStr">
        <is>
          <t>Task / Method</t>
        </is>
      </c>
      <c r="F7" s="96" t="inlineStr">
        <is>
          <t>Resource Code</t>
        </is>
      </c>
      <c r="G7" s="96" t="inlineStr">
        <is>
          <t>Resource</t>
        </is>
      </c>
      <c r="H7" s="96" t="inlineStr">
        <is>
          <t>Unit</t>
        </is>
      </c>
      <c r="I7" s="96" t="inlineStr">
        <is>
          <t>Applied Rate</t>
        </is>
      </c>
      <c r="J7" s="96" t="inlineStr">
        <is>
          <t>Extended Cost</t>
        </is>
      </c>
      <c r="K7" s="96" t="inlineStr">
        <is>
          <t>Evidence 1 - primary/current</t>
        </is>
      </c>
      <c r="L7" s="96" t="inlineStr">
        <is>
          <t>Result 1</t>
        </is>
      </c>
      <c r="M7" s="96" t="inlineStr">
        <is>
          <t>Evidence 2 - independent check</t>
        </is>
      </c>
      <c r="N7" s="96" t="inlineStr">
        <is>
          <t>Result 2</t>
        </is>
      </c>
      <c r="O7" s="96" t="inlineStr">
        <is>
          <t>Evidence 3 - build-up/scope</t>
        </is>
      </c>
      <c r="P7" s="96" t="inlineStr">
        <is>
          <t>Result 3</t>
        </is>
      </c>
      <c r="Q7" s="96" t="inlineStr">
        <is>
          <t>Score</t>
        </is>
      </c>
      <c r="R7" s="96" t="inlineStr">
        <is>
          <t>Source Date</t>
        </is>
      </c>
      <c r="S7" s="96" t="inlineStr">
        <is>
          <t>Confidence</t>
        </is>
      </c>
      <c r="T7" s="96" t="inlineStr">
        <is>
          <t>Release Status</t>
        </is>
      </c>
      <c r="U7" s="96" t="inlineStr">
        <is>
          <t>Required Action</t>
        </is>
      </c>
      <c r="V7" s="97" t="inlineStr">
        <is>
          <t>Scope / Assumption</t>
        </is>
      </c>
    </row>
    <row r="8" ht="32.40000152587891" customHeight="1" s="491">
      <c r="A8" s="98" t="inlineStr">
        <is>
          <t>RV-001</t>
        </is>
      </c>
      <c r="B8" s="98">
        <f>'Resource Build-Up'!A7</f>
        <v/>
      </c>
      <c r="C8" s="98">
        <f>'Resource Build-Up'!B7</f>
        <v/>
      </c>
      <c r="D8" s="26">
        <f>'Resource Build-Up'!C7</f>
        <v/>
      </c>
      <c r="E8" s="26">
        <f>'Resource Build-Up'!H7</f>
        <v/>
      </c>
      <c r="F8" s="26">
        <f>'Resource Build-Up'!P7</f>
        <v/>
      </c>
      <c r="G8" s="26">
        <f>'Resource Build-Up'!Q7</f>
        <v/>
      </c>
      <c r="H8" s="26">
        <f>'Resource Build-Up'!T7</f>
        <v/>
      </c>
      <c r="I8" s="1461">
        <f>'Resource Build-Up'!Y7</f>
        <v/>
      </c>
      <c r="J8" s="1461">
        <f>'Resource Build-Up'!Z7</f>
        <v/>
      </c>
      <c r="K8" s="26" t="n"/>
      <c r="L8" s="26" t="n"/>
      <c r="M8" s="26" t="n"/>
      <c r="N8" s="26" t="n"/>
      <c r="O8" s="26" t="n"/>
      <c r="P8" s="26" t="n"/>
      <c r="Q8" s="26">
        <f>COUNTIF(L8,"PASS")+COUNTIF(N8,"PASS")+COUNTIF(P8,"PASS")</f>
        <v/>
      </c>
      <c r="R8" s="26">
        <f>'Resource Build-Up'!AC7</f>
        <v/>
      </c>
      <c r="S8" s="26">
        <f>'Resource Build-Up'!AF7</f>
        <v/>
      </c>
      <c r="T8" s="99" t="n"/>
      <c r="U8" s="26" t="n"/>
      <c r="V8" s="26">
        <f>'Resource Build-Up'!AG7</f>
        <v/>
      </c>
    </row>
    <row r="9" ht="32.40000152587891" customHeight="1" s="491">
      <c r="A9" s="98" t="inlineStr">
        <is>
          <t>RV-002</t>
        </is>
      </c>
      <c r="B9" s="98">
        <f>'Resource Build-Up'!A8</f>
        <v/>
      </c>
      <c r="C9" s="98">
        <f>'Resource Build-Up'!B8</f>
        <v/>
      </c>
      <c r="D9" s="26">
        <f>'Resource Build-Up'!C8</f>
        <v/>
      </c>
      <c r="E9" s="26">
        <f>'Resource Build-Up'!H8</f>
        <v/>
      </c>
      <c r="F9" s="26">
        <f>'Resource Build-Up'!P8</f>
        <v/>
      </c>
      <c r="G9" s="26">
        <f>'Resource Build-Up'!Q8</f>
        <v/>
      </c>
      <c r="H9" s="26">
        <f>'Resource Build-Up'!T8</f>
        <v/>
      </c>
      <c r="I9" s="1461">
        <f>'Resource Build-Up'!Y8</f>
        <v/>
      </c>
      <c r="J9" s="1461">
        <f>'Resource Build-Up'!Z8</f>
        <v/>
      </c>
      <c r="K9" s="26" t="n"/>
      <c r="L9" s="26" t="n"/>
      <c r="M9" s="26" t="n"/>
      <c r="N9" s="26" t="n"/>
      <c r="O9" s="26" t="n"/>
      <c r="P9" s="26" t="n"/>
      <c r="Q9" s="26">
        <f>COUNTIF(L9,"PASS")+COUNTIF(N9,"PASS")+COUNTIF(P9,"PASS")</f>
        <v/>
      </c>
      <c r="R9" s="26">
        <f>'Resource Build-Up'!AC8</f>
        <v/>
      </c>
      <c r="S9" s="26">
        <f>'Resource Build-Up'!AF8</f>
        <v/>
      </c>
      <c r="T9" s="99" t="n"/>
      <c r="U9" s="26" t="n"/>
      <c r="V9" s="26">
        <f>'Resource Build-Up'!AG8</f>
        <v/>
      </c>
    </row>
    <row r="10" ht="32.40000152587891" customHeight="1" s="491">
      <c r="A10" s="98" t="inlineStr">
        <is>
          <t>RV-003</t>
        </is>
      </c>
      <c r="B10" s="98">
        <f>'Resource Build-Up'!A9</f>
        <v/>
      </c>
      <c r="C10" s="98">
        <f>'Resource Build-Up'!B9</f>
        <v/>
      </c>
      <c r="D10" s="26">
        <f>'Resource Build-Up'!C9</f>
        <v/>
      </c>
      <c r="E10" s="26">
        <f>'Resource Build-Up'!H9</f>
        <v/>
      </c>
      <c r="F10" s="26">
        <f>'Resource Build-Up'!P9</f>
        <v/>
      </c>
      <c r="G10" s="26">
        <f>'Resource Build-Up'!Q9</f>
        <v/>
      </c>
      <c r="H10" s="26">
        <f>'Resource Build-Up'!T9</f>
        <v/>
      </c>
      <c r="I10" s="1461">
        <f>'Resource Build-Up'!Y9</f>
        <v/>
      </c>
      <c r="J10" s="1461">
        <f>'Resource Build-Up'!Z9</f>
        <v/>
      </c>
      <c r="K10" s="26" t="n"/>
      <c r="L10" s="26" t="n"/>
      <c r="M10" s="26" t="n"/>
      <c r="N10" s="26" t="n"/>
      <c r="O10" s="26" t="n"/>
      <c r="P10" s="26" t="n"/>
      <c r="Q10" s="26">
        <f>COUNTIF(L10,"PASS")+COUNTIF(N10,"PASS")+COUNTIF(P10,"PASS")</f>
        <v/>
      </c>
      <c r="R10" s="26">
        <f>'Resource Build-Up'!AC9</f>
        <v/>
      </c>
      <c r="S10" s="26">
        <f>'Resource Build-Up'!AF9</f>
        <v/>
      </c>
      <c r="T10" s="99" t="n"/>
      <c r="U10" s="26" t="n"/>
      <c r="V10" s="26">
        <f>'Resource Build-Up'!AG9</f>
        <v/>
      </c>
    </row>
    <row r="11" ht="32.40000152587891" customHeight="1" s="491">
      <c r="A11" s="98" t="inlineStr">
        <is>
          <t>RV-004</t>
        </is>
      </c>
      <c r="B11" s="98">
        <f>'Resource Build-Up'!A10</f>
        <v/>
      </c>
      <c r="C11" s="98">
        <f>'Resource Build-Up'!B10</f>
        <v/>
      </c>
      <c r="D11" s="26">
        <f>'Resource Build-Up'!C10</f>
        <v/>
      </c>
      <c r="E11" s="26">
        <f>'Resource Build-Up'!H10</f>
        <v/>
      </c>
      <c r="F11" s="26">
        <f>'Resource Build-Up'!P10</f>
        <v/>
      </c>
      <c r="G11" s="26">
        <f>'Resource Build-Up'!Q10</f>
        <v/>
      </c>
      <c r="H11" s="26">
        <f>'Resource Build-Up'!T10</f>
        <v/>
      </c>
      <c r="I11" s="1461">
        <f>'Resource Build-Up'!Y10</f>
        <v/>
      </c>
      <c r="J11" s="1461">
        <f>'Resource Build-Up'!Z10</f>
        <v/>
      </c>
      <c r="K11" s="26" t="n"/>
      <c r="L11" s="26" t="n"/>
      <c r="M11" s="26" t="n"/>
      <c r="N11" s="26" t="n"/>
      <c r="O11" s="26" t="n"/>
      <c r="P11" s="26" t="n"/>
      <c r="Q11" s="26">
        <f>COUNTIF(L11,"PASS")+COUNTIF(N11,"PASS")+COUNTIF(P11,"PASS")</f>
        <v/>
      </c>
      <c r="R11" s="26">
        <f>'Resource Build-Up'!AC10</f>
        <v/>
      </c>
      <c r="S11" s="26">
        <f>'Resource Build-Up'!AF10</f>
        <v/>
      </c>
      <c r="T11" s="99" t="n"/>
      <c r="U11" s="26" t="n"/>
      <c r="V11" s="26">
        <f>'Resource Build-Up'!AG10</f>
        <v/>
      </c>
    </row>
    <row r="12" ht="32.40000152587891" customHeight="1" s="491">
      <c r="A12" s="98" t="inlineStr">
        <is>
          <t>RV-005</t>
        </is>
      </c>
      <c r="B12" s="98">
        <f>'Resource Build-Up'!A11</f>
        <v/>
      </c>
      <c r="C12" s="98">
        <f>'Resource Build-Up'!B11</f>
        <v/>
      </c>
      <c r="D12" s="26">
        <f>'Resource Build-Up'!C11</f>
        <v/>
      </c>
      <c r="E12" s="26">
        <f>'Resource Build-Up'!H11</f>
        <v/>
      </c>
      <c r="F12" s="26">
        <f>'Resource Build-Up'!P11</f>
        <v/>
      </c>
      <c r="G12" s="26">
        <f>'Resource Build-Up'!Q11</f>
        <v/>
      </c>
      <c r="H12" s="26">
        <f>'Resource Build-Up'!T11</f>
        <v/>
      </c>
      <c r="I12" s="1461">
        <f>'Resource Build-Up'!Y11</f>
        <v/>
      </c>
      <c r="J12" s="1461">
        <f>'Resource Build-Up'!Z11</f>
        <v/>
      </c>
      <c r="K12" s="26" t="n"/>
      <c r="L12" s="26" t="n"/>
      <c r="M12" s="26" t="n"/>
      <c r="N12" s="26" t="n"/>
      <c r="O12" s="26" t="n"/>
      <c r="P12" s="26" t="n"/>
      <c r="Q12" s="26">
        <f>COUNTIF(L12,"PASS")+COUNTIF(N12,"PASS")+COUNTIF(P12,"PASS")</f>
        <v/>
      </c>
      <c r="R12" s="26">
        <f>'Resource Build-Up'!AC11</f>
        <v/>
      </c>
      <c r="S12" s="26">
        <f>'Resource Build-Up'!AF11</f>
        <v/>
      </c>
      <c r="T12" s="99" t="n"/>
      <c r="U12" s="26" t="n"/>
      <c r="V12" s="26">
        <f>'Resource Build-Up'!AG11</f>
        <v/>
      </c>
    </row>
    <row r="13" ht="32.40000152587891" customHeight="1" s="491">
      <c r="A13" s="98" t="inlineStr">
        <is>
          <t>RV-006</t>
        </is>
      </c>
      <c r="B13" s="98">
        <f>'Resource Build-Up'!A12</f>
        <v/>
      </c>
      <c r="C13" s="98">
        <f>'Resource Build-Up'!B12</f>
        <v/>
      </c>
      <c r="D13" s="26">
        <f>'Resource Build-Up'!C12</f>
        <v/>
      </c>
      <c r="E13" s="26">
        <f>'Resource Build-Up'!H12</f>
        <v/>
      </c>
      <c r="F13" s="26">
        <f>'Resource Build-Up'!P12</f>
        <v/>
      </c>
      <c r="G13" s="26">
        <f>'Resource Build-Up'!Q12</f>
        <v/>
      </c>
      <c r="H13" s="26">
        <f>'Resource Build-Up'!T12</f>
        <v/>
      </c>
      <c r="I13" s="1461">
        <f>'Resource Build-Up'!Y12</f>
        <v/>
      </c>
      <c r="J13" s="1461">
        <f>'Resource Build-Up'!Z12</f>
        <v/>
      </c>
      <c r="K13" s="26" t="n"/>
      <c r="L13" s="26" t="n"/>
      <c r="M13" s="26" t="n"/>
      <c r="N13" s="26" t="n"/>
      <c r="O13" s="26" t="n"/>
      <c r="P13" s="26" t="n"/>
      <c r="Q13" s="26">
        <f>COUNTIF(L13,"PASS")+COUNTIF(N13,"PASS")+COUNTIF(P13,"PASS")</f>
        <v/>
      </c>
      <c r="R13" s="26">
        <f>'Resource Build-Up'!AC12</f>
        <v/>
      </c>
      <c r="S13" s="26">
        <f>'Resource Build-Up'!AF12</f>
        <v/>
      </c>
      <c r="T13" s="99" t="n"/>
      <c r="U13" s="26" t="n"/>
      <c r="V13" s="26">
        <f>'Resource Build-Up'!AG12</f>
        <v/>
      </c>
    </row>
    <row r="14" ht="32.40000152587891" customHeight="1" s="491">
      <c r="A14" s="98" t="inlineStr">
        <is>
          <t>RV-007</t>
        </is>
      </c>
      <c r="B14" s="98">
        <f>'Resource Build-Up'!A13</f>
        <v/>
      </c>
      <c r="C14" s="98">
        <f>'Resource Build-Up'!B13</f>
        <v/>
      </c>
      <c r="D14" s="26">
        <f>'Resource Build-Up'!C13</f>
        <v/>
      </c>
      <c r="E14" s="26">
        <f>'Resource Build-Up'!H13</f>
        <v/>
      </c>
      <c r="F14" s="26">
        <f>'Resource Build-Up'!P13</f>
        <v/>
      </c>
      <c r="G14" s="26">
        <f>'Resource Build-Up'!Q13</f>
        <v/>
      </c>
      <c r="H14" s="26">
        <f>'Resource Build-Up'!T13</f>
        <v/>
      </c>
      <c r="I14" s="1461">
        <f>'Resource Build-Up'!Y13</f>
        <v/>
      </c>
      <c r="J14" s="1461">
        <f>'Resource Build-Up'!Z13</f>
        <v/>
      </c>
      <c r="K14" s="26" t="n"/>
      <c r="L14" s="26" t="n"/>
      <c r="M14" s="26" t="n"/>
      <c r="N14" s="26" t="n"/>
      <c r="O14" s="26" t="n"/>
      <c r="P14" s="26" t="n"/>
      <c r="Q14" s="26">
        <f>COUNTIF(L14,"PASS")+COUNTIF(N14,"PASS")+COUNTIF(P14,"PASS")</f>
        <v/>
      </c>
      <c r="R14" s="26">
        <f>'Resource Build-Up'!AC13</f>
        <v/>
      </c>
      <c r="S14" s="26">
        <f>'Resource Build-Up'!AF13</f>
        <v/>
      </c>
      <c r="T14" s="100" t="n"/>
      <c r="U14" s="26" t="n"/>
      <c r="V14" s="26">
        <f>'Resource Build-Up'!AG13</f>
        <v/>
      </c>
    </row>
    <row r="15" ht="32.40000152587891" customHeight="1" s="491">
      <c r="A15" s="98" t="inlineStr">
        <is>
          <t>RV-008</t>
        </is>
      </c>
      <c r="B15" s="98">
        <f>'Resource Build-Up'!A14</f>
        <v/>
      </c>
      <c r="C15" s="98">
        <f>'Resource Build-Up'!B14</f>
        <v/>
      </c>
      <c r="D15" s="26">
        <f>'Resource Build-Up'!C14</f>
        <v/>
      </c>
      <c r="E15" s="26">
        <f>'Resource Build-Up'!H14</f>
        <v/>
      </c>
      <c r="F15" s="26">
        <f>'Resource Build-Up'!P14</f>
        <v/>
      </c>
      <c r="G15" s="26">
        <f>'Resource Build-Up'!Q14</f>
        <v/>
      </c>
      <c r="H15" s="26">
        <f>'Resource Build-Up'!T14</f>
        <v/>
      </c>
      <c r="I15" s="1461">
        <f>'Resource Build-Up'!Y14</f>
        <v/>
      </c>
      <c r="J15" s="1461">
        <f>'Resource Build-Up'!Z14</f>
        <v/>
      </c>
      <c r="K15" s="26" t="n"/>
      <c r="L15" s="26" t="n"/>
      <c r="M15" s="26" t="n"/>
      <c r="N15" s="26" t="n"/>
      <c r="O15" s="26" t="n"/>
      <c r="P15" s="26" t="n"/>
      <c r="Q15" s="26">
        <f>COUNTIF(L15,"PASS")+COUNTIF(N15,"PASS")+COUNTIF(P15,"PASS")</f>
        <v/>
      </c>
      <c r="R15" s="26">
        <f>'Resource Build-Up'!AC14</f>
        <v/>
      </c>
      <c r="S15" s="26">
        <f>'Resource Build-Up'!AF14</f>
        <v/>
      </c>
      <c r="T15" s="100" t="n"/>
      <c r="U15" s="26" t="n"/>
      <c r="V15" s="26">
        <f>'Resource Build-Up'!AG14</f>
        <v/>
      </c>
    </row>
    <row r="16" ht="32.40000152587891" customHeight="1" s="491">
      <c r="A16" s="98" t="inlineStr">
        <is>
          <t>RV-009</t>
        </is>
      </c>
      <c r="B16" s="98">
        <f>'Resource Build-Up'!A15</f>
        <v/>
      </c>
      <c r="C16" s="98">
        <f>'Resource Build-Up'!B15</f>
        <v/>
      </c>
      <c r="D16" s="26">
        <f>'Resource Build-Up'!C15</f>
        <v/>
      </c>
      <c r="E16" s="26">
        <f>'Resource Build-Up'!H15</f>
        <v/>
      </c>
      <c r="F16" s="26">
        <f>'Resource Build-Up'!P15</f>
        <v/>
      </c>
      <c r="G16" s="26">
        <f>'Resource Build-Up'!Q15</f>
        <v/>
      </c>
      <c r="H16" s="26">
        <f>'Resource Build-Up'!T15</f>
        <v/>
      </c>
      <c r="I16" s="1461">
        <f>'Resource Build-Up'!Y15</f>
        <v/>
      </c>
      <c r="J16" s="1461">
        <f>'Resource Build-Up'!Z15</f>
        <v/>
      </c>
      <c r="K16" s="26" t="n"/>
      <c r="L16" s="26" t="n"/>
      <c r="M16" s="26" t="n"/>
      <c r="N16" s="26" t="n"/>
      <c r="O16" s="26" t="n"/>
      <c r="P16" s="26" t="n"/>
      <c r="Q16" s="26">
        <f>COUNTIF(L16,"PASS")+COUNTIF(N16,"PASS")+COUNTIF(P16,"PASS")</f>
        <v/>
      </c>
      <c r="R16" s="26">
        <f>'Resource Build-Up'!AC15</f>
        <v/>
      </c>
      <c r="S16" s="26">
        <f>'Resource Build-Up'!AF15</f>
        <v/>
      </c>
      <c r="T16" s="100" t="n"/>
      <c r="U16" s="26" t="n"/>
      <c r="V16" s="26">
        <f>'Resource Build-Up'!AG15</f>
        <v/>
      </c>
    </row>
    <row r="17" ht="32.40000152587891" customHeight="1" s="491">
      <c r="A17" s="98" t="inlineStr">
        <is>
          <t>RV-010</t>
        </is>
      </c>
      <c r="B17" s="98">
        <f>'Resource Build-Up'!A16</f>
        <v/>
      </c>
      <c r="C17" s="98">
        <f>'Resource Build-Up'!B16</f>
        <v/>
      </c>
      <c r="D17" s="26">
        <f>'Resource Build-Up'!C16</f>
        <v/>
      </c>
      <c r="E17" s="26">
        <f>'Resource Build-Up'!H16</f>
        <v/>
      </c>
      <c r="F17" s="26">
        <f>'Resource Build-Up'!P16</f>
        <v/>
      </c>
      <c r="G17" s="26">
        <f>'Resource Build-Up'!Q16</f>
        <v/>
      </c>
      <c r="H17" s="26">
        <f>'Resource Build-Up'!T16</f>
        <v/>
      </c>
      <c r="I17" s="1461">
        <f>'Resource Build-Up'!Y16</f>
        <v/>
      </c>
      <c r="J17" s="1461">
        <f>'Resource Build-Up'!Z16</f>
        <v/>
      </c>
      <c r="K17" s="26" t="n"/>
      <c r="L17" s="26" t="n"/>
      <c r="M17" s="26" t="n"/>
      <c r="N17" s="26" t="n"/>
      <c r="O17" s="26" t="n"/>
      <c r="P17" s="26" t="n"/>
      <c r="Q17" s="26">
        <f>COUNTIF(L17,"PASS")+COUNTIF(N17,"PASS")+COUNTIF(P17,"PASS")</f>
        <v/>
      </c>
      <c r="R17" s="26">
        <f>'Resource Build-Up'!AC16</f>
        <v/>
      </c>
      <c r="S17" s="26">
        <f>'Resource Build-Up'!AF16</f>
        <v/>
      </c>
      <c r="T17" s="100" t="n"/>
      <c r="U17" s="26" t="n"/>
      <c r="V17" s="26">
        <f>'Resource Build-Up'!AG16</f>
        <v/>
      </c>
    </row>
    <row r="18" ht="32.40000152587891" customHeight="1" s="491">
      <c r="A18" s="98" t="inlineStr">
        <is>
          <t>RV-011</t>
        </is>
      </c>
      <c r="B18" s="98">
        <f>'Resource Build-Up'!A17</f>
        <v/>
      </c>
      <c r="C18" s="98">
        <f>'Resource Build-Up'!B17</f>
        <v/>
      </c>
      <c r="D18" s="26">
        <f>'Resource Build-Up'!C17</f>
        <v/>
      </c>
      <c r="E18" s="26">
        <f>'Resource Build-Up'!H17</f>
        <v/>
      </c>
      <c r="F18" s="26">
        <f>'Resource Build-Up'!P17</f>
        <v/>
      </c>
      <c r="G18" s="26">
        <f>'Resource Build-Up'!Q17</f>
        <v/>
      </c>
      <c r="H18" s="26">
        <f>'Resource Build-Up'!T17</f>
        <v/>
      </c>
      <c r="I18" s="1461">
        <f>'Resource Build-Up'!Y17</f>
        <v/>
      </c>
      <c r="J18" s="1461">
        <f>'Resource Build-Up'!Z17</f>
        <v/>
      </c>
      <c r="K18" s="26" t="n"/>
      <c r="L18" s="26" t="n"/>
      <c r="M18" s="26" t="n"/>
      <c r="N18" s="26" t="n"/>
      <c r="O18" s="26" t="n"/>
      <c r="P18" s="26" t="n"/>
      <c r="Q18" s="26">
        <f>COUNTIF(L18,"PASS")+COUNTIF(N18,"PASS")+COUNTIF(P18,"PASS")</f>
        <v/>
      </c>
      <c r="R18" s="26">
        <f>'Resource Build-Up'!AC17</f>
        <v/>
      </c>
      <c r="S18" s="26">
        <f>'Resource Build-Up'!AF17</f>
        <v/>
      </c>
      <c r="T18" s="99" t="n"/>
      <c r="U18" s="26" t="n"/>
      <c r="V18" s="26">
        <f>'Resource Build-Up'!AG17</f>
        <v/>
      </c>
    </row>
    <row r="19" ht="32.40000152587891" customHeight="1" s="491">
      <c r="A19" s="98" t="inlineStr">
        <is>
          <t>RV-012</t>
        </is>
      </c>
      <c r="B19" s="98">
        <f>'Resource Build-Up'!A18</f>
        <v/>
      </c>
      <c r="C19" s="98">
        <f>'Resource Build-Up'!B18</f>
        <v/>
      </c>
      <c r="D19" s="26">
        <f>'Resource Build-Up'!C18</f>
        <v/>
      </c>
      <c r="E19" s="26">
        <f>'Resource Build-Up'!H18</f>
        <v/>
      </c>
      <c r="F19" s="26">
        <f>'Resource Build-Up'!P18</f>
        <v/>
      </c>
      <c r="G19" s="26">
        <f>'Resource Build-Up'!Q18</f>
        <v/>
      </c>
      <c r="H19" s="26">
        <f>'Resource Build-Up'!T18</f>
        <v/>
      </c>
      <c r="I19" s="1461">
        <f>'Resource Build-Up'!Y18</f>
        <v/>
      </c>
      <c r="J19" s="1461">
        <f>'Resource Build-Up'!Z18</f>
        <v/>
      </c>
      <c r="K19" s="26" t="n"/>
      <c r="L19" s="26" t="n"/>
      <c r="M19" s="26" t="n"/>
      <c r="N19" s="26" t="n"/>
      <c r="O19" s="26" t="n"/>
      <c r="P19" s="26" t="n"/>
      <c r="Q19" s="26">
        <f>COUNTIF(L19,"PASS")+COUNTIF(N19,"PASS")+COUNTIF(P19,"PASS")</f>
        <v/>
      </c>
      <c r="R19" s="26">
        <f>'Resource Build-Up'!AC18</f>
        <v/>
      </c>
      <c r="S19" s="26">
        <f>'Resource Build-Up'!AF18</f>
        <v/>
      </c>
      <c r="T19" s="99" t="n"/>
      <c r="U19" s="26" t="n"/>
      <c r="V19" s="26">
        <f>'Resource Build-Up'!AG18</f>
        <v/>
      </c>
    </row>
    <row r="20" ht="32.40000152587891" customHeight="1" s="491">
      <c r="A20" s="98" t="inlineStr">
        <is>
          <t>RV-013</t>
        </is>
      </c>
      <c r="B20" s="98">
        <f>'Resource Build-Up'!A19</f>
        <v/>
      </c>
      <c r="C20" s="98">
        <f>'Resource Build-Up'!B19</f>
        <v/>
      </c>
      <c r="D20" s="26">
        <f>'Resource Build-Up'!C19</f>
        <v/>
      </c>
      <c r="E20" s="26">
        <f>'Resource Build-Up'!H19</f>
        <v/>
      </c>
      <c r="F20" s="26">
        <f>'Resource Build-Up'!P19</f>
        <v/>
      </c>
      <c r="G20" s="26">
        <f>'Resource Build-Up'!Q19</f>
        <v/>
      </c>
      <c r="H20" s="26">
        <f>'Resource Build-Up'!T19</f>
        <v/>
      </c>
      <c r="I20" s="1461">
        <f>'Resource Build-Up'!Y19</f>
        <v/>
      </c>
      <c r="J20" s="1461">
        <f>'Resource Build-Up'!Z19</f>
        <v/>
      </c>
      <c r="K20" s="26" t="n"/>
      <c r="L20" s="26" t="n"/>
      <c r="M20" s="26" t="n"/>
      <c r="N20" s="26" t="n"/>
      <c r="O20" s="26" t="n"/>
      <c r="P20" s="26" t="n"/>
      <c r="Q20" s="26">
        <f>COUNTIF(L20,"PASS")+COUNTIF(N20,"PASS")+COUNTIF(P20,"PASS")</f>
        <v/>
      </c>
      <c r="R20" s="26">
        <f>'Resource Build-Up'!AC19</f>
        <v/>
      </c>
      <c r="S20" s="26">
        <f>'Resource Build-Up'!AF19</f>
        <v/>
      </c>
      <c r="T20" s="100" t="n"/>
      <c r="U20" s="26" t="n"/>
      <c r="V20" s="26">
        <f>'Resource Build-Up'!AG19</f>
        <v/>
      </c>
    </row>
    <row r="21" ht="32.40000152587891" customHeight="1" s="491">
      <c r="A21" s="98" t="inlineStr">
        <is>
          <t>RV-014</t>
        </is>
      </c>
      <c r="B21" s="98">
        <f>'Resource Build-Up'!A20</f>
        <v/>
      </c>
      <c r="C21" s="98">
        <f>'Resource Build-Up'!B20</f>
        <v/>
      </c>
      <c r="D21" s="26">
        <f>'Resource Build-Up'!C20</f>
        <v/>
      </c>
      <c r="E21" s="26">
        <f>'Resource Build-Up'!H20</f>
        <v/>
      </c>
      <c r="F21" s="26">
        <f>'Resource Build-Up'!P20</f>
        <v/>
      </c>
      <c r="G21" s="26">
        <f>'Resource Build-Up'!Q20</f>
        <v/>
      </c>
      <c r="H21" s="26">
        <f>'Resource Build-Up'!T20</f>
        <v/>
      </c>
      <c r="I21" s="1461">
        <f>'Resource Build-Up'!Y20</f>
        <v/>
      </c>
      <c r="J21" s="1461">
        <f>'Resource Build-Up'!Z20</f>
        <v/>
      </c>
      <c r="K21" s="26" t="n"/>
      <c r="L21" s="26" t="n"/>
      <c r="M21" s="26" t="n"/>
      <c r="N21" s="26" t="n"/>
      <c r="O21" s="26" t="n"/>
      <c r="P21" s="26" t="n"/>
      <c r="Q21" s="26">
        <f>COUNTIF(L21,"PASS")+COUNTIF(N21,"PASS")+COUNTIF(P21,"PASS")</f>
        <v/>
      </c>
      <c r="R21" s="26">
        <f>'Resource Build-Up'!AC20</f>
        <v/>
      </c>
      <c r="S21" s="26">
        <f>'Resource Build-Up'!AF20</f>
        <v/>
      </c>
      <c r="T21" s="100" t="n"/>
      <c r="U21" s="26" t="n"/>
      <c r="V21" s="26">
        <f>'Resource Build-Up'!AG20</f>
        <v/>
      </c>
    </row>
    <row r="22" ht="32.40000152587891" customHeight="1" s="491">
      <c r="A22" s="98" t="inlineStr">
        <is>
          <t>RV-015</t>
        </is>
      </c>
      <c r="B22" s="98">
        <f>'Resource Build-Up'!A21</f>
        <v/>
      </c>
      <c r="C22" s="98">
        <f>'Resource Build-Up'!B21</f>
        <v/>
      </c>
      <c r="D22" s="26">
        <f>'Resource Build-Up'!C21</f>
        <v/>
      </c>
      <c r="E22" s="26">
        <f>'Resource Build-Up'!H21</f>
        <v/>
      </c>
      <c r="F22" s="26">
        <f>'Resource Build-Up'!P21</f>
        <v/>
      </c>
      <c r="G22" s="26">
        <f>'Resource Build-Up'!Q21</f>
        <v/>
      </c>
      <c r="H22" s="26">
        <f>'Resource Build-Up'!T21</f>
        <v/>
      </c>
      <c r="I22" s="1461">
        <f>'Resource Build-Up'!Y21</f>
        <v/>
      </c>
      <c r="J22" s="1461">
        <f>'Resource Build-Up'!Z21</f>
        <v/>
      </c>
      <c r="K22" s="26" t="n"/>
      <c r="L22" s="26" t="n"/>
      <c r="M22" s="26" t="n"/>
      <c r="N22" s="26" t="n"/>
      <c r="O22" s="26" t="n"/>
      <c r="P22" s="26" t="n"/>
      <c r="Q22" s="26">
        <f>COUNTIF(L22,"PASS")+COUNTIF(N22,"PASS")+COUNTIF(P22,"PASS")</f>
        <v/>
      </c>
      <c r="R22" s="26">
        <f>'Resource Build-Up'!AC21</f>
        <v/>
      </c>
      <c r="S22" s="26">
        <f>'Resource Build-Up'!AF21</f>
        <v/>
      </c>
      <c r="T22" s="99" t="n"/>
      <c r="U22" s="26" t="n"/>
      <c r="V22" s="26">
        <f>'Resource Build-Up'!AG21</f>
        <v/>
      </c>
    </row>
    <row r="23" ht="32.40000152587891" customHeight="1" s="491">
      <c r="A23" s="98" t="inlineStr">
        <is>
          <t>RV-016</t>
        </is>
      </c>
      <c r="B23" s="98">
        <f>'Resource Build-Up'!A22</f>
        <v/>
      </c>
      <c r="C23" s="98">
        <f>'Resource Build-Up'!B22</f>
        <v/>
      </c>
      <c r="D23" s="26">
        <f>'Resource Build-Up'!C22</f>
        <v/>
      </c>
      <c r="E23" s="26">
        <f>'Resource Build-Up'!H22</f>
        <v/>
      </c>
      <c r="F23" s="26">
        <f>'Resource Build-Up'!P22</f>
        <v/>
      </c>
      <c r="G23" s="26">
        <f>'Resource Build-Up'!Q22</f>
        <v/>
      </c>
      <c r="H23" s="26">
        <f>'Resource Build-Up'!T22</f>
        <v/>
      </c>
      <c r="I23" s="1461">
        <f>'Resource Build-Up'!Y22</f>
        <v/>
      </c>
      <c r="J23" s="1461">
        <f>'Resource Build-Up'!Z22</f>
        <v/>
      </c>
      <c r="K23" s="26" t="n"/>
      <c r="L23" s="26" t="n"/>
      <c r="M23" s="26" t="n"/>
      <c r="N23" s="26" t="n"/>
      <c r="O23" s="26" t="n"/>
      <c r="P23" s="26" t="n"/>
      <c r="Q23" s="26">
        <f>COUNTIF(L23,"PASS")+COUNTIF(N23,"PASS")+COUNTIF(P23,"PASS")</f>
        <v/>
      </c>
      <c r="R23" s="26">
        <f>'Resource Build-Up'!AC22</f>
        <v/>
      </c>
      <c r="S23" s="26">
        <f>'Resource Build-Up'!AF22</f>
        <v/>
      </c>
      <c r="T23" s="100" t="n"/>
      <c r="U23" s="26" t="n"/>
      <c r="V23" s="26">
        <f>'Resource Build-Up'!AG22</f>
        <v/>
      </c>
    </row>
    <row r="24" ht="32.40000152587891" customHeight="1" s="491">
      <c r="A24" s="98" t="inlineStr">
        <is>
          <t>RV-017</t>
        </is>
      </c>
      <c r="B24" s="98">
        <f>'Resource Build-Up'!A23</f>
        <v/>
      </c>
      <c r="C24" s="98">
        <f>'Resource Build-Up'!B23</f>
        <v/>
      </c>
      <c r="D24" s="26">
        <f>'Resource Build-Up'!C23</f>
        <v/>
      </c>
      <c r="E24" s="26">
        <f>'Resource Build-Up'!H23</f>
        <v/>
      </c>
      <c r="F24" s="26">
        <f>'Resource Build-Up'!P23</f>
        <v/>
      </c>
      <c r="G24" s="26">
        <f>'Resource Build-Up'!Q23</f>
        <v/>
      </c>
      <c r="H24" s="26">
        <f>'Resource Build-Up'!T23</f>
        <v/>
      </c>
      <c r="I24" s="1461">
        <f>'Resource Build-Up'!Y23</f>
        <v/>
      </c>
      <c r="J24" s="1461">
        <f>'Resource Build-Up'!Z23</f>
        <v/>
      </c>
      <c r="K24" s="26" t="n"/>
      <c r="L24" s="26" t="n"/>
      <c r="M24" s="26" t="n"/>
      <c r="N24" s="26" t="n"/>
      <c r="O24" s="26" t="n"/>
      <c r="P24" s="26" t="n"/>
      <c r="Q24" s="26">
        <f>COUNTIF(L24,"PASS")+COUNTIF(N24,"PASS")+COUNTIF(P24,"PASS")</f>
        <v/>
      </c>
      <c r="R24" s="26">
        <f>'Resource Build-Up'!AC23</f>
        <v/>
      </c>
      <c r="S24" s="26">
        <f>'Resource Build-Up'!AF23</f>
        <v/>
      </c>
      <c r="T24" s="99" t="n"/>
      <c r="U24" s="26" t="n"/>
      <c r="V24" s="26">
        <f>'Resource Build-Up'!AG23</f>
        <v/>
      </c>
    </row>
    <row r="25" ht="32.40000152587891" customHeight="1" s="491">
      <c r="A25" s="98" t="inlineStr">
        <is>
          <t>RV-018</t>
        </is>
      </c>
      <c r="B25" s="98">
        <f>'Resource Build-Up'!A24</f>
        <v/>
      </c>
      <c r="C25" s="98">
        <f>'Resource Build-Up'!B24</f>
        <v/>
      </c>
      <c r="D25" s="26">
        <f>'Resource Build-Up'!C24</f>
        <v/>
      </c>
      <c r="E25" s="26">
        <f>'Resource Build-Up'!H24</f>
        <v/>
      </c>
      <c r="F25" s="26">
        <f>'Resource Build-Up'!P24</f>
        <v/>
      </c>
      <c r="G25" s="26">
        <f>'Resource Build-Up'!Q24</f>
        <v/>
      </c>
      <c r="H25" s="26">
        <f>'Resource Build-Up'!T24</f>
        <v/>
      </c>
      <c r="I25" s="1461">
        <f>'Resource Build-Up'!Y24</f>
        <v/>
      </c>
      <c r="J25" s="1461">
        <f>'Resource Build-Up'!Z24</f>
        <v/>
      </c>
      <c r="K25" s="26" t="n"/>
      <c r="L25" s="26" t="n"/>
      <c r="M25" s="26" t="n"/>
      <c r="N25" s="26" t="n"/>
      <c r="O25" s="26" t="n"/>
      <c r="P25" s="26" t="n"/>
      <c r="Q25" s="26">
        <f>COUNTIF(L25,"PASS")+COUNTIF(N25,"PASS")+COUNTIF(P25,"PASS")</f>
        <v/>
      </c>
      <c r="R25" s="26">
        <f>'Resource Build-Up'!AC24</f>
        <v/>
      </c>
      <c r="S25" s="26">
        <f>'Resource Build-Up'!AF24</f>
        <v/>
      </c>
      <c r="T25" s="99" t="n"/>
      <c r="U25" s="26" t="n"/>
      <c r="V25" s="26">
        <f>'Resource Build-Up'!AG24</f>
        <v/>
      </c>
    </row>
    <row r="26" ht="32.40000152587891" customHeight="1" s="491">
      <c r="A26" s="98" t="inlineStr">
        <is>
          <t>RV-019</t>
        </is>
      </c>
      <c r="B26" s="98">
        <f>'Resource Build-Up'!A25</f>
        <v/>
      </c>
      <c r="C26" s="98">
        <f>'Resource Build-Up'!B25</f>
        <v/>
      </c>
      <c r="D26" s="26">
        <f>'Resource Build-Up'!C25</f>
        <v/>
      </c>
      <c r="E26" s="26">
        <f>'Resource Build-Up'!H25</f>
        <v/>
      </c>
      <c r="F26" s="26">
        <f>'Resource Build-Up'!P25</f>
        <v/>
      </c>
      <c r="G26" s="26">
        <f>'Resource Build-Up'!Q25</f>
        <v/>
      </c>
      <c r="H26" s="26">
        <f>'Resource Build-Up'!T25</f>
        <v/>
      </c>
      <c r="I26" s="1461">
        <f>'Resource Build-Up'!Y25</f>
        <v/>
      </c>
      <c r="J26" s="1461">
        <f>'Resource Build-Up'!Z25</f>
        <v/>
      </c>
      <c r="K26" s="26" t="n"/>
      <c r="L26" s="26" t="n"/>
      <c r="M26" s="26" t="n"/>
      <c r="N26" s="26" t="n"/>
      <c r="O26" s="26" t="n"/>
      <c r="P26" s="26" t="n"/>
      <c r="Q26" s="26">
        <f>COUNTIF(L26,"PASS")+COUNTIF(N26,"PASS")+COUNTIF(P26,"PASS")</f>
        <v/>
      </c>
      <c r="R26" s="26">
        <f>'Resource Build-Up'!AC25</f>
        <v/>
      </c>
      <c r="S26" s="26">
        <f>'Resource Build-Up'!AF25</f>
        <v/>
      </c>
      <c r="T26" s="99" t="n"/>
      <c r="U26" s="26" t="n"/>
      <c r="V26" s="26">
        <f>'Resource Build-Up'!AG25</f>
        <v/>
      </c>
    </row>
    <row r="27" ht="32.40000152587891" customHeight="1" s="491">
      <c r="A27" s="98" t="inlineStr">
        <is>
          <t>RV-020</t>
        </is>
      </c>
      <c r="B27" s="98">
        <f>'Resource Build-Up'!A26</f>
        <v/>
      </c>
      <c r="C27" s="98">
        <f>'Resource Build-Up'!B26</f>
        <v/>
      </c>
      <c r="D27" s="26">
        <f>'Resource Build-Up'!C26</f>
        <v/>
      </c>
      <c r="E27" s="26">
        <f>'Resource Build-Up'!H26</f>
        <v/>
      </c>
      <c r="F27" s="26">
        <f>'Resource Build-Up'!P26</f>
        <v/>
      </c>
      <c r="G27" s="26">
        <f>'Resource Build-Up'!Q26</f>
        <v/>
      </c>
      <c r="H27" s="26">
        <f>'Resource Build-Up'!T26</f>
        <v/>
      </c>
      <c r="I27" s="1461">
        <f>'Resource Build-Up'!Y26</f>
        <v/>
      </c>
      <c r="J27" s="1461">
        <f>'Resource Build-Up'!Z26</f>
        <v/>
      </c>
      <c r="K27" s="26" t="n"/>
      <c r="L27" s="26" t="n"/>
      <c r="M27" s="26" t="n"/>
      <c r="N27" s="26" t="n"/>
      <c r="O27" s="26" t="n"/>
      <c r="P27" s="26" t="n"/>
      <c r="Q27" s="26">
        <f>COUNTIF(L27,"PASS")+COUNTIF(N27,"PASS")+COUNTIF(P27,"PASS")</f>
        <v/>
      </c>
      <c r="R27" s="26">
        <f>'Resource Build-Up'!AC26</f>
        <v/>
      </c>
      <c r="S27" s="26">
        <f>'Resource Build-Up'!AF26</f>
        <v/>
      </c>
      <c r="T27" s="99" t="n"/>
      <c r="U27" s="26" t="n"/>
      <c r="V27" s="26">
        <f>'Resource Build-Up'!AG26</f>
        <v/>
      </c>
    </row>
    <row r="28" ht="32.40000152587891" customHeight="1" s="491">
      <c r="A28" s="98" t="inlineStr">
        <is>
          <t>RV-021</t>
        </is>
      </c>
      <c r="B28" s="98">
        <f>'Resource Build-Up'!A27</f>
        <v/>
      </c>
      <c r="C28" s="98">
        <f>'Resource Build-Up'!B27</f>
        <v/>
      </c>
      <c r="D28" s="26">
        <f>'Resource Build-Up'!C27</f>
        <v/>
      </c>
      <c r="E28" s="26">
        <f>'Resource Build-Up'!H27</f>
        <v/>
      </c>
      <c r="F28" s="26">
        <f>'Resource Build-Up'!P27</f>
        <v/>
      </c>
      <c r="G28" s="26">
        <f>'Resource Build-Up'!Q27</f>
        <v/>
      </c>
      <c r="H28" s="26">
        <f>'Resource Build-Up'!T27</f>
        <v/>
      </c>
      <c r="I28" s="1461">
        <f>'Resource Build-Up'!Y27</f>
        <v/>
      </c>
      <c r="J28" s="1461">
        <f>'Resource Build-Up'!Z27</f>
        <v/>
      </c>
      <c r="K28" s="26" t="n"/>
      <c r="L28" s="26" t="n"/>
      <c r="M28" s="26" t="n"/>
      <c r="N28" s="26" t="n"/>
      <c r="O28" s="26" t="n"/>
      <c r="P28" s="26" t="n"/>
      <c r="Q28" s="26">
        <f>COUNTIF(L28,"PASS")+COUNTIF(N28,"PASS")+COUNTIF(P28,"PASS")</f>
        <v/>
      </c>
      <c r="R28" s="26">
        <f>'Resource Build-Up'!AC27</f>
        <v/>
      </c>
      <c r="S28" s="26">
        <f>'Resource Build-Up'!AF27</f>
        <v/>
      </c>
      <c r="T28" s="101" t="n"/>
      <c r="U28" s="26" t="n"/>
      <c r="V28" s="26">
        <f>'Resource Build-Up'!AG27</f>
        <v/>
      </c>
    </row>
    <row r="29" ht="32.40000152587891" customHeight="1" s="491">
      <c r="A29" s="98" t="inlineStr">
        <is>
          <t>RV-022</t>
        </is>
      </c>
      <c r="B29" s="98">
        <f>'Resource Build-Up'!A28</f>
        <v/>
      </c>
      <c r="C29" s="98">
        <f>'Resource Build-Up'!B28</f>
        <v/>
      </c>
      <c r="D29" s="26">
        <f>'Resource Build-Up'!C28</f>
        <v/>
      </c>
      <c r="E29" s="26">
        <f>'Resource Build-Up'!H28</f>
        <v/>
      </c>
      <c r="F29" s="26">
        <f>'Resource Build-Up'!P28</f>
        <v/>
      </c>
      <c r="G29" s="26">
        <f>'Resource Build-Up'!Q28</f>
        <v/>
      </c>
      <c r="H29" s="26">
        <f>'Resource Build-Up'!T28</f>
        <v/>
      </c>
      <c r="I29" s="1461">
        <f>'Resource Build-Up'!Y28</f>
        <v/>
      </c>
      <c r="J29" s="1461">
        <f>'Resource Build-Up'!Z28</f>
        <v/>
      </c>
      <c r="K29" s="26" t="n"/>
      <c r="L29" s="26" t="n"/>
      <c r="M29" s="26" t="n"/>
      <c r="N29" s="26" t="n"/>
      <c r="O29" s="26" t="n"/>
      <c r="P29" s="26" t="n"/>
      <c r="Q29" s="26">
        <f>COUNTIF(L29,"PASS")+COUNTIF(N29,"PASS")+COUNTIF(P29,"PASS")</f>
        <v/>
      </c>
      <c r="R29" s="26">
        <f>'Resource Build-Up'!AC28</f>
        <v/>
      </c>
      <c r="S29" s="26">
        <f>'Resource Build-Up'!AF28</f>
        <v/>
      </c>
      <c r="T29" s="101" t="n"/>
      <c r="U29" s="26" t="n"/>
      <c r="V29" s="26">
        <f>'Resource Build-Up'!AG28</f>
        <v/>
      </c>
    </row>
    <row r="30" ht="32.40000152587891" customHeight="1" s="491">
      <c r="A30" s="98" t="inlineStr">
        <is>
          <t>RV-023</t>
        </is>
      </c>
      <c r="B30" s="98">
        <f>'Resource Build-Up'!A29</f>
        <v/>
      </c>
      <c r="C30" s="98">
        <f>'Resource Build-Up'!B29</f>
        <v/>
      </c>
      <c r="D30" s="26">
        <f>'Resource Build-Up'!C29</f>
        <v/>
      </c>
      <c r="E30" s="26">
        <f>'Resource Build-Up'!H29</f>
        <v/>
      </c>
      <c r="F30" s="26">
        <f>'Resource Build-Up'!P29</f>
        <v/>
      </c>
      <c r="G30" s="26">
        <f>'Resource Build-Up'!Q29</f>
        <v/>
      </c>
      <c r="H30" s="26">
        <f>'Resource Build-Up'!T29</f>
        <v/>
      </c>
      <c r="I30" s="1461">
        <f>'Resource Build-Up'!Y29</f>
        <v/>
      </c>
      <c r="J30" s="1461">
        <f>'Resource Build-Up'!Z29</f>
        <v/>
      </c>
      <c r="K30" s="26" t="n"/>
      <c r="L30" s="26" t="n"/>
      <c r="M30" s="26" t="n"/>
      <c r="N30" s="26" t="n"/>
      <c r="O30" s="26" t="n"/>
      <c r="P30" s="26" t="n"/>
      <c r="Q30" s="26">
        <f>COUNTIF(L30,"PASS")+COUNTIF(N30,"PASS")+COUNTIF(P30,"PASS")</f>
        <v/>
      </c>
      <c r="R30" s="26">
        <f>'Resource Build-Up'!AC29</f>
        <v/>
      </c>
      <c r="S30" s="26">
        <f>'Resource Build-Up'!AF29</f>
        <v/>
      </c>
      <c r="T30" s="101" t="n"/>
      <c r="U30" s="26" t="n"/>
      <c r="V30" s="26">
        <f>'Resource Build-Up'!AG29</f>
        <v/>
      </c>
    </row>
    <row r="31" ht="32.40000152587891" customHeight="1" s="491">
      <c r="A31" s="98" t="inlineStr">
        <is>
          <t>RV-024</t>
        </is>
      </c>
      <c r="B31" s="98">
        <f>'Resource Build-Up'!A30</f>
        <v/>
      </c>
      <c r="C31" s="98">
        <f>'Resource Build-Up'!B30</f>
        <v/>
      </c>
      <c r="D31" s="26">
        <f>'Resource Build-Up'!C30</f>
        <v/>
      </c>
      <c r="E31" s="26">
        <f>'Resource Build-Up'!H30</f>
        <v/>
      </c>
      <c r="F31" s="26">
        <f>'Resource Build-Up'!P30</f>
        <v/>
      </c>
      <c r="G31" s="26">
        <f>'Resource Build-Up'!Q30</f>
        <v/>
      </c>
      <c r="H31" s="26">
        <f>'Resource Build-Up'!T30</f>
        <v/>
      </c>
      <c r="I31" s="1461">
        <f>'Resource Build-Up'!Y30</f>
        <v/>
      </c>
      <c r="J31" s="1461">
        <f>'Resource Build-Up'!Z30</f>
        <v/>
      </c>
      <c r="K31" s="26" t="n"/>
      <c r="L31" s="26" t="n"/>
      <c r="M31" s="26" t="n"/>
      <c r="N31" s="26" t="n"/>
      <c r="O31" s="26" t="n"/>
      <c r="P31" s="26" t="n"/>
      <c r="Q31" s="26">
        <f>COUNTIF(L31,"PASS")+COUNTIF(N31,"PASS")+COUNTIF(P31,"PASS")</f>
        <v/>
      </c>
      <c r="R31" s="26">
        <f>'Resource Build-Up'!AC30</f>
        <v/>
      </c>
      <c r="S31" s="26">
        <f>'Resource Build-Up'!AF30</f>
        <v/>
      </c>
      <c r="T31" s="101" t="n"/>
      <c r="U31" s="26" t="n"/>
      <c r="V31" s="26">
        <f>'Resource Build-Up'!AG30</f>
        <v/>
      </c>
    </row>
    <row r="32" ht="32.40000152587891" customHeight="1" s="491">
      <c r="A32" s="98" t="inlineStr">
        <is>
          <t>RV-025</t>
        </is>
      </c>
      <c r="B32" s="98">
        <f>'Resource Build-Up'!A31</f>
        <v/>
      </c>
      <c r="C32" s="98">
        <f>'Resource Build-Up'!B31</f>
        <v/>
      </c>
      <c r="D32" s="26">
        <f>'Resource Build-Up'!C31</f>
        <v/>
      </c>
      <c r="E32" s="26">
        <f>'Resource Build-Up'!H31</f>
        <v/>
      </c>
      <c r="F32" s="26">
        <f>'Resource Build-Up'!P31</f>
        <v/>
      </c>
      <c r="G32" s="26">
        <f>'Resource Build-Up'!Q31</f>
        <v/>
      </c>
      <c r="H32" s="26">
        <f>'Resource Build-Up'!T31</f>
        <v/>
      </c>
      <c r="I32" s="1461">
        <f>'Resource Build-Up'!Y31</f>
        <v/>
      </c>
      <c r="J32" s="1461">
        <f>'Resource Build-Up'!Z31</f>
        <v/>
      </c>
      <c r="K32" s="26" t="n"/>
      <c r="L32" s="26" t="n"/>
      <c r="M32" s="26" t="n"/>
      <c r="N32" s="26" t="n"/>
      <c r="O32" s="26" t="n"/>
      <c r="P32" s="26" t="n"/>
      <c r="Q32" s="26">
        <f>COUNTIF(L32,"PASS")+COUNTIF(N32,"PASS")+COUNTIF(P32,"PASS")</f>
        <v/>
      </c>
      <c r="R32" s="26">
        <f>'Resource Build-Up'!AC31</f>
        <v/>
      </c>
      <c r="S32" s="26">
        <f>'Resource Build-Up'!AF31</f>
        <v/>
      </c>
      <c r="T32" s="99" t="n"/>
      <c r="U32" s="26" t="n"/>
      <c r="V32" s="26">
        <f>'Resource Build-Up'!AG31</f>
        <v/>
      </c>
    </row>
    <row r="33" ht="32.40000152587891" customHeight="1" s="491">
      <c r="A33" s="98" t="inlineStr">
        <is>
          <t>RV-026</t>
        </is>
      </c>
      <c r="B33" s="98">
        <f>'Resource Build-Up'!A32</f>
        <v/>
      </c>
      <c r="C33" s="98">
        <f>'Resource Build-Up'!B32</f>
        <v/>
      </c>
      <c r="D33" s="26">
        <f>'Resource Build-Up'!C32</f>
        <v/>
      </c>
      <c r="E33" s="26">
        <f>'Resource Build-Up'!H32</f>
        <v/>
      </c>
      <c r="F33" s="26">
        <f>'Resource Build-Up'!P32</f>
        <v/>
      </c>
      <c r="G33" s="26">
        <f>'Resource Build-Up'!Q32</f>
        <v/>
      </c>
      <c r="H33" s="26">
        <f>'Resource Build-Up'!T32</f>
        <v/>
      </c>
      <c r="I33" s="1461">
        <f>'Resource Build-Up'!Y32</f>
        <v/>
      </c>
      <c r="J33" s="1461">
        <f>'Resource Build-Up'!Z32</f>
        <v/>
      </c>
      <c r="K33" s="26" t="n"/>
      <c r="L33" s="26" t="n"/>
      <c r="M33" s="26" t="n"/>
      <c r="N33" s="26" t="n"/>
      <c r="O33" s="26" t="n"/>
      <c r="P33" s="26" t="n"/>
      <c r="Q33" s="26">
        <f>COUNTIF(L33,"PASS")+COUNTIF(N33,"PASS")+COUNTIF(P33,"PASS")</f>
        <v/>
      </c>
      <c r="R33" s="26">
        <f>'Resource Build-Up'!AC32</f>
        <v/>
      </c>
      <c r="S33" s="26">
        <f>'Resource Build-Up'!AF32</f>
        <v/>
      </c>
      <c r="T33" s="100" t="n"/>
      <c r="U33" s="26" t="n"/>
      <c r="V33" s="26">
        <f>'Resource Build-Up'!AG32</f>
        <v/>
      </c>
    </row>
    <row r="34" ht="32.40000152587891" customHeight="1" s="491">
      <c r="A34" s="98" t="inlineStr">
        <is>
          <t>RV-027</t>
        </is>
      </c>
      <c r="B34" s="98">
        <f>'Resource Build-Up'!A33</f>
        <v/>
      </c>
      <c r="C34" s="98">
        <f>'Resource Build-Up'!B33</f>
        <v/>
      </c>
      <c r="D34" s="26">
        <f>'Resource Build-Up'!C33</f>
        <v/>
      </c>
      <c r="E34" s="26">
        <f>'Resource Build-Up'!H33</f>
        <v/>
      </c>
      <c r="F34" s="26">
        <f>'Resource Build-Up'!P33</f>
        <v/>
      </c>
      <c r="G34" s="26">
        <f>'Resource Build-Up'!Q33</f>
        <v/>
      </c>
      <c r="H34" s="26">
        <f>'Resource Build-Up'!T33</f>
        <v/>
      </c>
      <c r="I34" s="1461">
        <f>'Resource Build-Up'!Y33</f>
        <v/>
      </c>
      <c r="J34" s="1461">
        <f>'Resource Build-Up'!Z33</f>
        <v/>
      </c>
      <c r="K34" s="26" t="n"/>
      <c r="L34" s="26" t="n"/>
      <c r="M34" s="26" t="n"/>
      <c r="N34" s="26" t="n"/>
      <c r="O34" s="26" t="n"/>
      <c r="P34" s="26" t="n"/>
      <c r="Q34" s="26">
        <f>COUNTIF(L34,"PASS")+COUNTIF(N34,"PASS")+COUNTIF(P34,"PASS")</f>
        <v/>
      </c>
      <c r="R34" s="26">
        <f>'Resource Build-Up'!AC33</f>
        <v/>
      </c>
      <c r="S34" s="26">
        <f>'Resource Build-Up'!AF33</f>
        <v/>
      </c>
      <c r="T34" s="99" t="n"/>
      <c r="U34" s="26" t="n"/>
      <c r="V34" s="26">
        <f>'Resource Build-Up'!AG33</f>
        <v/>
      </c>
    </row>
    <row r="35" ht="32.40000152587891" customHeight="1" s="491">
      <c r="A35" s="98" t="inlineStr">
        <is>
          <t>RV-028</t>
        </is>
      </c>
      <c r="B35" s="98">
        <f>'Resource Build-Up'!A34</f>
        <v/>
      </c>
      <c r="C35" s="98">
        <f>'Resource Build-Up'!B34</f>
        <v/>
      </c>
      <c r="D35" s="26">
        <f>'Resource Build-Up'!C34</f>
        <v/>
      </c>
      <c r="E35" s="26">
        <f>'Resource Build-Up'!H34</f>
        <v/>
      </c>
      <c r="F35" s="26">
        <f>'Resource Build-Up'!P34</f>
        <v/>
      </c>
      <c r="G35" s="26">
        <f>'Resource Build-Up'!Q34</f>
        <v/>
      </c>
      <c r="H35" s="26">
        <f>'Resource Build-Up'!T34</f>
        <v/>
      </c>
      <c r="I35" s="1461">
        <f>'Resource Build-Up'!Y34</f>
        <v/>
      </c>
      <c r="J35" s="1461">
        <f>'Resource Build-Up'!Z34</f>
        <v/>
      </c>
      <c r="K35" s="26" t="n"/>
      <c r="L35" s="26" t="n"/>
      <c r="M35" s="26" t="n"/>
      <c r="N35" s="26" t="n"/>
      <c r="O35" s="26" t="n"/>
      <c r="P35" s="26" t="n"/>
      <c r="Q35" s="26">
        <f>COUNTIF(L35,"PASS")+COUNTIF(N35,"PASS")+COUNTIF(P35,"PASS")</f>
        <v/>
      </c>
      <c r="R35" s="26">
        <f>'Resource Build-Up'!AC34</f>
        <v/>
      </c>
      <c r="S35" s="26">
        <f>'Resource Build-Up'!AF34</f>
        <v/>
      </c>
      <c r="T35" s="101" t="n"/>
      <c r="U35" s="26" t="n"/>
      <c r="V35" s="26">
        <f>'Resource Build-Up'!AG34</f>
        <v/>
      </c>
    </row>
    <row r="36" ht="32.40000152587891" customHeight="1" s="491">
      <c r="A36" s="98" t="inlineStr">
        <is>
          <t>RV-029</t>
        </is>
      </c>
      <c r="B36" s="98">
        <f>'Resource Build-Up'!A35</f>
        <v/>
      </c>
      <c r="C36" s="98">
        <f>'Resource Build-Up'!B35</f>
        <v/>
      </c>
      <c r="D36" s="26">
        <f>'Resource Build-Up'!C35</f>
        <v/>
      </c>
      <c r="E36" s="26">
        <f>'Resource Build-Up'!H35</f>
        <v/>
      </c>
      <c r="F36" s="26">
        <f>'Resource Build-Up'!P35</f>
        <v/>
      </c>
      <c r="G36" s="26">
        <f>'Resource Build-Up'!Q35</f>
        <v/>
      </c>
      <c r="H36" s="26">
        <f>'Resource Build-Up'!T35</f>
        <v/>
      </c>
      <c r="I36" s="1461">
        <f>'Resource Build-Up'!Y35</f>
        <v/>
      </c>
      <c r="J36" s="1461">
        <f>'Resource Build-Up'!Z35</f>
        <v/>
      </c>
      <c r="K36" s="26" t="n"/>
      <c r="L36" s="26" t="n"/>
      <c r="M36" s="26" t="n"/>
      <c r="N36" s="26" t="n"/>
      <c r="O36" s="26" t="n"/>
      <c r="P36" s="26" t="n"/>
      <c r="Q36" s="26">
        <f>COUNTIF(L36,"PASS")+COUNTIF(N36,"PASS")+COUNTIF(P36,"PASS")</f>
        <v/>
      </c>
      <c r="R36" s="26">
        <f>'Resource Build-Up'!AC35</f>
        <v/>
      </c>
      <c r="S36" s="26">
        <f>'Resource Build-Up'!AF35</f>
        <v/>
      </c>
      <c r="T36" s="99" t="n"/>
      <c r="U36" s="26" t="n"/>
      <c r="V36" s="26">
        <f>'Resource Build-Up'!AG35</f>
        <v/>
      </c>
    </row>
    <row r="37" ht="32.40000152587891" customHeight="1" s="491">
      <c r="A37" s="98" t="inlineStr">
        <is>
          <t>RV-030</t>
        </is>
      </c>
      <c r="B37" s="98">
        <f>'Resource Build-Up'!A36</f>
        <v/>
      </c>
      <c r="C37" s="98">
        <f>'Resource Build-Up'!B36</f>
        <v/>
      </c>
      <c r="D37" s="26">
        <f>'Resource Build-Up'!C36</f>
        <v/>
      </c>
      <c r="E37" s="26">
        <f>'Resource Build-Up'!H36</f>
        <v/>
      </c>
      <c r="F37" s="26">
        <f>'Resource Build-Up'!P36</f>
        <v/>
      </c>
      <c r="G37" s="26">
        <f>'Resource Build-Up'!Q36</f>
        <v/>
      </c>
      <c r="H37" s="26">
        <f>'Resource Build-Up'!T36</f>
        <v/>
      </c>
      <c r="I37" s="1461">
        <f>'Resource Build-Up'!Y36</f>
        <v/>
      </c>
      <c r="J37" s="1461">
        <f>'Resource Build-Up'!Z36</f>
        <v/>
      </c>
      <c r="K37" s="26" t="n"/>
      <c r="L37" s="26" t="n"/>
      <c r="M37" s="26" t="n"/>
      <c r="N37" s="26" t="n"/>
      <c r="O37" s="26" t="n"/>
      <c r="P37" s="26" t="n"/>
      <c r="Q37" s="26">
        <f>COUNTIF(L37,"PASS")+COUNTIF(N37,"PASS")+COUNTIF(P37,"PASS")</f>
        <v/>
      </c>
      <c r="R37" s="26">
        <f>'Resource Build-Up'!AC36</f>
        <v/>
      </c>
      <c r="S37" s="26">
        <f>'Resource Build-Up'!AF36</f>
        <v/>
      </c>
      <c r="T37" s="101" t="n"/>
      <c r="U37" s="26" t="n"/>
      <c r="V37" s="26">
        <f>'Resource Build-Up'!AG36</f>
        <v/>
      </c>
    </row>
    <row r="38" ht="32.40000152587891" customHeight="1" s="491">
      <c r="A38" s="98" t="inlineStr">
        <is>
          <t>RV-031</t>
        </is>
      </c>
      <c r="B38" s="98">
        <f>'Resource Build-Up'!A37</f>
        <v/>
      </c>
      <c r="C38" s="98">
        <f>'Resource Build-Up'!B37</f>
        <v/>
      </c>
      <c r="D38" s="26">
        <f>'Resource Build-Up'!C37</f>
        <v/>
      </c>
      <c r="E38" s="26">
        <f>'Resource Build-Up'!H37</f>
        <v/>
      </c>
      <c r="F38" s="26">
        <f>'Resource Build-Up'!P37</f>
        <v/>
      </c>
      <c r="G38" s="26">
        <f>'Resource Build-Up'!Q37</f>
        <v/>
      </c>
      <c r="H38" s="26">
        <f>'Resource Build-Up'!T37</f>
        <v/>
      </c>
      <c r="I38" s="1461">
        <f>'Resource Build-Up'!Y37</f>
        <v/>
      </c>
      <c r="J38" s="1461">
        <f>'Resource Build-Up'!Z37</f>
        <v/>
      </c>
      <c r="K38" s="26" t="n"/>
      <c r="L38" s="26" t="n"/>
      <c r="M38" s="26" t="n"/>
      <c r="N38" s="26" t="n"/>
      <c r="O38" s="26" t="n"/>
      <c r="P38" s="26" t="n"/>
      <c r="Q38" s="26">
        <f>COUNTIF(L38,"PASS")+COUNTIF(N38,"PASS")+COUNTIF(P38,"PASS")</f>
        <v/>
      </c>
      <c r="R38" s="26">
        <f>'Resource Build-Up'!AC37</f>
        <v/>
      </c>
      <c r="S38" s="26">
        <f>'Resource Build-Up'!AF37</f>
        <v/>
      </c>
      <c r="T38" s="99" t="n"/>
      <c r="U38" s="26" t="n"/>
      <c r="V38" s="26">
        <f>'Resource Build-Up'!AG37</f>
        <v/>
      </c>
    </row>
    <row r="39" ht="32.40000152587891" customHeight="1" s="491">
      <c r="A39" s="98" t="inlineStr">
        <is>
          <t>RV-032</t>
        </is>
      </c>
      <c r="B39" s="98">
        <f>'Resource Build-Up'!A38</f>
        <v/>
      </c>
      <c r="C39" s="98">
        <f>'Resource Build-Up'!B38</f>
        <v/>
      </c>
      <c r="D39" s="26">
        <f>'Resource Build-Up'!C38</f>
        <v/>
      </c>
      <c r="E39" s="26">
        <f>'Resource Build-Up'!H38</f>
        <v/>
      </c>
      <c r="F39" s="26">
        <f>'Resource Build-Up'!P38</f>
        <v/>
      </c>
      <c r="G39" s="26">
        <f>'Resource Build-Up'!Q38</f>
        <v/>
      </c>
      <c r="H39" s="26">
        <f>'Resource Build-Up'!T38</f>
        <v/>
      </c>
      <c r="I39" s="1461">
        <f>'Resource Build-Up'!Y38</f>
        <v/>
      </c>
      <c r="J39" s="1461">
        <f>'Resource Build-Up'!Z38</f>
        <v/>
      </c>
      <c r="K39" s="26" t="n"/>
      <c r="L39" s="26" t="n"/>
      <c r="M39" s="26" t="n"/>
      <c r="N39" s="26" t="n"/>
      <c r="O39" s="26" t="n"/>
      <c r="P39" s="26" t="n"/>
      <c r="Q39" s="26">
        <f>COUNTIF(L39,"PASS")+COUNTIF(N39,"PASS")+COUNTIF(P39,"PASS")</f>
        <v/>
      </c>
      <c r="R39" s="26">
        <f>'Resource Build-Up'!AC38</f>
        <v/>
      </c>
      <c r="S39" s="26">
        <f>'Resource Build-Up'!AF38</f>
        <v/>
      </c>
      <c r="T39" s="101" t="n"/>
      <c r="U39" s="26" t="n"/>
      <c r="V39" s="26">
        <f>'Resource Build-Up'!AG38</f>
        <v/>
      </c>
    </row>
    <row r="40" ht="32.40000152587891" customHeight="1" s="491">
      <c r="A40" s="98" t="inlineStr">
        <is>
          <t>RV-033</t>
        </is>
      </c>
      <c r="B40" s="98">
        <f>'Resource Build-Up'!A39</f>
        <v/>
      </c>
      <c r="C40" s="98">
        <f>'Resource Build-Up'!B39</f>
        <v/>
      </c>
      <c r="D40" s="26">
        <f>'Resource Build-Up'!C39</f>
        <v/>
      </c>
      <c r="E40" s="26">
        <f>'Resource Build-Up'!H39</f>
        <v/>
      </c>
      <c r="F40" s="26">
        <f>'Resource Build-Up'!P39</f>
        <v/>
      </c>
      <c r="G40" s="26">
        <f>'Resource Build-Up'!Q39</f>
        <v/>
      </c>
      <c r="H40" s="26">
        <f>'Resource Build-Up'!T39</f>
        <v/>
      </c>
      <c r="I40" s="1461">
        <f>'Resource Build-Up'!Y39</f>
        <v/>
      </c>
      <c r="J40" s="1461">
        <f>'Resource Build-Up'!Z39</f>
        <v/>
      </c>
      <c r="K40" s="26" t="n"/>
      <c r="L40" s="26" t="n"/>
      <c r="M40" s="26" t="n"/>
      <c r="N40" s="26" t="n"/>
      <c r="O40" s="26" t="n"/>
      <c r="P40" s="26" t="n"/>
      <c r="Q40" s="26">
        <f>COUNTIF(L40,"PASS")+COUNTIF(N40,"PASS")+COUNTIF(P40,"PASS")</f>
        <v/>
      </c>
      <c r="R40" s="26">
        <f>'Resource Build-Up'!AC39</f>
        <v/>
      </c>
      <c r="S40" s="26">
        <f>'Resource Build-Up'!AF39</f>
        <v/>
      </c>
      <c r="T40" s="99" t="n"/>
      <c r="U40" s="26" t="n"/>
      <c r="V40" s="26">
        <f>'Resource Build-Up'!AG39</f>
        <v/>
      </c>
    </row>
    <row r="41" ht="32.40000152587891" customHeight="1" s="491">
      <c r="A41" s="98" t="inlineStr">
        <is>
          <t>RV-034</t>
        </is>
      </c>
      <c r="B41" s="98">
        <f>'Resource Build-Up'!A40</f>
        <v/>
      </c>
      <c r="C41" s="98">
        <f>'Resource Build-Up'!B40</f>
        <v/>
      </c>
      <c r="D41" s="26">
        <f>'Resource Build-Up'!C40</f>
        <v/>
      </c>
      <c r="E41" s="26">
        <f>'Resource Build-Up'!H40</f>
        <v/>
      </c>
      <c r="F41" s="26">
        <f>'Resource Build-Up'!P40</f>
        <v/>
      </c>
      <c r="G41" s="26">
        <f>'Resource Build-Up'!Q40</f>
        <v/>
      </c>
      <c r="H41" s="26">
        <f>'Resource Build-Up'!T40</f>
        <v/>
      </c>
      <c r="I41" s="1461">
        <f>'Resource Build-Up'!Y40</f>
        <v/>
      </c>
      <c r="J41" s="1461">
        <f>'Resource Build-Up'!Z40</f>
        <v/>
      </c>
      <c r="K41" s="26" t="n"/>
      <c r="L41" s="26" t="n"/>
      <c r="M41" s="26" t="n"/>
      <c r="N41" s="26" t="n"/>
      <c r="O41" s="26" t="n"/>
      <c r="P41" s="26" t="n"/>
      <c r="Q41" s="26">
        <f>COUNTIF(L41,"PASS")+COUNTIF(N41,"PASS")+COUNTIF(P41,"PASS")</f>
        <v/>
      </c>
      <c r="R41" s="26">
        <f>'Resource Build-Up'!AC40</f>
        <v/>
      </c>
      <c r="S41" s="26">
        <f>'Resource Build-Up'!AF40</f>
        <v/>
      </c>
      <c r="T41" s="100" t="n"/>
      <c r="U41" s="26" t="n"/>
      <c r="V41" s="26">
        <f>'Resource Build-Up'!AG40</f>
        <v/>
      </c>
    </row>
    <row r="42" ht="32.40000152587891" customHeight="1" s="491">
      <c r="A42" s="98" t="inlineStr">
        <is>
          <t>RV-035</t>
        </is>
      </c>
      <c r="B42" s="98">
        <f>'Resource Build-Up'!A41</f>
        <v/>
      </c>
      <c r="C42" s="98">
        <f>'Resource Build-Up'!B41</f>
        <v/>
      </c>
      <c r="D42" s="26">
        <f>'Resource Build-Up'!C41</f>
        <v/>
      </c>
      <c r="E42" s="26">
        <f>'Resource Build-Up'!H41</f>
        <v/>
      </c>
      <c r="F42" s="26">
        <f>'Resource Build-Up'!P41</f>
        <v/>
      </c>
      <c r="G42" s="26">
        <f>'Resource Build-Up'!Q41</f>
        <v/>
      </c>
      <c r="H42" s="26">
        <f>'Resource Build-Up'!T41</f>
        <v/>
      </c>
      <c r="I42" s="1461">
        <f>'Resource Build-Up'!Y41</f>
        <v/>
      </c>
      <c r="J42" s="1461">
        <f>'Resource Build-Up'!Z41</f>
        <v/>
      </c>
      <c r="K42" s="26" t="n"/>
      <c r="L42" s="26" t="n"/>
      <c r="M42" s="26" t="n"/>
      <c r="N42" s="26" t="n"/>
      <c r="O42" s="26" t="n"/>
      <c r="P42" s="26" t="n"/>
      <c r="Q42" s="26">
        <f>COUNTIF(L42,"PASS")+COUNTIF(N42,"PASS")+COUNTIF(P42,"PASS")</f>
        <v/>
      </c>
      <c r="R42" s="26">
        <f>'Resource Build-Up'!AC41</f>
        <v/>
      </c>
      <c r="S42" s="26">
        <f>'Resource Build-Up'!AF41</f>
        <v/>
      </c>
      <c r="T42" s="101" t="n"/>
      <c r="U42" s="26" t="n"/>
      <c r="V42" s="26">
        <f>'Resource Build-Up'!AG41</f>
        <v/>
      </c>
    </row>
    <row r="43" ht="32.40000152587891" customHeight="1" s="491">
      <c r="A43" s="98" t="inlineStr">
        <is>
          <t>RV-036</t>
        </is>
      </c>
      <c r="B43" s="98">
        <f>'Resource Build-Up'!A42</f>
        <v/>
      </c>
      <c r="C43" s="98">
        <f>'Resource Build-Up'!B42</f>
        <v/>
      </c>
      <c r="D43" s="26">
        <f>'Resource Build-Up'!C42</f>
        <v/>
      </c>
      <c r="E43" s="26">
        <f>'Resource Build-Up'!H42</f>
        <v/>
      </c>
      <c r="F43" s="26">
        <f>'Resource Build-Up'!P42</f>
        <v/>
      </c>
      <c r="G43" s="26">
        <f>'Resource Build-Up'!Q42</f>
        <v/>
      </c>
      <c r="H43" s="26">
        <f>'Resource Build-Up'!T42</f>
        <v/>
      </c>
      <c r="I43" s="1461">
        <f>'Resource Build-Up'!Y42</f>
        <v/>
      </c>
      <c r="J43" s="1461">
        <f>'Resource Build-Up'!Z42</f>
        <v/>
      </c>
      <c r="K43" s="26" t="n"/>
      <c r="L43" s="26" t="n"/>
      <c r="M43" s="26" t="n"/>
      <c r="N43" s="26" t="n"/>
      <c r="O43" s="26" t="n"/>
      <c r="P43" s="26" t="n"/>
      <c r="Q43" s="26">
        <f>COUNTIF(L43,"PASS")+COUNTIF(N43,"PASS")+COUNTIF(P43,"PASS")</f>
        <v/>
      </c>
      <c r="R43" s="26">
        <f>'Resource Build-Up'!AC42</f>
        <v/>
      </c>
      <c r="S43" s="26">
        <f>'Resource Build-Up'!AF42</f>
        <v/>
      </c>
      <c r="T43" s="101" t="n"/>
      <c r="U43" s="26" t="n"/>
      <c r="V43" s="26">
        <f>'Resource Build-Up'!AG42</f>
        <v/>
      </c>
    </row>
    <row r="44" ht="32.40000152587891" customHeight="1" s="491">
      <c r="A44" s="98" t="inlineStr">
        <is>
          <t>RV-037</t>
        </is>
      </c>
      <c r="B44" s="98">
        <f>'Resource Build-Up'!A43</f>
        <v/>
      </c>
      <c r="C44" s="98">
        <f>'Resource Build-Up'!B43</f>
        <v/>
      </c>
      <c r="D44" s="26">
        <f>'Resource Build-Up'!C43</f>
        <v/>
      </c>
      <c r="E44" s="26">
        <f>'Resource Build-Up'!H43</f>
        <v/>
      </c>
      <c r="F44" s="26">
        <f>'Resource Build-Up'!P43</f>
        <v/>
      </c>
      <c r="G44" s="26">
        <f>'Resource Build-Up'!Q43</f>
        <v/>
      </c>
      <c r="H44" s="26">
        <f>'Resource Build-Up'!T43</f>
        <v/>
      </c>
      <c r="I44" s="1461">
        <f>'Resource Build-Up'!Y43</f>
        <v/>
      </c>
      <c r="J44" s="1461">
        <f>'Resource Build-Up'!Z43</f>
        <v/>
      </c>
      <c r="K44" s="26" t="n"/>
      <c r="L44" s="26" t="n"/>
      <c r="M44" s="26" t="n"/>
      <c r="N44" s="26" t="n"/>
      <c r="O44" s="26" t="n"/>
      <c r="P44" s="26" t="n"/>
      <c r="Q44" s="26">
        <f>COUNTIF(L44,"PASS")+COUNTIF(N44,"PASS")+COUNTIF(P44,"PASS")</f>
        <v/>
      </c>
      <c r="R44" s="26">
        <f>'Resource Build-Up'!AC43</f>
        <v/>
      </c>
      <c r="S44" s="26">
        <f>'Resource Build-Up'!AF43</f>
        <v/>
      </c>
      <c r="T44" s="99" t="n"/>
      <c r="U44" s="26" t="n"/>
      <c r="V44" s="26">
        <f>'Resource Build-Up'!AG43</f>
        <v/>
      </c>
    </row>
    <row r="45" ht="32.40000152587891" customHeight="1" s="491">
      <c r="A45" s="98" t="inlineStr">
        <is>
          <t>RV-038</t>
        </is>
      </c>
      <c r="B45" s="98">
        <f>'Resource Build-Up'!A44</f>
        <v/>
      </c>
      <c r="C45" s="98">
        <f>'Resource Build-Up'!B44</f>
        <v/>
      </c>
      <c r="D45" s="26">
        <f>'Resource Build-Up'!C44</f>
        <v/>
      </c>
      <c r="E45" s="26">
        <f>'Resource Build-Up'!H44</f>
        <v/>
      </c>
      <c r="F45" s="26">
        <f>'Resource Build-Up'!P44</f>
        <v/>
      </c>
      <c r="G45" s="26">
        <f>'Resource Build-Up'!Q44</f>
        <v/>
      </c>
      <c r="H45" s="26">
        <f>'Resource Build-Up'!T44</f>
        <v/>
      </c>
      <c r="I45" s="1461">
        <f>'Resource Build-Up'!Y44</f>
        <v/>
      </c>
      <c r="J45" s="1461">
        <f>'Resource Build-Up'!Z44</f>
        <v/>
      </c>
      <c r="K45" s="26" t="n"/>
      <c r="L45" s="26" t="n"/>
      <c r="M45" s="26" t="n"/>
      <c r="N45" s="26" t="n"/>
      <c r="O45" s="26" t="n"/>
      <c r="P45" s="26" t="n"/>
      <c r="Q45" s="26">
        <f>COUNTIF(L45,"PASS")+COUNTIF(N45,"PASS")+COUNTIF(P45,"PASS")</f>
        <v/>
      </c>
      <c r="R45" s="26">
        <f>'Resource Build-Up'!AC44</f>
        <v/>
      </c>
      <c r="S45" s="26">
        <f>'Resource Build-Up'!AF44</f>
        <v/>
      </c>
      <c r="T45" s="100" t="n"/>
      <c r="U45" s="26" t="n"/>
      <c r="V45" s="26">
        <f>'Resource Build-Up'!AG44</f>
        <v/>
      </c>
    </row>
    <row r="46" ht="32.40000152587891" customHeight="1" s="491">
      <c r="A46" s="98" t="inlineStr">
        <is>
          <t>RV-039</t>
        </is>
      </c>
      <c r="B46" s="98">
        <f>'Resource Build-Up'!A45</f>
        <v/>
      </c>
      <c r="C46" s="98">
        <f>'Resource Build-Up'!B45</f>
        <v/>
      </c>
      <c r="D46" s="26">
        <f>'Resource Build-Up'!C45</f>
        <v/>
      </c>
      <c r="E46" s="26">
        <f>'Resource Build-Up'!H45</f>
        <v/>
      </c>
      <c r="F46" s="26">
        <f>'Resource Build-Up'!P45</f>
        <v/>
      </c>
      <c r="G46" s="26">
        <f>'Resource Build-Up'!Q45</f>
        <v/>
      </c>
      <c r="H46" s="26">
        <f>'Resource Build-Up'!T45</f>
        <v/>
      </c>
      <c r="I46" s="1461">
        <f>'Resource Build-Up'!Y45</f>
        <v/>
      </c>
      <c r="J46" s="1461">
        <f>'Resource Build-Up'!Z45</f>
        <v/>
      </c>
      <c r="K46" s="26" t="n"/>
      <c r="L46" s="26" t="n"/>
      <c r="M46" s="26" t="n"/>
      <c r="N46" s="26" t="n"/>
      <c r="O46" s="26" t="n"/>
      <c r="P46" s="26" t="n"/>
      <c r="Q46" s="26">
        <f>COUNTIF(L46,"PASS")+COUNTIF(N46,"PASS")+COUNTIF(P46,"PASS")</f>
        <v/>
      </c>
      <c r="R46" s="26">
        <f>'Resource Build-Up'!AC45</f>
        <v/>
      </c>
      <c r="S46" s="26">
        <f>'Resource Build-Up'!AF45</f>
        <v/>
      </c>
      <c r="T46" s="99" t="n"/>
      <c r="U46" s="26" t="n"/>
      <c r="V46" s="26">
        <f>'Resource Build-Up'!AG45</f>
        <v/>
      </c>
    </row>
    <row r="47" ht="32.40000152587891" customHeight="1" s="491">
      <c r="A47" s="98" t="inlineStr">
        <is>
          <t>RV-040</t>
        </is>
      </c>
      <c r="B47" s="98">
        <f>'Resource Build-Up'!A46</f>
        <v/>
      </c>
      <c r="C47" s="98">
        <f>'Resource Build-Up'!B46</f>
        <v/>
      </c>
      <c r="D47" s="26">
        <f>'Resource Build-Up'!C46</f>
        <v/>
      </c>
      <c r="E47" s="26">
        <f>'Resource Build-Up'!H46</f>
        <v/>
      </c>
      <c r="F47" s="26">
        <f>'Resource Build-Up'!P46</f>
        <v/>
      </c>
      <c r="G47" s="26">
        <f>'Resource Build-Up'!Q46</f>
        <v/>
      </c>
      <c r="H47" s="26">
        <f>'Resource Build-Up'!T46</f>
        <v/>
      </c>
      <c r="I47" s="1461">
        <f>'Resource Build-Up'!Y46</f>
        <v/>
      </c>
      <c r="J47" s="1461">
        <f>'Resource Build-Up'!Z46</f>
        <v/>
      </c>
      <c r="K47" s="26" t="n"/>
      <c r="L47" s="26" t="n"/>
      <c r="M47" s="26" t="n"/>
      <c r="N47" s="26" t="n"/>
      <c r="O47" s="26" t="n"/>
      <c r="P47" s="26" t="n"/>
      <c r="Q47" s="26">
        <f>COUNTIF(L47,"PASS")+COUNTIF(N47,"PASS")+COUNTIF(P47,"PASS")</f>
        <v/>
      </c>
      <c r="R47" s="26">
        <f>'Resource Build-Up'!AC46</f>
        <v/>
      </c>
      <c r="S47" s="26">
        <f>'Resource Build-Up'!AF46</f>
        <v/>
      </c>
      <c r="T47" s="99" t="n"/>
      <c r="U47" s="26" t="n"/>
      <c r="V47" s="26">
        <f>'Resource Build-Up'!AG46</f>
        <v/>
      </c>
    </row>
    <row r="48" ht="32.40000152587891" customHeight="1" s="491">
      <c r="A48" s="98" t="inlineStr">
        <is>
          <t>RV-041</t>
        </is>
      </c>
      <c r="B48" s="98">
        <f>'Resource Build-Up'!A47</f>
        <v/>
      </c>
      <c r="C48" s="98">
        <f>'Resource Build-Up'!B47</f>
        <v/>
      </c>
      <c r="D48" s="26">
        <f>'Resource Build-Up'!C47</f>
        <v/>
      </c>
      <c r="E48" s="26">
        <f>'Resource Build-Up'!H47</f>
        <v/>
      </c>
      <c r="F48" s="26">
        <f>'Resource Build-Up'!P47</f>
        <v/>
      </c>
      <c r="G48" s="26">
        <f>'Resource Build-Up'!Q47</f>
        <v/>
      </c>
      <c r="H48" s="26">
        <f>'Resource Build-Up'!T47</f>
        <v/>
      </c>
      <c r="I48" s="1461">
        <f>'Resource Build-Up'!Y47</f>
        <v/>
      </c>
      <c r="J48" s="1461">
        <f>'Resource Build-Up'!Z47</f>
        <v/>
      </c>
      <c r="K48" s="26" t="n"/>
      <c r="L48" s="26" t="n"/>
      <c r="M48" s="26" t="n"/>
      <c r="N48" s="26" t="n"/>
      <c r="O48" s="26" t="n"/>
      <c r="P48" s="26" t="n"/>
      <c r="Q48" s="26">
        <f>COUNTIF(L48,"PASS")+COUNTIF(N48,"PASS")+COUNTIF(P48,"PASS")</f>
        <v/>
      </c>
      <c r="R48" s="26">
        <f>'Resource Build-Up'!AC47</f>
        <v/>
      </c>
      <c r="S48" s="26">
        <f>'Resource Build-Up'!AF47</f>
        <v/>
      </c>
      <c r="T48" s="101" t="n"/>
      <c r="U48" s="26" t="n"/>
      <c r="V48" s="26">
        <f>'Resource Build-Up'!AG47</f>
        <v/>
      </c>
    </row>
    <row r="49" ht="32.40000152587891" customHeight="1" s="491">
      <c r="A49" s="98" t="inlineStr">
        <is>
          <t>RV-042</t>
        </is>
      </c>
      <c r="B49" s="98">
        <f>'Resource Build-Up'!A48</f>
        <v/>
      </c>
      <c r="C49" s="98">
        <f>'Resource Build-Up'!B48</f>
        <v/>
      </c>
      <c r="D49" s="26">
        <f>'Resource Build-Up'!C48</f>
        <v/>
      </c>
      <c r="E49" s="26">
        <f>'Resource Build-Up'!H48</f>
        <v/>
      </c>
      <c r="F49" s="26">
        <f>'Resource Build-Up'!P48</f>
        <v/>
      </c>
      <c r="G49" s="26">
        <f>'Resource Build-Up'!Q48</f>
        <v/>
      </c>
      <c r="H49" s="26">
        <f>'Resource Build-Up'!T48</f>
        <v/>
      </c>
      <c r="I49" s="1461">
        <f>'Resource Build-Up'!Y48</f>
        <v/>
      </c>
      <c r="J49" s="1461">
        <f>'Resource Build-Up'!Z48</f>
        <v/>
      </c>
      <c r="K49" s="26" t="n"/>
      <c r="L49" s="26" t="n"/>
      <c r="M49" s="26" t="n"/>
      <c r="N49" s="26" t="n"/>
      <c r="O49" s="26" t="n"/>
      <c r="P49" s="26" t="n"/>
      <c r="Q49" s="26">
        <f>COUNTIF(L49,"PASS")+COUNTIF(N49,"PASS")+COUNTIF(P49,"PASS")</f>
        <v/>
      </c>
      <c r="R49" s="26">
        <f>'Resource Build-Up'!AC48</f>
        <v/>
      </c>
      <c r="S49" s="26">
        <f>'Resource Build-Up'!AF48</f>
        <v/>
      </c>
      <c r="T49" s="101" t="n"/>
      <c r="U49" s="26" t="n"/>
      <c r="V49" s="26">
        <f>'Resource Build-Up'!AG48</f>
        <v/>
      </c>
    </row>
    <row r="50" ht="32.40000152587891" customHeight="1" s="491">
      <c r="A50" s="98" t="inlineStr">
        <is>
          <t>RV-043</t>
        </is>
      </c>
      <c r="B50" s="98">
        <f>'Resource Build-Up'!A49</f>
        <v/>
      </c>
      <c r="C50" s="98">
        <f>'Resource Build-Up'!B49</f>
        <v/>
      </c>
      <c r="D50" s="26">
        <f>'Resource Build-Up'!C49</f>
        <v/>
      </c>
      <c r="E50" s="26">
        <f>'Resource Build-Up'!H49</f>
        <v/>
      </c>
      <c r="F50" s="26">
        <f>'Resource Build-Up'!P49</f>
        <v/>
      </c>
      <c r="G50" s="26">
        <f>'Resource Build-Up'!Q49</f>
        <v/>
      </c>
      <c r="H50" s="26">
        <f>'Resource Build-Up'!T49</f>
        <v/>
      </c>
      <c r="I50" s="1461">
        <f>'Resource Build-Up'!Y49</f>
        <v/>
      </c>
      <c r="J50" s="1461">
        <f>'Resource Build-Up'!Z49</f>
        <v/>
      </c>
      <c r="K50" s="26" t="n"/>
      <c r="L50" s="26" t="n"/>
      <c r="M50" s="26" t="n"/>
      <c r="N50" s="26" t="n"/>
      <c r="O50" s="26" t="n"/>
      <c r="P50" s="26" t="n"/>
      <c r="Q50" s="26">
        <f>COUNTIF(L50,"PASS")+COUNTIF(N50,"PASS")+COUNTIF(P50,"PASS")</f>
        <v/>
      </c>
      <c r="R50" s="26">
        <f>'Resource Build-Up'!AC49</f>
        <v/>
      </c>
      <c r="S50" s="26">
        <f>'Resource Build-Up'!AF49</f>
        <v/>
      </c>
      <c r="T50" s="99" t="n"/>
      <c r="U50" s="26" t="n"/>
      <c r="V50" s="26">
        <f>'Resource Build-Up'!AG49</f>
        <v/>
      </c>
    </row>
    <row r="51" ht="32.40000152587891" customHeight="1" s="491">
      <c r="A51" s="98" t="inlineStr">
        <is>
          <t>RV-044</t>
        </is>
      </c>
      <c r="B51" s="98">
        <f>'Resource Build-Up'!A50</f>
        <v/>
      </c>
      <c r="C51" s="98">
        <f>'Resource Build-Up'!B50</f>
        <v/>
      </c>
      <c r="D51" s="26">
        <f>'Resource Build-Up'!C50</f>
        <v/>
      </c>
      <c r="E51" s="26">
        <f>'Resource Build-Up'!H50</f>
        <v/>
      </c>
      <c r="F51" s="26">
        <f>'Resource Build-Up'!P50</f>
        <v/>
      </c>
      <c r="G51" s="26">
        <f>'Resource Build-Up'!Q50</f>
        <v/>
      </c>
      <c r="H51" s="26">
        <f>'Resource Build-Up'!T50</f>
        <v/>
      </c>
      <c r="I51" s="1461">
        <f>'Resource Build-Up'!Y50</f>
        <v/>
      </c>
      <c r="J51" s="1461">
        <f>'Resource Build-Up'!Z50</f>
        <v/>
      </c>
      <c r="K51" s="26" t="n"/>
      <c r="L51" s="26" t="n"/>
      <c r="M51" s="26" t="n"/>
      <c r="N51" s="26" t="n"/>
      <c r="O51" s="26" t="n"/>
      <c r="P51" s="26" t="n"/>
      <c r="Q51" s="26">
        <f>COUNTIF(L51,"PASS")+COUNTIF(N51,"PASS")+COUNTIF(P51,"PASS")</f>
        <v/>
      </c>
      <c r="R51" s="26">
        <f>'Resource Build-Up'!AC50</f>
        <v/>
      </c>
      <c r="S51" s="26">
        <f>'Resource Build-Up'!AF50</f>
        <v/>
      </c>
      <c r="T51" s="100" t="n"/>
      <c r="U51" s="26" t="n"/>
      <c r="V51" s="26">
        <f>'Resource Build-Up'!AG50</f>
        <v/>
      </c>
    </row>
    <row r="52" ht="32.40000152587891" customHeight="1" s="491">
      <c r="A52" s="98" t="inlineStr">
        <is>
          <t>RV-045</t>
        </is>
      </c>
      <c r="B52" s="98">
        <f>'Resource Build-Up'!A51</f>
        <v/>
      </c>
      <c r="C52" s="98">
        <f>'Resource Build-Up'!B51</f>
        <v/>
      </c>
      <c r="D52" s="26">
        <f>'Resource Build-Up'!C51</f>
        <v/>
      </c>
      <c r="E52" s="26">
        <f>'Resource Build-Up'!H51</f>
        <v/>
      </c>
      <c r="F52" s="26">
        <f>'Resource Build-Up'!P51</f>
        <v/>
      </c>
      <c r="G52" s="26">
        <f>'Resource Build-Up'!Q51</f>
        <v/>
      </c>
      <c r="H52" s="26">
        <f>'Resource Build-Up'!T51</f>
        <v/>
      </c>
      <c r="I52" s="1461">
        <f>'Resource Build-Up'!Y51</f>
        <v/>
      </c>
      <c r="J52" s="1461">
        <f>'Resource Build-Up'!Z51</f>
        <v/>
      </c>
      <c r="K52" s="26" t="n"/>
      <c r="L52" s="26" t="n"/>
      <c r="M52" s="26" t="n"/>
      <c r="N52" s="26" t="n"/>
      <c r="O52" s="26" t="n"/>
      <c r="P52" s="26" t="n"/>
      <c r="Q52" s="26">
        <f>COUNTIF(L52,"PASS")+COUNTIF(N52,"PASS")+COUNTIF(P52,"PASS")</f>
        <v/>
      </c>
      <c r="R52" s="26">
        <f>'Resource Build-Up'!AC51</f>
        <v/>
      </c>
      <c r="S52" s="26">
        <f>'Resource Build-Up'!AF51</f>
        <v/>
      </c>
      <c r="T52" s="99" t="n"/>
      <c r="U52" s="26" t="n"/>
      <c r="V52" s="26">
        <f>'Resource Build-Up'!AG51</f>
        <v/>
      </c>
    </row>
    <row r="53" ht="32.40000152587891" customHeight="1" s="491">
      <c r="A53" s="98" t="inlineStr">
        <is>
          <t>RV-046</t>
        </is>
      </c>
      <c r="B53" s="98">
        <f>'Resource Build-Up'!A52</f>
        <v/>
      </c>
      <c r="C53" s="98">
        <f>'Resource Build-Up'!B52</f>
        <v/>
      </c>
      <c r="D53" s="26">
        <f>'Resource Build-Up'!C52</f>
        <v/>
      </c>
      <c r="E53" s="26">
        <f>'Resource Build-Up'!H52</f>
        <v/>
      </c>
      <c r="F53" s="26">
        <f>'Resource Build-Up'!P52</f>
        <v/>
      </c>
      <c r="G53" s="26">
        <f>'Resource Build-Up'!Q52</f>
        <v/>
      </c>
      <c r="H53" s="26">
        <f>'Resource Build-Up'!T52</f>
        <v/>
      </c>
      <c r="I53" s="1461">
        <f>'Resource Build-Up'!Y52</f>
        <v/>
      </c>
      <c r="J53" s="1461">
        <f>'Resource Build-Up'!Z52</f>
        <v/>
      </c>
      <c r="K53" s="26" t="n"/>
      <c r="L53" s="26" t="n"/>
      <c r="M53" s="26" t="n"/>
      <c r="N53" s="26" t="n"/>
      <c r="O53" s="26" t="n"/>
      <c r="P53" s="26" t="n"/>
      <c r="Q53" s="26">
        <f>COUNTIF(L53,"PASS")+COUNTIF(N53,"PASS")+COUNTIF(P53,"PASS")</f>
        <v/>
      </c>
      <c r="R53" s="26">
        <f>'Resource Build-Up'!AC52</f>
        <v/>
      </c>
      <c r="S53" s="26">
        <f>'Resource Build-Up'!AF52</f>
        <v/>
      </c>
      <c r="T53" s="101" t="n"/>
      <c r="U53" s="26" t="n"/>
      <c r="V53" s="26">
        <f>'Resource Build-Up'!AG52</f>
        <v/>
      </c>
    </row>
    <row r="54" ht="32.40000152587891" customHeight="1" s="491">
      <c r="A54" s="98" t="inlineStr">
        <is>
          <t>RV-047</t>
        </is>
      </c>
      <c r="B54" s="98">
        <f>'Resource Build-Up'!A53</f>
        <v/>
      </c>
      <c r="C54" s="98">
        <f>'Resource Build-Up'!B53</f>
        <v/>
      </c>
      <c r="D54" s="26">
        <f>'Resource Build-Up'!C53</f>
        <v/>
      </c>
      <c r="E54" s="26">
        <f>'Resource Build-Up'!H53</f>
        <v/>
      </c>
      <c r="F54" s="26">
        <f>'Resource Build-Up'!P53</f>
        <v/>
      </c>
      <c r="G54" s="26">
        <f>'Resource Build-Up'!Q53</f>
        <v/>
      </c>
      <c r="H54" s="26">
        <f>'Resource Build-Up'!T53</f>
        <v/>
      </c>
      <c r="I54" s="1461">
        <f>'Resource Build-Up'!Y53</f>
        <v/>
      </c>
      <c r="J54" s="1461">
        <f>'Resource Build-Up'!Z53</f>
        <v/>
      </c>
      <c r="K54" s="26" t="n"/>
      <c r="L54" s="26" t="n"/>
      <c r="M54" s="26" t="n"/>
      <c r="N54" s="26" t="n"/>
      <c r="O54" s="26" t="n"/>
      <c r="P54" s="26" t="n"/>
      <c r="Q54" s="26">
        <f>COUNTIF(L54,"PASS")+COUNTIF(N54,"PASS")+COUNTIF(P54,"PASS")</f>
        <v/>
      </c>
      <c r="R54" s="26">
        <f>'Resource Build-Up'!AC53</f>
        <v/>
      </c>
      <c r="S54" s="26">
        <f>'Resource Build-Up'!AF53</f>
        <v/>
      </c>
      <c r="T54" s="101" t="n"/>
      <c r="U54" s="26" t="n"/>
      <c r="V54" s="26">
        <f>'Resource Build-Up'!AG53</f>
        <v/>
      </c>
    </row>
    <row r="55" ht="32.40000152587891" customHeight="1" s="491">
      <c r="A55" s="98" t="inlineStr">
        <is>
          <t>RV-048</t>
        </is>
      </c>
      <c r="B55" s="98">
        <f>'Resource Build-Up'!A54</f>
        <v/>
      </c>
      <c r="C55" s="98">
        <f>'Resource Build-Up'!B54</f>
        <v/>
      </c>
      <c r="D55" s="26">
        <f>'Resource Build-Up'!C54</f>
        <v/>
      </c>
      <c r="E55" s="26">
        <f>'Resource Build-Up'!H54</f>
        <v/>
      </c>
      <c r="F55" s="26">
        <f>'Resource Build-Up'!P54</f>
        <v/>
      </c>
      <c r="G55" s="26">
        <f>'Resource Build-Up'!Q54</f>
        <v/>
      </c>
      <c r="H55" s="26">
        <f>'Resource Build-Up'!T54</f>
        <v/>
      </c>
      <c r="I55" s="1461">
        <f>'Resource Build-Up'!Y54</f>
        <v/>
      </c>
      <c r="J55" s="1461">
        <f>'Resource Build-Up'!Z54</f>
        <v/>
      </c>
      <c r="K55" s="26" t="n"/>
      <c r="L55" s="26" t="n"/>
      <c r="M55" s="26" t="n"/>
      <c r="N55" s="26" t="n"/>
      <c r="O55" s="26" t="n"/>
      <c r="P55" s="26" t="n"/>
      <c r="Q55" s="26">
        <f>COUNTIF(L55,"PASS")+COUNTIF(N55,"PASS")+COUNTIF(P55,"PASS")</f>
        <v/>
      </c>
      <c r="R55" s="26">
        <f>'Resource Build-Up'!AC54</f>
        <v/>
      </c>
      <c r="S55" s="26">
        <f>'Resource Build-Up'!AF54</f>
        <v/>
      </c>
      <c r="T55" s="99" t="n"/>
      <c r="U55" s="26" t="n"/>
      <c r="V55" s="26">
        <f>'Resource Build-Up'!AG54</f>
        <v/>
      </c>
    </row>
    <row r="56" ht="32.40000152587891" customHeight="1" s="491">
      <c r="A56" s="98" t="inlineStr">
        <is>
          <t>RV-049</t>
        </is>
      </c>
      <c r="B56" s="98">
        <f>'Resource Build-Up'!A55</f>
        <v/>
      </c>
      <c r="C56" s="98">
        <f>'Resource Build-Up'!B55</f>
        <v/>
      </c>
      <c r="D56" s="26">
        <f>'Resource Build-Up'!C55</f>
        <v/>
      </c>
      <c r="E56" s="26">
        <f>'Resource Build-Up'!H55</f>
        <v/>
      </c>
      <c r="F56" s="26">
        <f>'Resource Build-Up'!P55</f>
        <v/>
      </c>
      <c r="G56" s="26">
        <f>'Resource Build-Up'!Q55</f>
        <v/>
      </c>
      <c r="H56" s="26">
        <f>'Resource Build-Up'!T55</f>
        <v/>
      </c>
      <c r="I56" s="1461">
        <f>'Resource Build-Up'!Y55</f>
        <v/>
      </c>
      <c r="J56" s="1461">
        <f>'Resource Build-Up'!Z55</f>
        <v/>
      </c>
      <c r="K56" s="26" t="n"/>
      <c r="L56" s="26" t="n"/>
      <c r="M56" s="26" t="n"/>
      <c r="N56" s="26" t="n"/>
      <c r="O56" s="26" t="n"/>
      <c r="P56" s="26" t="n"/>
      <c r="Q56" s="26">
        <f>COUNTIF(L56,"PASS")+COUNTIF(N56,"PASS")+COUNTIF(P56,"PASS")</f>
        <v/>
      </c>
      <c r="R56" s="26">
        <f>'Resource Build-Up'!AC55</f>
        <v/>
      </c>
      <c r="S56" s="26">
        <f>'Resource Build-Up'!AF55</f>
        <v/>
      </c>
      <c r="T56" s="99" t="n"/>
      <c r="U56" s="26" t="n"/>
      <c r="V56" s="26">
        <f>'Resource Build-Up'!AG55</f>
        <v/>
      </c>
    </row>
    <row r="57" ht="32.40000152587891" customHeight="1" s="491">
      <c r="A57" s="98" t="inlineStr">
        <is>
          <t>RV-050</t>
        </is>
      </c>
      <c r="B57" s="98">
        <f>'Resource Build-Up'!A56</f>
        <v/>
      </c>
      <c r="C57" s="98">
        <f>'Resource Build-Up'!B56</f>
        <v/>
      </c>
      <c r="D57" s="26">
        <f>'Resource Build-Up'!C56</f>
        <v/>
      </c>
      <c r="E57" s="26">
        <f>'Resource Build-Up'!H56</f>
        <v/>
      </c>
      <c r="F57" s="26">
        <f>'Resource Build-Up'!P56</f>
        <v/>
      </c>
      <c r="G57" s="26">
        <f>'Resource Build-Up'!Q56</f>
        <v/>
      </c>
      <c r="H57" s="26">
        <f>'Resource Build-Up'!T56</f>
        <v/>
      </c>
      <c r="I57" s="1461">
        <f>'Resource Build-Up'!Y56</f>
        <v/>
      </c>
      <c r="J57" s="1461">
        <f>'Resource Build-Up'!Z56</f>
        <v/>
      </c>
      <c r="K57" s="26" t="n"/>
      <c r="L57" s="26" t="n"/>
      <c r="M57" s="26" t="n"/>
      <c r="N57" s="26" t="n"/>
      <c r="O57" s="26" t="n"/>
      <c r="P57" s="26" t="n"/>
      <c r="Q57" s="26">
        <f>COUNTIF(L57,"PASS")+COUNTIF(N57,"PASS")+COUNTIF(P57,"PASS")</f>
        <v/>
      </c>
      <c r="R57" s="26">
        <f>'Resource Build-Up'!AC56</f>
        <v/>
      </c>
      <c r="S57" s="26">
        <f>'Resource Build-Up'!AF56</f>
        <v/>
      </c>
      <c r="T57" s="100" t="n"/>
      <c r="U57" s="26" t="n"/>
      <c r="V57" s="26">
        <f>'Resource Build-Up'!AG56</f>
        <v/>
      </c>
    </row>
    <row r="58" ht="32.40000152587891" customHeight="1" s="491">
      <c r="A58" s="98" t="inlineStr">
        <is>
          <t>RV-051</t>
        </is>
      </c>
      <c r="B58" s="98">
        <f>'Resource Build-Up'!A57</f>
        <v/>
      </c>
      <c r="C58" s="98">
        <f>'Resource Build-Up'!B57</f>
        <v/>
      </c>
      <c r="D58" s="26">
        <f>'Resource Build-Up'!C57</f>
        <v/>
      </c>
      <c r="E58" s="26">
        <f>'Resource Build-Up'!H57</f>
        <v/>
      </c>
      <c r="F58" s="26">
        <f>'Resource Build-Up'!P57</f>
        <v/>
      </c>
      <c r="G58" s="26">
        <f>'Resource Build-Up'!Q57</f>
        <v/>
      </c>
      <c r="H58" s="26">
        <f>'Resource Build-Up'!T57</f>
        <v/>
      </c>
      <c r="I58" s="1461">
        <f>'Resource Build-Up'!Y57</f>
        <v/>
      </c>
      <c r="J58" s="1461">
        <f>'Resource Build-Up'!Z57</f>
        <v/>
      </c>
      <c r="K58" s="26" t="n"/>
      <c r="L58" s="26" t="n"/>
      <c r="M58" s="26" t="n"/>
      <c r="N58" s="26" t="n"/>
      <c r="O58" s="26" t="n"/>
      <c r="P58" s="26" t="n"/>
      <c r="Q58" s="26">
        <f>COUNTIF(L58,"PASS")+COUNTIF(N58,"PASS")+COUNTIF(P58,"PASS")</f>
        <v/>
      </c>
      <c r="R58" s="26">
        <f>'Resource Build-Up'!AC57</f>
        <v/>
      </c>
      <c r="S58" s="26">
        <f>'Resource Build-Up'!AF57</f>
        <v/>
      </c>
      <c r="T58" s="99" t="n"/>
      <c r="U58" s="26" t="n"/>
      <c r="V58" s="26">
        <f>'Resource Build-Up'!AG57</f>
        <v/>
      </c>
    </row>
    <row r="59" ht="32.40000152587891" customHeight="1" s="491">
      <c r="A59" s="98" t="inlineStr">
        <is>
          <t>RV-052</t>
        </is>
      </c>
      <c r="B59" s="98">
        <f>'Resource Build-Up'!A58</f>
        <v/>
      </c>
      <c r="C59" s="98">
        <f>'Resource Build-Up'!B58</f>
        <v/>
      </c>
      <c r="D59" s="26">
        <f>'Resource Build-Up'!C58</f>
        <v/>
      </c>
      <c r="E59" s="26">
        <f>'Resource Build-Up'!H58</f>
        <v/>
      </c>
      <c r="F59" s="26">
        <f>'Resource Build-Up'!P58</f>
        <v/>
      </c>
      <c r="G59" s="26">
        <f>'Resource Build-Up'!Q58</f>
        <v/>
      </c>
      <c r="H59" s="26">
        <f>'Resource Build-Up'!T58</f>
        <v/>
      </c>
      <c r="I59" s="1461">
        <f>'Resource Build-Up'!Y58</f>
        <v/>
      </c>
      <c r="J59" s="1461">
        <f>'Resource Build-Up'!Z58</f>
        <v/>
      </c>
      <c r="K59" s="26" t="n"/>
      <c r="L59" s="26" t="n"/>
      <c r="M59" s="26" t="n"/>
      <c r="N59" s="26" t="n"/>
      <c r="O59" s="26" t="n"/>
      <c r="P59" s="26" t="n"/>
      <c r="Q59" s="26">
        <f>COUNTIF(L59,"PASS")+COUNTIF(N59,"PASS")+COUNTIF(P59,"PASS")</f>
        <v/>
      </c>
      <c r="R59" s="26">
        <f>'Resource Build-Up'!AC58</f>
        <v/>
      </c>
      <c r="S59" s="26">
        <f>'Resource Build-Up'!AF58</f>
        <v/>
      </c>
      <c r="T59" s="101" t="n"/>
      <c r="U59" s="26" t="n"/>
      <c r="V59" s="26">
        <f>'Resource Build-Up'!AG58</f>
        <v/>
      </c>
    </row>
    <row r="60" ht="32.40000152587891" customHeight="1" s="491">
      <c r="A60" s="98" t="inlineStr">
        <is>
          <t>RV-053</t>
        </is>
      </c>
      <c r="B60" s="98">
        <f>'Resource Build-Up'!A59</f>
        <v/>
      </c>
      <c r="C60" s="98">
        <f>'Resource Build-Up'!B59</f>
        <v/>
      </c>
      <c r="D60" s="26">
        <f>'Resource Build-Up'!C59</f>
        <v/>
      </c>
      <c r="E60" s="26">
        <f>'Resource Build-Up'!H59</f>
        <v/>
      </c>
      <c r="F60" s="26">
        <f>'Resource Build-Up'!P59</f>
        <v/>
      </c>
      <c r="G60" s="26">
        <f>'Resource Build-Up'!Q59</f>
        <v/>
      </c>
      <c r="H60" s="26">
        <f>'Resource Build-Up'!T59</f>
        <v/>
      </c>
      <c r="I60" s="1461">
        <f>'Resource Build-Up'!Y59</f>
        <v/>
      </c>
      <c r="J60" s="1461">
        <f>'Resource Build-Up'!Z59</f>
        <v/>
      </c>
      <c r="K60" s="26" t="n"/>
      <c r="L60" s="26" t="n"/>
      <c r="M60" s="26" t="n"/>
      <c r="N60" s="26" t="n"/>
      <c r="O60" s="26" t="n"/>
      <c r="P60" s="26" t="n"/>
      <c r="Q60" s="26">
        <f>COUNTIF(L60,"PASS")+COUNTIF(N60,"PASS")+COUNTIF(P60,"PASS")</f>
        <v/>
      </c>
      <c r="R60" s="26">
        <f>'Resource Build-Up'!AC59</f>
        <v/>
      </c>
      <c r="S60" s="26">
        <f>'Resource Build-Up'!AF59</f>
        <v/>
      </c>
      <c r="T60" s="101" t="n"/>
      <c r="U60" s="26" t="n"/>
      <c r="V60" s="26">
        <f>'Resource Build-Up'!AG59</f>
        <v/>
      </c>
    </row>
    <row r="61" ht="32.40000152587891" customHeight="1" s="491">
      <c r="A61" s="98" t="inlineStr">
        <is>
          <t>RV-054</t>
        </is>
      </c>
      <c r="B61" s="98">
        <f>'Resource Build-Up'!A60</f>
        <v/>
      </c>
      <c r="C61" s="98">
        <f>'Resource Build-Up'!B60</f>
        <v/>
      </c>
      <c r="D61" s="26">
        <f>'Resource Build-Up'!C60</f>
        <v/>
      </c>
      <c r="E61" s="26">
        <f>'Resource Build-Up'!H60</f>
        <v/>
      </c>
      <c r="F61" s="26">
        <f>'Resource Build-Up'!P60</f>
        <v/>
      </c>
      <c r="G61" s="26">
        <f>'Resource Build-Up'!Q60</f>
        <v/>
      </c>
      <c r="H61" s="26">
        <f>'Resource Build-Up'!T60</f>
        <v/>
      </c>
      <c r="I61" s="1461">
        <f>'Resource Build-Up'!Y60</f>
        <v/>
      </c>
      <c r="J61" s="1461">
        <f>'Resource Build-Up'!Z60</f>
        <v/>
      </c>
      <c r="K61" s="26" t="n"/>
      <c r="L61" s="26" t="n"/>
      <c r="M61" s="26" t="n"/>
      <c r="N61" s="26" t="n"/>
      <c r="O61" s="26" t="n"/>
      <c r="P61" s="26" t="n"/>
      <c r="Q61" s="26">
        <f>COUNTIF(L61,"PASS")+COUNTIF(N61,"PASS")+COUNTIF(P61,"PASS")</f>
        <v/>
      </c>
      <c r="R61" s="26">
        <f>'Resource Build-Up'!AC60</f>
        <v/>
      </c>
      <c r="S61" s="26">
        <f>'Resource Build-Up'!AF60</f>
        <v/>
      </c>
      <c r="T61" s="99" t="n"/>
      <c r="U61" s="26" t="n"/>
      <c r="V61" s="26">
        <f>'Resource Build-Up'!AG60</f>
        <v/>
      </c>
    </row>
    <row r="62" ht="32.40000152587891" customHeight="1" s="491">
      <c r="A62" s="98" t="inlineStr">
        <is>
          <t>RV-055</t>
        </is>
      </c>
      <c r="B62" s="98">
        <f>'Resource Build-Up'!A61</f>
        <v/>
      </c>
      <c r="C62" s="98">
        <f>'Resource Build-Up'!B61</f>
        <v/>
      </c>
      <c r="D62" s="26">
        <f>'Resource Build-Up'!C61</f>
        <v/>
      </c>
      <c r="E62" s="26">
        <f>'Resource Build-Up'!H61</f>
        <v/>
      </c>
      <c r="F62" s="26">
        <f>'Resource Build-Up'!P61</f>
        <v/>
      </c>
      <c r="G62" s="26">
        <f>'Resource Build-Up'!Q61</f>
        <v/>
      </c>
      <c r="H62" s="26">
        <f>'Resource Build-Up'!T61</f>
        <v/>
      </c>
      <c r="I62" s="1461">
        <f>'Resource Build-Up'!Y61</f>
        <v/>
      </c>
      <c r="J62" s="1461">
        <f>'Resource Build-Up'!Z61</f>
        <v/>
      </c>
      <c r="K62" s="26" t="n"/>
      <c r="L62" s="26" t="n"/>
      <c r="M62" s="26" t="n"/>
      <c r="N62" s="26" t="n"/>
      <c r="O62" s="26" t="n"/>
      <c r="P62" s="26" t="n"/>
      <c r="Q62" s="26">
        <f>COUNTIF(L62,"PASS")+COUNTIF(N62,"PASS")+COUNTIF(P62,"PASS")</f>
        <v/>
      </c>
      <c r="R62" s="26">
        <f>'Resource Build-Up'!AC61</f>
        <v/>
      </c>
      <c r="S62" s="26">
        <f>'Resource Build-Up'!AF61</f>
        <v/>
      </c>
      <c r="T62" s="99" t="n"/>
      <c r="U62" s="26" t="n"/>
      <c r="V62" s="26">
        <f>'Resource Build-Up'!AG61</f>
        <v/>
      </c>
    </row>
    <row r="63" ht="32.40000152587891" customHeight="1" s="491">
      <c r="A63" s="98" t="inlineStr">
        <is>
          <t>RV-056</t>
        </is>
      </c>
      <c r="B63" s="98">
        <f>'Resource Build-Up'!A62</f>
        <v/>
      </c>
      <c r="C63" s="98">
        <f>'Resource Build-Up'!B62</f>
        <v/>
      </c>
      <c r="D63" s="26">
        <f>'Resource Build-Up'!C62</f>
        <v/>
      </c>
      <c r="E63" s="26">
        <f>'Resource Build-Up'!H62</f>
        <v/>
      </c>
      <c r="F63" s="26">
        <f>'Resource Build-Up'!P62</f>
        <v/>
      </c>
      <c r="G63" s="26">
        <f>'Resource Build-Up'!Q62</f>
        <v/>
      </c>
      <c r="H63" s="26">
        <f>'Resource Build-Up'!T62</f>
        <v/>
      </c>
      <c r="I63" s="1461">
        <f>'Resource Build-Up'!Y62</f>
        <v/>
      </c>
      <c r="J63" s="1461">
        <f>'Resource Build-Up'!Z62</f>
        <v/>
      </c>
      <c r="K63" s="26" t="n"/>
      <c r="L63" s="26" t="n"/>
      <c r="M63" s="26" t="n"/>
      <c r="N63" s="26" t="n"/>
      <c r="O63" s="26" t="n"/>
      <c r="P63" s="26" t="n"/>
      <c r="Q63" s="26">
        <f>COUNTIF(L63,"PASS")+COUNTIF(N63,"PASS")+COUNTIF(P63,"PASS")</f>
        <v/>
      </c>
      <c r="R63" s="26">
        <f>'Resource Build-Up'!AC62</f>
        <v/>
      </c>
      <c r="S63" s="26">
        <f>'Resource Build-Up'!AF62</f>
        <v/>
      </c>
      <c r="T63" s="100" t="n"/>
      <c r="U63" s="26" t="n"/>
      <c r="V63" s="26">
        <f>'Resource Build-Up'!AG62</f>
        <v/>
      </c>
    </row>
    <row r="64" ht="32.40000152587891" customHeight="1" s="491">
      <c r="A64" s="98" t="inlineStr">
        <is>
          <t>RV-057</t>
        </is>
      </c>
      <c r="B64" s="98">
        <f>'Resource Build-Up'!A63</f>
        <v/>
      </c>
      <c r="C64" s="98">
        <f>'Resource Build-Up'!B63</f>
        <v/>
      </c>
      <c r="D64" s="26">
        <f>'Resource Build-Up'!C63</f>
        <v/>
      </c>
      <c r="E64" s="26">
        <f>'Resource Build-Up'!H63</f>
        <v/>
      </c>
      <c r="F64" s="26">
        <f>'Resource Build-Up'!P63</f>
        <v/>
      </c>
      <c r="G64" s="26">
        <f>'Resource Build-Up'!Q63</f>
        <v/>
      </c>
      <c r="H64" s="26">
        <f>'Resource Build-Up'!T63</f>
        <v/>
      </c>
      <c r="I64" s="1461">
        <f>'Resource Build-Up'!Y63</f>
        <v/>
      </c>
      <c r="J64" s="1461">
        <f>'Resource Build-Up'!Z63</f>
        <v/>
      </c>
      <c r="K64" s="26" t="n"/>
      <c r="L64" s="26" t="n"/>
      <c r="M64" s="26" t="n"/>
      <c r="N64" s="26" t="n"/>
      <c r="O64" s="26" t="n"/>
      <c r="P64" s="26" t="n"/>
      <c r="Q64" s="26">
        <f>COUNTIF(L64,"PASS")+COUNTIF(N64,"PASS")+COUNTIF(P64,"PASS")</f>
        <v/>
      </c>
      <c r="R64" s="26">
        <f>'Resource Build-Up'!AC63</f>
        <v/>
      </c>
      <c r="S64" s="26">
        <f>'Resource Build-Up'!AF63</f>
        <v/>
      </c>
      <c r="T64" s="99" t="n"/>
      <c r="U64" s="26" t="n"/>
      <c r="V64" s="26">
        <f>'Resource Build-Up'!AG63</f>
        <v/>
      </c>
    </row>
    <row r="65" ht="32.40000152587891" customHeight="1" s="491">
      <c r="A65" s="98" t="inlineStr">
        <is>
          <t>RV-058</t>
        </is>
      </c>
      <c r="B65" s="98">
        <f>'Resource Build-Up'!A64</f>
        <v/>
      </c>
      <c r="C65" s="98">
        <f>'Resource Build-Up'!B64</f>
        <v/>
      </c>
      <c r="D65" s="26">
        <f>'Resource Build-Up'!C64</f>
        <v/>
      </c>
      <c r="E65" s="26">
        <f>'Resource Build-Up'!H64</f>
        <v/>
      </c>
      <c r="F65" s="26">
        <f>'Resource Build-Up'!P64</f>
        <v/>
      </c>
      <c r="G65" s="26">
        <f>'Resource Build-Up'!Q64</f>
        <v/>
      </c>
      <c r="H65" s="26">
        <f>'Resource Build-Up'!T64</f>
        <v/>
      </c>
      <c r="I65" s="1461">
        <f>'Resource Build-Up'!Y64</f>
        <v/>
      </c>
      <c r="J65" s="1461">
        <f>'Resource Build-Up'!Z64</f>
        <v/>
      </c>
      <c r="K65" s="26" t="n"/>
      <c r="L65" s="26" t="n"/>
      <c r="M65" s="26" t="n"/>
      <c r="N65" s="26" t="n"/>
      <c r="O65" s="26" t="n"/>
      <c r="P65" s="26" t="n"/>
      <c r="Q65" s="26">
        <f>COUNTIF(L65,"PASS")+COUNTIF(N65,"PASS")+COUNTIF(P65,"PASS")</f>
        <v/>
      </c>
      <c r="R65" s="26">
        <f>'Resource Build-Up'!AC64</f>
        <v/>
      </c>
      <c r="S65" s="26">
        <f>'Resource Build-Up'!AF64</f>
        <v/>
      </c>
      <c r="T65" s="101" t="n"/>
      <c r="U65" s="26" t="n"/>
      <c r="V65" s="26">
        <f>'Resource Build-Up'!AG64</f>
        <v/>
      </c>
    </row>
    <row r="66" ht="32.40000152587891" customHeight="1" s="491">
      <c r="A66" s="98" t="inlineStr">
        <is>
          <t>RV-059</t>
        </is>
      </c>
      <c r="B66" s="98">
        <f>'Resource Build-Up'!A65</f>
        <v/>
      </c>
      <c r="C66" s="98">
        <f>'Resource Build-Up'!B65</f>
        <v/>
      </c>
      <c r="D66" s="26">
        <f>'Resource Build-Up'!C65</f>
        <v/>
      </c>
      <c r="E66" s="26">
        <f>'Resource Build-Up'!H65</f>
        <v/>
      </c>
      <c r="F66" s="26">
        <f>'Resource Build-Up'!P65</f>
        <v/>
      </c>
      <c r="G66" s="26">
        <f>'Resource Build-Up'!Q65</f>
        <v/>
      </c>
      <c r="H66" s="26">
        <f>'Resource Build-Up'!T65</f>
        <v/>
      </c>
      <c r="I66" s="1461">
        <f>'Resource Build-Up'!Y65</f>
        <v/>
      </c>
      <c r="J66" s="1461">
        <f>'Resource Build-Up'!Z65</f>
        <v/>
      </c>
      <c r="K66" s="26" t="n"/>
      <c r="L66" s="26" t="n"/>
      <c r="M66" s="26" t="n"/>
      <c r="N66" s="26" t="n"/>
      <c r="O66" s="26" t="n"/>
      <c r="P66" s="26" t="n"/>
      <c r="Q66" s="26">
        <f>COUNTIF(L66,"PASS")+COUNTIF(N66,"PASS")+COUNTIF(P66,"PASS")</f>
        <v/>
      </c>
      <c r="R66" s="26">
        <f>'Resource Build-Up'!AC65</f>
        <v/>
      </c>
      <c r="S66" s="26">
        <f>'Resource Build-Up'!AF65</f>
        <v/>
      </c>
      <c r="T66" s="101" t="n"/>
      <c r="U66" s="26" t="n"/>
      <c r="V66" s="26">
        <f>'Resource Build-Up'!AG65</f>
        <v/>
      </c>
    </row>
    <row r="67" ht="32.40000152587891" customHeight="1" s="491">
      <c r="A67" s="98" t="inlineStr">
        <is>
          <t>RV-060</t>
        </is>
      </c>
      <c r="B67" s="98">
        <f>'Resource Build-Up'!A66</f>
        <v/>
      </c>
      <c r="C67" s="98">
        <f>'Resource Build-Up'!B66</f>
        <v/>
      </c>
      <c r="D67" s="26">
        <f>'Resource Build-Up'!C66</f>
        <v/>
      </c>
      <c r="E67" s="26">
        <f>'Resource Build-Up'!H66</f>
        <v/>
      </c>
      <c r="F67" s="26">
        <f>'Resource Build-Up'!P66</f>
        <v/>
      </c>
      <c r="G67" s="26">
        <f>'Resource Build-Up'!Q66</f>
        <v/>
      </c>
      <c r="H67" s="26">
        <f>'Resource Build-Up'!T66</f>
        <v/>
      </c>
      <c r="I67" s="1461">
        <f>'Resource Build-Up'!Y66</f>
        <v/>
      </c>
      <c r="J67" s="1461">
        <f>'Resource Build-Up'!Z66</f>
        <v/>
      </c>
      <c r="K67" s="26" t="n"/>
      <c r="L67" s="26" t="n"/>
      <c r="M67" s="26" t="n"/>
      <c r="N67" s="26" t="n"/>
      <c r="O67" s="26" t="n"/>
      <c r="P67" s="26" t="n"/>
      <c r="Q67" s="26">
        <f>COUNTIF(L67,"PASS")+COUNTIF(N67,"PASS")+COUNTIF(P67,"PASS")</f>
        <v/>
      </c>
      <c r="R67" s="26">
        <f>'Resource Build-Up'!AC66</f>
        <v/>
      </c>
      <c r="S67" s="26">
        <f>'Resource Build-Up'!AF66</f>
        <v/>
      </c>
      <c r="T67" s="99" t="n"/>
      <c r="U67" s="26" t="n"/>
      <c r="V67" s="26">
        <f>'Resource Build-Up'!AG66</f>
        <v/>
      </c>
    </row>
    <row r="68" ht="32.40000152587891" customHeight="1" s="491">
      <c r="A68" s="98" t="inlineStr">
        <is>
          <t>RV-061</t>
        </is>
      </c>
      <c r="B68" s="98">
        <f>'Resource Build-Up'!A67</f>
        <v/>
      </c>
      <c r="C68" s="98">
        <f>'Resource Build-Up'!B67</f>
        <v/>
      </c>
      <c r="D68" s="26">
        <f>'Resource Build-Up'!C67</f>
        <v/>
      </c>
      <c r="E68" s="26">
        <f>'Resource Build-Up'!H67</f>
        <v/>
      </c>
      <c r="F68" s="26">
        <f>'Resource Build-Up'!P67</f>
        <v/>
      </c>
      <c r="G68" s="26">
        <f>'Resource Build-Up'!Q67</f>
        <v/>
      </c>
      <c r="H68" s="26">
        <f>'Resource Build-Up'!T67</f>
        <v/>
      </c>
      <c r="I68" s="1461">
        <f>'Resource Build-Up'!Y67</f>
        <v/>
      </c>
      <c r="J68" s="1461">
        <f>'Resource Build-Up'!Z67</f>
        <v/>
      </c>
      <c r="K68" s="26" t="n"/>
      <c r="L68" s="26" t="n"/>
      <c r="M68" s="26" t="n"/>
      <c r="N68" s="26" t="n"/>
      <c r="O68" s="26" t="n"/>
      <c r="P68" s="26" t="n"/>
      <c r="Q68" s="26">
        <f>COUNTIF(L68,"PASS")+COUNTIF(N68,"PASS")+COUNTIF(P68,"PASS")</f>
        <v/>
      </c>
      <c r="R68" s="26">
        <f>'Resource Build-Up'!AC67</f>
        <v/>
      </c>
      <c r="S68" s="26">
        <f>'Resource Build-Up'!AF67</f>
        <v/>
      </c>
      <c r="T68" s="99" t="n"/>
      <c r="U68" s="26" t="n"/>
      <c r="V68" s="26">
        <f>'Resource Build-Up'!AG67</f>
        <v/>
      </c>
    </row>
    <row r="69" ht="32.40000152587891" customHeight="1" s="491">
      <c r="A69" s="98" t="inlineStr">
        <is>
          <t>RV-062</t>
        </is>
      </c>
      <c r="B69" s="98">
        <f>'Resource Build-Up'!A68</f>
        <v/>
      </c>
      <c r="C69" s="98">
        <f>'Resource Build-Up'!B68</f>
        <v/>
      </c>
      <c r="D69" s="26">
        <f>'Resource Build-Up'!C68</f>
        <v/>
      </c>
      <c r="E69" s="26">
        <f>'Resource Build-Up'!H68</f>
        <v/>
      </c>
      <c r="F69" s="26">
        <f>'Resource Build-Up'!P68</f>
        <v/>
      </c>
      <c r="G69" s="26">
        <f>'Resource Build-Up'!Q68</f>
        <v/>
      </c>
      <c r="H69" s="26">
        <f>'Resource Build-Up'!T68</f>
        <v/>
      </c>
      <c r="I69" s="1461">
        <f>'Resource Build-Up'!Y68</f>
        <v/>
      </c>
      <c r="J69" s="1461">
        <f>'Resource Build-Up'!Z68</f>
        <v/>
      </c>
      <c r="K69" s="26" t="n"/>
      <c r="L69" s="26" t="n"/>
      <c r="M69" s="26" t="n"/>
      <c r="N69" s="26" t="n"/>
      <c r="O69" s="26" t="n"/>
      <c r="P69" s="26" t="n"/>
      <c r="Q69" s="26">
        <f>COUNTIF(L69,"PASS")+COUNTIF(N69,"PASS")+COUNTIF(P69,"PASS")</f>
        <v/>
      </c>
      <c r="R69" s="26">
        <f>'Resource Build-Up'!AC68</f>
        <v/>
      </c>
      <c r="S69" s="26">
        <f>'Resource Build-Up'!AF68</f>
        <v/>
      </c>
      <c r="T69" s="100" t="n"/>
      <c r="U69" s="26" t="n"/>
      <c r="V69" s="26">
        <f>'Resource Build-Up'!AG68</f>
        <v/>
      </c>
    </row>
    <row r="70" ht="32.40000152587891" customHeight="1" s="491">
      <c r="A70" s="98" t="inlineStr">
        <is>
          <t>RV-063</t>
        </is>
      </c>
      <c r="B70" s="98">
        <f>'Resource Build-Up'!A69</f>
        <v/>
      </c>
      <c r="C70" s="98">
        <f>'Resource Build-Up'!B69</f>
        <v/>
      </c>
      <c r="D70" s="26">
        <f>'Resource Build-Up'!C69</f>
        <v/>
      </c>
      <c r="E70" s="26">
        <f>'Resource Build-Up'!H69</f>
        <v/>
      </c>
      <c r="F70" s="26">
        <f>'Resource Build-Up'!P69</f>
        <v/>
      </c>
      <c r="G70" s="26">
        <f>'Resource Build-Up'!Q69</f>
        <v/>
      </c>
      <c r="H70" s="26">
        <f>'Resource Build-Up'!T69</f>
        <v/>
      </c>
      <c r="I70" s="1461">
        <f>'Resource Build-Up'!Y69</f>
        <v/>
      </c>
      <c r="J70" s="1461">
        <f>'Resource Build-Up'!Z69</f>
        <v/>
      </c>
      <c r="K70" s="26" t="n"/>
      <c r="L70" s="26" t="n"/>
      <c r="M70" s="26" t="n"/>
      <c r="N70" s="26" t="n"/>
      <c r="O70" s="26" t="n"/>
      <c r="P70" s="26" t="n"/>
      <c r="Q70" s="26">
        <f>COUNTIF(L70,"PASS")+COUNTIF(N70,"PASS")+COUNTIF(P70,"PASS")</f>
        <v/>
      </c>
      <c r="R70" s="26">
        <f>'Resource Build-Up'!AC69</f>
        <v/>
      </c>
      <c r="S70" s="26">
        <f>'Resource Build-Up'!AF69</f>
        <v/>
      </c>
      <c r="T70" s="99" t="n"/>
      <c r="U70" s="26" t="n"/>
      <c r="V70" s="26">
        <f>'Resource Build-Up'!AG69</f>
        <v/>
      </c>
    </row>
    <row r="71" ht="32.40000152587891" customHeight="1" s="491">
      <c r="A71" s="98" t="inlineStr">
        <is>
          <t>RV-064</t>
        </is>
      </c>
      <c r="B71" s="98">
        <f>'Resource Build-Up'!A70</f>
        <v/>
      </c>
      <c r="C71" s="98">
        <f>'Resource Build-Up'!B70</f>
        <v/>
      </c>
      <c r="D71" s="26">
        <f>'Resource Build-Up'!C70</f>
        <v/>
      </c>
      <c r="E71" s="26">
        <f>'Resource Build-Up'!H70</f>
        <v/>
      </c>
      <c r="F71" s="26">
        <f>'Resource Build-Up'!P70</f>
        <v/>
      </c>
      <c r="G71" s="26">
        <f>'Resource Build-Up'!Q70</f>
        <v/>
      </c>
      <c r="H71" s="26">
        <f>'Resource Build-Up'!T70</f>
        <v/>
      </c>
      <c r="I71" s="1461">
        <f>'Resource Build-Up'!Y70</f>
        <v/>
      </c>
      <c r="J71" s="1461">
        <f>'Resource Build-Up'!Z70</f>
        <v/>
      </c>
      <c r="K71" s="26" t="n"/>
      <c r="L71" s="26" t="n"/>
      <c r="M71" s="26" t="n"/>
      <c r="N71" s="26" t="n"/>
      <c r="O71" s="26" t="n"/>
      <c r="P71" s="26" t="n"/>
      <c r="Q71" s="26">
        <f>COUNTIF(L71,"PASS")+COUNTIF(N71,"PASS")+COUNTIF(P71,"PASS")</f>
        <v/>
      </c>
      <c r="R71" s="26">
        <f>'Resource Build-Up'!AC70</f>
        <v/>
      </c>
      <c r="S71" s="26">
        <f>'Resource Build-Up'!AF70</f>
        <v/>
      </c>
      <c r="T71" s="101" t="n"/>
      <c r="U71" s="26" t="n"/>
      <c r="V71" s="26">
        <f>'Resource Build-Up'!AG70</f>
        <v/>
      </c>
    </row>
    <row r="72" ht="32.40000152587891" customHeight="1" s="491">
      <c r="A72" s="98" t="inlineStr">
        <is>
          <t>RV-065</t>
        </is>
      </c>
      <c r="B72" s="98">
        <f>'Resource Build-Up'!A71</f>
        <v/>
      </c>
      <c r="C72" s="98">
        <f>'Resource Build-Up'!B71</f>
        <v/>
      </c>
      <c r="D72" s="26">
        <f>'Resource Build-Up'!C71</f>
        <v/>
      </c>
      <c r="E72" s="26">
        <f>'Resource Build-Up'!H71</f>
        <v/>
      </c>
      <c r="F72" s="26">
        <f>'Resource Build-Up'!P71</f>
        <v/>
      </c>
      <c r="G72" s="26">
        <f>'Resource Build-Up'!Q71</f>
        <v/>
      </c>
      <c r="H72" s="26">
        <f>'Resource Build-Up'!T71</f>
        <v/>
      </c>
      <c r="I72" s="1461">
        <f>'Resource Build-Up'!Y71</f>
        <v/>
      </c>
      <c r="J72" s="1461">
        <f>'Resource Build-Up'!Z71</f>
        <v/>
      </c>
      <c r="K72" s="26" t="n"/>
      <c r="L72" s="26" t="n"/>
      <c r="M72" s="26" t="n"/>
      <c r="N72" s="26" t="n"/>
      <c r="O72" s="26" t="n"/>
      <c r="P72" s="26" t="n"/>
      <c r="Q72" s="26">
        <f>COUNTIF(L72,"PASS")+COUNTIF(N72,"PASS")+COUNTIF(P72,"PASS")</f>
        <v/>
      </c>
      <c r="R72" s="26">
        <f>'Resource Build-Up'!AC71</f>
        <v/>
      </c>
      <c r="S72" s="26">
        <f>'Resource Build-Up'!AF71</f>
        <v/>
      </c>
      <c r="T72" s="99" t="n"/>
      <c r="U72" s="26" t="n"/>
      <c r="V72" s="26">
        <f>'Resource Build-Up'!AG71</f>
        <v/>
      </c>
    </row>
    <row r="73" ht="32.40000152587891" customHeight="1" s="491">
      <c r="A73" s="98" t="inlineStr">
        <is>
          <t>RV-066</t>
        </is>
      </c>
      <c r="B73" s="98">
        <f>'Resource Build-Up'!A72</f>
        <v/>
      </c>
      <c r="C73" s="98">
        <f>'Resource Build-Up'!B72</f>
        <v/>
      </c>
      <c r="D73" s="26">
        <f>'Resource Build-Up'!C72</f>
        <v/>
      </c>
      <c r="E73" s="26">
        <f>'Resource Build-Up'!H72</f>
        <v/>
      </c>
      <c r="F73" s="26">
        <f>'Resource Build-Up'!P72</f>
        <v/>
      </c>
      <c r="G73" s="26">
        <f>'Resource Build-Up'!Q72</f>
        <v/>
      </c>
      <c r="H73" s="26">
        <f>'Resource Build-Up'!T72</f>
        <v/>
      </c>
      <c r="I73" s="1461">
        <f>'Resource Build-Up'!Y72</f>
        <v/>
      </c>
      <c r="J73" s="1461">
        <f>'Resource Build-Up'!Z72</f>
        <v/>
      </c>
      <c r="K73" s="26" t="n"/>
      <c r="L73" s="26" t="n"/>
      <c r="M73" s="26" t="n"/>
      <c r="N73" s="26" t="n"/>
      <c r="O73" s="26" t="n"/>
      <c r="P73" s="26" t="n"/>
      <c r="Q73" s="26">
        <f>COUNTIF(L73,"PASS")+COUNTIF(N73,"PASS")+COUNTIF(P73,"PASS")</f>
        <v/>
      </c>
      <c r="R73" s="26">
        <f>'Resource Build-Up'!AC72</f>
        <v/>
      </c>
      <c r="S73" s="26">
        <f>'Resource Build-Up'!AF72</f>
        <v/>
      </c>
      <c r="T73" s="99" t="n"/>
      <c r="U73" s="26" t="n"/>
      <c r="V73" s="26">
        <f>'Resource Build-Up'!AG72</f>
        <v/>
      </c>
    </row>
    <row r="74" ht="32.40000152587891" customHeight="1" s="491">
      <c r="A74" s="98" t="inlineStr">
        <is>
          <t>RV-067</t>
        </is>
      </c>
      <c r="B74" s="98">
        <f>'Resource Build-Up'!A73</f>
        <v/>
      </c>
      <c r="C74" s="98">
        <f>'Resource Build-Up'!B73</f>
        <v/>
      </c>
      <c r="D74" s="26">
        <f>'Resource Build-Up'!C73</f>
        <v/>
      </c>
      <c r="E74" s="26">
        <f>'Resource Build-Up'!H73</f>
        <v/>
      </c>
      <c r="F74" s="26">
        <f>'Resource Build-Up'!P73</f>
        <v/>
      </c>
      <c r="G74" s="26">
        <f>'Resource Build-Up'!Q73</f>
        <v/>
      </c>
      <c r="H74" s="26">
        <f>'Resource Build-Up'!T73</f>
        <v/>
      </c>
      <c r="I74" s="1461">
        <f>'Resource Build-Up'!Y73</f>
        <v/>
      </c>
      <c r="J74" s="1461">
        <f>'Resource Build-Up'!Z73</f>
        <v/>
      </c>
      <c r="K74" s="26" t="n"/>
      <c r="L74" s="26" t="n"/>
      <c r="M74" s="26" t="n"/>
      <c r="N74" s="26" t="n"/>
      <c r="O74" s="26" t="n"/>
      <c r="P74" s="26" t="n"/>
      <c r="Q74" s="26">
        <f>COUNTIF(L74,"PASS")+COUNTIF(N74,"PASS")+COUNTIF(P74,"PASS")</f>
        <v/>
      </c>
      <c r="R74" s="26">
        <f>'Resource Build-Up'!AC73</f>
        <v/>
      </c>
      <c r="S74" s="26">
        <f>'Resource Build-Up'!AF73</f>
        <v/>
      </c>
      <c r="T74" s="100" t="n"/>
      <c r="U74" s="26" t="n"/>
      <c r="V74" s="26">
        <f>'Resource Build-Up'!AG73</f>
        <v/>
      </c>
    </row>
    <row r="75" ht="32.40000152587891" customHeight="1" s="491">
      <c r="A75" s="98" t="inlineStr">
        <is>
          <t>RV-068</t>
        </is>
      </c>
      <c r="B75" s="98">
        <f>'Resource Build-Up'!A74</f>
        <v/>
      </c>
      <c r="C75" s="98">
        <f>'Resource Build-Up'!B74</f>
        <v/>
      </c>
      <c r="D75" s="26">
        <f>'Resource Build-Up'!C74</f>
        <v/>
      </c>
      <c r="E75" s="26">
        <f>'Resource Build-Up'!H74</f>
        <v/>
      </c>
      <c r="F75" s="26">
        <f>'Resource Build-Up'!P74</f>
        <v/>
      </c>
      <c r="G75" s="26">
        <f>'Resource Build-Up'!Q74</f>
        <v/>
      </c>
      <c r="H75" s="26">
        <f>'Resource Build-Up'!T74</f>
        <v/>
      </c>
      <c r="I75" s="1461">
        <f>'Resource Build-Up'!Y74</f>
        <v/>
      </c>
      <c r="J75" s="1461">
        <f>'Resource Build-Up'!Z74</f>
        <v/>
      </c>
      <c r="K75" s="26" t="n"/>
      <c r="L75" s="26" t="n"/>
      <c r="M75" s="26" t="n"/>
      <c r="N75" s="26" t="n"/>
      <c r="O75" s="26" t="n"/>
      <c r="P75" s="26" t="n"/>
      <c r="Q75" s="26">
        <f>COUNTIF(L75,"PASS")+COUNTIF(N75,"PASS")+COUNTIF(P75,"PASS")</f>
        <v/>
      </c>
      <c r="R75" s="26">
        <f>'Resource Build-Up'!AC74</f>
        <v/>
      </c>
      <c r="S75" s="26">
        <f>'Resource Build-Up'!AF74</f>
        <v/>
      </c>
      <c r="T75" s="99" t="n"/>
      <c r="U75" s="26" t="n"/>
      <c r="V75" s="26">
        <f>'Resource Build-Up'!AG74</f>
        <v/>
      </c>
    </row>
    <row r="76" ht="32.40000152587891" customHeight="1" s="491">
      <c r="A76" s="98" t="inlineStr">
        <is>
          <t>RV-069</t>
        </is>
      </c>
      <c r="B76" s="98">
        <f>'Resource Build-Up'!A75</f>
        <v/>
      </c>
      <c r="C76" s="98">
        <f>'Resource Build-Up'!B75</f>
        <v/>
      </c>
      <c r="D76" s="26">
        <f>'Resource Build-Up'!C75</f>
        <v/>
      </c>
      <c r="E76" s="26">
        <f>'Resource Build-Up'!H75</f>
        <v/>
      </c>
      <c r="F76" s="26">
        <f>'Resource Build-Up'!P75</f>
        <v/>
      </c>
      <c r="G76" s="26">
        <f>'Resource Build-Up'!Q75</f>
        <v/>
      </c>
      <c r="H76" s="26">
        <f>'Resource Build-Up'!T75</f>
        <v/>
      </c>
      <c r="I76" s="1461">
        <f>'Resource Build-Up'!Y75</f>
        <v/>
      </c>
      <c r="J76" s="1461">
        <f>'Resource Build-Up'!Z75</f>
        <v/>
      </c>
      <c r="K76" s="26" t="n"/>
      <c r="L76" s="26" t="n"/>
      <c r="M76" s="26" t="n"/>
      <c r="N76" s="26" t="n"/>
      <c r="O76" s="26" t="n"/>
      <c r="P76" s="26" t="n"/>
      <c r="Q76" s="26">
        <f>COUNTIF(L76,"PASS")+COUNTIF(N76,"PASS")+COUNTIF(P76,"PASS")</f>
        <v/>
      </c>
      <c r="R76" s="26">
        <f>'Resource Build-Up'!AC75</f>
        <v/>
      </c>
      <c r="S76" s="26">
        <f>'Resource Build-Up'!AF75</f>
        <v/>
      </c>
      <c r="T76" s="100" t="n"/>
      <c r="U76" s="26" t="n"/>
      <c r="V76" s="26">
        <f>'Resource Build-Up'!AG75</f>
        <v/>
      </c>
    </row>
    <row r="77" ht="32.40000152587891" customHeight="1" s="491">
      <c r="A77" s="98" t="inlineStr">
        <is>
          <t>RV-070</t>
        </is>
      </c>
      <c r="B77" s="98">
        <f>'Resource Build-Up'!A76</f>
        <v/>
      </c>
      <c r="C77" s="98">
        <f>'Resource Build-Up'!B76</f>
        <v/>
      </c>
      <c r="D77" s="26">
        <f>'Resource Build-Up'!C76</f>
        <v/>
      </c>
      <c r="E77" s="26">
        <f>'Resource Build-Up'!H76</f>
        <v/>
      </c>
      <c r="F77" s="26">
        <f>'Resource Build-Up'!P76</f>
        <v/>
      </c>
      <c r="G77" s="26">
        <f>'Resource Build-Up'!Q76</f>
        <v/>
      </c>
      <c r="H77" s="26">
        <f>'Resource Build-Up'!T76</f>
        <v/>
      </c>
      <c r="I77" s="1461">
        <f>'Resource Build-Up'!Y76</f>
        <v/>
      </c>
      <c r="J77" s="1461">
        <f>'Resource Build-Up'!Z76</f>
        <v/>
      </c>
      <c r="K77" s="26" t="n"/>
      <c r="L77" s="26" t="n"/>
      <c r="M77" s="26" t="n"/>
      <c r="N77" s="26" t="n"/>
      <c r="O77" s="26" t="n"/>
      <c r="P77" s="26" t="n"/>
      <c r="Q77" s="26">
        <f>COUNTIF(L77,"PASS")+COUNTIF(N77,"PASS")+COUNTIF(P77,"PASS")</f>
        <v/>
      </c>
      <c r="R77" s="26">
        <f>'Resource Build-Up'!AC76</f>
        <v/>
      </c>
      <c r="S77" s="26">
        <f>'Resource Build-Up'!AF76</f>
        <v/>
      </c>
      <c r="T77" s="99" t="n"/>
      <c r="U77" s="26" t="n"/>
      <c r="V77" s="26">
        <f>'Resource Build-Up'!AG76</f>
        <v/>
      </c>
    </row>
    <row r="78" ht="32.40000152587891" customHeight="1" s="491">
      <c r="A78" s="98" t="inlineStr">
        <is>
          <t>RV-071</t>
        </is>
      </c>
      <c r="B78" s="98">
        <f>'Resource Build-Up'!A77</f>
        <v/>
      </c>
      <c r="C78" s="98">
        <f>'Resource Build-Up'!B77</f>
        <v/>
      </c>
      <c r="D78" s="26">
        <f>'Resource Build-Up'!C77</f>
        <v/>
      </c>
      <c r="E78" s="26">
        <f>'Resource Build-Up'!H77</f>
        <v/>
      </c>
      <c r="F78" s="26">
        <f>'Resource Build-Up'!P77</f>
        <v/>
      </c>
      <c r="G78" s="26">
        <f>'Resource Build-Up'!Q77</f>
        <v/>
      </c>
      <c r="H78" s="26">
        <f>'Resource Build-Up'!T77</f>
        <v/>
      </c>
      <c r="I78" s="1461">
        <f>'Resource Build-Up'!Y77</f>
        <v/>
      </c>
      <c r="J78" s="1461">
        <f>'Resource Build-Up'!Z77</f>
        <v/>
      </c>
      <c r="K78" s="26" t="n"/>
      <c r="L78" s="26" t="n"/>
      <c r="M78" s="26" t="n"/>
      <c r="N78" s="26" t="n"/>
      <c r="O78" s="26" t="n"/>
      <c r="P78" s="26" t="n"/>
      <c r="Q78" s="26">
        <f>COUNTIF(L78,"PASS")+COUNTIF(N78,"PASS")+COUNTIF(P78,"PASS")</f>
        <v/>
      </c>
      <c r="R78" s="26">
        <f>'Resource Build-Up'!AC77</f>
        <v/>
      </c>
      <c r="S78" s="26">
        <f>'Resource Build-Up'!AF77</f>
        <v/>
      </c>
      <c r="T78" s="100" t="n"/>
      <c r="U78" s="26" t="n"/>
      <c r="V78" s="26">
        <f>'Resource Build-Up'!AG77</f>
        <v/>
      </c>
    </row>
    <row r="79" ht="32.40000152587891" customHeight="1" s="491">
      <c r="A79" s="98" t="inlineStr">
        <is>
          <t>RV-072</t>
        </is>
      </c>
      <c r="B79" s="98">
        <f>'Resource Build-Up'!A78</f>
        <v/>
      </c>
      <c r="C79" s="98">
        <f>'Resource Build-Up'!B78</f>
        <v/>
      </c>
      <c r="D79" s="26">
        <f>'Resource Build-Up'!C78</f>
        <v/>
      </c>
      <c r="E79" s="26">
        <f>'Resource Build-Up'!H78</f>
        <v/>
      </c>
      <c r="F79" s="26">
        <f>'Resource Build-Up'!P78</f>
        <v/>
      </c>
      <c r="G79" s="26">
        <f>'Resource Build-Up'!Q78</f>
        <v/>
      </c>
      <c r="H79" s="26">
        <f>'Resource Build-Up'!T78</f>
        <v/>
      </c>
      <c r="I79" s="1461">
        <f>'Resource Build-Up'!Y78</f>
        <v/>
      </c>
      <c r="J79" s="1461">
        <f>'Resource Build-Up'!Z78</f>
        <v/>
      </c>
      <c r="K79" s="26" t="n"/>
      <c r="L79" s="26" t="n"/>
      <c r="M79" s="26" t="n"/>
      <c r="N79" s="26" t="n"/>
      <c r="O79" s="26" t="n"/>
      <c r="P79" s="26" t="n"/>
      <c r="Q79" s="26">
        <f>COUNTIF(L79,"PASS")+COUNTIF(N79,"PASS")+COUNTIF(P79,"PASS")</f>
        <v/>
      </c>
      <c r="R79" s="26">
        <f>'Resource Build-Up'!AC78</f>
        <v/>
      </c>
      <c r="S79" s="26">
        <f>'Resource Build-Up'!AF78</f>
        <v/>
      </c>
      <c r="T79" s="99" t="n"/>
      <c r="U79" s="26" t="n"/>
      <c r="V79" s="26">
        <f>'Resource Build-Up'!AG78</f>
        <v/>
      </c>
    </row>
    <row r="80" ht="32.40000152587891" customHeight="1" s="491">
      <c r="A80" s="98" t="inlineStr">
        <is>
          <t>RV-073</t>
        </is>
      </c>
      <c r="B80" s="98">
        <f>'Resource Build-Up'!A79</f>
        <v/>
      </c>
      <c r="C80" s="98">
        <f>'Resource Build-Up'!B79</f>
        <v/>
      </c>
      <c r="D80" s="26">
        <f>'Resource Build-Up'!C79</f>
        <v/>
      </c>
      <c r="E80" s="26">
        <f>'Resource Build-Up'!H79</f>
        <v/>
      </c>
      <c r="F80" s="26">
        <f>'Resource Build-Up'!P79</f>
        <v/>
      </c>
      <c r="G80" s="26">
        <f>'Resource Build-Up'!Q79</f>
        <v/>
      </c>
      <c r="H80" s="26">
        <f>'Resource Build-Up'!T79</f>
        <v/>
      </c>
      <c r="I80" s="1461">
        <f>'Resource Build-Up'!Y79</f>
        <v/>
      </c>
      <c r="J80" s="1461">
        <f>'Resource Build-Up'!Z79</f>
        <v/>
      </c>
      <c r="K80" s="26" t="n"/>
      <c r="L80" s="26" t="n"/>
      <c r="M80" s="26" t="n"/>
      <c r="N80" s="26" t="n"/>
      <c r="O80" s="26" t="n"/>
      <c r="P80" s="26" t="n"/>
      <c r="Q80" s="26">
        <f>COUNTIF(L80,"PASS")+COUNTIF(N80,"PASS")+COUNTIF(P80,"PASS")</f>
        <v/>
      </c>
      <c r="R80" s="26">
        <f>'Resource Build-Up'!AC79</f>
        <v/>
      </c>
      <c r="S80" s="26">
        <f>'Resource Build-Up'!AF79</f>
        <v/>
      </c>
      <c r="T80" s="100" t="n"/>
      <c r="U80" s="26" t="n"/>
      <c r="V80" s="26">
        <f>'Resource Build-Up'!AG79</f>
        <v/>
      </c>
    </row>
    <row r="81" ht="32.40000152587891" customHeight="1" s="491">
      <c r="A81" s="98" t="inlineStr">
        <is>
          <t>RV-074</t>
        </is>
      </c>
      <c r="B81" s="98">
        <f>'Resource Build-Up'!A80</f>
        <v/>
      </c>
      <c r="C81" s="98">
        <f>'Resource Build-Up'!B80</f>
        <v/>
      </c>
      <c r="D81" s="26">
        <f>'Resource Build-Up'!C80</f>
        <v/>
      </c>
      <c r="E81" s="26">
        <f>'Resource Build-Up'!H80</f>
        <v/>
      </c>
      <c r="F81" s="26">
        <f>'Resource Build-Up'!P80</f>
        <v/>
      </c>
      <c r="G81" s="26">
        <f>'Resource Build-Up'!Q80</f>
        <v/>
      </c>
      <c r="H81" s="26">
        <f>'Resource Build-Up'!T80</f>
        <v/>
      </c>
      <c r="I81" s="1461">
        <f>'Resource Build-Up'!Y80</f>
        <v/>
      </c>
      <c r="J81" s="1461">
        <f>'Resource Build-Up'!Z80</f>
        <v/>
      </c>
      <c r="K81" s="26" t="n"/>
      <c r="L81" s="26" t="n"/>
      <c r="M81" s="26" t="n"/>
      <c r="N81" s="26" t="n"/>
      <c r="O81" s="26" t="n"/>
      <c r="P81" s="26" t="n"/>
      <c r="Q81" s="26">
        <f>COUNTIF(L81,"PASS")+COUNTIF(N81,"PASS")+COUNTIF(P81,"PASS")</f>
        <v/>
      </c>
      <c r="R81" s="26">
        <f>'Resource Build-Up'!AC80</f>
        <v/>
      </c>
      <c r="S81" s="26">
        <f>'Resource Build-Up'!AF80</f>
        <v/>
      </c>
      <c r="T81" s="99" t="n"/>
      <c r="U81" s="26" t="n"/>
      <c r="V81" s="26">
        <f>'Resource Build-Up'!AG80</f>
        <v/>
      </c>
    </row>
    <row r="82" ht="32.40000152587891" customHeight="1" s="491">
      <c r="A82" s="98" t="inlineStr">
        <is>
          <t>RV-075</t>
        </is>
      </c>
      <c r="B82" s="98">
        <f>'Resource Build-Up'!A81</f>
        <v/>
      </c>
      <c r="C82" s="98">
        <f>'Resource Build-Up'!B81</f>
        <v/>
      </c>
      <c r="D82" s="26">
        <f>'Resource Build-Up'!C81</f>
        <v/>
      </c>
      <c r="E82" s="26">
        <f>'Resource Build-Up'!H81</f>
        <v/>
      </c>
      <c r="F82" s="26">
        <f>'Resource Build-Up'!P81</f>
        <v/>
      </c>
      <c r="G82" s="26">
        <f>'Resource Build-Up'!Q81</f>
        <v/>
      </c>
      <c r="H82" s="26">
        <f>'Resource Build-Up'!T81</f>
        <v/>
      </c>
      <c r="I82" s="1461">
        <f>'Resource Build-Up'!Y81</f>
        <v/>
      </c>
      <c r="J82" s="1461">
        <f>'Resource Build-Up'!Z81</f>
        <v/>
      </c>
      <c r="K82" s="26" t="n"/>
      <c r="L82" s="26" t="n"/>
      <c r="M82" s="26" t="n"/>
      <c r="N82" s="26" t="n"/>
      <c r="O82" s="26" t="n"/>
      <c r="P82" s="26" t="n"/>
      <c r="Q82" s="26">
        <f>COUNTIF(L82,"PASS")+COUNTIF(N82,"PASS")+COUNTIF(P82,"PASS")</f>
        <v/>
      </c>
      <c r="R82" s="26">
        <f>'Resource Build-Up'!AC81</f>
        <v/>
      </c>
      <c r="S82" s="26">
        <f>'Resource Build-Up'!AF81</f>
        <v/>
      </c>
      <c r="T82" s="99" t="n"/>
      <c r="U82" s="26" t="n"/>
      <c r="V82" s="26">
        <f>'Resource Build-Up'!AG81</f>
        <v/>
      </c>
    </row>
    <row r="83" ht="32.40000152587891" customHeight="1" s="491">
      <c r="A83" s="98" t="inlineStr">
        <is>
          <t>RV-076</t>
        </is>
      </c>
      <c r="B83" s="98">
        <f>'Resource Build-Up'!A82</f>
        <v/>
      </c>
      <c r="C83" s="98">
        <f>'Resource Build-Up'!B82</f>
        <v/>
      </c>
      <c r="D83" s="26">
        <f>'Resource Build-Up'!C82</f>
        <v/>
      </c>
      <c r="E83" s="26">
        <f>'Resource Build-Up'!H82</f>
        <v/>
      </c>
      <c r="F83" s="26">
        <f>'Resource Build-Up'!P82</f>
        <v/>
      </c>
      <c r="G83" s="26">
        <f>'Resource Build-Up'!Q82</f>
        <v/>
      </c>
      <c r="H83" s="26">
        <f>'Resource Build-Up'!T82</f>
        <v/>
      </c>
      <c r="I83" s="1461">
        <f>'Resource Build-Up'!Y82</f>
        <v/>
      </c>
      <c r="J83" s="1461">
        <f>'Resource Build-Up'!Z82</f>
        <v/>
      </c>
      <c r="K83" s="26" t="n"/>
      <c r="L83" s="26" t="n"/>
      <c r="M83" s="26" t="n"/>
      <c r="N83" s="26" t="n"/>
      <c r="O83" s="26" t="n"/>
      <c r="P83" s="26" t="n"/>
      <c r="Q83" s="26">
        <f>COUNTIF(L83,"PASS")+COUNTIF(N83,"PASS")+COUNTIF(P83,"PASS")</f>
        <v/>
      </c>
      <c r="R83" s="26">
        <f>'Resource Build-Up'!AC82</f>
        <v/>
      </c>
      <c r="S83" s="26">
        <f>'Resource Build-Up'!AF82</f>
        <v/>
      </c>
      <c r="T83" s="100" t="n"/>
      <c r="U83" s="26" t="n"/>
      <c r="V83" s="26">
        <f>'Resource Build-Up'!AG82</f>
        <v/>
      </c>
    </row>
    <row r="84" ht="32.40000152587891" customHeight="1" s="491">
      <c r="A84" s="98" t="inlineStr">
        <is>
          <t>RV-077</t>
        </is>
      </c>
      <c r="B84" s="98">
        <f>'Resource Build-Up'!A83</f>
        <v/>
      </c>
      <c r="C84" s="98">
        <f>'Resource Build-Up'!B83</f>
        <v/>
      </c>
      <c r="D84" s="26">
        <f>'Resource Build-Up'!C83</f>
        <v/>
      </c>
      <c r="E84" s="26">
        <f>'Resource Build-Up'!H83</f>
        <v/>
      </c>
      <c r="F84" s="26">
        <f>'Resource Build-Up'!P83</f>
        <v/>
      </c>
      <c r="G84" s="26">
        <f>'Resource Build-Up'!Q83</f>
        <v/>
      </c>
      <c r="H84" s="26">
        <f>'Resource Build-Up'!T83</f>
        <v/>
      </c>
      <c r="I84" s="1461">
        <f>'Resource Build-Up'!Y83</f>
        <v/>
      </c>
      <c r="J84" s="1461">
        <f>'Resource Build-Up'!Z83</f>
        <v/>
      </c>
      <c r="K84" s="26" t="n"/>
      <c r="L84" s="26" t="n"/>
      <c r="M84" s="26" t="n"/>
      <c r="N84" s="26" t="n"/>
      <c r="O84" s="26" t="n"/>
      <c r="P84" s="26" t="n"/>
      <c r="Q84" s="26">
        <f>COUNTIF(L84,"PASS")+COUNTIF(N84,"PASS")+COUNTIF(P84,"PASS")</f>
        <v/>
      </c>
      <c r="R84" s="26">
        <f>'Resource Build-Up'!AC83</f>
        <v/>
      </c>
      <c r="S84" s="26">
        <f>'Resource Build-Up'!AF83</f>
        <v/>
      </c>
      <c r="T84" s="100" t="n"/>
      <c r="U84" s="26" t="n"/>
      <c r="V84" s="26">
        <f>'Resource Build-Up'!AG83</f>
        <v/>
      </c>
    </row>
    <row r="85" ht="32.40000152587891" customHeight="1" s="491">
      <c r="A85" s="98" t="inlineStr">
        <is>
          <t>RV-078</t>
        </is>
      </c>
      <c r="B85" s="98">
        <f>'Resource Build-Up'!A84</f>
        <v/>
      </c>
      <c r="C85" s="98">
        <f>'Resource Build-Up'!B84</f>
        <v/>
      </c>
      <c r="D85" s="26">
        <f>'Resource Build-Up'!C84</f>
        <v/>
      </c>
      <c r="E85" s="26">
        <f>'Resource Build-Up'!H84</f>
        <v/>
      </c>
      <c r="F85" s="26">
        <f>'Resource Build-Up'!P84</f>
        <v/>
      </c>
      <c r="G85" s="26">
        <f>'Resource Build-Up'!Q84</f>
        <v/>
      </c>
      <c r="H85" s="26">
        <f>'Resource Build-Up'!T84</f>
        <v/>
      </c>
      <c r="I85" s="1461">
        <f>'Resource Build-Up'!Y84</f>
        <v/>
      </c>
      <c r="J85" s="1461">
        <f>'Resource Build-Up'!Z84</f>
        <v/>
      </c>
      <c r="K85" s="26" t="n"/>
      <c r="L85" s="26" t="n"/>
      <c r="M85" s="26" t="n"/>
      <c r="N85" s="26" t="n"/>
      <c r="O85" s="26" t="n"/>
      <c r="P85" s="26" t="n"/>
      <c r="Q85" s="26">
        <f>COUNTIF(L85,"PASS")+COUNTIF(N85,"PASS")+COUNTIF(P85,"PASS")</f>
        <v/>
      </c>
      <c r="R85" s="26">
        <f>'Resource Build-Up'!AC84</f>
        <v/>
      </c>
      <c r="S85" s="26">
        <f>'Resource Build-Up'!AF84</f>
        <v/>
      </c>
      <c r="T85" s="99" t="n"/>
      <c r="U85" s="26" t="n"/>
      <c r="V85" s="26">
        <f>'Resource Build-Up'!AG84</f>
        <v/>
      </c>
    </row>
    <row r="86" ht="32.40000152587891" customHeight="1" s="491">
      <c r="A86" s="98" t="inlineStr">
        <is>
          <t>RV-079</t>
        </is>
      </c>
      <c r="B86" s="98">
        <f>'Resource Build-Up'!A85</f>
        <v/>
      </c>
      <c r="C86" s="98">
        <f>'Resource Build-Up'!B85</f>
        <v/>
      </c>
      <c r="D86" s="26">
        <f>'Resource Build-Up'!C85</f>
        <v/>
      </c>
      <c r="E86" s="26">
        <f>'Resource Build-Up'!H85</f>
        <v/>
      </c>
      <c r="F86" s="26">
        <f>'Resource Build-Up'!P85</f>
        <v/>
      </c>
      <c r="G86" s="26">
        <f>'Resource Build-Up'!Q85</f>
        <v/>
      </c>
      <c r="H86" s="26">
        <f>'Resource Build-Up'!T85</f>
        <v/>
      </c>
      <c r="I86" s="1461">
        <f>'Resource Build-Up'!Y85</f>
        <v/>
      </c>
      <c r="J86" s="1461">
        <f>'Resource Build-Up'!Z85</f>
        <v/>
      </c>
      <c r="K86" s="26" t="n"/>
      <c r="L86" s="26" t="n"/>
      <c r="M86" s="26" t="n"/>
      <c r="N86" s="26" t="n"/>
      <c r="O86" s="26" t="n"/>
      <c r="P86" s="26" t="n"/>
      <c r="Q86" s="26">
        <f>COUNTIF(L86,"PASS")+COUNTIF(N86,"PASS")+COUNTIF(P86,"PASS")</f>
        <v/>
      </c>
      <c r="R86" s="26">
        <f>'Resource Build-Up'!AC85</f>
        <v/>
      </c>
      <c r="S86" s="26">
        <f>'Resource Build-Up'!AF85</f>
        <v/>
      </c>
      <c r="T86" s="100" t="n"/>
      <c r="U86" s="26" t="n"/>
      <c r="V86" s="26">
        <f>'Resource Build-Up'!AG85</f>
        <v/>
      </c>
    </row>
    <row r="87" ht="32.40000152587891" customHeight="1" s="491">
      <c r="A87" s="98" t="inlineStr">
        <is>
          <t>RV-080</t>
        </is>
      </c>
      <c r="B87" s="98">
        <f>'Resource Build-Up'!A86</f>
        <v/>
      </c>
      <c r="C87" s="98">
        <f>'Resource Build-Up'!B86</f>
        <v/>
      </c>
      <c r="D87" s="26">
        <f>'Resource Build-Up'!C86</f>
        <v/>
      </c>
      <c r="E87" s="26">
        <f>'Resource Build-Up'!H86</f>
        <v/>
      </c>
      <c r="F87" s="26">
        <f>'Resource Build-Up'!P86</f>
        <v/>
      </c>
      <c r="G87" s="26">
        <f>'Resource Build-Up'!Q86</f>
        <v/>
      </c>
      <c r="H87" s="26">
        <f>'Resource Build-Up'!T86</f>
        <v/>
      </c>
      <c r="I87" s="1461">
        <f>'Resource Build-Up'!Y86</f>
        <v/>
      </c>
      <c r="J87" s="1461">
        <f>'Resource Build-Up'!Z86</f>
        <v/>
      </c>
      <c r="K87" s="26" t="n"/>
      <c r="L87" s="26" t="n"/>
      <c r="M87" s="26" t="n"/>
      <c r="N87" s="26" t="n"/>
      <c r="O87" s="26" t="n"/>
      <c r="P87" s="26" t="n"/>
      <c r="Q87" s="26">
        <f>COUNTIF(L87,"PASS")+COUNTIF(N87,"PASS")+COUNTIF(P87,"PASS")</f>
        <v/>
      </c>
      <c r="R87" s="26">
        <f>'Resource Build-Up'!AC86</f>
        <v/>
      </c>
      <c r="S87" s="26">
        <f>'Resource Build-Up'!AF86</f>
        <v/>
      </c>
      <c r="T87" s="100" t="n"/>
      <c r="U87" s="26" t="n"/>
      <c r="V87" s="26">
        <f>'Resource Build-Up'!AG86</f>
        <v/>
      </c>
    </row>
    <row r="88" ht="32.40000152587891" customHeight="1" s="491">
      <c r="A88" s="98" t="inlineStr">
        <is>
          <t>RV-081</t>
        </is>
      </c>
      <c r="B88" s="98">
        <f>'Resource Build-Up'!A87</f>
        <v/>
      </c>
      <c r="C88" s="98">
        <f>'Resource Build-Up'!B87</f>
        <v/>
      </c>
      <c r="D88" s="26">
        <f>'Resource Build-Up'!C87</f>
        <v/>
      </c>
      <c r="E88" s="26">
        <f>'Resource Build-Up'!H87</f>
        <v/>
      </c>
      <c r="F88" s="26">
        <f>'Resource Build-Up'!P87</f>
        <v/>
      </c>
      <c r="G88" s="26">
        <f>'Resource Build-Up'!Q87</f>
        <v/>
      </c>
      <c r="H88" s="26">
        <f>'Resource Build-Up'!T87</f>
        <v/>
      </c>
      <c r="I88" s="1461">
        <f>'Resource Build-Up'!Y87</f>
        <v/>
      </c>
      <c r="J88" s="1461">
        <f>'Resource Build-Up'!Z87</f>
        <v/>
      </c>
      <c r="K88" s="26" t="n"/>
      <c r="L88" s="26" t="n"/>
      <c r="M88" s="26" t="n"/>
      <c r="N88" s="26" t="n"/>
      <c r="O88" s="26" t="n"/>
      <c r="P88" s="26" t="n"/>
      <c r="Q88" s="26">
        <f>COUNTIF(L88,"PASS")+COUNTIF(N88,"PASS")+COUNTIF(P88,"PASS")</f>
        <v/>
      </c>
      <c r="R88" s="26">
        <f>'Resource Build-Up'!AC87</f>
        <v/>
      </c>
      <c r="S88" s="26">
        <f>'Resource Build-Up'!AF87</f>
        <v/>
      </c>
      <c r="T88" s="100" t="n"/>
      <c r="U88" s="26" t="n"/>
      <c r="V88" s="26">
        <f>'Resource Build-Up'!AG87</f>
        <v/>
      </c>
    </row>
    <row r="89" ht="32.40000152587891" customHeight="1" s="491">
      <c r="A89" s="98" t="inlineStr">
        <is>
          <t>RV-082</t>
        </is>
      </c>
      <c r="B89" s="98">
        <f>'Resource Build-Up'!A88</f>
        <v/>
      </c>
      <c r="C89" s="98">
        <f>'Resource Build-Up'!B88</f>
        <v/>
      </c>
      <c r="D89" s="26">
        <f>'Resource Build-Up'!C88</f>
        <v/>
      </c>
      <c r="E89" s="26">
        <f>'Resource Build-Up'!H88</f>
        <v/>
      </c>
      <c r="F89" s="26">
        <f>'Resource Build-Up'!P88</f>
        <v/>
      </c>
      <c r="G89" s="26">
        <f>'Resource Build-Up'!Q88</f>
        <v/>
      </c>
      <c r="H89" s="26">
        <f>'Resource Build-Up'!T88</f>
        <v/>
      </c>
      <c r="I89" s="1461">
        <f>'Resource Build-Up'!Y88</f>
        <v/>
      </c>
      <c r="J89" s="1461">
        <f>'Resource Build-Up'!Z88</f>
        <v/>
      </c>
      <c r="K89" s="26" t="n"/>
      <c r="L89" s="26" t="n"/>
      <c r="M89" s="26" t="n"/>
      <c r="N89" s="26" t="n"/>
      <c r="O89" s="26" t="n"/>
      <c r="P89" s="26" t="n"/>
      <c r="Q89" s="26">
        <f>COUNTIF(L89,"PASS")+COUNTIF(N89,"PASS")+COUNTIF(P89,"PASS")</f>
        <v/>
      </c>
      <c r="R89" s="26">
        <f>'Resource Build-Up'!AC88</f>
        <v/>
      </c>
      <c r="S89" s="26">
        <f>'Resource Build-Up'!AF88</f>
        <v/>
      </c>
      <c r="T89" s="99" t="n"/>
      <c r="U89" s="26" t="n"/>
      <c r="V89" s="26">
        <f>'Resource Build-Up'!AG88</f>
        <v/>
      </c>
    </row>
    <row r="90" ht="32.40000152587891" customHeight="1" s="491">
      <c r="A90" s="98" t="inlineStr">
        <is>
          <t>RV-083</t>
        </is>
      </c>
      <c r="B90" s="98">
        <f>'Resource Build-Up'!A89</f>
        <v/>
      </c>
      <c r="C90" s="98">
        <f>'Resource Build-Up'!B89</f>
        <v/>
      </c>
      <c r="D90" s="26">
        <f>'Resource Build-Up'!C89</f>
        <v/>
      </c>
      <c r="E90" s="26">
        <f>'Resource Build-Up'!H89</f>
        <v/>
      </c>
      <c r="F90" s="26">
        <f>'Resource Build-Up'!P89</f>
        <v/>
      </c>
      <c r="G90" s="26">
        <f>'Resource Build-Up'!Q89</f>
        <v/>
      </c>
      <c r="H90" s="26">
        <f>'Resource Build-Up'!T89</f>
        <v/>
      </c>
      <c r="I90" s="1461">
        <f>'Resource Build-Up'!Y89</f>
        <v/>
      </c>
      <c r="J90" s="1461">
        <f>'Resource Build-Up'!Z89</f>
        <v/>
      </c>
      <c r="K90" s="26" t="n"/>
      <c r="L90" s="26" t="n"/>
      <c r="M90" s="26" t="n"/>
      <c r="N90" s="26" t="n"/>
      <c r="O90" s="26" t="n"/>
      <c r="P90" s="26" t="n"/>
      <c r="Q90" s="26">
        <f>COUNTIF(L90,"PASS")+COUNTIF(N90,"PASS")+COUNTIF(P90,"PASS")</f>
        <v/>
      </c>
      <c r="R90" s="26">
        <f>'Resource Build-Up'!AC89</f>
        <v/>
      </c>
      <c r="S90" s="26">
        <f>'Resource Build-Up'!AF89</f>
        <v/>
      </c>
      <c r="T90" s="100" t="n"/>
      <c r="U90" s="26" t="n"/>
      <c r="V90" s="26">
        <f>'Resource Build-Up'!AG89</f>
        <v/>
      </c>
    </row>
    <row r="91" ht="32.40000152587891" customHeight="1" s="491">
      <c r="A91" s="98" t="inlineStr">
        <is>
          <t>RV-084</t>
        </is>
      </c>
      <c r="B91" s="98">
        <f>'Resource Build-Up'!A90</f>
        <v/>
      </c>
      <c r="C91" s="98">
        <f>'Resource Build-Up'!B90</f>
        <v/>
      </c>
      <c r="D91" s="26">
        <f>'Resource Build-Up'!C90</f>
        <v/>
      </c>
      <c r="E91" s="26">
        <f>'Resource Build-Up'!H90</f>
        <v/>
      </c>
      <c r="F91" s="26">
        <f>'Resource Build-Up'!P90</f>
        <v/>
      </c>
      <c r="G91" s="26">
        <f>'Resource Build-Up'!Q90</f>
        <v/>
      </c>
      <c r="H91" s="26">
        <f>'Resource Build-Up'!T90</f>
        <v/>
      </c>
      <c r="I91" s="1461">
        <f>'Resource Build-Up'!Y90</f>
        <v/>
      </c>
      <c r="J91" s="1461">
        <f>'Resource Build-Up'!Z90</f>
        <v/>
      </c>
      <c r="K91" s="26" t="n"/>
      <c r="L91" s="26" t="n"/>
      <c r="M91" s="26" t="n"/>
      <c r="N91" s="26" t="n"/>
      <c r="O91" s="26" t="n"/>
      <c r="P91" s="26" t="n"/>
      <c r="Q91" s="26">
        <f>COUNTIF(L91,"PASS")+COUNTIF(N91,"PASS")+COUNTIF(P91,"PASS")</f>
        <v/>
      </c>
      <c r="R91" s="26">
        <f>'Resource Build-Up'!AC90</f>
        <v/>
      </c>
      <c r="S91" s="26">
        <f>'Resource Build-Up'!AF90</f>
        <v/>
      </c>
      <c r="T91" s="100" t="n"/>
      <c r="U91" s="26" t="n"/>
      <c r="V91" s="26">
        <f>'Resource Build-Up'!AG90</f>
        <v/>
      </c>
    </row>
    <row r="92" ht="32.40000152587891" customHeight="1" s="491">
      <c r="A92" s="98" t="inlineStr">
        <is>
          <t>RV-085</t>
        </is>
      </c>
      <c r="B92" s="98">
        <f>'Resource Build-Up'!A91</f>
        <v/>
      </c>
      <c r="C92" s="98">
        <f>'Resource Build-Up'!B91</f>
        <v/>
      </c>
      <c r="D92" s="26">
        <f>'Resource Build-Up'!C91</f>
        <v/>
      </c>
      <c r="E92" s="26">
        <f>'Resource Build-Up'!H91</f>
        <v/>
      </c>
      <c r="F92" s="26">
        <f>'Resource Build-Up'!P91</f>
        <v/>
      </c>
      <c r="G92" s="26">
        <f>'Resource Build-Up'!Q91</f>
        <v/>
      </c>
      <c r="H92" s="26">
        <f>'Resource Build-Up'!T91</f>
        <v/>
      </c>
      <c r="I92" s="1461">
        <f>'Resource Build-Up'!Y91</f>
        <v/>
      </c>
      <c r="J92" s="1461">
        <f>'Resource Build-Up'!Z91</f>
        <v/>
      </c>
      <c r="K92" s="26" t="n"/>
      <c r="L92" s="26" t="n"/>
      <c r="M92" s="26" t="n"/>
      <c r="N92" s="26" t="n"/>
      <c r="O92" s="26" t="n"/>
      <c r="P92" s="26" t="n"/>
      <c r="Q92" s="26">
        <f>COUNTIF(L92,"PASS")+COUNTIF(N92,"PASS")+COUNTIF(P92,"PASS")</f>
        <v/>
      </c>
      <c r="R92" s="26">
        <f>'Resource Build-Up'!AC91</f>
        <v/>
      </c>
      <c r="S92" s="26">
        <f>'Resource Build-Up'!AF91</f>
        <v/>
      </c>
      <c r="T92" s="99" t="n"/>
      <c r="U92" s="26" t="n"/>
      <c r="V92" s="26">
        <f>'Resource Build-Up'!AG91</f>
        <v/>
      </c>
    </row>
    <row r="93" ht="32.40000152587891" customHeight="1" s="491">
      <c r="A93" s="98" t="inlineStr">
        <is>
          <t>RV-086</t>
        </is>
      </c>
      <c r="B93" s="98">
        <f>'Resource Build-Up'!A92</f>
        <v/>
      </c>
      <c r="C93" s="98">
        <f>'Resource Build-Up'!B92</f>
        <v/>
      </c>
      <c r="D93" s="26">
        <f>'Resource Build-Up'!C92</f>
        <v/>
      </c>
      <c r="E93" s="26">
        <f>'Resource Build-Up'!H92</f>
        <v/>
      </c>
      <c r="F93" s="26">
        <f>'Resource Build-Up'!P92</f>
        <v/>
      </c>
      <c r="G93" s="26">
        <f>'Resource Build-Up'!Q92</f>
        <v/>
      </c>
      <c r="H93" s="26">
        <f>'Resource Build-Up'!T92</f>
        <v/>
      </c>
      <c r="I93" s="1461">
        <f>'Resource Build-Up'!Y92</f>
        <v/>
      </c>
      <c r="J93" s="1461">
        <f>'Resource Build-Up'!Z92</f>
        <v/>
      </c>
      <c r="K93" s="26" t="n"/>
      <c r="L93" s="26" t="n"/>
      <c r="M93" s="26" t="n"/>
      <c r="N93" s="26" t="n"/>
      <c r="O93" s="26" t="n"/>
      <c r="P93" s="26" t="n"/>
      <c r="Q93" s="26">
        <f>COUNTIF(L93,"PASS")+COUNTIF(N93,"PASS")+COUNTIF(P93,"PASS")</f>
        <v/>
      </c>
      <c r="R93" s="26">
        <f>'Resource Build-Up'!AC92</f>
        <v/>
      </c>
      <c r="S93" s="26">
        <f>'Resource Build-Up'!AF92</f>
        <v/>
      </c>
      <c r="T93" s="99" t="n"/>
      <c r="U93" s="26" t="n"/>
      <c r="V93" s="26">
        <f>'Resource Build-Up'!AG92</f>
        <v/>
      </c>
    </row>
    <row r="94" ht="32.40000152587891" customHeight="1" s="491">
      <c r="A94" s="98" t="inlineStr">
        <is>
          <t>RV-087</t>
        </is>
      </c>
      <c r="B94" s="98">
        <f>'Resource Build-Up'!A93</f>
        <v/>
      </c>
      <c r="C94" s="98">
        <f>'Resource Build-Up'!B93</f>
        <v/>
      </c>
      <c r="D94" s="26">
        <f>'Resource Build-Up'!C93</f>
        <v/>
      </c>
      <c r="E94" s="26">
        <f>'Resource Build-Up'!H93</f>
        <v/>
      </c>
      <c r="F94" s="26">
        <f>'Resource Build-Up'!P93</f>
        <v/>
      </c>
      <c r="G94" s="26">
        <f>'Resource Build-Up'!Q93</f>
        <v/>
      </c>
      <c r="H94" s="26">
        <f>'Resource Build-Up'!T93</f>
        <v/>
      </c>
      <c r="I94" s="1461">
        <f>'Resource Build-Up'!Y93</f>
        <v/>
      </c>
      <c r="J94" s="1461">
        <f>'Resource Build-Up'!Z93</f>
        <v/>
      </c>
      <c r="K94" s="26" t="n"/>
      <c r="L94" s="26" t="n"/>
      <c r="M94" s="26" t="n"/>
      <c r="N94" s="26" t="n"/>
      <c r="O94" s="26" t="n"/>
      <c r="P94" s="26" t="n"/>
      <c r="Q94" s="26">
        <f>COUNTIF(L94,"PASS")+COUNTIF(N94,"PASS")+COUNTIF(P94,"PASS")</f>
        <v/>
      </c>
      <c r="R94" s="26">
        <f>'Resource Build-Up'!AC93</f>
        <v/>
      </c>
      <c r="S94" s="26">
        <f>'Resource Build-Up'!AF93</f>
        <v/>
      </c>
      <c r="T94" s="100" t="n"/>
      <c r="U94" s="26" t="n"/>
      <c r="V94" s="26">
        <f>'Resource Build-Up'!AG93</f>
        <v/>
      </c>
    </row>
    <row r="95" ht="32.40000152587891" customHeight="1" s="491">
      <c r="A95" s="98" t="inlineStr">
        <is>
          <t>RV-088</t>
        </is>
      </c>
      <c r="B95" s="98">
        <f>'Resource Build-Up'!A94</f>
        <v/>
      </c>
      <c r="C95" s="98">
        <f>'Resource Build-Up'!B94</f>
        <v/>
      </c>
      <c r="D95" s="26">
        <f>'Resource Build-Up'!C94</f>
        <v/>
      </c>
      <c r="E95" s="26">
        <f>'Resource Build-Up'!H94</f>
        <v/>
      </c>
      <c r="F95" s="26">
        <f>'Resource Build-Up'!P94</f>
        <v/>
      </c>
      <c r="G95" s="26">
        <f>'Resource Build-Up'!Q94</f>
        <v/>
      </c>
      <c r="H95" s="26">
        <f>'Resource Build-Up'!T94</f>
        <v/>
      </c>
      <c r="I95" s="1461">
        <f>'Resource Build-Up'!Y94</f>
        <v/>
      </c>
      <c r="J95" s="1461">
        <f>'Resource Build-Up'!Z94</f>
        <v/>
      </c>
      <c r="K95" s="26" t="n"/>
      <c r="L95" s="26" t="n"/>
      <c r="M95" s="26" t="n"/>
      <c r="N95" s="26" t="n"/>
      <c r="O95" s="26" t="n"/>
      <c r="P95" s="26" t="n"/>
      <c r="Q95" s="26">
        <f>COUNTIF(L95,"PASS")+COUNTIF(N95,"PASS")+COUNTIF(P95,"PASS")</f>
        <v/>
      </c>
      <c r="R95" s="26">
        <f>'Resource Build-Up'!AC94</f>
        <v/>
      </c>
      <c r="S95" s="26">
        <f>'Resource Build-Up'!AF94</f>
        <v/>
      </c>
      <c r="T95" s="99" t="n"/>
      <c r="U95" s="26" t="n"/>
      <c r="V95" s="26">
        <f>'Resource Build-Up'!AG94</f>
        <v/>
      </c>
    </row>
    <row r="96" ht="32.40000152587891" customHeight="1" s="491">
      <c r="A96" s="98" t="inlineStr">
        <is>
          <t>RV-089</t>
        </is>
      </c>
      <c r="B96" s="98">
        <f>'Resource Build-Up'!A95</f>
        <v/>
      </c>
      <c r="C96" s="98">
        <f>'Resource Build-Up'!B95</f>
        <v/>
      </c>
      <c r="D96" s="26">
        <f>'Resource Build-Up'!C95</f>
        <v/>
      </c>
      <c r="E96" s="26">
        <f>'Resource Build-Up'!H95</f>
        <v/>
      </c>
      <c r="F96" s="26">
        <f>'Resource Build-Up'!P95</f>
        <v/>
      </c>
      <c r="G96" s="26">
        <f>'Resource Build-Up'!Q95</f>
        <v/>
      </c>
      <c r="H96" s="26">
        <f>'Resource Build-Up'!T95</f>
        <v/>
      </c>
      <c r="I96" s="1461">
        <f>'Resource Build-Up'!Y95</f>
        <v/>
      </c>
      <c r="J96" s="1461">
        <f>'Resource Build-Up'!Z95</f>
        <v/>
      </c>
      <c r="K96" s="26" t="n"/>
      <c r="L96" s="26" t="n"/>
      <c r="M96" s="26" t="n"/>
      <c r="N96" s="26" t="n"/>
      <c r="O96" s="26" t="n"/>
      <c r="P96" s="26" t="n"/>
      <c r="Q96" s="26">
        <f>COUNTIF(L96,"PASS")+COUNTIF(N96,"PASS")+COUNTIF(P96,"PASS")</f>
        <v/>
      </c>
      <c r="R96" s="26">
        <f>'Resource Build-Up'!AC95</f>
        <v/>
      </c>
      <c r="S96" s="26">
        <f>'Resource Build-Up'!AF95</f>
        <v/>
      </c>
      <c r="T96" s="99" t="n"/>
      <c r="U96" s="26" t="n"/>
      <c r="V96" s="26">
        <f>'Resource Build-Up'!AG95</f>
        <v/>
      </c>
    </row>
    <row r="97" ht="32.40000152587891" customHeight="1" s="491">
      <c r="A97" s="98" t="inlineStr">
        <is>
          <t>RV-090</t>
        </is>
      </c>
      <c r="B97" s="98">
        <f>'Resource Build-Up'!A96</f>
        <v/>
      </c>
      <c r="C97" s="98">
        <f>'Resource Build-Up'!B96</f>
        <v/>
      </c>
      <c r="D97" s="26">
        <f>'Resource Build-Up'!C96</f>
        <v/>
      </c>
      <c r="E97" s="26">
        <f>'Resource Build-Up'!H96</f>
        <v/>
      </c>
      <c r="F97" s="26">
        <f>'Resource Build-Up'!P96</f>
        <v/>
      </c>
      <c r="G97" s="26">
        <f>'Resource Build-Up'!Q96</f>
        <v/>
      </c>
      <c r="H97" s="26">
        <f>'Resource Build-Up'!T96</f>
        <v/>
      </c>
      <c r="I97" s="1461">
        <f>'Resource Build-Up'!Y96</f>
        <v/>
      </c>
      <c r="J97" s="1461">
        <f>'Resource Build-Up'!Z96</f>
        <v/>
      </c>
      <c r="K97" s="26" t="n"/>
      <c r="L97" s="26" t="n"/>
      <c r="M97" s="26" t="n"/>
      <c r="N97" s="26" t="n"/>
      <c r="O97" s="26" t="n"/>
      <c r="P97" s="26" t="n"/>
      <c r="Q97" s="26">
        <f>COUNTIF(L97,"PASS")+COUNTIF(N97,"PASS")+COUNTIF(P97,"PASS")</f>
        <v/>
      </c>
      <c r="R97" s="26">
        <f>'Resource Build-Up'!AC96</f>
        <v/>
      </c>
      <c r="S97" s="26">
        <f>'Resource Build-Up'!AF96</f>
        <v/>
      </c>
      <c r="T97" s="99" t="n"/>
      <c r="U97" s="26" t="n"/>
      <c r="V97" s="26">
        <f>'Resource Build-Up'!AG96</f>
        <v/>
      </c>
    </row>
    <row r="98" ht="32.40000152587891" customHeight="1" s="491">
      <c r="A98" s="98" t="inlineStr">
        <is>
          <t>RV-091</t>
        </is>
      </c>
      <c r="B98" s="98">
        <f>'Resource Build-Up'!A97</f>
        <v/>
      </c>
      <c r="C98" s="98">
        <f>'Resource Build-Up'!B97</f>
        <v/>
      </c>
      <c r="D98" s="26">
        <f>'Resource Build-Up'!C97</f>
        <v/>
      </c>
      <c r="E98" s="26">
        <f>'Resource Build-Up'!H97</f>
        <v/>
      </c>
      <c r="F98" s="26">
        <f>'Resource Build-Up'!P97</f>
        <v/>
      </c>
      <c r="G98" s="26">
        <f>'Resource Build-Up'!Q97</f>
        <v/>
      </c>
      <c r="H98" s="26">
        <f>'Resource Build-Up'!T97</f>
        <v/>
      </c>
      <c r="I98" s="1461">
        <f>'Resource Build-Up'!Y97</f>
        <v/>
      </c>
      <c r="J98" s="1461">
        <f>'Resource Build-Up'!Z97</f>
        <v/>
      </c>
      <c r="K98" s="26" t="n"/>
      <c r="L98" s="26" t="n"/>
      <c r="M98" s="26" t="n"/>
      <c r="N98" s="26" t="n"/>
      <c r="O98" s="26" t="n"/>
      <c r="P98" s="26" t="n"/>
      <c r="Q98" s="26">
        <f>COUNTIF(L98,"PASS")+COUNTIF(N98,"PASS")+COUNTIF(P98,"PASS")</f>
        <v/>
      </c>
      <c r="R98" s="26">
        <f>'Resource Build-Up'!AC97</f>
        <v/>
      </c>
      <c r="S98" s="26">
        <f>'Resource Build-Up'!AF97</f>
        <v/>
      </c>
      <c r="T98" s="99" t="n"/>
      <c r="U98" s="26" t="n"/>
      <c r="V98" s="26">
        <f>'Resource Build-Up'!AG97</f>
        <v/>
      </c>
    </row>
    <row r="99" ht="32.40000152587891" customHeight="1" s="491">
      <c r="A99" s="98" t="inlineStr">
        <is>
          <t>RV-092</t>
        </is>
      </c>
      <c r="B99" s="98">
        <f>'Resource Build-Up'!A98</f>
        <v/>
      </c>
      <c r="C99" s="98">
        <f>'Resource Build-Up'!B98</f>
        <v/>
      </c>
      <c r="D99" s="26">
        <f>'Resource Build-Up'!C98</f>
        <v/>
      </c>
      <c r="E99" s="26">
        <f>'Resource Build-Up'!H98</f>
        <v/>
      </c>
      <c r="F99" s="26">
        <f>'Resource Build-Up'!P98</f>
        <v/>
      </c>
      <c r="G99" s="26">
        <f>'Resource Build-Up'!Q98</f>
        <v/>
      </c>
      <c r="H99" s="26">
        <f>'Resource Build-Up'!T98</f>
        <v/>
      </c>
      <c r="I99" s="1461">
        <f>'Resource Build-Up'!Y98</f>
        <v/>
      </c>
      <c r="J99" s="1461">
        <f>'Resource Build-Up'!Z98</f>
        <v/>
      </c>
      <c r="K99" s="26" t="n"/>
      <c r="L99" s="26" t="n"/>
      <c r="M99" s="26" t="n"/>
      <c r="N99" s="26" t="n"/>
      <c r="O99" s="26" t="n"/>
      <c r="P99" s="26" t="n"/>
      <c r="Q99" s="26">
        <f>COUNTIF(L99,"PASS")+COUNTIF(N99,"PASS")+COUNTIF(P99,"PASS")</f>
        <v/>
      </c>
      <c r="R99" s="26">
        <f>'Resource Build-Up'!AC98</f>
        <v/>
      </c>
      <c r="S99" s="26">
        <f>'Resource Build-Up'!AF98</f>
        <v/>
      </c>
      <c r="T99" s="99" t="n"/>
      <c r="U99" s="26" t="n"/>
      <c r="V99" s="26">
        <f>'Resource Build-Up'!AG98</f>
        <v/>
      </c>
    </row>
    <row r="100" ht="32.40000152587891" customHeight="1" s="491">
      <c r="A100" s="98" t="inlineStr">
        <is>
          <t>RV-093</t>
        </is>
      </c>
      <c r="B100" s="98">
        <f>'Resource Build-Up'!A99</f>
        <v/>
      </c>
      <c r="C100" s="98">
        <f>'Resource Build-Up'!B99</f>
        <v/>
      </c>
      <c r="D100" s="26">
        <f>'Resource Build-Up'!C99</f>
        <v/>
      </c>
      <c r="E100" s="26">
        <f>'Resource Build-Up'!H99</f>
        <v/>
      </c>
      <c r="F100" s="26">
        <f>'Resource Build-Up'!P99</f>
        <v/>
      </c>
      <c r="G100" s="26">
        <f>'Resource Build-Up'!Q99</f>
        <v/>
      </c>
      <c r="H100" s="26">
        <f>'Resource Build-Up'!T99</f>
        <v/>
      </c>
      <c r="I100" s="1461">
        <f>'Resource Build-Up'!Y99</f>
        <v/>
      </c>
      <c r="J100" s="1461">
        <f>'Resource Build-Up'!Z99</f>
        <v/>
      </c>
      <c r="K100" s="26" t="n"/>
      <c r="L100" s="26" t="n"/>
      <c r="M100" s="26" t="n"/>
      <c r="N100" s="26" t="n"/>
      <c r="O100" s="26" t="n"/>
      <c r="P100" s="26" t="n"/>
      <c r="Q100" s="26">
        <f>COUNTIF(L100,"PASS")+COUNTIF(N100,"PASS")+COUNTIF(P100,"PASS")</f>
        <v/>
      </c>
      <c r="R100" s="26">
        <f>'Resource Build-Up'!AC99</f>
        <v/>
      </c>
      <c r="S100" s="26">
        <f>'Resource Build-Up'!AF99</f>
        <v/>
      </c>
      <c r="T100" s="99" t="n"/>
      <c r="U100" s="26" t="n"/>
      <c r="V100" s="26">
        <f>'Resource Build-Up'!AG99</f>
        <v/>
      </c>
    </row>
    <row r="101" ht="32.40000152587891" customHeight="1" s="491">
      <c r="A101" s="98" t="inlineStr">
        <is>
          <t>RV-094</t>
        </is>
      </c>
      <c r="B101" s="98">
        <f>'Resource Build-Up'!A100</f>
        <v/>
      </c>
      <c r="C101" s="98">
        <f>'Resource Build-Up'!B100</f>
        <v/>
      </c>
      <c r="D101" s="26">
        <f>'Resource Build-Up'!C100</f>
        <v/>
      </c>
      <c r="E101" s="26">
        <f>'Resource Build-Up'!H100</f>
        <v/>
      </c>
      <c r="F101" s="26">
        <f>'Resource Build-Up'!P100</f>
        <v/>
      </c>
      <c r="G101" s="26">
        <f>'Resource Build-Up'!Q100</f>
        <v/>
      </c>
      <c r="H101" s="26">
        <f>'Resource Build-Up'!T100</f>
        <v/>
      </c>
      <c r="I101" s="1461">
        <f>'Resource Build-Up'!Y100</f>
        <v/>
      </c>
      <c r="J101" s="1461">
        <f>'Resource Build-Up'!Z100</f>
        <v/>
      </c>
      <c r="K101" s="26" t="n"/>
      <c r="L101" s="26" t="n"/>
      <c r="M101" s="26" t="n"/>
      <c r="N101" s="26" t="n"/>
      <c r="O101" s="26" t="n"/>
      <c r="P101" s="26" t="n"/>
      <c r="Q101" s="26">
        <f>COUNTIF(L101,"PASS")+COUNTIF(N101,"PASS")+COUNTIF(P101,"PASS")</f>
        <v/>
      </c>
      <c r="R101" s="26">
        <f>'Resource Build-Up'!AC100</f>
        <v/>
      </c>
      <c r="S101" s="26">
        <f>'Resource Build-Up'!AF100</f>
        <v/>
      </c>
      <c r="T101" s="99" t="n"/>
      <c r="U101" s="26" t="n"/>
      <c r="V101" s="26">
        <f>'Resource Build-Up'!AG100</f>
        <v/>
      </c>
    </row>
    <row r="102" ht="32.40000152587891" customHeight="1" s="491">
      <c r="A102" s="98" t="inlineStr">
        <is>
          <t>RV-095</t>
        </is>
      </c>
      <c r="B102" s="98">
        <f>'Resource Build-Up'!A101</f>
        <v/>
      </c>
      <c r="C102" s="98">
        <f>'Resource Build-Up'!B101</f>
        <v/>
      </c>
      <c r="D102" s="26">
        <f>'Resource Build-Up'!C101</f>
        <v/>
      </c>
      <c r="E102" s="26">
        <f>'Resource Build-Up'!H101</f>
        <v/>
      </c>
      <c r="F102" s="26">
        <f>'Resource Build-Up'!P101</f>
        <v/>
      </c>
      <c r="G102" s="26">
        <f>'Resource Build-Up'!Q101</f>
        <v/>
      </c>
      <c r="H102" s="26">
        <f>'Resource Build-Up'!T101</f>
        <v/>
      </c>
      <c r="I102" s="1461">
        <f>'Resource Build-Up'!Y101</f>
        <v/>
      </c>
      <c r="J102" s="1461">
        <f>'Resource Build-Up'!Z101</f>
        <v/>
      </c>
      <c r="K102" s="26" t="n"/>
      <c r="L102" s="26" t="n"/>
      <c r="M102" s="26" t="n"/>
      <c r="N102" s="26" t="n"/>
      <c r="O102" s="26" t="n"/>
      <c r="P102" s="26" t="n"/>
      <c r="Q102" s="26">
        <f>COUNTIF(L102,"PASS")+COUNTIF(N102,"PASS")+COUNTIF(P102,"PASS")</f>
        <v/>
      </c>
      <c r="R102" s="26">
        <f>'Resource Build-Up'!AC101</f>
        <v/>
      </c>
      <c r="S102" s="26">
        <f>'Resource Build-Up'!AF101</f>
        <v/>
      </c>
      <c r="T102" s="99" t="n"/>
      <c r="U102" s="26" t="n"/>
      <c r="V102" s="26">
        <f>'Resource Build-Up'!AG101</f>
        <v/>
      </c>
    </row>
    <row r="103" ht="32.40000152587891" customHeight="1" s="491">
      <c r="A103" s="98" t="inlineStr">
        <is>
          <t>RV-096</t>
        </is>
      </c>
      <c r="B103" s="98">
        <f>'Resource Build-Up'!A102</f>
        <v/>
      </c>
      <c r="C103" s="98">
        <f>'Resource Build-Up'!B102</f>
        <v/>
      </c>
      <c r="D103" s="26">
        <f>'Resource Build-Up'!C102</f>
        <v/>
      </c>
      <c r="E103" s="26">
        <f>'Resource Build-Up'!H102</f>
        <v/>
      </c>
      <c r="F103" s="26">
        <f>'Resource Build-Up'!P102</f>
        <v/>
      </c>
      <c r="G103" s="26">
        <f>'Resource Build-Up'!Q102</f>
        <v/>
      </c>
      <c r="H103" s="26">
        <f>'Resource Build-Up'!T102</f>
        <v/>
      </c>
      <c r="I103" s="1461">
        <f>'Resource Build-Up'!Y102</f>
        <v/>
      </c>
      <c r="J103" s="1461">
        <f>'Resource Build-Up'!Z102</f>
        <v/>
      </c>
      <c r="K103" s="26" t="n"/>
      <c r="L103" s="26" t="n"/>
      <c r="M103" s="26" t="n"/>
      <c r="N103" s="26" t="n"/>
      <c r="O103" s="26" t="n"/>
      <c r="P103" s="26" t="n"/>
      <c r="Q103" s="26">
        <f>COUNTIF(L103,"PASS")+COUNTIF(N103,"PASS")+COUNTIF(P103,"PASS")</f>
        <v/>
      </c>
      <c r="R103" s="26">
        <f>'Resource Build-Up'!AC102</f>
        <v/>
      </c>
      <c r="S103" s="26">
        <f>'Resource Build-Up'!AF102</f>
        <v/>
      </c>
      <c r="T103" s="99" t="n"/>
      <c r="U103" s="26" t="n"/>
      <c r="V103" s="26">
        <f>'Resource Build-Up'!AG102</f>
        <v/>
      </c>
    </row>
    <row r="104" ht="32.40000152587891" customHeight="1" s="491">
      <c r="A104" s="98" t="inlineStr">
        <is>
          <t>RV-097</t>
        </is>
      </c>
      <c r="B104" s="98">
        <f>'Resource Build-Up'!A103</f>
        <v/>
      </c>
      <c r="C104" s="98">
        <f>'Resource Build-Up'!B103</f>
        <v/>
      </c>
      <c r="D104" s="26">
        <f>'Resource Build-Up'!C103</f>
        <v/>
      </c>
      <c r="E104" s="26">
        <f>'Resource Build-Up'!H103</f>
        <v/>
      </c>
      <c r="F104" s="26">
        <f>'Resource Build-Up'!P103</f>
        <v/>
      </c>
      <c r="G104" s="26">
        <f>'Resource Build-Up'!Q103</f>
        <v/>
      </c>
      <c r="H104" s="26">
        <f>'Resource Build-Up'!T103</f>
        <v/>
      </c>
      <c r="I104" s="1461">
        <f>'Resource Build-Up'!Y103</f>
        <v/>
      </c>
      <c r="J104" s="1461">
        <f>'Resource Build-Up'!Z103</f>
        <v/>
      </c>
      <c r="K104" s="26" t="n"/>
      <c r="L104" s="26" t="n"/>
      <c r="M104" s="26" t="n"/>
      <c r="N104" s="26" t="n"/>
      <c r="O104" s="26" t="n"/>
      <c r="P104" s="26" t="n"/>
      <c r="Q104" s="26">
        <f>COUNTIF(L104,"PASS")+COUNTIF(N104,"PASS")+COUNTIF(P104,"PASS")</f>
        <v/>
      </c>
      <c r="R104" s="26">
        <f>'Resource Build-Up'!AC103</f>
        <v/>
      </c>
      <c r="S104" s="26">
        <f>'Resource Build-Up'!AF103</f>
        <v/>
      </c>
      <c r="T104" s="99" t="n"/>
      <c r="U104" s="26" t="n"/>
      <c r="V104" s="26">
        <f>'Resource Build-Up'!AG103</f>
        <v/>
      </c>
    </row>
    <row r="105" ht="32.40000152587891" customHeight="1" s="491">
      <c r="A105" s="98" t="inlineStr">
        <is>
          <t>RV-098</t>
        </is>
      </c>
      <c r="B105" s="98">
        <f>'Resource Build-Up'!A104</f>
        <v/>
      </c>
      <c r="C105" s="98">
        <f>'Resource Build-Up'!B104</f>
        <v/>
      </c>
      <c r="D105" s="26">
        <f>'Resource Build-Up'!C104</f>
        <v/>
      </c>
      <c r="E105" s="26">
        <f>'Resource Build-Up'!H104</f>
        <v/>
      </c>
      <c r="F105" s="26">
        <f>'Resource Build-Up'!P104</f>
        <v/>
      </c>
      <c r="G105" s="26">
        <f>'Resource Build-Up'!Q104</f>
        <v/>
      </c>
      <c r="H105" s="26">
        <f>'Resource Build-Up'!T104</f>
        <v/>
      </c>
      <c r="I105" s="1461">
        <f>'Resource Build-Up'!Y104</f>
        <v/>
      </c>
      <c r="J105" s="1461">
        <f>'Resource Build-Up'!Z104</f>
        <v/>
      </c>
      <c r="K105" s="26" t="n"/>
      <c r="L105" s="26" t="n"/>
      <c r="M105" s="26" t="n"/>
      <c r="N105" s="26" t="n"/>
      <c r="O105" s="26" t="n"/>
      <c r="P105" s="26" t="n"/>
      <c r="Q105" s="26">
        <f>COUNTIF(L105,"PASS")+COUNTIF(N105,"PASS")+COUNTIF(P105,"PASS")</f>
        <v/>
      </c>
      <c r="R105" s="26">
        <f>'Resource Build-Up'!AC104</f>
        <v/>
      </c>
      <c r="S105" s="26">
        <f>'Resource Build-Up'!AF104</f>
        <v/>
      </c>
      <c r="T105" s="99" t="n"/>
      <c r="U105" s="26" t="n"/>
      <c r="V105" s="26">
        <f>'Resource Build-Up'!AG104</f>
        <v/>
      </c>
    </row>
    <row r="106" ht="32.40000152587891" customHeight="1" s="491">
      <c r="A106" s="98" t="inlineStr">
        <is>
          <t>RV-099</t>
        </is>
      </c>
      <c r="B106" s="98">
        <f>'Resource Build-Up'!A105</f>
        <v/>
      </c>
      <c r="C106" s="98">
        <f>'Resource Build-Up'!B105</f>
        <v/>
      </c>
      <c r="D106" s="26">
        <f>'Resource Build-Up'!C105</f>
        <v/>
      </c>
      <c r="E106" s="26">
        <f>'Resource Build-Up'!H105</f>
        <v/>
      </c>
      <c r="F106" s="26">
        <f>'Resource Build-Up'!P105</f>
        <v/>
      </c>
      <c r="G106" s="26">
        <f>'Resource Build-Up'!Q105</f>
        <v/>
      </c>
      <c r="H106" s="26">
        <f>'Resource Build-Up'!T105</f>
        <v/>
      </c>
      <c r="I106" s="1461">
        <f>'Resource Build-Up'!Y105</f>
        <v/>
      </c>
      <c r="J106" s="1461">
        <f>'Resource Build-Up'!Z105</f>
        <v/>
      </c>
      <c r="K106" s="26" t="n"/>
      <c r="L106" s="26" t="n"/>
      <c r="M106" s="26" t="n"/>
      <c r="N106" s="26" t="n"/>
      <c r="O106" s="26" t="n"/>
      <c r="P106" s="26" t="n"/>
      <c r="Q106" s="26">
        <f>COUNTIF(L106,"PASS")+COUNTIF(N106,"PASS")+COUNTIF(P106,"PASS")</f>
        <v/>
      </c>
      <c r="R106" s="26">
        <f>'Resource Build-Up'!AC105</f>
        <v/>
      </c>
      <c r="S106" s="26">
        <f>'Resource Build-Up'!AF105</f>
        <v/>
      </c>
      <c r="T106" s="99" t="n"/>
      <c r="U106" s="26" t="n"/>
      <c r="V106" s="26">
        <f>'Resource Build-Up'!AG105</f>
        <v/>
      </c>
    </row>
    <row r="107" ht="32.40000152587891" customHeight="1" s="491">
      <c r="A107" s="98" t="inlineStr">
        <is>
          <t>RV-100</t>
        </is>
      </c>
      <c r="B107" s="98">
        <f>'Resource Build-Up'!A106</f>
        <v/>
      </c>
      <c r="C107" s="98">
        <f>'Resource Build-Up'!B106</f>
        <v/>
      </c>
      <c r="D107" s="26">
        <f>'Resource Build-Up'!C106</f>
        <v/>
      </c>
      <c r="E107" s="26">
        <f>'Resource Build-Up'!H106</f>
        <v/>
      </c>
      <c r="F107" s="26">
        <f>'Resource Build-Up'!P106</f>
        <v/>
      </c>
      <c r="G107" s="26">
        <f>'Resource Build-Up'!Q106</f>
        <v/>
      </c>
      <c r="H107" s="26">
        <f>'Resource Build-Up'!T106</f>
        <v/>
      </c>
      <c r="I107" s="1461">
        <f>'Resource Build-Up'!Y106</f>
        <v/>
      </c>
      <c r="J107" s="1461">
        <f>'Resource Build-Up'!Z106</f>
        <v/>
      </c>
      <c r="K107" s="26" t="n"/>
      <c r="L107" s="26" t="n"/>
      <c r="M107" s="26" t="n"/>
      <c r="N107" s="26" t="n"/>
      <c r="O107" s="26" t="n"/>
      <c r="P107" s="26" t="n"/>
      <c r="Q107" s="26">
        <f>COUNTIF(L107,"PASS")+COUNTIF(N107,"PASS")+COUNTIF(P107,"PASS")</f>
        <v/>
      </c>
      <c r="R107" s="26">
        <f>'Resource Build-Up'!AC106</f>
        <v/>
      </c>
      <c r="S107" s="26">
        <f>'Resource Build-Up'!AF106</f>
        <v/>
      </c>
      <c r="T107" s="99" t="n"/>
      <c r="U107" s="26" t="n"/>
      <c r="V107" s="26">
        <f>'Resource Build-Up'!AG106</f>
        <v/>
      </c>
    </row>
    <row r="108" ht="32.40000152587891" customHeight="1" s="491">
      <c r="A108" s="98" t="inlineStr">
        <is>
          <t>RV-101</t>
        </is>
      </c>
      <c r="B108" s="98">
        <f>'Resource Build-Up'!A107</f>
        <v/>
      </c>
      <c r="C108" s="98">
        <f>'Resource Build-Up'!B107</f>
        <v/>
      </c>
      <c r="D108" s="26">
        <f>'Resource Build-Up'!C107</f>
        <v/>
      </c>
      <c r="E108" s="26">
        <f>'Resource Build-Up'!H107</f>
        <v/>
      </c>
      <c r="F108" s="26">
        <f>'Resource Build-Up'!P107</f>
        <v/>
      </c>
      <c r="G108" s="26">
        <f>'Resource Build-Up'!Q107</f>
        <v/>
      </c>
      <c r="H108" s="26">
        <f>'Resource Build-Up'!T107</f>
        <v/>
      </c>
      <c r="I108" s="1461">
        <f>'Resource Build-Up'!Y107</f>
        <v/>
      </c>
      <c r="J108" s="1461">
        <f>'Resource Build-Up'!Z107</f>
        <v/>
      </c>
      <c r="K108" s="26" t="n"/>
      <c r="L108" s="26" t="n"/>
      <c r="M108" s="26" t="n"/>
      <c r="N108" s="26" t="n"/>
      <c r="O108" s="26" t="n"/>
      <c r="P108" s="26" t="n"/>
      <c r="Q108" s="26">
        <f>COUNTIF(L108,"PASS")+COUNTIF(N108,"PASS")+COUNTIF(P108,"PASS")</f>
        <v/>
      </c>
      <c r="R108" s="26">
        <f>'Resource Build-Up'!AC107</f>
        <v/>
      </c>
      <c r="S108" s="26">
        <f>'Resource Build-Up'!AF107</f>
        <v/>
      </c>
      <c r="T108" s="100" t="n"/>
      <c r="U108" s="26" t="n"/>
      <c r="V108" s="26">
        <f>'Resource Build-Up'!AG107</f>
        <v/>
      </c>
    </row>
    <row r="109" ht="32.40000152587891" customHeight="1" s="491">
      <c r="A109" s="98" t="inlineStr">
        <is>
          <t>RV-102</t>
        </is>
      </c>
      <c r="B109" s="98">
        <f>'Resource Build-Up'!A108</f>
        <v/>
      </c>
      <c r="C109" s="98">
        <f>'Resource Build-Up'!B108</f>
        <v/>
      </c>
      <c r="D109" s="26">
        <f>'Resource Build-Up'!C108</f>
        <v/>
      </c>
      <c r="E109" s="26">
        <f>'Resource Build-Up'!H108</f>
        <v/>
      </c>
      <c r="F109" s="26">
        <f>'Resource Build-Up'!P108</f>
        <v/>
      </c>
      <c r="G109" s="26">
        <f>'Resource Build-Up'!Q108</f>
        <v/>
      </c>
      <c r="H109" s="26">
        <f>'Resource Build-Up'!T108</f>
        <v/>
      </c>
      <c r="I109" s="1461">
        <f>'Resource Build-Up'!Y108</f>
        <v/>
      </c>
      <c r="J109" s="1461">
        <f>'Resource Build-Up'!Z108</f>
        <v/>
      </c>
      <c r="K109" s="26" t="n"/>
      <c r="L109" s="26" t="n"/>
      <c r="M109" s="26" t="n"/>
      <c r="N109" s="26" t="n"/>
      <c r="O109" s="26" t="n"/>
      <c r="P109" s="26" t="n"/>
      <c r="Q109" s="26">
        <f>COUNTIF(L109,"PASS")+COUNTIF(N109,"PASS")+COUNTIF(P109,"PASS")</f>
        <v/>
      </c>
      <c r="R109" s="26">
        <f>'Resource Build-Up'!AC108</f>
        <v/>
      </c>
      <c r="S109" s="26">
        <f>'Resource Build-Up'!AF108</f>
        <v/>
      </c>
      <c r="T109" s="100" t="n"/>
      <c r="U109" s="26" t="n"/>
      <c r="V109" s="26">
        <f>'Resource Build-Up'!AG108</f>
        <v/>
      </c>
    </row>
    <row r="110" ht="32.40000152587891" customHeight="1" s="491">
      <c r="A110" s="98" t="inlineStr">
        <is>
          <t>RV-103</t>
        </is>
      </c>
      <c r="B110" s="98">
        <f>'Resource Build-Up'!A109</f>
        <v/>
      </c>
      <c r="C110" s="98">
        <f>'Resource Build-Up'!B109</f>
        <v/>
      </c>
      <c r="D110" s="26">
        <f>'Resource Build-Up'!C109</f>
        <v/>
      </c>
      <c r="E110" s="26">
        <f>'Resource Build-Up'!H109</f>
        <v/>
      </c>
      <c r="F110" s="26">
        <f>'Resource Build-Up'!P109</f>
        <v/>
      </c>
      <c r="G110" s="26">
        <f>'Resource Build-Up'!Q109</f>
        <v/>
      </c>
      <c r="H110" s="26">
        <f>'Resource Build-Up'!T109</f>
        <v/>
      </c>
      <c r="I110" s="1461">
        <f>'Resource Build-Up'!Y109</f>
        <v/>
      </c>
      <c r="J110" s="1461">
        <f>'Resource Build-Up'!Z109</f>
        <v/>
      </c>
      <c r="K110" s="26" t="n"/>
      <c r="L110" s="26" t="n"/>
      <c r="M110" s="26" t="n"/>
      <c r="N110" s="26" t="n"/>
      <c r="O110" s="26" t="n"/>
      <c r="P110" s="26" t="n"/>
      <c r="Q110" s="26">
        <f>COUNTIF(L110,"PASS")+COUNTIF(N110,"PASS")+COUNTIF(P110,"PASS")</f>
        <v/>
      </c>
      <c r="R110" s="26">
        <f>'Resource Build-Up'!AC109</f>
        <v/>
      </c>
      <c r="S110" s="26">
        <f>'Resource Build-Up'!AF109</f>
        <v/>
      </c>
      <c r="T110" s="100" t="n"/>
      <c r="U110" s="26" t="n"/>
      <c r="V110" s="26">
        <f>'Resource Build-Up'!AG109</f>
        <v/>
      </c>
    </row>
    <row r="111" ht="32.40000152587891" customHeight="1" s="491">
      <c r="A111" s="98" t="inlineStr">
        <is>
          <t>RV-104</t>
        </is>
      </c>
      <c r="B111" s="98">
        <f>'Resource Build-Up'!A110</f>
        <v/>
      </c>
      <c r="C111" s="98">
        <f>'Resource Build-Up'!B110</f>
        <v/>
      </c>
      <c r="D111" s="26">
        <f>'Resource Build-Up'!C110</f>
        <v/>
      </c>
      <c r="E111" s="26">
        <f>'Resource Build-Up'!H110</f>
        <v/>
      </c>
      <c r="F111" s="26">
        <f>'Resource Build-Up'!P110</f>
        <v/>
      </c>
      <c r="G111" s="26">
        <f>'Resource Build-Up'!Q110</f>
        <v/>
      </c>
      <c r="H111" s="26">
        <f>'Resource Build-Up'!T110</f>
        <v/>
      </c>
      <c r="I111" s="1461">
        <f>'Resource Build-Up'!Y110</f>
        <v/>
      </c>
      <c r="J111" s="1461">
        <f>'Resource Build-Up'!Z110</f>
        <v/>
      </c>
      <c r="K111" s="26" t="n"/>
      <c r="L111" s="26" t="n"/>
      <c r="M111" s="26" t="n"/>
      <c r="N111" s="26" t="n"/>
      <c r="O111" s="26" t="n"/>
      <c r="P111" s="26" t="n"/>
      <c r="Q111" s="26">
        <f>COUNTIF(L111,"PASS")+COUNTIF(N111,"PASS")+COUNTIF(P111,"PASS")</f>
        <v/>
      </c>
      <c r="R111" s="26">
        <f>'Resource Build-Up'!AC110</f>
        <v/>
      </c>
      <c r="S111" s="26">
        <f>'Resource Build-Up'!AF110</f>
        <v/>
      </c>
      <c r="T111" s="100" t="n"/>
      <c r="U111" s="26" t="n"/>
      <c r="V111" s="26">
        <f>'Resource Build-Up'!AG110</f>
        <v/>
      </c>
    </row>
    <row r="112" ht="32.40000152587891" customHeight="1" s="491">
      <c r="A112" s="98" t="inlineStr">
        <is>
          <t>RV-105</t>
        </is>
      </c>
      <c r="B112" s="98">
        <f>'Resource Build-Up'!A111</f>
        <v/>
      </c>
      <c r="C112" s="98">
        <f>'Resource Build-Up'!B111</f>
        <v/>
      </c>
      <c r="D112" s="26">
        <f>'Resource Build-Up'!C111</f>
        <v/>
      </c>
      <c r="E112" s="26">
        <f>'Resource Build-Up'!H111</f>
        <v/>
      </c>
      <c r="F112" s="26">
        <f>'Resource Build-Up'!P111</f>
        <v/>
      </c>
      <c r="G112" s="26">
        <f>'Resource Build-Up'!Q111</f>
        <v/>
      </c>
      <c r="H112" s="26">
        <f>'Resource Build-Up'!T111</f>
        <v/>
      </c>
      <c r="I112" s="1461">
        <f>'Resource Build-Up'!Y111</f>
        <v/>
      </c>
      <c r="J112" s="1461">
        <f>'Resource Build-Up'!Z111</f>
        <v/>
      </c>
      <c r="K112" s="26" t="n"/>
      <c r="L112" s="26" t="n"/>
      <c r="M112" s="26" t="n"/>
      <c r="N112" s="26" t="n"/>
      <c r="O112" s="26" t="n"/>
      <c r="P112" s="26" t="n"/>
      <c r="Q112" s="26">
        <f>COUNTIF(L112,"PASS")+COUNTIF(N112,"PASS")+COUNTIF(P112,"PASS")</f>
        <v/>
      </c>
      <c r="R112" s="26">
        <f>'Resource Build-Up'!AC111</f>
        <v/>
      </c>
      <c r="S112" s="26">
        <f>'Resource Build-Up'!AF111</f>
        <v/>
      </c>
      <c r="T112" s="100" t="n"/>
      <c r="U112" s="26" t="n"/>
      <c r="V112" s="26">
        <f>'Resource Build-Up'!AG111</f>
        <v/>
      </c>
    </row>
    <row r="113" ht="32.40000152587891" customHeight="1" s="491">
      <c r="A113" s="98" t="inlineStr">
        <is>
          <t>RV-106</t>
        </is>
      </c>
      <c r="B113" s="98">
        <f>'Resource Build-Up'!A112</f>
        <v/>
      </c>
      <c r="C113" s="98">
        <f>'Resource Build-Up'!B112</f>
        <v/>
      </c>
      <c r="D113" s="26">
        <f>'Resource Build-Up'!C112</f>
        <v/>
      </c>
      <c r="E113" s="26">
        <f>'Resource Build-Up'!H112</f>
        <v/>
      </c>
      <c r="F113" s="26">
        <f>'Resource Build-Up'!P112</f>
        <v/>
      </c>
      <c r="G113" s="26">
        <f>'Resource Build-Up'!Q112</f>
        <v/>
      </c>
      <c r="H113" s="26">
        <f>'Resource Build-Up'!T112</f>
        <v/>
      </c>
      <c r="I113" s="1461">
        <f>'Resource Build-Up'!Y112</f>
        <v/>
      </c>
      <c r="J113" s="1461">
        <f>'Resource Build-Up'!Z112</f>
        <v/>
      </c>
      <c r="K113" s="26" t="n"/>
      <c r="L113" s="26" t="n"/>
      <c r="M113" s="26" t="n"/>
      <c r="N113" s="26" t="n"/>
      <c r="O113" s="26" t="n"/>
      <c r="P113" s="26" t="n"/>
      <c r="Q113" s="26">
        <f>COUNTIF(L113,"PASS")+COUNTIF(N113,"PASS")+COUNTIF(P113,"PASS")</f>
        <v/>
      </c>
      <c r="R113" s="26">
        <f>'Resource Build-Up'!AC112</f>
        <v/>
      </c>
      <c r="S113" s="26">
        <f>'Resource Build-Up'!AF112</f>
        <v/>
      </c>
      <c r="T113" s="99" t="n"/>
      <c r="U113" s="26" t="n"/>
      <c r="V113" s="26">
        <f>'Resource Build-Up'!AG112</f>
        <v/>
      </c>
    </row>
    <row r="114" ht="32.40000152587891" customHeight="1" s="491">
      <c r="A114" s="98" t="inlineStr">
        <is>
          <t>RV-107</t>
        </is>
      </c>
      <c r="B114" s="98">
        <f>'Resource Build-Up'!A113</f>
        <v/>
      </c>
      <c r="C114" s="98">
        <f>'Resource Build-Up'!B113</f>
        <v/>
      </c>
      <c r="D114" s="26">
        <f>'Resource Build-Up'!C113</f>
        <v/>
      </c>
      <c r="E114" s="26">
        <f>'Resource Build-Up'!H113</f>
        <v/>
      </c>
      <c r="F114" s="26">
        <f>'Resource Build-Up'!P113</f>
        <v/>
      </c>
      <c r="G114" s="26">
        <f>'Resource Build-Up'!Q113</f>
        <v/>
      </c>
      <c r="H114" s="26">
        <f>'Resource Build-Up'!T113</f>
        <v/>
      </c>
      <c r="I114" s="1461">
        <f>'Resource Build-Up'!Y113</f>
        <v/>
      </c>
      <c r="J114" s="1461">
        <f>'Resource Build-Up'!Z113</f>
        <v/>
      </c>
      <c r="K114" s="26" t="n"/>
      <c r="L114" s="26" t="n"/>
      <c r="M114" s="26" t="n"/>
      <c r="N114" s="26" t="n"/>
      <c r="O114" s="26" t="n"/>
      <c r="P114" s="26" t="n"/>
      <c r="Q114" s="26">
        <f>COUNTIF(L114,"PASS")+COUNTIF(N114,"PASS")+COUNTIF(P114,"PASS")</f>
        <v/>
      </c>
      <c r="R114" s="26">
        <f>'Resource Build-Up'!AC113</f>
        <v/>
      </c>
      <c r="S114" s="26">
        <f>'Resource Build-Up'!AF113</f>
        <v/>
      </c>
      <c r="T114" s="100" t="n"/>
      <c r="U114" s="26" t="n"/>
      <c r="V114" s="26">
        <f>'Resource Build-Up'!AG113</f>
        <v/>
      </c>
    </row>
    <row r="115" ht="32.40000152587891" customHeight="1" s="491">
      <c r="A115" s="98" t="inlineStr">
        <is>
          <t>RV-108</t>
        </is>
      </c>
      <c r="B115" s="98">
        <f>'Resource Build-Up'!A114</f>
        <v/>
      </c>
      <c r="C115" s="98">
        <f>'Resource Build-Up'!B114</f>
        <v/>
      </c>
      <c r="D115" s="26">
        <f>'Resource Build-Up'!C114</f>
        <v/>
      </c>
      <c r="E115" s="26">
        <f>'Resource Build-Up'!H114</f>
        <v/>
      </c>
      <c r="F115" s="26">
        <f>'Resource Build-Up'!P114</f>
        <v/>
      </c>
      <c r="G115" s="26">
        <f>'Resource Build-Up'!Q114</f>
        <v/>
      </c>
      <c r="H115" s="26">
        <f>'Resource Build-Up'!T114</f>
        <v/>
      </c>
      <c r="I115" s="1461">
        <f>'Resource Build-Up'!Y114</f>
        <v/>
      </c>
      <c r="J115" s="1461">
        <f>'Resource Build-Up'!Z114</f>
        <v/>
      </c>
      <c r="K115" s="26" t="n"/>
      <c r="L115" s="26" t="n"/>
      <c r="M115" s="26" t="n"/>
      <c r="N115" s="26" t="n"/>
      <c r="O115" s="26" t="n"/>
      <c r="P115" s="26" t="n"/>
      <c r="Q115" s="26">
        <f>COUNTIF(L115,"PASS")+COUNTIF(N115,"PASS")+COUNTIF(P115,"PASS")</f>
        <v/>
      </c>
      <c r="R115" s="26">
        <f>'Resource Build-Up'!AC114</f>
        <v/>
      </c>
      <c r="S115" s="26">
        <f>'Resource Build-Up'!AF114</f>
        <v/>
      </c>
      <c r="T115" s="100" t="n"/>
      <c r="U115" s="26" t="n"/>
      <c r="V115" s="26">
        <f>'Resource Build-Up'!AG114</f>
        <v/>
      </c>
    </row>
    <row r="116" ht="32.40000152587891" customHeight="1" s="491">
      <c r="A116" s="98" t="inlineStr">
        <is>
          <t>RV-109</t>
        </is>
      </c>
      <c r="B116" s="98">
        <f>'Resource Build-Up'!A115</f>
        <v/>
      </c>
      <c r="C116" s="98">
        <f>'Resource Build-Up'!B115</f>
        <v/>
      </c>
      <c r="D116" s="26">
        <f>'Resource Build-Up'!C115</f>
        <v/>
      </c>
      <c r="E116" s="26">
        <f>'Resource Build-Up'!H115</f>
        <v/>
      </c>
      <c r="F116" s="26">
        <f>'Resource Build-Up'!P115</f>
        <v/>
      </c>
      <c r="G116" s="26">
        <f>'Resource Build-Up'!Q115</f>
        <v/>
      </c>
      <c r="H116" s="26">
        <f>'Resource Build-Up'!T115</f>
        <v/>
      </c>
      <c r="I116" s="1461">
        <f>'Resource Build-Up'!Y115</f>
        <v/>
      </c>
      <c r="J116" s="1461">
        <f>'Resource Build-Up'!Z115</f>
        <v/>
      </c>
      <c r="K116" s="26" t="n"/>
      <c r="L116" s="26" t="n"/>
      <c r="M116" s="26" t="n"/>
      <c r="N116" s="26" t="n"/>
      <c r="O116" s="26" t="n"/>
      <c r="P116" s="26" t="n"/>
      <c r="Q116" s="26">
        <f>COUNTIF(L116,"PASS")+COUNTIF(N116,"PASS")+COUNTIF(P116,"PASS")</f>
        <v/>
      </c>
      <c r="R116" s="26">
        <f>'Resource Build-Up'!AC115</f>
        <v/>
      </c>
      <c r="S116" s="26">
        <f>'Resource Build-Up'!AF115</f>
        <v/>
      </c>
      <c r="T116" s="99" t="n"/>
      <c r="U116" s="26" t="n"/>
      <c r="V116" s="26">
        <f>'Resource Build-Up'!AG115</f>
        <v/>
      </c>
    </row>
    <row r="117" ht="32.40000152587891" customHeight="1" s="491">
      <c r="A117" s="98" t="inlineStr">
        <is>
          <t>RV-110</t>
        </is>
      </c>
      <c r="B117" s="98">
        <f>'Resource Build-Up'!A116</f>
        <v/>
      </c>
      <c r="C117" s="98">
        <f>'Resource Build-Up'!B116</f>
        <v/>
      </c>
      <c r="D117" s="26">
        <f>'Resource Build-Up'!C116</f>
        <v/>
      </c>
      <c r="E117" s="26">
        <f>'Resource Build-Up'!H116</f>
        <v/>
      </c>
      <c r="F117" s="26">
        <f>'Resource Build-Up'!P116</f>
        <v/>
      </c>
      <c r="G117" s="26">
        <f>'Resource Build-Up'!Q116</f>
        <v/>
      </c>
      <c r="H117" s="26">
        <f>'Resource Build-Up'!T116</f>
        <v/>
      </c>
      <c r="I117" s="1461">
        <f>'Resource Build-Up'!Y116</f>
        <v/>
      </c>
      <c r="J117" s="1461">
        <f>'Resource Build-Up'!Z116</f>
        <v/>
      </c>
      <c r="K117" s="26" t="n"/>
      <c r="L117" s="26" t="n"/>
      <c r="M117" s="26" t="n"/>
      <c r="N117" s="26" t="n"/>
      <c r="O117" s="26" t="n"/>
      <c r="P117" s="26" t="n"/>
      <c r="Q117" s="26">
        <f>COUNTIF(L117,"PASS")+COUNTIF(N117,"PASS")+COUNTIF(P117,"PASS")</f>
        <v/>
      </c>
      <c r="R117" s="26">
        <f>'Resource Build-Up'!AC116</f>
        <v/>
      </c>
      <c r="S117" s="26">
        <f>'Resource Build-Up'!AF116</f>
        <v/>
      </c>
      <c r="T117" s="99" t="n"/>
      <c r="U117" s="26" t="n"/>
      <c r="V117" s="26">
        <f>'Resource Build-Up'!AG116</f>
        <v/>
      </c>
    </row>
    <row r="118" ht="32.40000152587891" customHeight="1" s="491">
      <c r="A118" s="98" t="inlineStr">
        <is>
          <t>RV-111</t>
        </is>
      </c>
      <c r="B118" s="98">
        <f>'Resource Build-Up'!A117</f>
        <v/>
      </c>
      <c r="C118" s="98">
        <f>'Resource Build-Up'!B117</f>
        <v/>
      </c>
      <c r="D118" s="26">
        <f>'Resource Build-Up'!C117</f>
        <v/>
      </c>
      <c r="E118" s="26">
        <f>'Resource Build-Up'!H117</f>
        <v/>
      </c>
      <c r="F118" s="26">
        <f>'Resource Build-Up'!P117</f>
        <v/>
      </c>
      <c r="G118" s="26">
        <f>'Resource Build-Up'!Q117</f>
        <v/>
      </c>
      <c r="H118" s="26">
        <f>'Resource Build-Up'!T117</f>
        <v/>
      </c>
      <c r="I118" s="1461">
        <f>'Resource Build-Up'!Y117</f>
        <v/>
      </c>
      <c r="J118" s="1461">
        <f>'Resource Build-Up'!Z117</f>
        <v/>
      </c>
      <c r="K118" s="26" t="n"/>
      <c r="L118" s="26" t="n"/>
      <c r="M118" s="26" t="n"/>
      <c r="N118" s="26" t="n"/>
      <c r="O118" s="26" t="n"/>
      <c r="P118" s="26" t="n"/>
      <c r="Q118" s="26">
        <f>COUNTIF(L118,"PASS")+COUNTIF(N118,"PASS")+COUNTIF(P118,"PASS")</f>
        <v/>
      </c>
      <c r="R118" s="26">
        <f>'Resource Build-Up'!AC117</f>
        <v/>
      </c>
      <c r="S118" s="26">
        <f>'Resource Build-Up'!AF117</f>
        <v/>
      </c>
      <c r="T118" s="99" t="n"/>
      <c r="U118" s="26" t="n"/>
      <c r="V118" s="26">
        <f>'Resource Build-Up'!AG117</f>
        <v/>
      </c>
    </row>
    <row r="119" ht="32.40000152587891" customHeight="1" s="491">
      <c r="A119" s="98" t="inlineStr">
        <is>
          <t>RV-112</t>
        </is>
      </c>
      <c r="B119" s="98">
        <f>'Resource Build-Up'!A118</f>
        <v/>
      </c>
      <c r="C119" s="98">
        <f>'Resource Build-Up'!B118</f>
        <v/>
      </c>
      <c r="D119" s="26">
        <f>'Resource Build-Up'!C118</f>
        <v/>
      </c>
      <c r="E119" s="26">
        <f>'Resource Build-Up'!H118</f>
        <v/>
      </c>
      <c r="F119" s="26">
        <f>'Resource Build-Up'!P118</f>
        <v/>
      </c>
      <c r="G119" s="26">
        <f>'Resource Build-Up'!Q118</f>
        <v/>
      </c>
      <c r="H119" s="26">
        <f>'Resource Build-Up'!T118</f>
        <v/>
      </c>
      <c r="I119" s="1461">
        <f>'Resource Build-Up'!Y118</f>
        <v/>
      </c>
      <c r="J119" s="1461">
        <f>'Resource Build-Up'!Z118</f>
        <v/>
      </c>
      <c r="K119" s="26" t="n"/>
      <c r="L119" s="26" t="n"/>
      <c r="M119" s="26" t="n"/>
      <c r="N119" s="26" t="n"/>
      <c r="O119" s="26" t="n"/>
      <c r="P119" s="26" t="n"/>
      <c r="Q119" s="26">
        <f>COUNTIF(L119,"PASS")+COUNTIF(N119,"PASS")+COUNTIF(P119,"PASS")</f>
        <v/>
      </c>
      <c r="R119" s="26">
        <f>'Resource Build-Up'!AC118</f>
        <v/>
      </c>
      <c r="S119" s="26">
        <f>'Resource Build-Up'!AF118</f>
        <v/>
      </c>
      <c r="T119" s="100" t="n"/>
      <c r="U119" s="26" t="n"/>
      <c r="V119" s="26">
        <f>'Resource Build-Up'!AG118</f>
        <v/>
      </c>
    </row>
    <row r="120" ht="32.40000152587891" customHeight="1" s="491">
      <c r="A120" s="98" t="inlineStr">
        <is>
          <t>RV-113</t>
        </is>
      </c>
      <c r="B120" s="98">
        <f>'Resource Build-Up'!A119</f>
        <v/>
      </c>
      <c r="C120" s="98">
        <f>'Resource Build-Up'!B119</f>
        <v/>
      </c>
      <c r="D120" s="26">
        <f>'Resource Build-Up'!C119</f>
        <v/>
      </c>
      <c r="E120" s="26">
        <f>'Resource Build-Up'!H119</f>
        <v/>
      </c>
      <c r="F120" s="26">
        <f>'Resource Build-Up'!P119</f>
        <v/>
      </c>
      <c r="G120" s="26">
        <f>'Resource Build-Up'!Q119</f>
        <v/>
      </c>
      <c r="H120" s="26">
        <f>'Resource Build-Up'!T119</f>
        <v/>
      </c>
      <c r="I120" s="1461">
        <f>'Resource Build-Up'!Y119</f>
        <v/>
      </c>
      <c r="J120" s="1461">
        <f>'Resource Build-Up'!Z119</f>
        <v/>
      </c>
      <c r="K120" s="26" t="n"/>
      <c r="L120" s="26" t="n"/>
      <c r="M120" s="26" t="n"/>
      <c r="N120" s="26" t="n"/>
      <c r="O120" s="26" t="n"/>
      <c r="P120" s="26" t="n"/>
      <c r="Q120" s="26">
        <f>COUNTIF(L120,"PASS")+COUNTIF(N120,"PASS")+COUNTIF(P120,"PASS")</f>
        <v/>
      </c>
      <c r="R120" s="26">
        <f>'Resource Build-Up'!AC119</f>
        <v/>
      </c>
      <c r="S120" s="26">
        <f>'Resource Build-Up'!AF119</f>
        <v/>
      </c>
      <c r="T120" s="101" t="n"/>
      <c r="U120" s="26" t="n"/>
      <c r="V120" s="26">
        <f>'Resource Build-Up'!AG119</f>
        <v/>
      </c>
    </row>
    <row r="121" ht="32.40000152587891" customHeight="1" s="491">
      <c r="A121" s="98" t="inlineStr">
        <is>
          <t>RV-114</t>
        </is>
      </c>
      <c r="B121" s="98">
        <f>'Resource Build-Up'!A120</f>
        <v/>
      </c>
      <c r="C121" s="98">
        <f>'Resource Build-Up'!B120</f>
        <v/>
      </c>
      <c r="D121" s="26">
        <f>'Resource Build-Up'!C120</f>
        <v/>
      </c>
      <c r="E121" s="26">
        <f>'Resource Build-Up'!H120</f>
        <v/>
      </c>
      <c r="F121" s="26">
        <f>'Resource Build-Up'!P120</f>
        <v/>
      </c>
      <c r="G121" s="26">
        <f>'Resource Build-Up'!Q120</f>
        <v/>
      </c>
      <c r="H121" s="26">
        <f>'Resource Build-Up'!T120</f>
        <v/>
      </c>
      <c r="I121" s="1461">
        <f>'Resource Build-Up'!Y120</f>
        <v/>
      </c>
      <c r="J121" s="1461">
        <f>'Resource Build-Up'!Z120</f>
        <v/>
      </c>
      <c r="K121" s="26" t="n"/>
      <c r="L121" s="26" t="n"/>
      <c r="M121" s="26" t="n"/>
      <c r="N121" s="26" t="n"/>
      <c r="O121" s="26" t="n"/>
      <c r="P121" s="26" t="n"/>
      <c r="Q121" s="26">
        <f>COUNTIF(L121,"PASS")+COUNTIF(N121,"PASS")+COUNTIF(P121,"PASS")</f>
        <v/>
      </c>
      <c r="R121" s="26">
        <f>'Resource Build-Up'!AC120</f>
        <v/>
      </c>
      <c r="S121" s="26">
        <f>'Resource Build-Up'!AF120</f>
        <v/>
      </c>
      <c r="T121" s="101" t="n"/>
      <c r="U121" s="26" t="n"/>
      <c r="V121" s="26">
        <f>'Resource Build-Up'!AG120</f>
        <v/>
      </c>
    </row>
    <row r="122" ht="32.40000152587891" customHeight="1" s="491">
      <c r="A122" s="98" t="inlineStr">
        <is>
          <t>RV-115</t>
        </is>
      </c>
      <c r="B122" s="98">
        <f>'Resource Build-Up'!A121</f>
        <v/>
      </c>
      <c r="C122" s="98">
        <f>'Resource Build-Up'!B121</f>
        <v/>
      </c>
      <c r="D122" s="26">
        <f>'Resource Build-Up'!C121</f>
        <v/>
      </c>
      <c r="E122" s="26">
        <f>'Resource Build-Up'!H121</f>
        <v/>
      </c>
      <c r="F122" s="26">
        <f>'Resource Build-Up'!P121</f>
        <v/>
      </c>
      <c r="G122" s="26">
        <f>'Resource Build-Up'!Q121</f>
        <v/>
      </c>
      <c r="H122" s="26">
        <f>'Resource Build-Up'!T121</f>
        <v/>
      </c>
      <c r="I122" s="1461">
        <f>'Resource Build-Up'!Y121</f>
        <v/>
      </c>
      <c r="J122" s="1461">
        <f>'Resource Build-Up'!Z121</f>
        <v/>
      </c>
      <c r="K122" s="26" t="n"/>
      <c r="L122" s="26" t="n"/>
      <c r="M122" s="26" t="n"/>
      <c r="N122" s="26" t="n"/>
      <c r="O122" s="26" t="n"/>
      <c r="P122" s="26" t="n"/>
      <c r="Q122" s="26">
        <f>COUNTIF(L122,"PASS")+COUNTIF(N122,"PASS")+COUNTIF(P122,"PASS")</f>
        <v/>
      </c>
      <c r="R122" s="26">
        <f>'Resource Build-Up'!AC121</f>
        <v/>
      </c>
      <c r="S122" s="26">
        <f>'Resource Build-Up'!AF121</f>
        <v/>
      </c>
      <c r="T122" s="99" t="n"/>
      <c r="U122" s="26" t="n"/>
      <c r="V122" s="26">
        <f>'Resource Build-Up'!AG121</f>
        <v/>
      </c>
    </row>
    <row r="123" ht="32.40000152587891" customHeight="1" s="491">
      <c r="A123" s="98" t="inlineStr">
        <is>
          <t>RV-116</t>
        </is>
      </c>
      <c r="B123" s="98">
        <f>'Resource Build-Up'!A122</f>
        <v/>
      </c>
      <c r="C123" s="98">
        <f>'Resource Build-Up'!B122</f>
        <v/>
      </c>
      <c r="D123" s="26">
        <f>'Resource Build-Up'!C122</f>
        <v/>
      </c>
      <c r="E123" s="26">
        <f>'Resource Build-Up'!H122</f>
        <v/>
      </c>
      <c r="F123" s="26">
        <f>'Resource Build-Up'!P122</f>
        <v/>
      </c>
      <c r="G123" s="26">
        <f>'Resource Build-Up'!Q122</f>
        <v/>
      </c>
      <c r="H123" s="26">
        <f>'Resource Build-Up'!T122</f>
        <v/>
      </c>
      <c r="I123" s="1461">
        <f>'Resource Build-Up'!Y122</f>
        <v/>
      </c>
      <c r="J123" s="1461">
        <f>'Resource Build-Up'!Z122</f>
        <v/>
      </c>
      <c r="K123" s="26" t="n"/>
      <c r="L123" s="26" t="n"/>
      <c r="M123" s="26" t="n"/>
      <c r="N123" s="26" t="n"/>
      <c r="O123" s="26" t="n"/>
      <c r="P123" s="26" t="n"/>
      <c r="Q123" s="26">
        <f>COUNTIF(L123,"PASS")+COUNTIF(N123,"PASS")+COUNTIF(P123,"PASS")</f>
        <v/>
      </c>
      <c r="R123" s="26">
        <f>'Resource Build-Up'!AC122</f>
        <v/>
      </c>
      <c r="S123" s="26">
        <f>'Resource Build-Up'!AF122</f>
        <v/>
      </c>
      <c r="T123" s="99" t="n"/>
      <c r="U123" s="26" t="n"/>
      <c r="V123" s="26">
        <f>'Resource Build-Up'!AG122</f>
        <v/>
      </c>
    </row>
    <row r="124" ht="32.40000152587891" customHeight="1" s="491">
      <c r="A124" s="98" t="inlineStr">
        <is>
          <t>RV-117</t>
        </is>
      </c>
      <c r="B124" s="98">
        <f>'Resource Build-Up'!A123</f>
        <v/>
      </c>
      <c r="C124" s="98">
        <f>'Resource Build-Up'!B123</f>
        <v/>
      </c>
      <c r="D124" s="26">
        <f>'Resource Build-Up'!C123</f>
        <v/>
      </c>
      <c r="E124" s="26">
        <f>'Resource Build-Up'!H123</f>
        <v/>
      </c>
      <c r="F124" s="26">
        <f>'Resource Build-Up'!P123</f>
        <v/>
      </c>
      <c r="G124" s="26">
        <f>'Resource Build-Up'!Q123</f>
        <v/>
      </c>
      <c r="H124" s="26">
        <f>'Resource Build-Up'!T123</f>
        <v/>
      </c>
      <c r="I124" s="1461">
        <f>'Resource Build-Up'!Y123</f>
        <v/>
      </c>
      <c r="J124" s="1461">
        <f>'Resource Build-Up'!Z123</f>
        <v/>
      </c>
      <c r="K124" s="26" t="n"/>
      <c r="L124" s="26" t="n"/>
      <c r="M124" s="26" t="n"/>
      <c r="N124" s="26" t="n"/>
      <c r="O124" s="26" t="n"/>
      <c r="P124" s="26" t="n"/>
      <c r="Q124" s="26">
        <f>COUNTIF(L124,"PASS")+COUNTIF(N124,"PASS")+COUNTIF(P124,"PASS")</f>
        <v/>
      </c>
      <c r="R124" s="26">
        <f>'Resource Build-Up'!AC123</f>
        <v/>
      </c>
      <c r="S124" s="26">
        <f>'Resource Build-Up'!AF123</f>
        <v/>
      </c>
      <c r="T124" s="100" t="n"/>
      <c r="U124" s="26" t="n"/>
      <c r="V124" s="26">
        <f>'Resource Build-Up'!AG123</f>
        <v/>
      </c>
    </row>
    <row r="125" ht="32.40000152587891" customHeight="1" s="491">
      <c r="A125" s="98" t="inlineStr">
        <is>
          <t>RV-118</t>
        </is>
      </c>
      <c r="B125" s="98">
        <f>'Resource Build-Up'!A124</f>
        <v/>
      </c>
      <c r="C125" s="98">
        <f>'Resource Build-Up'!B124</f>
        <v/>
      </c>
      <c r="D125" s="26">
        <f>'Resource Build-Up'!C124</f>
        <v/>
      </c>
      <c r="E125" s="26">
        <f>'Resource Build-Up'!H124</f>
        <v/>
      </c>
      <c r="F125" s="26">
        <f>'Resource Build-Up'!P124</f>
        <v/>
      </c>
      <c r="G125" s="26">
        <f>'Resource Build-Up'!Q124</f>
        <v/>
      </c>
      <c r="H125" s="26">
        <f>'Resource Build-Up'!T124</f>
        <v/>
      </c>
      <c r="I125" s="1461">
        <f>'Resource Build-Up'!Y124</f>
        <v/>
      </c>
      <c r="J125" s="1461">
        <f>'Resource Build-Up'!Z124</f>
        <v/>
      </c>
      <c r="K125" s="26" t="n"/>
      <c r="L125" s="26" t="n"/>
      <c r="M125" s="26" t="n"/>
      <c r="N125" s="26" t="n"/>
      <c r="O125" s="26" t="n"/>
      <c r="P125" s="26" t="n"/>
      <c r="Q125" s="26">
        <f>COUNTIF(L125,"PASS")+COUNTIF(N125,"PASS")+COUNTIF(P125,"PASS")</f>
        <v/>
      </c>
      <c r="R125" s="26">
        <f>'Resource Build-Up'!AC124</f>
        <v/>
      </c>
      <c r="S125" s="26">
        <f>'Resource Build-Up'!AF124</f>
        <v/>
      </c>
      <c r="T125" s="99" t="n"/>
      <c r="U125" s="26" t="n"/>
      <c r="V125" s="26">
        <f>'Resource Build-Up'!AG124</f>
        <v/>
      </c>
    </row>
    <row r="126" ht="32.40000152587891" customHeight="1" s="491">
      <c r="A126" s="98" t="inlineStr">
        <is>
          <t>RV-119</t>
        </is>
      </c>
      <c r="B126" s="98">
        <f>'Resource Build-Up'!A125</f>
        <v/>
      </c>
      <c r="C126" s="98">
        <f>'Resource Build-Up'!B125</f>
        <v/>
      </c>
      <c r="D126" s="26">
        <f>'Resource Build-Up'!C125</f>
        <v/>
      </c>
      <c r="E126" s="26">
        <f>'Resource Build-Up'!H125</f>
        <v/>
      </c>
      <c r="F126" s="26">
        <f>'Resource Build-Up'!P125</f>
        <v/>
      </c>
      <c r="G126" s="26">
        <f>'Resource Build-Up'!Q125</f>
        <v/>
      </c>
      <c r="H126" s="26">
        <f>'Resource Build-Up'!T125</f>
        <v/>
      </c>
      <c r="I126" s="1461">
        <f>'Resource Build-Up'!Y125</f>
        <v/>
      </c>
      <c r="J126" s="1461">
        <f>'Resource Build-Up'!Z125</f>
        <v/>
      </c>
      <c r="K126" s="26" t="n"/>
      <c r="L126" s="26" t="n"/>
      <c r="M126" s="26" t="n"/>
      <c r="N126" s="26" t="n"/>
      <c r="O126" s="26" t="n"/>
      <c r="P126" s="26" t="n"/>
      <c r="Q126" s="26">
        <f>COUNTIF(L126,"PASS")+COUNTIF(N126,"PASS")+COUNTIF(P126,"PASS")</f>
        <v/>
      </c>
      <c r="R126" s="26">
        <f>'Resource Build-Up'!AC125</f>
        <v/>
      </c>
      <c r="S126" s="26">
        <f>'Resource Build-Up'!AF125</f>
        <v/>
      </c>
      <c r="T126" s="99" t="n"/>
      <c r="U126" s="26" t="n"/>
      <c r="V126" s="26">
        <f>'Resource Build-Up'!AG125</f>
        <v/>
      </c>
    </row>
    <row r="127" ht="32.40000152587891" customHeight="1" s="491">
      <c r="A127" s="98" t="inlineStr">
        <is>
          <t>RV-120</t>
        </is>
      </c>
      <c r="B127" s="98">
        <f>'Resource Build-Up'!A126</f>
        <v/>
      </c>
      <c r="C127" s="98">
        <f>'Resource Build-Up'!B126</f>
        <v/>
      </c>
      <c r="D127" s="26">
        <f>'Resource Build-Up'!C126</f>
        <v/>
      </c>
      <c r="E127" s="26">
        <f>'Resource Build-Up'!H126</f>
        <v/>
      </c>
      <c r="F127" s="26">
        <f>'Resource Build-Up'!P126</f>
        <v/>
      </c>
      <c r="G127" s="26">
        <f>'Resource Build-Up'!Q126</f>
        <v/>
      </c>
      <c r="H127" s="26">
        <f>'Resource Build-Up'!T126</f>
        <v/>
      </c>
      <c r="I127" s="1461">
        <f>'Resource Build-Up'!Y126</f>
        <v/>
      </c>
      <c r="J127" s="1461">
        <f>'Resource Build-Up'!Z126</f>
        <v/>
      </c>
      <c r="K127" s="26" t="n"/>
      <c r="L127" s="26" t="n"/>
      <c r="M127" s="26" t="n"/>
      <c r="N127" s="26" t="n"/>
      <c r="O127" s="26" t="n"/>
      <c r="P127" s="26" t="n"/>
      <c r="Q127" s="26">
        <f>COUNTIF(L127,"PASS")+COUNTIF(N127,"PASS")+COUNTIF(P127,"PASS")</f>
        <v/>
      </c>
      <c r="R127" s="26">
        <f>'Resource Build-Up'!AC126</f>
        <v/>
      </c>
      <c r="S127" s="26">
        <f>'Resource Build-Up'!AF126</f>
        <v/>
      </c>
      <c r="T127" s="100" t="n"/>
      <c r="U127" s="26" t="n"/>
      <c r="V127" s="26">
        <f>'Resource Build-Up'!AG126</f>
        <v/>
      </c>
    </row>
    <row r="128" ht="32.40000152587891" customHeight="1" s="491">
      <c r="A128" s="98" t="inlineStr">
        <is>
          <t>RV-121</t>
        </is>
      </c>
      <c r="B128" s="98">
        <f>'Resource Build-Up'!A127</f>
        <v/>
      </c>
      <c r="C128" s="98">
        <f>'Resource Build-Up'!B127</f>
        <v/>
      </c>
      <c r="D128" s="26">
        <f>'Resource Build-Up'!C127</f>
        <v/>
      </c>
      <c r="E128" s="26">
        <f>'Resource Build-Up'!H127</f>
        <v/>
      </c>
      <c r="F128" s="26">
        <f>'Resource Build-Up'!P127</f>
        <v/>
      </c>
      <c r="G128" s="26">
        <f>'Resource Build-Up'!Q127</f>
        <v/>
      </c>
      <c r="H128" s="26">
        <f>'Resource Build-Up'!T127</f>
        <v/>
      </c>
      <c r="I128" s="1461">
        <f>'Resource Build-Up'!Y127</f>
        <v/>
      </c>
      <c r="J128" s="1461">
        <f>'Resource Build-Up'!Z127</f>
        <v/>
      </c>
      <c r="K128" s="26" t="n"/>
      <c r="L128" s="26" t="n"/>
      <c r="M128" s="26" t="n"/>
      <c r="N128" s="26" t="n"/>
      <c r="O128" s="26" t="n"/>
      <c r="P128" s="26" t="n"/>
      <c r="Q128" s="26">
        <f>COUNTIF(L128,"PASS")+COUNTIF(N128,"PASS")+COUNTIF(P128,"PASS")</f>
        <v/>
      </c>
      <c r="R128" s="26">
        <f>'Resource Build-Up'!AC127</f>
        <v/>
      </c>
      <c r="S128" s="26">
        <f>'Resource Build-Up'!AF127</f>
        <v/>
      </c>
      <c r="T128" s="100" t="n"/>
      <c r="U128" s="26" t="n"/>
      <c r="V128" s="26">
        <f>'Resource Build-Up'!AG127</f>
        <v/>
      </c>
    </row>
    <row r="129" ht="32.40000152587891" customHeight="1" s="491">
      <c r="A129" s="98" t="inlineStr">
        <is>
          <t>RV-122</t>
        </is>
      </c>
      <c r="B129" s="98">
        <f>'Resource Build-Up'!A128</f>
        <v/>
      </c>
      <c r="C129" s="98">
        <f>'Resource Build-Up'!B128</f>
        <v/>
      </c>
      <c r="D129" s="26">
        <f>'Resource Build-Up'!C128</f>
        <v/>
      </c>
      <c r="E129" s="26">
        <f>'Resource Build-Up'!H128</f>
        <v/>
      </c>
      <c r="F129" s="26">
        <f>'Resource Build-Up'!P128</f>
        <v/>
      </c>
      <c r="G129" s="26">
        <f>'Resource Build-Up'!Q128</f>
        <v/>
      </c>
      <c r="H129" s="26">
        <f>'Resource Build-Up'!T128</f>
        <v/>
      </c>
      <c r="I129" s="1461">
        <f>'Resource Build-Up'!Y128</f>
        <v/>
      </c>
      <c r="J129" s="1461">
        <f>'Resource Build-Up'!Z128</f>
        <v/>
      </c>
      <c r="K129" s="26" t="n"/>
      <c r="L129" s="26" t="n"/>
      <c r="M129" s="26" t="n"/>
      <c r="N129" s="26" t="n"/>
      <c r="O129" s="26" t="n"/>
      <c r="P129" s="26" t="n"/>
      <c r="Q129" s="26">
        <f>COUNTIF(L129,"PASS")+COUNTIF(N129,"PASS")+COUNTIF(P129,"PASS")</f>
        <v/>
      </c>
      <c r="R129" s="26">
        <f>'Resource Build-Up'!AC128</f>
        <v/>
      </c>
      <c r="S129" s="26">
        <f>'Resource Build-Up'!AF128</f>
        <v/>
      </c>
      <c r="T129" s="100" t="n"/>
      <c r="U129" s="26" t="n"/>
      <c r="V129" s="26">
        <f>'Resource Build-Up'!AG128</f>
        <v/>
      </c>
    </row>
    <row r="130" ht="32.40000152587891" customHeight="1" s="491">
      <c r="A130" s="98" t="inlineStr">
        <is>
          <t>RV-123</t>
        </is>
      </c>
      <c r="B130" s="98">
        <f>'Resource Build-Up'!A129</f>
        <v/>
      </c>
      <c r="C130" s="98">
        <f>'Resource Build-Up'!B129</f>
        <v/>
      </c>
      <c r="D130" s="26">
        <f>'Resource Build-Up'!C129</f>
        <v/>
      </c>
      <c r="E130" s="26">
        <f>'Resource Build-Up'!H129</f>
        <v/>
      </c>
      <c r="F130" s="26">
        <f>'Resource Build-Up'!P129</f>
        <v/>
      </c>
      <c r="G130" s="26">
        <f>'Resource Build-Up'!Q129</f>
        <v/>
      </c>
      <c r="H130" s="26">
        <f>'Resource Build-Up'!T129</f>
        <v/>
      </c>
      <c r="I130" s="1461">
        <f>'Resource Build-Up'!Y129</f>
        <v/>
      </c>
      <c r="J130" s="1461">
        <f>'Resource Build-Up'!Z129</f>
        <v/>
      </c>
      <c r="K130" s="26" t="n"/>
      <c r="L130" s="26" t="n"/>
      <c r="M130" s="26" t="n"/>
      <c r="N130" s="26" t="n"/>
      <c r="O130" s="26" t="n"/>
      <c r="P130" s="26" t="n"/>
      <c r="Q130" s="26">
        <f>COUNTIF(L130,"PASS")+COUNTIF(N130,"PASS")+COUNTIF(P130,"PASS")</f>
        <v/>
      </c>
      <c r="R130" s="26">
        <f>'Resource Build-Up'!AC129</f>
        <v/>
      </c>
      <c r="S130" s="26">
        <f>'Resource Build-Up'!AF129</f>
        <v/>
      </c>
      <c r="T130" s="100" t="n"/>
      <c r="U130" s="26" t="n"/>
      <c r="V130" s="26">
        <f>'Resource Build-Up'!AG129</f>
        <v/>
      </c>
    </row>
    <row r="131" ht="32.40000152587891" customHeight="1" s="491">
      <c r="A131" s="98" t="inlineStr">
        <is>
          <t>RV-124</t>
        </is>
      </c>
      <c r="B131" s="98">
        <f>'Resource Build-Up'!A130</f>
        <v/>
      </c>
      <c r="C131" s="98">
        <f>'Resource Build-Up'!B130</f>
        <v/>
      </c>
      <c r="D131" s="26">
        <f>'Resource Build-Up'!C130</f>
        <v/>
      </c>
      <c r="E131" s="26">
        <f>'Resource Build-Up'!H130</f>
        <v/>
      </c>
      <c r="F131" s="26">
        <f>'Resource Build-Up'!P130</f>
        <v/>
      </c>
      <c r="G131" s="26">
        <f>'Resource Build-Up'!Q130</f>
        <v/>
      </c>
      <c r="H131" s="26">
        <f>'Resource Build-Up'!T130</f>
        <v/>
      </c>
      <c r="I131" s="1461">
        <f>'Resource Build-Up'!Y130</f>
        <v/>
      </c>
      <c r="J131" s="1461">
        <f>'Resource Build-Up'!Z130</f>
        <v/>
      </c>
      <c r="K131" s="26" t="n"/>
      <c r="L131" s="26" t="n"/>
      <c r="M131" s="26" t="n"/>
      <c r="N131" s="26" t="n"/>
      <c r="O131" s="26" t="n"/>
      <c r="P131" s="26" t="n"/>
      <c r="Q131" s="26">
        <f>COUNTIF(L131,"PASS")+COUNTIF(N131,"PASS")+COUNTIF(P131,"PASS")</f>
        <v/>
      </c>
      <c r="R131" s="26">
        <f>'Resource Build-Up'!AC130</f>
        <v/>
      </c>
      <c r="S131" s="26">
        <f>'Resource Build-Up'!AF130</f>
        <v/>
      </c>
      <c r="T131" s="99" t="n"/>
      <c r="U131" s="26" t="n"/>
      <c r="V131" s="26">
        <f>'Resource Build-Up'!AG130</f>
        <v/>
      </c>
    </row>
    <row r="132" ht="32.40000152587891" customHeight="1" s="491">
      <c r="A132" s="98" t="inlineStr">
        <is>
          <t>RV-125</t>
        </is>
      </c>
      <c r="B132" s="98">
        <f>'Resource Build-Up'!A131</f>
        <v/>
      </c>
      <c r="C132" s="98">
        <f>'Resource Build-Up'!B131</f>
        <v/>
      </c>
      <c r="D132" s="26">
        <f>'Resource Build-Up'!C131</f>
        <v/>
      </c>
      <c r="E132" s="26">
        <f>'Resource Build-Up'!H131</f>
        <v/>
      </c>
      <c r="F132" s="26">
        <f>'Resource Build-Up'!P131</f>
        <v/>
      </c>
      <c r="G132" s="26">
        <f>'Resource Build-Up'!Q131</f>
        <v/>
      </c>
      <c r="H132" s="26">
        <f>'Resource Build-Up'!T131</f>
        <v/>
      </c>
      <c r="I132" s="1461">
        <f>'Resource Build-Up'!Y131</f>
        <v/>
      </c>
      <c r="J132" s="1461">
        <f>'Resource Build-Up'!Z131</f>
        <v/>
      </c>
      <c r="K132" s="26" t="n"/>
      <c r="L132" s="26" t="n"/>
      <c r="M132" s="26" t="n"/>
      <c r="N132" s="26" t="n"/>
      <c r="O132" s="26" t="n"/>
      <c r="P132" s="26" t="n"/>
      <c r="Q132" s="26">
        <f>COUNTIF(L132,"PASS")+COUNTIF(N132,"PASS")+COUNTIF(P132,"PASS")</f>
        <v/>
      </c>
      <c r="R132" s="26">
        <f>'Resource Build-Up'!AC131</f>
        <v/>
      </c>
      <c r="S132" s="26">
        <f>'Resource Build-Up'!AF131</f>
        <v/>
      </c>
      <c r="T132" s="100" t="n"/>
      <c r="U132" s="26" t="n"/>
      <c r="V132" s="26">
        <f>'Resource Build-Up'!AG131</f>
        <v/>
      </c>
    </row>
    <row r="133" ht="32.40000152587891" customHeight="1" s="491">
      <c r="A133" s="98" t="inlineStr">
        <is>
          <t>RV-126</t>
        </is>
      </c>
      <c r="B133" s="98">
        <f>'Resource Build-Up'!A132</f>
        <v/>
      </c>
      <c r="C133" s="98">
        <f>'Resource Build-Up'!B132</f>
        <v/>
      </c>
      <c r="D133" s="26">
        <f>'Resource Build-Up'!C132</f>
        <v/>
      </c>
      <c r="E133" s="26">
        <f>'Resource Build-Up'!H132</f>
        <v/>
      </c>
      <c r="F133" s="26">
        <f>'Resource Build-Up'!P132</f>
        <v/>
      </c>
      <c r="G133" s="26">
        <f>'Resource Build-Up'!Q132</f>
        <v/>
      </c>
      <c r="H133" s="26">
        <f>'Resource Build-Up'!T132</f>
        <v/>
      </c>
      <c r="I133" s="1461">
        <f>'Resource Build-Up'!Y132</f>
        <v/>
      </c>
      <c r="J133" s="1461">
        <f>'Resource Build-Up'!Z132</f>
        <v/>
      </c>
      <c r="K133" s="26" t="n"/>
      <c r="L133" s="26" t="n"/>
      <c r="M133" s="26" t="n"/>
      <c r="N133" s="26" t="n"/>
      <c r="O133" s="26" t="n"/>
      <c r="P133" s="26" t="n"/>
      <c r="Q133" s="26">
        <f>COUNTIF(L133,"PASS")+COUNTIF(N133,"PASS")+COUNTIF(P133,"PASS")</f>
        <v/>
      </c>
      <c r="R133" s="26">
        <f>'Resource Build-Up'!AC132</f>
        <v/>
      </c>
      <c r="S133" s="26">
        <f>'Resource Build-Up'!AF132</f>
        <v/>
      </c>
      <c r="T133" s="99" t="n"/>
      <c r="U133" s="26" t="n"/>
      <c r="V133" s="26">
        <f>'Resource Build-Up'!AG132</f>
        <v/>
      </c>
    </row>
    <row r="134" ht="32.40000152587891" customHeight="1" s="491">
      <c r="A134" s="98" t="inlineStr">
        <is>
          <t>RV-127</t>
        </is>
      </c>
      <c r="B134" s="98">
        <f>'Resource Build-Up'!A133</f>
        <v/>
      </c>
      <c r="C134" s="98">
        <f>'Resource Build-Up'!B133</f>
        <v/>
      </c>
      <c r="D134" s="26">
        <f>'Resource Build-Up'!C133</f>
        <v/>
      </c>
      <c r="E134" s="26">
        <f>'Resource Build-Up'!H133</f>
        <v/>
      </c>
      <c r="F134" s="26">
        <f>'Resource Build-Up'!P133</f>
        <v/>
      </c>
      <c r="G134" s="26">
        <f>'Resource Build-Up'!Q133</f>
        <v/>
      </c>
      <c r="H134" s="26">
        <f>'Resource Build-Up'!T133</f>
        <v/>
      </c>
      <c r="I134" s="1461">
        <f>'Resource Build-Up'!Y133</f>
        <v/>
      </c>
      <c r="J134" s="1461">
        <f>'Resource Build-Up'!Z133</f>
        <v/>
      </c>
      <c r="K134" s="26" t="n"/>
      <c r="L134" s="26" t="n"/>
      <c r="M134" s="26" t="n"/>
      <c r="N134" s="26" t="n"/>
      <c r="O134" s="26" t="n"/>
      <c r="P134" s="26" t="n"/>
      <c r="Q134" s="26">
        <f>COUNTIF(L134,"PASS")+COUNTIF(N134,"PASS")+COUNTIF(P134,"PASS")</f>
        <v/>
      </c>
      <c r="R134" s="26">
        <f>'Resource Build-Up'!AC133</f>
        <v/>
      </c>
      <c r="S134" s="26">
        <f>'Resource Build-Up'!AF133</f>
        <v/>
      </c>
      <c r="T134" s="99" t="n"/>
      <c r="U134" s="26" t="n"/>
      <c r="V134" s="26">
        <f>'Resource Build-Up'!AG133</f>
        <v/>
      </c>
    </row>
    <row r="135" ht="32.40000152587891" customHeight="1" s="491">
      <c r="A135" s="98" t="inlineStr">
        <is>
          <t>RV-128</t>
        </is>
      </c>
      <c r="B135" s="98">
        <f>'Resource Build-Up'!A134</f>
        <v/>
      </c>
      <c r="C135" s="98">
        <f>'Resource Build-Up'!B134</f>
        <v/>
      </c>
      <c r="D135" s="26">
        <f>'Resource Build-Up'!C134</f>
        <v/>
      </c>
      <c r="E135" s="26">
        <f>'Resource Build-Up'!H134</f>
        <v/>
      </c>
      <c r="F135" s="26">
        <f>'Resource Build-Up'!P134</f>
        <v/>
      </c>
      <c r="G135" s="26">
        <f>'Resource Build-Up'!Q134</f>
        <v/>
      </c>
      <c r="H135" s="26">
        <f>'Resource Build-Up'!T134</f>
        <v/>
      </c>
      <c r="I135" s="1461">
        <f>'Resource Build-Up'!Y134</f>
        <v/>
      </c>
      <c r="J135" s="1461">
        <f>'Resource Build-Up'!Z134</f>
        <v/>
      </c>
      <c r="K135" s="26" t="n"/>
      <c r="L135" s="26" t="n"/>
      <c r="M135" s="26" t="n"/>
      <c r="N135" s="26" t="n"/>
      <c r="O135" s="26" t="n"/>
      <c r="P135" s="26" t="n"/>
      <c r="Q135" s="26">
        <f>COUNTIF(L135,"PASS")+COUNTIF(N135,"PASS")+COUNTIF(P135,"PASS")</f>
        <v/>
      </c>
      <c r="R135" s="26">
        <f>'Resource Build-Up'!AC134</f>
        <v/>
      </c>
      <c r="S135" s="26">
        <f>'Resource Build-Up'!AF134</f>
        <v/>
      </c>
      <c r="T135" s="100" t="n"/>
      <c r="U135" s="26" t="n"/>
      <c r="V135" s="26">
        <f>'Resource Build-Up'!AG134</f>
        <v/>
      </c>
    </row>
    <row r="136" ht="32.40000152587891" customHeight="1" s="491">
      <c r="A136" s="98" t="inlineStr">
        <is>
          <t>RV-129</t>
        </is>
      </c>
      <c r="B136" s="98">
        <f>'Resource Build-Up'!A135</f>
        <v/>
      </c>
      <c r="C136" s="98">
        <f>'Resource Build-Up'!B135</f>
        <v/>
      </c>
      <c r="D136" s="26">
        <f>'Resource Build-Up'!C135</f>
        <v/>
      </c>
      <c r="E136" s="26">
        <f>'Resource Build-Up'!H135</f>
        <v/>
      </c>
      <c r="F136" s="26">
        <f>'Resource Build-Up'!P135</f>
        <v/>
      </c>
      <c r="G136" s="26">
        <f>'Resource Build-Up'!Q135</f>
        <v/>
      </c>
      <c r="H136" s="26">
        <f>'Resource Build-Up'!T135</f>
        <v/>
      </c>
      <c r="I136" s="1461">
        <f>'Resource Build-Up'!Y135</f>
        <v/>
      </c>
      <c r="J136" s="1461">
        <f>'Resource Build-Up'!Z135</f>
        <v/>
      </c>
      <c r="K136" s="26" t="n"/>
      <c r="L136" s="26" t="n"/>
      <c r="M136" s="26" t="n"/>
      <c r="N136" s="26" t="n"/>
      <c r="O136" s="26" t="n"/>
      <c r="P136" s="26" t="n"/>
      <c r="Q136" s="26">
        <f>COUNTIF(L136,"PASS")+COUNTIF(N136,"PASS")+COUNTIF(P136,"PASS")</f>
        <v/>
      </c>
      <c r="R136" s="26">
        <f>'Resource Build-Up'!AC135</f>
        <v/>
      </c>
      <c r="S136" s="26">
        <f>'Resource Build-Up'!AF135</f>
        <v/>
      </c>
      <c r="T136" s="99" t="n"/>
      <c r="U136" s="26" t="n"/>
      <c r="V136" s="26">
        <f>'Resource Build-Up'!AG135</f>
        <v/>
      </c>
    </row>
    <row r="137">
      <c r="A137" s="1462" t="inlineStr">
        <is>
          <t>RV-130</t>
        </is>
      </c>
      <c r="B137" s="1462">
        <f>'Resource Build-Up'!A136</f>
        <v/>
      </c>
      <c r="C137" s="1462">
        <f>'Resource Build-Up'!B136</f>
        <v/>
      </c>
      <c r="D137" s="1463">
        <f>'Resource Build-Up'!C136</f>
        <v/>
      </c>
      <c r="E137" s="1463">
        <f>'Resource Build-Up'!H136</f>
        <v/>
      </c>
      <c r="F137" s="1463">
        <f>'Resource Build-Up'!P136</f>
        <v/>
      </c>
      <c r="G137" s="1463">
        <f>'Resource Build-Up'!Q136</f>
        <v/>
      </c>
      <c r="H137" s="1463">
        <f>'Resource Build-Up'!T136</f>
        <v/>
      </c>
      <c r="I137" s="1464">
        <f>'Resource Build-Up'!Y136</f>
        <v/>
      </c>
      <c r="J137" s="1464">
        <f>'Resource Build-Up'!Z136</f>
        <v/>
      </c>
      <c r="K137" s="1463" t="n"/>
      <c r="L137" s="1463" t="n"/>
      <c r="M137" s="1463" t="n"/>
      <c r="N137" s="1463" t="n"/>
      <c r="O137" s="1463" t="n"/>
      <c r="P137" s="1463" t="n"/>
      <c r="Q137" s="1463">
        <f>COUNTIF(L137,"PASS")+COUNTIF(N137,"PASS")+COUNTIF(P137,"PASS")</f>
        <v/>
      </c>
      <c r="R137" s="1463">
        <f>'Resource Build-Up'!AC136</f>
        <v/>
      </c>
      <c r="S137" s="1463">
        <f>'Resource Build-Up'!AF136</f>
        <v/>
      </c>
      <c r="T137" s="1465" t="n"/>
      <c r="U137" s="1463" t="n"/>
      <c r="V137" s="1463">
        <f>'Resource Build-Up'!AG136</f>
        <v/>
      </c>
    </row>
    <row r="138">
      <c r="A138" s="1462" t="inlineStr">
        <is>
          <t>RV-131</t>
        </is>
      </c>
      <c r="B138" s="1462">
        <f>'Resource Build-Up'!A137</f>
        <v/>
      </c>
      <c r="C138" s="1462">
        <f>'Resource Build-Up'!B137</f>
        <v/>
      </c>
      <c r="D138" s="1463">
        <f>'Resource Build-Up'!C137</f>
        <v/>
      </c>
      <c r="E138" s="1463">
        <f>'Resource Build-Up'!H137</f>
        <v/>
      </c>
      <c r="F138" s="1463">
        <f>'Resource Build-Up'!P137</f>
        <v/>
      </c>
      <c r="G138" s="1463">
        <f>'Resource Build-Up'!Q137</f>
        <v/>
      </c>
      <c r="H138" s="1463">
        <f>'Resource Build-Up'!T137</f>
        <v/>
      </c>
      <c r="I138" s="1464">
        <f>'Resource Build-Up'!Y137</f>
        <v/>
      </c>
      <c r="J138" s="1464">
        <f>'Resource Build-Up'!Z137</f>
        <v/>
      </c>
      <c r="K138" s="1463" t="n"/>
      <c r="L138" s="1463" t="n"/>
      <c r="M138" s="1463" t="n"/>
      <c r="N138" s="1463" t="n"/>
      <c r="O138" s="1463" t="n"/>
      <c r="P138" s="1463" t="n"/>
      <c r="Q138" s="1463">
        <f>COUNTIF(L138,"PASS")+COUNTIF(N138,"PASS")+COUNTIF(P138,"PASS")</f>
        <v/>
      </c>
      <c r="R138" s="1463">
        <f>'Resource Build-Up'!AC137</f>
        <v/>
      </c>
      <c r="S138" s="1463">
        <f>'Resource Build-Up'!AF137</f>
        <v/>
      </c>
      <c r="T138" s="1465" t="n"/>
      <c r="U138" s="1463" t="n"/>
      <c r="V138" s="1463">
        <f>'Resource Build-Up'!AG137</f>
        <v/>
      </c>
    </row>
    <row r="139">
      <c r="A139" s="1462" t="inlineStr">
        <is>
          <t>RV-132</t>
        </is>
      </c>
      <c r="B139" s="1462">
        <f>'Resource Build-Up'!A138</f>
        <v/>
      </c>
      <c r="C139" s="1462">
        <f>'Resource Build-Up'!B138</f>
        <v/>
      </c>
      <c r="D139" s="1463">
        <f>'Resource Build-Up'!C138</f>
        <v/>
      </c>
      <c r="E139" s="1463">
        <f>'Resource Build-Up'!H138</f>
        <v/>
      </c>
      <c r="F139" s="1463">
        <f>'Resource Build-Up'!P138</f>
        <v/>
      </c>
      <c r="G139" s="1463">
        <f>'Resource Build-Up'!Q138</f>
        <v/>
      </c>
      <c r="H139" s="1463">
        <f>'Resource Build-Up'!T138</f>
        <v/>
      </c>
      <c r="I139" s="1464">
        <f>'Resource Build-Up'!Y138</f>
        <v/>
      </c>
      <c r="J139" s="1464">
        <f>'Resource Build-Up'!Z138</f>
        <v/>
      </c>
      <c r="K139" s="1463" t="n"/>
      <c r="L139" s="1463" t="n"/>
      <c r="M139" s="1463" t="n"/>
      <c r="N139" s="1463" t="n"/>
      <c r="O139" s="1463" t="n"/>
      <c r="P139" s="1463" t="n"/>
      <c r="Q139" s="1463">
        <f>COUNTIF(L139,"PASS")+COUNTIF(N139,"PASS")+COUNTIF(P139,"PASS")</f>
        <v/>
      </c>
      <c r="R139" s="1463">
        <f>'Resource Build-Up'!AC138</f>
        <v/>
      </c>
      <c r="S139" s="1463">
        <f>'Resource Build-Up'!AF138</f>
        <v/>
      </c>
      <c r="T139" s="1465" t="n"/>
      <c r="U139" s="1463" t="n"/>
      <c r="V139" s="1463">
        <f>'Resource Build-Up'!AG138</f>
        <v/>
      </c>
    </row>
    <row r="140">
      <c r="A140" s="1462" t="inlineStr">
        <is>
          <t>RV-133</t>
        </is>
      </c>
      <c r="B140" s="1462">
        <f>'Resource Build-Up'!A139</f>
        <v/>
      </c>
      <c r="C140" s="1462">
        <f>'Resource Build-Up'!B139</f>
        <v/>
      </c>
      <c r="D140" s="1463">
        <f>'Resource Build-Up'!C139</f>
        <v/>
      </c>
      <c r="E140" s="1463">
        <f>'Resource Build-Up'!H139</f>
        <v/>
      </c>
      <c r="F140" s="1463">
        <f>'Resource Build-Up'!P139</f>
        <v/>
      </c>
      <c r="G140" s="1463">
        <f>'Resource Build-Up'!Q139</f>
        <v/>
      </c>
      <c r="H140" s="1463">
        <f>'Resource Build-Up'!T139</f>
        <v/>
      </c>
      <c r="I140" s="1464">
        <f>'Resource Build-Up'!Y139</f>
        <v/>
      </c>
      <c r="J140" s="1464">
        <f>'Resource Build-Up'!Z139</f>
        <v/>
      </c>
      <c r="K140" s="1463" t="n"/>
      <c r="L140" s="1463" t="n"/>
      <c r="M140" s="1463" t="n"/>
      <c r="N140" s="1463" t="n"/>
      <c r="O140" s="1463" t="n"/>
      <c r="P140" s="1463" t="n"/>
      <c r="Q140" s="1463">
        <f>COUNTIF(L140,"PASS")+COUNTIF(N140,"PASS")+COUNTIF(P140,"PASS")</f>
        <v/>
      </c>
      <c r="R140" s="1463">
        <f>'Resource Build-Up'!AC139</f>
        <v/>
      </c>
      <c r="S140" s="1463">
        <f>'Resource Build-Up'!AF139</f>
        <v/>
      </c>
      <c r="T140" s="1465" t="n"/>
      <c r="U140" s="1463" t="n"/>
      <c r="V140" s="1463">
        <f>'Resource Build-Up'!AG139</f>
        <v/>
      </c>
    </row>
    <row r="141">
      <c r="A141" s="1462" t="inlineStr">
        <is>
          <t>RV-134</t>
        </is>
      </c>
      <c r="B141" s="1462">
        <f>'Resource Build-Up'!A140</f>
        <v/>
      </c>
      <c r="C141" s="1462">
        <f>'Resource Build-Up'!B140</f>
        <v/>
      </c>
      <c r="D141" s="1463">
        <f>'Resource Build-Up'!C140</f>
        <v/>
      </c>
      <c r="E141" s="1463">
        <f>'Resource Build-Up'!H140</f>
        <v/>
      </c>
      <c r="F141" s="1463">
        <f>'Resource Build-Up'!P140</f>
        <v/>
      </c>
      <c r="G141" s="1463">
        <f>'Resource Build-Up'!Q140</f>
        <v/>
      </c>
      <c r="H141" s="1463">
        <f>'Resource Build-Up'!T140</f>
        <v/>
      </c>
      <c r="I141" s="1464">
        <f>'Resource Build-Up'!Y140</f>
        <v/>
      </c>
      <c r="J141" s="1464">
        <f>'Resource Build-Up'!Z140</f>
        <v/>
      </c>
      <c r="K141" s="1463" t="n"/>
      <c r="L141" s="1463" t="n"/>
      <c r="M141" s="1463" t="n"/>
      <c r="N141" s="1463" t="n"/>
      <c r="O141" s="1463" t="n"/>
      <c r="P141" s="1463" t="n"/>
      <c r="Q141" s="1463">
        <f>COUNTIF(L141,"PASS")+COUNTIF(N141,"PASS")+COUNTIF(P141,"PASS")</f>
        <v/>
      </c>
      <c r="R141" s="1463">
        <f>'Resource Build-Up'!AC140</f>
        <v/>
      </c>
      <c r="S141" s="1463">
        <f>'Resource Build-Up'!AF140</f>
        <v/>
      </c>
      <c r="T141" s="1465" t="n"/>
      <c r="U141" s="1463" t="n"/>
      <c r="V141" s="1463">
        <f>'Resource Build-Up'!AG140</f>
        <v/>
      </c>
    </row>
    <row r="142">
      <c r="A142" s="1462" t="inlineStr">
        <is>
          <t>RV-135</t>
        </is>
      </c>
      <c r="B142" s="1462">
        <f>'Resource Build-Up'!A141</f>
        <v/>
      </c>
      <c r="C142" s="1462">
        <f>'Resource Build-Up'!B141</f>
        <v/>
      </c>
      <c r="D142" s="1463">
        <f>'Resource Build-Up'!C141</f>
        <v/>
      </c>
      <c r="E142" s="1463">
        <f>'Resource Build-Up'!H141</f>
        <v/>
      </c>
      <c r="F142" s="1463">
        <f>'Resource Build-Up'!P141</f>
        <v/>
      </c>
      <c r="G142" s="1463">
        <f>'Resource Build-Up'!Q141</f>
        <v/>
      </c>
      <c r="H142" s="1463">
        <f>'Resource Build-Up'!T141</f>
        <v/>
      </c>
      <c r="I142" s="1464">
        <f>'Resource Build-Up'!Y141</f>
        <v/>
      </c>
      <c r="J142" s="1464">
        <f>'Resource Build-Up'!Z141</f>
        <v/>
      </c>
      <c r="K142" s="1463" t="n"/>
      <c r="L142" s="1463" t="n"/>
      <c r="M142" s="1463" t="n"/>
      <c r="N142" s="1463" t="n"/>
      <c r="O142" s="1463" t="n"/>
      <c r="P142" s="1463" t="n"/>
      <c r="Q142" s="1463">
        <f>COUNTIF(L142,"PASS")+COUNTIF(N142,"PASS")+COUNTIF(P142,"PASS")</f>
        <v/>
      </c>
      <c r="R142" s="1463">
        <f>'Resource Build-Up'!AC141</f>
        <v/>
      </c>
      <c r="S142" s="1463">
        <f>'Resource Build-Up'!AF141</f>
        <v/>
      </c>
      <c r="T142" s="1465" t="n"/>
      <c r="U142" s="1463" t="n"/>
      <c r="V142" s="1463">
        <f>'Resource Build-Up'!AG141</f>
        <v/>
      </c>
    </row>
    <row r="143">
      <c r="A143" s="1462" t="inlineStr">
        <is>
          <t>RV-136</t>
        </is>
      </c>
      <c r="B143" s="1462">
        <f>'Resource Build-Up'!A142</f>
        <v/>
      </c>
      <c r="C143" s="1462">
        <f>'Resource Build-Up'!B142</f>
        <v/>
      </c>
      <c r="D143" s="1463">
        <f>'Resource Build-Up'!C142</f>
        <v/>
      </c>
      <c r="E143" s="1463">
        <f>'Resource Build-Up'!H142</f>
        <v/>
      </c>
      <c r="F143" s="1463">
        <f>'Resource Build-Up'!P142</f>
        <v/>
      </c>
      <c r="G143" s="1463">
        <f>'Resource Build-Up'!Q142</f>
        <v/>
      </c>
      <c r="H143" s="1463">
        <f>'Resource Build-Up'!T142</f>
        <v/>
      </c>
      <c r="I143" s="1464">
        <f>'Resource Build-Up'!Y142</f>
        <v/>
      </c>
      <c r="J143" s="1464">
        <f>'Resource Build-Up'!Z142</f>
        <v/>
      </c>
      <c r="K143" s="1463" t="n"/>
      <c r="L143" s="1463" t="n"/>
      <c r="M143" s="1463" t="n"/>
      <c r="N143" s="1463" t="n"/>
      <c r="O143" s="1463" t="n"/>
      <c r="P143" s="1463" t="n"/>
      <c r="Q143" s="1463">
        <f>COUNTIF(L143,"PASS")+COUNTIF(N143,"PASS")+COUNTIF(P143,"PASS")</f>
        <v/>
      </c>
      <c r="R143" s="1463">
        <f>'Resource Build-Up'!AC142</f>
        <v/>
      </c>
      <c r="S143" s="1463">
        <f>'Resource Build-Up'!AF142</f>
        <v/>
      </c>
      <c r="T143" s="1465" t="n"/>
      <c r="U143" s="1463" t="n"/>
      <c r="V143" s="1463">
        <f>'Resource Build-Up'!AG142</f>
        <v/>
      </c>
    </row>
    <row r="144">
      <c r="A144" s="1462" t="inlineStr">
        <is>
          <t>RV-137</t>
        </is>
      </c>
      <c r="B144" s="1462">
        <f>'Resource Build-Up'!A143</f>
        <v/>
      </c>
      <c r="C144" s="1462">
        <f>'Resource Build-Up'!B143</f>
        <v/>
      </c>
      <c r="D144" s="1463">
        <f>'Resource Build-Up'!C143</f>
        <v/>
      </c>
      <c r="E144" s="1463">
        <f>'Resource Build-Up'!H143</f>
        <v/>
      </c>
      <c r="F144" s="1463">
        <f>'Resource Build-Up'!P143</f>
        <v/>
      </c>
      <c r="G144" s="1463">
        <f>'Resource Build-Up'!Q143</f>
        <v/>
      </c>
      <c r="H144" s="1463">
        <f>'Resource Build-Up'!T143</f>
        <v/>
      </c>
      <c r="I144" s="1464">
        <f>'Resource Build-Up'!Y143</f>
        <v/>
      </c>
      <c r="J144" s="1464">
        <f>'Resource Build-Up'!Z143</f>
        <v/>
      </c>
      <c r="K144" s="1463" t="n"/>
      <c r="L144" s="1463" t="n"/>
      <c r="M144" s="1463" t="n"/>
      <c r="N144" s="1463" t="n"/>
      <c r="O144" s="1463" t="n"/>
      <c r="P144" s="1463" t="n"/>
      <c r="Q144" s="1463">
        <f>COUNTIF(L144,"PASS")+COUNTIF(N144,"PASS")+COUNTIF(P144,"PASS")</f>
        <v/>
      </c>
      <c r="R144" s="1463">
        <f>'Resource Build-Up'!AC143</f>
        <v/>
      </c>
      <c r="S144" s="1463">
        <f>'Resource Build-Up'!AF143</f>
        <v/>
      </c>
      <c r="T144" s="1465" t="n"/>
      <c r="U144" s="1463" t="n"/>
      <c r="V144" s="1463">
        <f>'Resource Build-Up'!AG143</f>
        <v/>
      </c>
    </row>
    <row r="145">
      <c r="A145" s="1462" t="inlineStr">
        <is>
          <t>RV-138</t>
        </is>
      </c>
      <c r="B145" s="1462">
        <f>'Resource Build-Up'!A144</f>
        <v/>
      </c>
      <c r="C145" s="1462">
        <f>'Resource Build-Up'!B144</f>
        <v/>
      </c>
      <c r="D145" s="1463">
        <f>'Resource Build-Up'!C144</f>
        <v/>
      </c>
      <c r="E145" s="1463">
        <f>'Resource Build-Up'!H144</f>
        <v/>
      </c>
      <c r="F145" s="1463">
        <f>'Resource Build-Up'!P144</f>
        <v/>
      </c>
      <c r="G145" s="1463">
        <f>'Resource Build-Up'!Q144</f>
        <v/>
      </c>
      <c r="H145" s="1463">
        <f>'Resource Build-Up'!T144</f>
        <v/>
      </c>
      <c r="I145" s="1464">
        <f>'Resource Build-Up'!Y144</f>
        <v/>
      </c>
      <c r="J145" s="1464">
        <f>'Resource Build-Up'!Z144</f>
        <v/>
      </c>
      <c r="K145" s="1463" t="n"/>
      <c r="L145" s="1463" t="n"/>
      <c r="M145" s="1463" t="n"/>
      <c r="N145" s="1463" t="n"/>
      <c r="O145" s="1463" t="n"/>
      <c r="P145" s="1463" t="n"/>
      <c r="Q145" s="1463">
        <f>COUNTIF(L145,"PASS")+COUNTIF(N145,"PASS")+COUNTIF(P145,"PASS")</f>
        <v/>
      </c>
      <c r="R145" s="1463">
        <f>'Resource Build-Up'!AC144</f>
        <v/>
      </c>
      <c r="S145" s="1463">
        <f>'Resource Build-Up'!AF144</f>
        <v/>
      </c>
      <c r="T145" s="1465" t="n"/>
      <c r="U145" s="1463" t="n"/>
      <c r="V145" s="1463">
        <f>'Resource Build-Up'!AG144</f>
        <v/>
      </c>
    </row>
    <row r="146">
      <c r="A146" s="1462" t="inlineStr">
        <is>
          <t>RV-139</t>
        </is>
      </c>
      <c r="B146" s="1462">
        <f>'Resource Build-Up'!A145</f>
        <v/>
      </c>
      <c r="C146" s="1462">
        <f>'Resource Build-Up'!B145</f>
        <v/>
      </c>
      <c r="D146" s="1463">
        <f>'Resource Build-Up'!C145</f>
        <v/>
      </c>
      <c r="E146" s="1463">
        <f>'Resource Build-Up'!H145</f>
        <v/>
      </c>
      <c r="F146" s="1463">
        <f>'Resource Build-Up'!P145</f>
        <v/>
      </c>
      <c r="G146" s="1463">
        <f>'Resource Build-Up'!Q145</f>
        <v/>
      </c>
      <c r="H146" s="1463">
        <f>'Resource Build-Up'!T145</f>
        <v/>
      </c>
      <c r="I146" s="1464">
        <f>'Resource Build-Up'!Y145</f>
        <v/>
      </c>
      <c r="J146" s="1464">
        <f>'Resource Build-Up'!Z145</f>
        <v/>
      </c>
      <c r="K146" s="1463" t="n"/>
      <c r="L146" s="1463" t="n"/>
      <c r="M146" s="1463" t="n"/>
      <c r="N146" s="1463" t="n"/>
      <c r="O146" s="1463" t="n"/>
      <c r="P146" s="1463" t="n"/>
      <c r="Q146" s="1463">
        <f>COUNTIF(L146,"PASS")+COUNTIF(N146,"PASS")+COUNTIF(P146,"PASS")</f>
        <v/>
      </c>
      <c r="R146" s="1463">
        <f>'Resource Build-Up'!AC145</f>
        <v/>
      </c>
      <c r="S146" s="1463">
        <f>'Resource Build-Up'!AF145</f>
        <v/>
      </c>
      <c r="T146" s="1465" t="n"/>
      <c r="U146" s="1463" t="n"/>
      <c r="V146" s="1463">
        <f>'Resource Build-Up'!AG145</f>
        <v/>
      </c>
    </row>
    <row r="147">
      <c r="A147" s="1462" t="inlineStr">
        <is>
          <t>RV-140</t>
        </is>
      </c>
      <c r="B147" s="1462">
        <f>'Resource Build-Up'!A146</f>
        <v/>
      </c>
      <c r="C147" s="1462">
        <f>'Resource Build-Up'!B146</f>
        <v/>
      </c>
      <c r="D147" s="1463">
        <f>'Resource Build-Up'!C146</f>
        <v/>
      </c>
      <c r="E147" s="1463">
        <f>'Resource Build-Up'!H146</f>
        <v/>
      </c>
      <c r="F147" s="1463">
        <f>'Resource Build-Up'!P146</f>
        <v/>
      </c>
      <c r="G147" s="1463">
        <f>'Resource Build-Up'!Q146</f>
        <v/>
      </c>
      <c r="H147" s="1463">
        <f>'Resource Build-Up'!T146</f>
        <v/>
      </c>
      <c r="I147" s="1464">
        <f>'Resource Build-Up'!Y146</f>
        <v/>
      </c>
      <c r="J147" s="1464">
        <f>'Resource Build-Up'!Z146</f>
        <v/>
      </c>
      <c r="K147" s="1463" t="n"/>
      <c r="L147" s="1463" t="n"/>
      <c r="M147" s="1463" t="n"/>
      <c r="N147" s="1463" t="n"/>
      <c r="O147" s="1463" t="n"/>
      <c r="P147" s="1463" t="n"/>
      <c r="Q147" s="1463">
        <f>COUNTIF(L147,"PASS")+COUNTIF(N147,"PASS")+COUNTIF(P147,"PASS")</f>
        <v/>
      </c>
      <c r="R147" s="1463">
        <f>'Resource Build-Up'!AC146</f>
        <v/>
      </c>
      <c r="S147" s="1463">
        <f>'Resource Build-Up'!AF146</f>
        <v/>
      </c>
      <c r="T147" s="1465" t="n"/>
      <c r="U147" s="1463" t="n"/>
      <c r="V147" s="1463">
        <f>'Resource Build-Up'!AG146</f>
        <v/>
      </c>
    </row>
    <row r="148">
      <c r="A148" s="1462" t="inlineStr">
        <is>
          <t>RV-141</t>
        </is>
      </c>
      <c r="B148" s="1462">
        <f>'Resource Build-Up'!A147</f>
        <v/>
      </c>
      <c r="C148" s="1462">
        <f>'Resource Build-Up'!B147</f>
        <v/>
      </c>
      <c r="D148" s="1463">
        <f>'Resource Build-Up'!C147</f>
        <v/>
      </c>
      <c r="E148" s="1463">
        <f>'Resource Build-Up'!H147</f>
        <v/>
      </c>
      <c r="F148" s="1463">
        <f>'Resource Build-Up'!P147</f>
        <v/>
      </c>
      <c r="G148" s="1463">
        <f>'Resource Build-Up'!Q147</f>
        <v/>
      </c>
      <c r="H148" s="1463">
        <f>'Resource Build-Up'!T147</f>
        <v/>
      </c>
      <c r="I148" s="1464">
        <f>'Resource Build-Up'!Y147</f>
        <v/>
      </c>
      <c r="J148" s="1464">
        <f>'Resource Build-Up'!Z147</f>
        <v/>
      </c>
      <c r="K148" s="1463" t="n"/>
      <c r="L148" s="1463" t="n"/>
      <c r="M148" s="1463" t="n"/>
      <c r="N148" s="1463" t="n"/>
      <c r="O148" s="1463" t="n"/>
      <c r="P148" s="1463" t="n"/>
      <c r="Q148" s="1463">
        <f>COUNTIF(L148,"PASS")+COUNTIF(N148,"PASS")+COUNTIF(P148,"PASS")</f>
        <v/>
      </c>
      <c r="R148" s="1463">
        <f>'Resource Build-Up'!AC147</f>
        <v/>
      </c>
      <c r="S148" s="1463">
        <f>'Resource Build-Up'!AF147</f>
        <v/>
      </c>
      <c r="T148" s="1465" t="n"/>
      <c r="U148" s="1463" t="n"/>
      <c r="V148" s="1463">
        <f>'Resource Build-Up'!AG147</f>
        <v/>
      </c>
    </row>
    <row r="149">
      <c r="A149" s="1462" t="inlineStr">
        <is>
          <t>RV-142</t>
        </is>
      </c>
      <c r="B149" s="1462">
        <f>'Resource Build-Up'!A148</f>
        <v/>
      </c>
      <c r="C149" s="1462">
        <f>'Resource Build-Up'!B148</f>
        <v/>
      </c>
      <c r="D149" s="1463">
        <f>'Resource Build-Up'!C148</f>
        <v/>
      </c>
      <c r="E149" s="1463">
        <f>'Resource Build-Up'!H148</f>
        <v/>
      </c>
      <c r="F149" s="1463">
        <f>'Resource Build-Up'!P148</f>
        <v/>
      </c>
      <c r="G149" s="1463">
        <f>'Resource Build-Up'!Q148</f>
        <v/>
      </c>
      <c r="H149" s="1463">
        <f>'Resource Build-Up'!T148</f>
        <v/>
      </c>
      <c r="I149" s="1464">
        <f>'Resource Build-Up'!Y148</f>
        <v/>
      </c>
      <c r="J149" s="1464">
        <f>'Resource Build-Up'!Z148</f>
        <v/>
      </c>
      <c r="K149" s="1463" t="n"/>
      <c r="L149" s="1463" t="n"/>
      <c r="M149" s="1463" t="n"/>
      <c r="N149" s="1463" t="n"/>
      <c r="O149" s="1463" t="n"/>
      <c r="P149" s="1463" t="n"/>
      <c r="Q149" s="1463">
        <f>COUNTIF(L149,"PASS")+COUNTIF(N149,"PASS")+COUNTIF(P149,"PASS")</f>
        <v/>
      </c>
      <c r="R149" s="1463">
        <f>'Resource Build-Up'!AC148</f>
        <v/>
      </c>
      <c r="S149" s="1463">
        <f>'Resource Build-Up'!AF148</f>
        <v/>
      </c>
      <c r="T149" s="1465" t="n"/>
      <c r="U149" s="1463" t="n"/>
      <c r="V149" s="1463">
        <f>'Resource Build-Up'!AG148</f>
        <v/>
      </c>
    </row>
    <row r="150">
      <c r="A150" s="1462" t="inlineStr">
        <is>
          <t>RV-143</t>
        </is>
      </c>
      <c r="B150" s="1462">
        <f>'Resource Build-Up'!A149</f>
        <v/>
      </c>
      <c r="C150" s="1462">
        <f>'Resource Build-Up'!B149</f>
        <v/>
      </c>
      <c r="D150" s="1463">
        <f>'Resource Build-Up'!C149</f>
        <v/>
      </c>
      <c r="E150" s="1463">
        <f>'Resource Build-Up'!H149</f>
        <v/>
      </c>
      <c r="F150" s="1463">
        <f>'Resource Build-Up'!P149</f>
        <v/>
      </c>
      <c r="G150" s="1463">
        <f>'Resource Build-Up'!Q149</f>
        <v/>
      </c>
      <c r="H150" s="1463">
        <f>'Resource Build-Up'!T149</f>
        <v/>
      </c>
      <c r="I150" s="1464">
        <f>'Resource Build-Up'!Y149</f>
        <v/>
      </c>
      <c r="J150" s="1464">
        <f>'Resource Build-Up'!Z149</f>
        <v/>
      </c>
      <c r="K150" s="1463" t="n"/>
      <c r="L150" s="1463" t="n"/>
      <c r="M150" s="1463" t="n"/>
      <c r="N150" s="1463" t="n"/>
      <c r="O150" s="1463" t="n"/>
      <c r="P150" s="1463" t="n"/>
      <c r="Q150" s="1463">
        <f>COUNTIF(L150,"PASS")+COUNTIF(N150,"PASS")+COUNTIF(P150,"PASS")</f>
        <v/>
      </c>
      <c r="R150" s="1463">
        <f>'Resource Build-Up'!AC149</f>
        <v/>
      </c>
      <c r="S150" s="1463">
        <f>'Resource Build-Up'!AF149</f>
        <v/>
      </c>
      <c r="T150" s="1465" t="n"/>
      <c r="U150" s="1463" t="n"/>
      <c r="V150" s="1463">
        <f>'Resource Build-Up'!AG149</f>
        <v/>
      </c>
    </row>
    <row r="151">
      <c r="A151" s="1462" t="inlineStr">
        <is>
          <t>RV-144</t>
        </is>
      </c>
      <c r="B151" s="1462">
        <f>'Resource Build-Up'!A150</f>
        <v/>
      </c>
      <c r="C151" s="1462">
        <f>'Resource Build-Up'!B150</f>
        <v/>
      </c>
      <c r="D151" s="1463">
        <f>'Resource Build-Up'!C150</f>
        <v/>
      </c>
      <c r="E151" s="1463">
        <f>'Resource Build-Up'!H150</f>
        <v/>
      </c>
      <c r="F151" s="1463">
        <f>'Resource Build-Up'!P150</f>
        <v/>
      </c>
      <c r="G151" s="1463">
        <f>'Resource Build-Up'!Q150</f>
        <v/>
      </c>
      <c r="H151" s="1463">
        <f>'Resource Build-Up'!T150</f>
        <v/>
      </c>
      <c r="I151" s="1464">
        <f>'Resource Build-Up'!Y150</f>
        <v/>
      </c>
      <c r="J151" s="1464">
        <f>'Resource Build-Up'!Z150</f>
        <v/>
      </c>
      <c r="K151" s="1463" t="n"/>
      <c r="L151" s="1463" t="n"/>
      <c r="M151" s="1463" t="n"/>
      <c r="N151" s="1463" t="n"/>
      <c r="O151" s="1463" t="n"/>
      <c r="P151" s="1463" t="n"/>
      <c r="Q151" s="1463">
        <f>COUNTIF(L151,"PASS")+COUNTIF(N151,"PASS")+COUNTIF(P151,"PASS")</f>
        <v/>
      </c>
      <c r="R151" s="1463">
        <f>'Resource Build-Up'!AC150</f>
        <v/>
      </c>
      <c r="S151" s="1463">
        <f>'Resource Build-Up'!AF150</f>
        <v/>
      </c>
      <c r="T151" s="1465" t="n"/>
      <c r="U151" s="1463" t="n"/>
      <c r="V151" s="1463">
        <f>'Resource Build-Up'!AG150</f>
        <v/>
      </c>
    </row>
    <row r="152">
      <c r="A152" s="1462" t="inlineStr">
        <is>
          <t>RV-145</t>
        </is>
      </c>
      <c r="B152" s="1462">
        <f>'Resource Build-Up'!A151</f>
        <v/>
      </c>
      <c r="C152" s="1462">
        <f>'Resource Build-Up'!B151</f>
        <v/>
      </c>
      <c r="D152" s="1463">
        <f>'Resource Build-Up'!C151</f>
        <v/>
      </c>
      <c r="E152" s="1463">
        <f>'Resource Build-Up'!H151</f>
        <v/>
      </c>
      <c r="F152" s="1463">
        <f>'Resource Build-Up'!P151</f>
        <v/>
      </c>
      <c r="G152" s="1463">
        <f>'Resource Build-Up'!Q151</f>
        <v/>
      </c>
      <c r="H152" s="1463">
        <f>'Resource Build-Up'!T151</f>
        <v/>
      </c>
      <c r="I152" s="1464">
        <f>'Resource Build-Up'!Y151</f>
        <v/>
      </c>
      <c r="J152" s="1464">
        <f>'Resource Build-Up'!Z151</f>
        <v/>
      </c>
      <c r="K152" s="1463" t="n"/>
      <c r="L152" s="1463" t="n"/>
      <c r="M152" s="1463" t="n"/>
      <c r="N152" s="1463" t="n"/>
      <c r="O152" s="1463" t="n"/>
      <c r="P152" s="1463" t="n"/>
      <c r="Q152" s="1463">
        <f>COUNTIF(L152,"PASS")+COUNTIF(N152,"PASS")+COUNTIF(P152,"PASS")</f>
        <v/>
      </c>
      <c r="R152" s="1463">
        <f>'Resource Build-Up'!AC151</f>
        <v/>
      </c>
      <c r="S152" s="1463">
        <f>'Resource Build-Up'!AF151</f>
        <v/>
      </c>
      <c r="T152" s="1465" t="n"/>
      <c r="U152" s="1463" t="n"/>
      <c r="V152" s="1463">
        <f>'Resource Build-Up'!AG151</f>
        <v/>
      </c>
    </row>
    <row r="153">
      <c r="A153" s="1462" t="inlineStr">
        <is>
          <t>RV-146</t>
        </is>
      </c>
      <c r="B153" s="1462">
        <f>'Resource Build-Up'!A152</f>
        <v/>
      </c>
      <c r="C153" s="1462">
        <f>'Resource Build-Up'!B152</f>
        <v/>
      </c>
      <c r="D153" s="1463">
        <f>'Resource Build-Up'!C152</f>
        <v/>
      </c>
      <c r="E153" s="1463">
        <f>'Resource Build-Up'!H152</f>
        <v/>
      </c>
      <c r="F153" s="1463">
        <f>'Resource Build-Up'!P152</f>
        <v/>
      </c>
      <c r="G153" s="1463">
        <f>'Resource Build-Up'!Q152</f>
        <v/>
      </c>
      <c r="H153" s="1463">
        <f>'Resource Build-Up'!T152</f>
        <v/>
      </c>
      <c r="I153" s="1464">
        <f>'Resource Build-Up'!Y152</f>
        <v/>
      </c>
      <c r="J153" s="1464">
        <f>'Resource Build-Up'!Z152</f>
        <v/>
      </c>
      <c r="K153" s="1463" t="n"/>
      <c r="L153" s="1463" t="n"/>
      <c r="M153" s="1463" t="n"/>
      <c r="N153" s="1463" t="n"/>
      <c r="O153" s="1463" t="n"/>
      <c r="P153" s="1463" t="n"/>
      <c r="Q153" s="1463">
        <f>COUNTIF(L153,"PASS")+COUNTIF(N153,"PASS")+COUNTIF(P153,"PASS")</f>
        <v/>
      </c>
      <c r="R153" s="1463">
        <f>'Resource Build-Up'!AC152</f>
        <v/>
      </c>
      <c r="S153" s="1463">
        <f>'Resource Build-Up'!AF152</f>
        <v/>
      </c>
      <c r="T153" s="1465" t="n"/>
      <c r="U153" s="1463" t="n"/>
      <c r="V153" s="1463">
        <f>'Resource Build-Up'!AG152</f>
        <v/>
      </c>
    </row>
    <row r="154">
      <c r="A154" s="1462" t="inlineStr">
        <is>
          <t>RV-147</t>
        </is>
      </c>
      <c r="B154" s="1462">
        <f>'Resource Build-Up'!A153</f>
        <v/>
      </c>
      <c r="C154" s="1462">
        <f>'Resource Build-Up'!B153</f>
        <v/>
      </c>
      <c r="D154" s="1463">
        <f>'Resource Build-Up'!C153</f>
        <v/>
      </c>
      <c r="E154" s="1463">
        <f>'Resource Build-Up'!H153</f>
        <v/>
      </c>
      <c r="F154" s="1463">
        <f>'Resource Build-Up'!P153</f>
        <v/>
      </c>
      <c r="G154" s="1463">
        <f>'Resource Build-Up'!Q153</f>
        <v/>
      </c>
      <c r="H154" s="1463">
        <f>'Resource Build-Up'!T153</f>
        <v/>
      </c>
      <c r="I154" s="1464">
        <f>'Resource Build-Up'!Y153</f>
        <v/>
      </c>
      <c r="J154" s="1464">
        <f>'Resource Build-Up'!Z153</f>
        <v/>
      </c>
      <c r="K154" s="1463" t="n"/>
      <c r="L154" s="1463" t="n"/>
      <c r="M154" s="1463" t="n"/>
      <c r="N154" s="1463" t="n"/>
      <c r="O154" s="1463" t="n"/>
      <c r="P154" s="1463" t="n"/>
      <c r="Q154" s="1463">
        <f>COUNTIF(L154,"PASS")+COUNTIF(N154,"PASS")+COUNTIF(P154,"PASS")</f>
        <v/>
      </c>
      <c r="R154" s="1463">
        <f>'Resource Build-Up'!AC153</f>
        <v/>
      </c>
      <c r="S154" s="1463">
        <f>'Resource Build-Up'!AF153</f>
        <v/>
      </c>
      <c r="T154" s="1465" t="n"/>
      <c r="U154" s="1463" t="n"/>
      <c r="V154" s="1463">
        <f>'Resource Build-Up'!AG153</f>
        <v/>
      </c>
    </row>
    <row r="155">
      <c r="A155" s="1462" t="inlineStr">
        <is>
          <t>RV-148</t>
        </is>
      </c>
      <c r="B155" s="1462">
        <f>'Resource Build-Up'!A154</f>
        <v/>
      </c>
      <c r="C155" s="1462">
        <f>'Resource Build-Up'!B154</f>
        <v/>
      </c>
      <c r="D155" s="1463">
        <f>'Resource Build-Up'!C154</f>
        <v/>
      </c>
      <c r="E155" s="1463">
        <f>'Resource Build-Up'!H154</f>
        <v/>
      </c>
      <c r="F155" s="1463">
        <f>'Resource Build-Up'!P154</f>
        <v/>
      </c>
      <c r="G155" s="1463">
        <f>'Resource Build-Up'!Q154</f>
        <v/>
      </c>
      <c r="H155" s="1463">
        <f>'Resource Build-Up'!T154</f>
        <v/>
      </c>
      <c r="I155" s="1464">
        <f>'Resource Build-Up'!Y154</f>
        <v/>
      </c>
      <c r="J155" s="1464">
        <f>'Resource Build-Up'!Z154</f>
        <v/>
      </c>
      <c r="K155" s="1463" t="n"/>
      <c r="L155" s="1463" t="n"/>
      <c r="M155" s="1463" t="n"/>
      <c r="N155" s="1463" t="n"/>
      <c r="O155" s="1463" t="n"/>
      <c r="P155" s="1463" t="n"/>
      <c r="Q155" s="1463">
        <f>COUNTIF(L155,"PASS")+COUNTIF(N155,"PASS")+COUNTIF(P155,"PASS")</f>
        <v/>
      </c>
      <c r="R155" s="1463">
        <f>'Resource Build-Up'!AC154</f>
        <v/>
      </c>
      <c r="S155" s="1463">
        <f>'Resource Build-Up'!AF154</f>
        <v/>
      </c>
      <c r="T155" s="1465" t="n"/>
      <c r="U155" s="1463" t="n"/>
      <c r="V155" s="1463">
        <f>'Resource Build-Up'!AG154</f>
        <v/>
      </c>
    </row>
    <row r="156">
      <c r="A156" s="1462" t="inlineStr">
        <is>
          <t>RV-149</t>
        </is>
      </c>
      <c r="B156" s="1462">
        <f>'Resource Build-Up'!A155</f>
        <v/>
      </c>
      <c r="C156" s="1462">
        <f>'Resource Build-Up'!B155</f>
        <v/>
      </c>
      <c r="D156" s="1463">
        <f>'Resource Build-Up'!C155</f>
        <v/>
      </c>
      <c r="E156" s="1463">
        <f>'Resource Build-Up'!H155</f>
        <v/>
      </c>
      <c r="F156" s="1463">
        <f>'Resource Build-Up'!P155</f>
        <v/>
      </c>
      <c r="G156" s="1463">
        <f>'Resource Build-Up'!Q155</f>
        <v/>
      </c>
      <c r="H156" s="1463">
        <f>'Resource Build-Up'!T155</f>
        <v/>
      </c>
      <c r="I156" s="1464">
        <f>'Resource Build-Up'!Y155</f>
        <v/>
      </c>
      <c r="J156" s="1464">
        <f>'Resource Build-Up'!Z155</f>
        <v/>
      </c>
      <c r="K156" s="1463" t="n"/>
      <c r="L156" s="1463" t="n"/>
      <c r="M156" s="1463" t="n"/>
      <c r="N156" s="1463" t="n"/>
      <c r="O156" s="1463" t="n"/>
      <c r="P156" s="1463" t="n"/>
      <c r="Q156" s="1463">
        <f>COUNTIF(L156,"PASS")+COUNTIF(N156,"PASS")+COUNTIF(P156,"PASS")</f>
        <v/>
      </c>
      <c r="R156" s="1463">
        <f>'Resource Build-Up'!AC155</f>
        <v/>
      </c>
      <c r="S156" s="1463">
        <f>'Resource Build-Up'!AF155</f>
        <v/>
      </c>
      <c r="T156" s="1465" t="n"/>
      <c r="U156" s="1463" t="n"/>
      <c r="V156" s="1463">
        <f>'Resource Build-Up'!AG155</f>
        <v/>
      </c>
    </row>
    <row r="157">
      <c r="A157" s="1462" t="inlineStr">
        <is>
          <t>RV-150</t>
        </is>
      </c>
      <c r="B157" s="1462">
        <f>'Resource Build-Up'!A156</f>
        <v/>
      </c>
      <c r="C157" s="1462">
        <f>'Resource Build-Up'!B156</f>
        <v/>
      </c>
      <c r="D157" s="1463">
        <f>'Resource Build-Up'!C156</f>
        <v/>
      </c>
      <c r="E157" s="1463">
        <f>'Resource Build-Up'!H156</f>
        <v/>
      </c>
      <c r="F157" s="1463">
        <f>'Resource Build-Up'!P156</f>
        <v/>
      </c>
      <c r="G157" s="1463">
        <f>'Resource Build-Up'!Q156</f>
        <v/>
      </c>
      <c r="H157" s="1463">
        <f>'Resource Build-Up'!T156</f>
        <v/>
      </c>
      <c r="I157" s="1464">
        <f>'Resource Build-Up'!Y156</f>
        <v/>
      </c>
      <c r="J157" s="1464">
        <f>'Resource Build-Up'!Z156</f>
        <v/>
      </c>
      <c r="K157" s="1463" t="n"/>
      <c r="L157" s="1463" t="n"/>
      <c r="M157" s="1463" t="n"/>
      <c r="N157" s="1463" t="n"/>
      <c r="O157" s="1463" t="n"/>
      <c r="P157" s="1463" t="n"/>
      <c r="Q157" s="1463">
        <f>COUNTIF(L157,"PASS")+COUNTIF(N157,"PASS")+COUNTIF(P157,"PASS")</f>
        <v/>
      </c>
      <c r="R157" s="1463">
        <f>'Resource Build-Up'!AC156</f>
        <v/>
      </c>
      <c r="S157" s="1463">
        <f>'Resource Build-Up'!AF156</f>
        <v/>
      </c>
      <c r="T157" s="1465" t="n"/>
      <c r="U157" s="1463" t="n"/>
      <c r="V157" s="1463">
        <f>'Resource Build-Up'!AG156</f>
        <v/>
      </c>
    </row>
    <row r="158">
      <c r="A158" s="1462" t="inlineStr">
        <is>
          <t>RV-151</t>
        </is>
      </c>
      <c r="B158" s="1462">
        <f>'Resource Build-Up'!A157</f>
        <v/>
      </c>
      <c r="C158" s="1462">
        <f>'Resource Build-Up'!B157</f>
        <v/>
      </c>
      <c r="D158" s="1463">
        <f>'Resource Build-Up'!C157</f>
        <v/>
      </c>
      <c r="E158" s="1463">
        <f>'Resource Build-Up'!H157</f>
        <v/>
      </c>
      <c r="F158" s="1463">
        <f>'Resource Build-Up'!P157</f>
        <v/>
      </c>
      <c r="G158" s="1463">
        <f>'Resource Build-Up'!Q157</f>
        <v/>
      </c>
      <c r="H158" s="1463">
        <f>'Resource Build-Up'!T157</f>
        <v/>
      </c>
      <c r="I158" s="1464">
        <f>'Resource Build-Up'!Y157</f>
        <v/>
      </c>
      <c r="J158" s="1464">
        <f>'Resource Build-Up'!Z157</f>
        <v/>
      </c>
      <c r="K158" s="1463" t="n"/>
      <c r="L158" s="1463" t="n"/>
      <c r="M158" s="1463" t="n"/>
      <c r="N158" s="1463" t="n"/>
      <c r="O158" s="1463" t="n"/>
      <c r="P158" s="1463" t="n"/>
      <c r="Q158" s="1463">
        <f>COUNTIF(L158,"PASS")+COUNTIF(N158,"PASS")+COUNTIF(P158,"PASS")</f>
        <v/>
      </c>
      <c r="R158" s="1463">
        <f>'Resource Build-Up'!AC157</f>
        <v/>
      </c>
      <c r="S158" s="1463">
        <f>'Resource Build-Up'!AF157</f>
        <v/>
      </c>
      <c r="T158" s="1465" t="n"/>
      <c r="U158" s="1463" t="n"/>
      <c r="V158" s="1463">
        <f>'Resource Build-Up'!AG157</f>
        <v/>
      </c>
    </row>
    <row r="159">
      <c r="A159" s="1462" t="inlineStr">
        <is>
          <t>RV-152</t>
        </is>
      </c>
      <c r="B159" s="1462">
        <f>'Resource Build-Up'!A158</f>
        <v/>
      </c>
      <c r="C159" s="1462">
        <f>'Resource Build-Up'!B158</f>
        <v/>
      </c>
      <c r="D159" s="1463">
        <f>'Resource Build-Up'!C158</f>
        <v/>
      </c>
      <c r="E159" s="1463">
        <f>'Resource Build-Up'!H158</f>
        <v/>
      </c>
      <c r="F159" s="1463">
        <f>'Resource Build-Up'!P158</f>
        <v/>
      </c>
      <c r="G159" s="1463">
        <f>'Resource Build-Up'!Q158</f>
        <v/>
      </c>
      <c r="H159" s="1463">
        <f>'Resource Build-Up'!T158</f>
        <v/>
      </c>
      <c r="I159" s="1464">
        <f>'Resource Build-Up'!Y158</f>
        <v/>
      </c>
      <c r="J159" s="1464">
        <f>'Resource Build-Up'!Z158</f>
        <v/>
      </c>
      <c r="K159" s="1463" t="n"/>
      <c r="L159" s="1463" t="n"/>
      <c r="M159" s="1463" t="n"/>
      <c r="N159" s="1463" t="n"/>
      <c r="O159" s="1463" t="n"/>
      <c r="P159" s="1463" t="n"/>
      <c r="Q159" s="1463">
        <f>COUNTIF(L159,"PASS")+COUNTIF(N159,"PASS")+COUNTIF(P159,"PASS")</f>
        <v/>
      </c>
      <c r="R159" s="1463">
        <f>'Resource Build-Up'!AC158</f>
        <v/>
      </c>
      <c r="S159" s="1463">
        <f>'Resource Build-Up'!AF158</f>
        <v/>
      </c>
      <c r="T159" s="1465" t="n"/>
      <c r="U159" s="1463" t="n"/>
      <c r="V159" s="1463">
        <f>'Resource Build-Up'!AG158</f>
        <v/>
      </c>
    </row>
    <row r="160">
      <c r="A160" s="1462" t="inlineStr">
        <is>
          <t>RV-153</t>
        </is>
      </c>
      <c r="B160" s="1462">
        <f>'Resource Build-Up'!A159</f>
        <v/>
      </c>
      <c r="C160" s="1462">
        <f>'Resource Build-Up'!B159</f>
        <v/>
      </c>
      <c r="D160" s="1463">
        <f>'Resource Build-Up'!C159</f>
        <v/>
      </c>
      <c r="E160" s="1463">
        <f>'Resource Build-Up'!H159</f>
        <v/>
      </c>
      <c r="F160" s="1463">
        <f>'Resource Build-Up'!P159</f>
        <v/>
      </c>
      <c r="G160" s="1463">
        <f>'Resource Build-Up'!Q159</f>
        <v/>
      </c>
      <c r="H160" s="1463">
        <f>'Resource Build-Up'!T159</f>
        <v/>
      </c>
      <c r="I160" s="1464">
        <f>'Resource Build-Up'!Y159</f>
        <v/>
      </c>
      <c r="J160" s="1464">
        <f>'Resource Build-Up'!Z159</f>
        <v/>
      </c>
      <c r="K160" s="1463" t="n"/>
      <c r="L160" s="1463" t="n"/>
      <c r="M160" s="1463" t="n"/>
      <c r="N160" s="1463" t="n"/>
      <c r="O160" s="1463" t="n"/>
      <c r="P160" s="1463" t="n"/>
      <c r="Q160" s="1463">
        <f>COUNTIF(L160,"PASS")+COUNTIF(N160,"PASS")+COUNTIF(P160,"PASS")</f>
        <v/>
      </c>
      <c r="R160" s="1463">
        <f>'Resource Build-Up'!AC159</f>
        <v/>
      </c>
      <c r="S160" s="1463">
        <f>'Resource Build-Up'!AF159</f>
        <v/>
      </c>
      <c r="T160" s="1465" t="n"/>
      <c r="U160" s="1463" t="n"/>
      <c r="V160" s="1463">
        <f>'Resource Build-Up'!AG159</f>
        <v/>
      </c>
    </row>
    <row r="161">
      <c r="A161" s="1462" t="inlineStr">
        <is>
          <t>RV-154</t>
        </is>
      </c>
      <c r="B161" s="1462">
        <f>'Resource Build-Up'!A160</f>
        <v/>
      </c>
      <c r="C161" s="1462">
        <f>'Resource Build-Up'!B160</f>
        <v/>
      </c>
      <c r="D161" s="1463">
        <f>'Resource Build-Up'!C160</f>
        <v/>
      </c>
      <c r="E161" s="1463">
        <f>'Resource Build-Up'!H160</f>
        <v/>
      </c>
      <c r="F161" s="1463">
        <f>'Resource Build-Up'!P160</f>
        <v/>
      </c>
      <c r="G161" s="1463">
        <f>'Resource Build-Up'!Q160</f>
        <v/>
      </c>
      <c r="H161" s="1463">
        <f>'Resource Build-Up'!T160</f>
        <v/>
      </c>
      <c r="I161" s="1464">
        <f>'Resource Build-Up'!Y160</f>
        <v/>
      </c>
      <c r="J161" s="1464">
        <f>'Resource Build-Up'!Z160</f>
        <v/>
      </c>
      <c r="K161" s="1463" t="n"/>
      <c r="L161" s="1463" t="n"/>
      <c r="M161" s="1463" t="n"/>
      <c r="N161" s="1463" t="n"/>
      <c r="O161" s="1463" t="n"/>
      <c r="P161" s="1463" t="n"/>
      <c r="Q161" s="1463">
        <f>COUNTIF(L161,"PASS")+COUNTIF(N161,"PASS")+COUNTIF(P161,"PASS")</f>
        <v/>
      </c>
      <c r="R161" s="1463">
        <f>'Resource Build-Up'!AC160</f>
        <v/>
      </c>
      <c r="S161" s="1463">
        <f>'Resource Build-Up'!AF160</f>
        <v/>
      </c>
      <c r="T161" s="1465" t="n"/>
      <c r="U161" s="1463" t="n"/>
      <c r="V161" s="1463">
        <f>'Resource Build-Up'!AG160</f>
        <v/>
      </c>
    </row>
    <row r="162">
      <c r="A162" s="1462" t="inlineStr">
        <is>
          <t>RV-155</t>
        </is>
      </c>
      <c r="B162" s="1462">
        <f>'Resource Build-Up'!A161</f>
        <v/>
      </c>
      <c r="C162" s="1462">
        <f>'Resource Build-Up'!B161</f>
        <v/>
      </c>
      <c r="D162" s="1463">
        <f>'Resource Build-Up'!C161</f>
        <v/>
      </c>
      <c r="E162" s="1463">
        <f>'Resource Build-Up'!H161</f>
        <v/>
      </c>
      <c r="F162" s="1463">
        <f>'Resource Build-Up'!P161</f>
        <v/>
      </c>
      <c r="G162" s="1463">
        <f>'Resource Build-Up'!Q161</f>
        <v/>
      </c>
      <c r="H162" s="1463">
        <f>'Resource Build-Up'!T161</f>
        <v/>
      </c>
      <c r="I162" s="1464">
        <f>'Resource Build-Up'!Y161</f>
        <v/>
      </c>
      <c r="J162" s="1464">
        <f>'Resource Build-Up'!Z161</f>
        <v/>
      </c>
      <c r="K162" s="1463" t="n"/>
      <c r="L162" s="1463" t="n"/>
      <c r="M162" s="1463" t="n"/>
      <c r="N162" s="1463" t="n"/>
      <c r="O162" s="1463" t="n"/>
      <c r="P162" s="1463" t="n"/>
      <c r="Q162" s="1463">
        <f>COUNTIF(L162,"PASS")+COUNTIF(N162,"PASS")+COUNTIF(P162,"PASS")</f>
        <v/>
      </c>
      <c r="R162" s="1463">
        <f>'Resource Build-Up'!AC161</f>
        <v/>
      </c>
      <c r="S162" s="1463">
        <f>'Resource Build-Up'!AF161</f>
        <v/>
      </c>
      <c r="T162" s="1465" t="n"/>
      <c r="U162" s="1463" t="n"/>
      <c r="V162" s="1463">
        <f>'Resource Build-Up'!AG161</f>
        <v/>
      </c>
    </row>
    <row r="163">
      <c r="A163" s="1462" t="inlineStr">
        <is>
          <t>RV-156</t>
        </is>
      </c>
      <c r="B163" s="1462">
        <f>'Resource Build-Up'!A162</f>
        <v/>
      </c>
      <c r="C163" s="1462">
        <f>'Resource Build-Up'!B162</f>
        <v/>
      </c>
      <c r="D163" s="1463">
        <f>'Resource Build-Up'!C162</f>
        <v/>
      </c>
      <c r="E163" s="1463">
        <f>'Resource Build-Up'!H162</f>
        <v/>
      </c>
      <c r="F163" s="1463">
        <f>'Resource Build-Up'!P162</f>
        <v/>
      </c>
      <c r="G163" s="1463">
        <f>'Resource Build-Up'!Q162</f>
        <v/>
      </c>
      <c r="H163" s="1463">
        <f>'Resource Build-Up'!T162</f>
        <v/>
      </c>
      <c r="I163" s="1464">
        <f>'Resource Build-Up'!Y162</f>
        <v/>
      </c>
      <c r="J163" s="1464">
        <f>'Resource Build-Up'!Z162</f>
        <v/>
      </c>
      <c r="K163" s="1463" t="n"/>
      <c r="L163" s="1463" t="n"/>
      <c r="M163" s="1463" t="n"/>
      <c r="N163" s="1463" t="n"/>
      <c r="O163" s="1463" t="n"/>
      <c r="P163" s="1463" t="n"/>
      <c r="Q163" s="1463">
        <f>COUNTIF(L163,"PASS")+COUNTIF(N163,"PASS")+COUNTIF(P163,"PASS")</f>
        <v/>
      </c>
      <c r="R163" s="1463">
        <f>'Resource Build-Up'!AC162</f>
        <v/>
      </c>
      <c r="S163" s="1463">
        <f>'Resource Build-Up'!AF162</f>
        <v/>
      </c>
      <c r="T163" s="1465" t="n"/>
      <c r="U163" s="1463" t="n"/>
      <c r="V163" s="1463">
        <f>'Resource Build-Up'!AG162</f>
        <v/>
      </c>
    </row>
    <row r="164">
      <c r="A164" s="1462" t="inlineStr">
        <is>
          <t>RV-157</t>
        </is>
      </c>
      <c r="B164" s="1462">
        <f>'Resource Build-Up'!A163</f>
        <v/>
      </c>
      <c r="C164" s="1462">
        <f>'Resource Build-Up'!B163</f>
        <v/>
      </c>
      <c r="D164" s="1463">
        <f>'Resource Build-Up'!C163</f>
        <v/>
      </c>
      <c r="E164" s="1463">
        <f>'Resource Build-Up'!H163</f>
        <v/>
      </c>
      <c r="F164" s="1463">
        <f>'Resource Build-Up'!P163</f>
        <v/>
      </c>
      <c r="G164" s="1463">
        <f>'Resource Build-Up'!Q163</f>
        <v/>
      </c>
      <c r="H164" s="1463">
        <f>'Resource Build-Up'!T163</f>
        <v/>
      </c>
      <c r="I164" s="1464">
        <f>'Resource Build-Up'!Y163</f>
        <v/>
      </c>
      <c r="J164" s="1464">
        <f>'Resource Build-Up'!Z163</f>
        <v/>
      </c>
      <c r="K164" s="1463" t="n"/>
      <c r="L164" s="1463" t="n"/>
      <c r="M164" s="1463" t="n"/>
      <c r="N164" s="1463" t="n"/>
      <c r="O164" s="1463" t="n"/>
      <c r="P164" s="1463" t="n"/>
      <c r="Q164" s="1463">
        <f>COUNTIF(L164,"PASS")+COUNTIF(N164,"PASS")+COUNTIF(P164,"PASS")</f>
        <v/>
      </c>
      <c r="R164" s="1463">
        <f>'Resource Build-Up'!AC163</f>
        <v/>
      </c>
      <c r="S164" s="1463">
        <f>'Resource Build-Up'!AF163</f>
        <v/>
      </c>
      <c r="T164" s="1465" t="n"/>
      <c r="U164" s="1463" t="n"/>
      <c r="V164" s="1463">
        <f>'Resource Build-Up'!AG163</f>
        <v/>
      </c>
    </row>
    <row r="165">
      <c r="A165" s="1462" t="inlineStr">
        <is>
          <t>RV-158</t>
        </is>
      </c>
      <c r="B165" s="1462">
        <f>'Resource Build-Up'!A164</f>
        <v/>
      </c>
      <c r="C165" s="1462">
        <f>'Resource Build-Up'!B164</f>
        <v/>
      </c>
      <c r="D165" s="1463">
        <f>'Resource Build-Up'!C164</f>
        <v/>
      </c>
      <c r="E165" s="1463">
        <f>'Resource Build-Up'!H164</f>
        <v/>
      </c>
      <c r="F165" s="1463">
        <f>'Resource Build-Up'!P164</f>
        <v/>
      </c>
      <c r="G165" s="1463">
        <f>'Resource Build-Up'!Q164</f>
        <v/>
      </c>
      <c r="H165" s="1463">
        <f>'Resource Build-Up'!T164</f>
        <v/>
      </c>
      <c r="I165" s="1464">
        <f>'Resource Build-Up'!Y164</f>
        <v/>
      </c>
      <c r="J165" s="1464">
        <f>'Resource Build-Up'!Z164</f>
        <v/>
      </c>
      <c r="K165" s="1463" t="n"/>
      <c r="L165" s="1463" t="n"/>
      <c r="M165" s="1463" t="n"/>
      <c r="N165" s="1463" t="n"/>
      <c r="O165" s="1463" t="n"/>
      <c r="P165" s="1463" t="n"/>
      <c r="Q165" s="1463">
        <f>COUNTIF(L165,"PASS")+COUNTIF(N165,"PASS")+COUNTIF(P165,"PASS")</f>
        <v/>
      </c>
      <c r="R165" s="1463">
        <f>'Resource Build-Up'!AC164</f>
        <v/>
      </c>
      <c r="S165" s="1463">
        <f>'Resource Build-Up'!AF164</f>
        <v/>
      </c>
      <c r="T165" s="1465" t="n"/>
      <c r="U165" s="1463" t="n"/>
      <c r="V165" s="1463">
        <f>'Resource Build-Up'!AG164</f>
        <v/>
      </c>
    </row>
    <row r="166">
      <c r="A166" s="1462" t="inlineStr">
        <is>
          <t>RV-159</t>
        </is>
      </c>
      <c r="B166" s="1462">
        <f>'Resource Build-Up'!A165</f>
        <v/>
      </c>
      <c r="C166" s="1462">
        <f>'Resource Build-Up'!B165</f>
        <v/>
      </c>
      <c r="D166" s="1463">
        <f>'Resource Build-Up'!C165</f>
        <v/>
      </c>
      <c r="E166" s="1463">
        <f>'Resource Build-Up'!H165</f>
        <v/>
      </c>
      <c r="F166" s="1463">
        <f>'Resource Build-Up'!P165</f>
        <v/>
      </c>
      <c r="G166" s="1463">
        <f>'Resource Build-Up'!Q165</f>
        <v/>
      </c>
      <c r="H166" s="1463">
        <f>'Resource Build-Up'!T165</f>
        <v/>
      </c>
      <c r="I166" s="1464">
        <f>'Resource Build-Up'!Y165</f>
        <v/>
      </c>
      <c r="J166" s="1464">
        <f>'Resource Build-Up'!Z165</f>
        <v/>
      </c>
      <c r="K166" s="1463" t="n"/>
      <c r="L166" s="1463" t="n"/>
      <c r="M166" s="1463" t="n"/>
      <c r="N166" s="1463" t="n"/>
      <c r="O166" s="1463" t="n"/>
      <c r="P166" s="1463" t="n"/>
      <c r="Q166" s="1463">
        <f>COUNTIF(L166,"PASS")+COUNTIF(N166,"PASS")+COUNTIF(P166,"PASS")</f>
        <v/>
      </c>
      <c r="R166" s="1463">
        <f>'Resource Build-Up'!AC165</f>
        <v/>
      </c>
      <c r="S166" s="1463">
        <f>'Resource Build-Up'!AF165</f>
        <v/>
      </c>
      <c r="T166" s="1465" t="n"/>
      <c r="U166" s="1463" t="n"/>
      <c r="V166" s="1463">
        <f>'Resource Build-Up'!AG165</f>
        <v/>
      </c>
    </row>
    <row r="167">
      <c r="A167" s="1462" t="inlineStr">
        <is>
          <t>RV-160</t>
        </is>
      </c>
      <c r="B167" s="1462">
        <f>'Resource Build-Up'!A166</f>
        <v/>
      </c>
      <c r="C167" s="1462">
        <f>'Resource Build-Up'!B166</f>
        <v/>
      </c>
      <c r="D167" s="1463">
        <f>'Resource Build-Up'!C166</f>
        <v/>
      </c>
      <c r="E167" s="1463">
        <f>'Resource Build-Up'!H166</f>
        <v/>
      </c>
      <c r="F167" s="1463">
        <f>'Resource Build-Up'!P166</f>
        <v/>
      </c>
      <c r="G167" s="1463">
        <f>'Resource Build-Up'!Q166</f>
        <v/>
      </c>
      <c r="H167" s="1463">
        <f>'Resource Build-Up'!T166</f>
        <v/>
      </c>
      <c r="I167" s="1464">
        <f>'Resource Build-Up'!Y166</f>
        <v/>
      </c>
      <c r="J167" s="1464">
        <f>'Resource Build-Up'!Z166</f>
        <v/>
      </c>
      <c r="K167" s="1463" t="n"/>
      <c r="L167" s="1463" t="n"/>
      <c r="M167" s="1463" t="n"/>
      <c r="N167" s="1463" t="n"/>
      <c r="O167" s="1463" t="n"/>
      <c r="P167" s="1463" t="n"/>
      <c r="Q167" s="1463">
        <f>COUNTIF(L167,"PASS")+COUNTIF(N167,"PASS")+COUNTIF(P167,"PASS")</f>
        <v/>
      </c>
      <c r="R167" s="1463">
        <f>'Resource Build-Up'!AC166</f>
        <v/>
      </c>
      <c r="S167" s="1463">
        <f>'Resource Build-Up'!AF166</f>
        <v/>
      </c>
      <c r="T167" s="1465" t="n"/>
      <c r="U167" s="1463" t="n"/>
      <c r="V167" s="1463">
        <f>'Resource Build-Up'!AG166</f>
        <v/>
      </c>
    </row>
    <row r="168">
      <c r="A168" s="1462" t="inlineStr">
        <is>
          <t>RV-161</t>
        </is>
      </c>
      <c r="B168" s="1462">
        <f>'Resource Build-Up'!A167</f>
        <v/>
      </c>
      <c r="C168" s="1462">
        <f>'Resource Build-Up'!B167</f>
        <v/>
      </c>
      <c r="D168" s="1463">
        <f>'Resource Build-Up'!C167</f>
        <v/>
      </c>
      <c r="E168" s="1463">
        <f>'Resource Build-Up'!H167</f>
        <v/>
      </c>
      <c r="F168" s="1463">
        <f>'Resource Build-Up'!P167</f>
        <v/>
      </c>
      <c r="G168" s="1463">
        <f>'Resource Build-Up'!Q167</f>
        <v/>
      </c>
      <c r="H168" s="1463">
        <f>'Resource Build-Up'!T167</f>
        <v/>
      </c>
      <c r="I168" s="1464">
        <f>'Resource Build-Up'!Y167</f>
        <v/>
      </c>
      <c r="J168" s="1464">
        <f>'Resource Build-Up'!Z167</f>
        <v/>
      </c>
      <c r="K168" s="1463" t="n"/>
      <c r="L168" s="1463" t="n"/>
      <c r="M168" s="1463" t="n"/>
      <c r="N168" s="1463" t="n"/>
      <c r="O168" s="1463" t="n"/>
      <c r="P168" s="1463" t="n"/>
      <c r="Q168" s="1463">
        <f>COUNTIF(L168,"PASS")+COUNTIF(N168,"PASS")+COUNTIF(P168,"PASS")</f>
        <v/>
      </c>
      <c r="R168" s="1463">
        <f>'Resource Build-Up'!AC167</f>
        <v/>
      </c>
      <c r="S168" s="1463">
        <f>'Resource Build-Up'!AF167</f>
        <v/>
      </c>
      <c r="T168" s="1465" t="n"/>
      <c r="U168" s="1463" t="n"/>
      <c r="V168" s="1463">
        <f>'Resource Build-Up'!AG167</f>
        <v/>
      </c>
    </row>
    <row r="169">
      <c r="A169" s="1462" t="inlineStr">
        <is>
          <t>RV-162</t>
        </is>
      </c>
      <c r="B169" s="1462">
        <f>'Resource Build-Up'!A168</f>
        <v/>
      </c>
      <c r="C169" s="1462">
        <f>'Resource Build-Up'!B168</f>
        <v/>
      </c>
      <c r="D169" s="1463">
        <f>'Resource Build-Up'!C168</f>
        <v/>
      </c>
      <c r="E169" s="1463">
        <f>'Resource Build-Up'!H168</f>
        <v/>
      </c>
      <c r="F169" s="1463">
        <f>'Resource Build-Up'!P168</f>
        <v/>
      </c>
      <c r="G169" s="1463">
        <f>'Resource Build-Up'!Q168</f>
        <v/>
      </c>
      <c r="H169" s="1463">
        <f>'Resource Build-Up'!T168</f>
        <v/>
      </c>
      <c r="I169" s="1464">
        <f>'Resource Build-Up'!Y168</f>
        <v/>
      </c>
      <c r="J169" s="1464">
        <f>'Resource Build-Up'!Z168</f>
        <v/>
      </c>
      <c r="K169" s="1463" t="n"/>
      <c r="L169" s="1463" t="n"/>
      <c r="M169" s="1463" t="n"/>
      <c r="N169" s="1463" t="n"/>
      <c r="O169" s="1463" t="n"/>
      <c r="P169" s="1463" t="n"/>
      <c r="Q169" s="1463">
        <f>COUNTIF(L169,"PASS")+COUNTIF(N169,"PASS")+COUNTIF(P169,"PASS")</f>
        <v/>
      </c>
      <c r="R169" s="1463">
        <f>'Resource Build-Up'!AC168</f>
        <v/>
      </c>
      <c r="S169" s="1463">
        <f>'Resource Build-Up'!AF168</f>
        <v/>
      </c>
      <c r="T169" s="1465" t="n"/>
      <c r="U169" s="1463" t="n"/>
      <c r="V169" s="1463">
        <f>'Resource Build-Up'!AG168</f>
        <v/>
      </c>
    </row>
    <row r="170">
      <c r="A170" s="1462" t="inlineStr">
        <is>
          <t>RV-163</t>
        </is>
      </c>
      <c r="B170" s="1462">
        <f>'Resource Build-Up'!A169</f>
        <v/>
      </c>
      <c r="C170" s="1462">
        <f>'Resource Build-Up'!B169</f>
        <v/>
      </c>
      <c r="D170" s="1463">
        <f>'Resource Build-Up'!C169</f>
        <v/>
      </c>
      <c r="E170" s="1463">
        <f>'Resource Build-Up'!H169</f>
        <v/>
      </c>
      <c r="F170" s="1463">
        <f>'Resource Build-Up'!P169</f>
        <v/>
      </c>
      <c r="G170" s="1463">
        <f>'Resource Build-Up'!Q169</f>
        <v/>
      </c>
      <c r="H170" s="1463">
        <f>'Resource Build-Up'!T169</f>
        <v/>
      </c>
      <c r="I170" s="1464">
        <f>'Resource Build-Up'!Y169</f>
        <v/>
      </c>
      <c r="J170" s="1464">
        <f>'Resource Build-Up'!Z169</f>
        <v/>
      </c>
      <c r="K170" s="1463" t="n"/>
      <c r="L170" s="1463" t="n"/>
      <c r="M170" s="1463" t="n"/>
      <c r="N170" s="1463" t="n"/>
      <c r="O170" s="1463" t="n"/>
      <c r="P170" s="1463" t="n"/>
      <c r="Q170" s="1463">
        <f>COUNTIF(L170,"PASS")+COUNTIF(N170,"PASS")+COUNTIF(P170,"PASS")</f>
        <v/>
      </c>
      <c r="R170" s="1463">
        <f>'Resource Build-Up'!AC169</f>
        <v/>
      </c>
      <c r="S170" s="1463">
        <f>'Resource Build-Up'!AF169</f>
        <v/>
      </c>
      <c r="T170" s="1465" t="n"/>
      <c r="U170" s="1463" t="n"/>
      <c r="V170" s="1463">
        <f>'Resource Build-Up'!AG169</f>
        <v/>
      </c>
    </row>
    <row r="171">
      <c r="A171" s="1462" t="inlineStr">
        <is>
          <t>RV-164</t>
        </is>
      </c>
      <c r="B171" s="1462">
        <f>'Resource Build-Up'!A170</f>
        <v/>
      </c>
      <c r="C171" s="1462">
        <f>'Resource Build-Up'!B170</f>
        <v/>
      </c>
      <c r="D171" s="1463">
        <f>'Resource Build-Up'!C170</f>
        <v/>
      </c>
      <c r="E171" s="1463">
        <f>'Resource Build-Up'!H170</f>
        <v/>
      </c>
      <c r="F171" s="1463">
        <f>'Resource Build-Up'!P170</f>
        <v/>
      </c>
      <c r="G171" s="1463">
        <f>'Resource Build-Up'!Q170</f>
        <v/>
      </c>
      <c r="H171" s="1463">
        <f>'Resource Build-Up'!T170</f>
        <v/>
      </c>
      <c r="I171" s="1464">
        <f>'Resource Build-Up'!Y170</f>
        <v/>
      </c>
      <c r="J171" s="1464">
        <f>'Resource Build-Up'!Z170</f>
        <v/>
      </c>
      <c r="K171" s="1463" t="n"/>
      <c r="L171" s="1463" t="n"/>
      <c r="M171" s="1463" t="n"/>
      <c r="N171" s="1463" t="n"/>
      <c r="O171" s="1463" t="n"/>
      <c r="P171" s="1463" t="n"/>
      <c r="Q171" s="1463">
        <f>COUNTIF(L171,"PASS")+COUNTIF(N171,"PASS")+COUNTIF(P171,"PASS")</f>
        <v/>
      </c>
      <c r="R171" s="1463">
        <f>'Resource Build-Up'!AC170</f>
        <v/>
      </c>
      <c r="S171" s="1463">
        <f>'Resource Build-Up'!AF170</f>
        <v/>
      </c>
      <c r="T171" s="1465" t="n"/>
      <c r="U171" s="1463" t="n"/>
      <c r="V171" s="1463">
        <f>'Resource Build-Up'!AG170</f>
        <v/>
      </c>
    </row>
    <row r="172">
      <c r="A172" s="1462" t="inlineStr">
        <is>
          <t>RV-165</t>
        </is>
      </c>
      <c r="B172" s="1462">
        <f>'Resource Build-Up'!A171</f>
        <v/>
      </c>
      <c r="C172" s="1462">
        <f>'Resource Build-Up'!B171</f>
        <v/>
      </c>
      <c r="D172" s="1463">
        <f>'Resource Build-Up'!C171</f>
        <v/>
      </c>
      <c r="E172" s="1463">
        <f>'Resource Build-Up'!H171</f>
        <v/>
      </c>
      <c r="F172" s="1463">
        <f>'Resource Build-Up'!P171</f>
        <v/>
      </c>
      <c r="G172" s="1463">
        <f>'Resource Build-Up'!Q171</f>
        <v/>
      </c>
      <c r="H172" s="1463">
        <f>'Resource Build-Up'!T171</f>
        <v/>
      </c>
      <c r="I172" s="1464">
        <f>'Resource Build-Up'!Y171</f>
        <v/>
      </c>
      <c r="J172" s="1464">
        <f>'Resource Build-Up'!Z171</f>
        <v/>
      </c>
      <c r="K172" s="1463" t="n"/>
      <c r="L172" s="1463" t="n"/>
      <c r="M172" s="1463" t="n"/>
      <c r="N172" s="1463" t="n"/>
      <c r="O172" s="1463" t="n"/>
      <c r="P172" s="1463" t="n"/>
      <c r="Q172" s="1463">
        <f>COUNTIF(L172,"PASS")+COUNTIF(N172,"PASS")+COUNTIF(P172,"PASS")</f>
        <v/>
      </c>
      <c r="R172" s="1463">
        <f>'Resource Build-Up'!AC171</f>
        <v/>
      </c>
      <c r="S172" s="1463">
        <f>'Resource Build-Up'!AF171</f>
        <v/>
      </c>
      <c r="T172" s="1465" t="n"/>
      <c r="U172" s="1463" t="n"/>
      <c r="V172" s="1463">
        <f>'Resource Build-Up'!AG171</f>
        <v/>
      </c>
    </row>
    <row r="173">
      <c r="A173" s="1462" t="inlineStr">
        <is>
          <t>RV-166</t>
        </is>
      </c>
      <c r="B173" s="1462">
        <f>'Resource Build-Up'!A172</f>
        <v/>
      </c>
      <c r="C173" s="1462">
        <f>'Resource Build-Up'!B172</f>
        <v/>
      </c>
      <c r="D173" s="1463">
        <f>'Resource Build-Up'!C172</f>
        <v/>
      </c>
      <c r="E173" s="1463">
        <f>'Resource Build-Up'!H172</f>
        <v/>
      </c>
      <c r="F173" s="1463">
        <f>'Resource Build-Up'!P172</f>
        <v/>
      </c>
      <c r="G173" s="1463">
        <f>'Resource Build-Up'!Q172</f>
        <v/>
      </c>
      <c r="H173" s="1463">
        <f>'Resource Build-Up'!T172</f>
        <v/>
      </c>
      <c r="I173" s="1464">
        <f>'Resource Build-Up'!Y172</f>
        <v/>
      </c>
      <c r="J173" s="1464">
        <f>'Resource Build-Up'!Z172</f>
        <v/>
      </c>
      <c r="K173" s="1463" t="n"/>
      <c r="L173" s="1463" t="n"/>
      <c r="M173" s="1463" t="n"/>
      <c r="N173" s="1463" t="n"/>
      <c r="O173" s="1463" t="n"/>
      <c r="P173" s="1463" t="n"/>
      <c r="Q173" s="1463">
        <f>COUNTIF(L173,"PASS")+COUNTIF(N173,"PASS")+COUNTIF(P173,"PASS")</f>
        <v/>
      </c>
      <c r="R173" s="1463">
        <f>'Resource Build-Up'!AC172</f>
        <v/>
      </c>
      <c r="S173" s="1463">
        <f>'Resource Build-Up'!AF172</f>
        <v/>
      </c>
      <c r="T173" s="1465" t="n"/>
      <c r="U173" s="1463" t="n"/>
      <c r="V173" s="1463">
        <f>'Resource Build-Up'!AG172</f>
        <v/>
      </c>
    </row>
    <row r="174">
      <c r="A174" s="1462" t="inlineStr">
        <is>
          <t>RV-167</t>
        </is>
      </c>
      <c r="B174" s="1462">
        <f>'Resource Build-Up'!A173</f>
        <v/>
      </c>
      <c r="C174" s="1462">
        <f>'Resource Build-Up'!B173</f>
        <v/>
      </c>
      <c r="D174" s="1463">
        <f>'Resource Build-Up'!C173</f>
        <v/>
      </c>
      <c r="E174" s="1463">
        <f>'Resource Build-Up'!H173</f>
        <v/>
      </c>
      <c r="F174" s="1463">
        <f>'Resource Build-Up'!P173</f>
        <v/>
      </c>
      <c r="G174" s="1463">
        <f>'Resource Build-Up'!Q173</f>
        <v/>
      </c>
      <c r="H174" s="1463">
        <f>'Resource Build-Up'!T173</f>
        <v/>
      </c>
      <c r="I174" s="1464">
        <f>'Resource Build-Up'!Y173</f>
        <v/>
      </c>
      <c r="J174" s="1464">
        <f>'Resource Build-Up'!Z173</f>
        <v/>
      </c>
      <c r="K174" s="1463" t="n"/>
      <c r="L174" s="1463" t="n"/>
      <c r="M174" s="1463" t="n"/>
      <c r="N174" s="1463" t="n"/>
      <c r="O174" s="1463" t="n"/>
      <c r="P174" s="1463" t="n"/>
      <c r="Q174" s="1463">
        <f>COUNTIF(L174,"PASS")+COUNTIF(N174,"PASS")+COUNTIF(P174,"PASS")</f>
        <v/>
      </c>
      <c r="R174" s="1463">
        <f>'Resource Build-Up'!AC173</f>
        <v/>
      </c>
      <c r="S174" s="1463">
        <f>'Resource Build-Up'!AF173</f>
        <v/>
      </c>
      <c r="T174" s="1465" t="n"/>
      <c r="U174" s="1463" t="n"/>
      <c r="V174" s="1463">
        <f>'Resource Build-Up'!AG173</f>
        <v/>
      </c>
    </row>
    <row r="175">
      <c r="A175" s="1462" t="inlineStr">
        <is>
          <t>RV-168</t>
        </is>
      </c>
      <c r="B175" s="1462">
        <f>'Resource Build-Up'!A174</f>
        <v/>
      </c>
      <c r="C175" s="1462">
        <f>'Resource Build-Up'!B174</f>
        <v/>
      </c>
      <c r="D175" s="1463">
        <f>'Resource Build-Up'!C174</f>
        <v/>
      </c>
      <c r="E175" s="1463">
        <f>'Resource Build-Up'!H174</f>
        <v/>
      </c>
      <c r="F175" s="1463">
        <f>'Resource Build-Up'!P174</f>
        <v/>
      </c>
      <c r="G175" s="1463">
        <f>'Resource Build-Up'!Q174</f>
        <v/>
      </c>
      <c r="H175" s="1463">
        <f>'Resource Build-Up'!T174</f>
        <v/>
      </c>
      <c r="I175" s="1464">
        <f>'Resource Build-Up'!Y174</f>
        <v/>
      </c>
      <c r="J175" s="1464">
        <f>'Resource Build-Up'!Z174</f>
        <v/>
      </c>
      <c r="K175" s="1463" t="n"/>
      <c r="L175" s="1463" t="n"/>
      <c r="M175" s="1463" t="n"/>
      <c r="N175" s="1463" t="n"/>
      <c r="O175" s="1463" t="n"/>
      <c r="P175" s="1463" t="n"/>
      <c r="Q175" s="1463">
        <f>COUNTIF(L175,"PASS")+COUNTIF(N175,"PASS")+COUNTIF(P175,"PASS")</f>
        <v/>
      </c>
      <c r="R175" s="1463">
        <f>'Resource Build-Up'!AC174</f>
        <v/>
      </c>
      <c r="S175" s="1463">
        <f>'Resource Build-Up'!AF174</f>
        <v/>
      </c>
      <c r="T175" s="1465" t="n"/>
      <c r="U175" s="1463" t="n"/>
      <c r="V175" s="1463">
        <f>'Resource Build-Up'!AG174</f>
        <v/>
      </c>
    </row>
    <row r="176">
      <c r="A176" s="1462" t="inlineStr">
        <is>
          <t>RV-169</t>
        </is>
      </c>
      <c r="B176" s="1462">
        <f>'Resource Build-Up'!A175</f>
        <v/>
      </c>
      <c r="C176" s="1462">
        <f>'Resource Build-Up'!B175</f>
        <v/>
      </c>
      <c r="D176" s="1463">
        <f>'Resource Build-Up'!C175</f>
        <v/>
      </c>
      <c r="E176" s="1463">
        <f>'Resource Build-Up'!H175</f>
        <v/>
      </c>
      <c r="F176" s="1463">
        <f>'Resource Build-Up'!P175</f>
        <v/>
      </c>
      <c r="G176" s="1463">
        <f>'Resource Build-Up'!Q175</f>
        <v/>
      </c>
      <c r="H176" s="1463">
        <f>'Resource Build-Up'!T175</f>
        <v/>
      </c>
      <c r="I176" s="1464">
        <f>'Resource Build-Up'!Y175</f>
        <v/>
      </c>
      <c r="J176" s="1464">
        <f>'Resource Build-Up'!Z175</f>
        <v/>
      </c>
      <c r="K176" s="1463" t="n"/>
      <c r="L176" s="1463" t="n"/>
      <c r="M176" s="1463" t="n"/>
      <c r="N176" s="1463" t="n"/>
      <c r="O176" s="1463" t="n"/>
      <c r="P176" s="1463" t="n"/>
      <c r="Q176" s="1463">
        <f>COUNTIF(L176,"PASS")+COUNTIF(N176,"PASS")+COUNTIF(P176,"PASS")</f>
        <v/>
      </c>
      <c r="R176" s="1463">
        <f>'Resource Build-Up'!AC175</f>
        <v/>
      </c>
      <c r="S176" s="1463">
        <f>'Resource Build-Up'!AF175</f>
        <v/>
      </c>
      <c r="T176" s="1465" t="n"/>
      <c r="U176" s="1463" t="n"/>
      <c r="V176" s="1463">
        <f>'Resource Build-Up'!AG175</f>
        <v/>
      </c>
    </row>
    <row r="177">
      <c r="A177" s="1462" t="inlineStr">
        <is>
          <t>RV-170</t>
        </is>
      </c>
      <c r="B177" s="1462">
        <f>'Resource Build-Up'!A176</f>
        <v/>
      </c>
      <c r="C177" s="1462">
        <f>'Resource Build-Up'!B176</f>
        <v/>
      </c>
      <c r="D177" s="1463">
        <f>'Resource Build-Up'!C176</f>
        <v/>
      </c>
      <c r="E177" s="1463">
        <f>'Resource Build-Up'!H176</f>
        <v/>
      </c>
      <c r="F177" s="1463">
        <f>'Resource Build-Up'!P176</f>
        <v/>
      </c>
      <c r="G177" s="1463">
        <f>'Resource Build-Up'!Q176</f>
        <v/>
      </c>
      <c r="H177" s="1463">
        <f>'Resource Build-Up'!T176</f>
        <v/>
      </c>
      <c r="I177" s="1464">
        <f>'Resource Build-Up'!Y176</f>
        <v/>
      </c>
      <c r="J177" s="1464">
        <f>'Resource Build-Up'!Z176</f>
        <v/>
      </c>
      <c r="K177" s="1463" t="n"/>
      <c r="L177" s="1463" t="n"/>
      <c r="M177" s="1463" t="n"/>
      <c r="N177" s="1463" t="n"/>
      <c r="O177" s="1463" t="n"/>
      <c r="P177" s="1463" t="n"/>
      <c r="Q177" s="1463">
        <f>COUNTIF(L177,"PASS")+COUNTIF(N177,"PASS")+COUNTIF(P177,"PASS")</f>
        <v/>
      </c>
      <c r="R177" s="1463">
        <f>'Resource Build-Up'!AC176</f>
        <v/>
      </c>
      <c r="S177" s="1463">
        <f>'Resource Build-Up'!AF176</f>
        <v/>
      </c>
      <c r="T177" s="1465" t="n"/>
      <c r="U177" s="1463" t="n"/>
      <c r="V177" s="1463">
        <f>'Resource Build-Up'!AG176</f>
        <v/>
      </c>
    </row>
    <row r="178">
      <c r="A178" s="1462" t="inlineStr">
        <is>
          <t>RV-171</t>
        </is>
      </c>
      <c r="B178" s="1462">
        <f>'Resource Build-Up'!A177</f>
        <v/>
      </c>
      <c r="C178" s="1462">
        <f>'Resource Build-Up'!B177</f>
        <v/>
      </c>
      <c r="D178" s="1463">
        <f>'Resource Build-Up'!C177</f>
        <v/>
      </c>
      <c r="E178" s="1463">
        <f>'Resource Build-Up'!H177</f>
        <v/>
      </c>
      <c r="F178" s="1463">
        <f>'Resource Build-Up'!P177</f>
        <v/>
      </c>
      <c r="G178" s="1463">
        <f>'Resource Build-Up'!Q177</f>
        <v/>
      </c>
      <c r="H178" s="1463">
        <f>'Resource Build-Up'!T177</f>
        <v/>
      </c>
      <c r="I178" s="1464">
        <f>'Resource Build-Up'!Y177</f>
        <v/>
      </c>
      <c r="J178" s="1464">
        <f>'Resource Build-Up'!Z177</f>
        <v/>
      </c>
      <c r="K178" s="1463" t="n"/>
      <c r="L178" s="1463" t="n"/>
      <c r="M178" s="1463" t="n"/>
      <c r="N178" s="1463" t="n"/>
      <c r="O178" s="1463" t="n"/>
      <c r="P178" s="1463" t="n"/>
      <c r="Q178" s="1463">
        <f>COUNTIF(L178,"PASS")+COUNTIF(N178,"PASS")+COUNTIF(P178,"PASS")</f>
        <v/>
      </c>
      <c r="R178" s="1463">
        <f>'Resource Build-Up'!AC177</f>
        <v/>
      </c>
      <c r="S178" s="1463">
        <f>'Resource Build-Up'!AF177</f>
        <v/>
      </c>
      <c r="T178" s="1465" t="n"/>
      <c r="U178" s="1463" t="n"/>
      <c r="V178" s="1463">
        <f>'Resource Build-Up'!AG177</f>
        <v/>
      </c>
    </row>
    <row r="179">
      <c r="A179" s="1462" t="inlineStr">
        <is>
          <t>RV-172</t>
        </is>
      </c>
      <c r="B179" s="1462">
        <f>'Resource Build-Up'!A178</f>
        <v/>
      </c>
      <c r="C179" s="1462">
        <f>'Resource Build-Up'!B178</f>
        <v/>
      </c>
      <c r="D179" s="1463">
        <f>'Resource Build-Up'!C178</f>
        <v/>
      </c>
      <c r="E179" s="1463">
        <f>'Resource Build-Up'!H178</f>
        <v/>
      </c>
      <c r="F179" s="1463">
        <f>'Resource Build-Up'!P178</f>
        <v/>
      </c>
      <c r="G179" s="1463">
        <f>'Resource Build-Up'!Q178</f>
        <v/>
      </c>
      <c r="H179" s="1463">
        <f>'Resource Build-Up'!T178</f>
        <v/>
      </c>
      <c r="I179" s="1464">
        <f>'Resource Build-Up'!Y178</f>
        <v/>
      </c>
      <c r="J179" s="1464">
        <f>'Resource Build-Up'!Z178</f>
        <v/>
      </c>
      <c r="K179" s="1463" t="n"/>
      <c r="L179" s="1463" t="n"/>
      <c r="M179" s="1463" t="n"/>
      <c r="N179" s="1463" t="n"/>
      <c r="O179" s="1463" t="n"/>
      <c r="P179" s="1463" t="n"/>
      <c r="Q179" s="1463">
        <f>COUNTIF(L179,"PASS")+COUNTIF(N179,"PASS")+COUNTIF(P179,"PASS")</f>
        <v/>
      </c>
      <c r="R179" s="1463">
        <f>'Resource Build-Up'!AC178</f>
        <v/>
      </c>
      <c r="S179" s="1463">
        <f>'Resource Build-Up'!AF178</f>
        <v/>
      </c>
      <c r="T179" s="1465" t="n"/>
      <c r="U179" s="1463" t="n"/>
      <c r="V179" s="1463">
        <f>'Resource Build-Up'!AG178</f>
        <v/>
      </c>
    </row>
    <row r="180">
      <c r="A180" s="1462" t="inlineStr">
        <is>
          <t>RV-173</t>
        </is>
      </c>
      <c r="B180" s="1462">
        <f>'Resource Build-Up'!A179</f>
        <v/>
      </c>
      <c r="C180" s="1462">
        <f>'Resource Build-Up'!B179</f>
        <v/>
      </c>
      <c r="D180" s="1463">
        <f>'Resource Build-Up'!C179</f>
        <v/>
      </c>
      <c r="E180" s="1463">
        <f>'Resource Build-Up'!H179</f>
        <v/>
      </c>
      <c r="F180" s="1463">
        <f>'Resource Build-Up'!P179</f>
        <v/>
      </c>
      <c r="G180" s="1463">
        <f>'Resource Build-Up'!Q179</f>
        <v/>
      </c>
      <c r="H180" s="1463">
        <f>'Resource Build-Up'!T179</f>
        <v/>
      </c>
      <c r="I180" s="1464">
        <f>'Resource Build-Up'!Y179</f>
        <v/>
      </c>
      <c r="J180" s="1464">
        <f>'Resource Build-Up'!Z179</f>
        <v/>
      </c>
      <c r="K180" s="1463" t="n"/>
      <c r="L180" s="1463" t="n"/>
      <c r="M180" s="1463" t="n"/>
      <c r="N180" s="1463" t="n"/>
      <c r="O180" s="1463" t="n"/>
      <c r="P180" s="1463" t="n"/>
      <c r="Q180" s="1463">
        <f>COUNTIF(L180,"PASS")+COUNTIF(N180,"PASS")+COUNTIF(P180,"PASS")</f>
        <v/>
      </c>
      <c r="R180" s="1463">
        <f>'Resource Build-Up'!AC179</f>
        <v/>
      </c>
      <c r="S180" s="1463">
        <f>'Resource Build-Up'!AF179</f>
        <v/>
      </c>
      <c r="T180" s="1465" t="n"/>
      <c r="U180" s="1463" t="n"/>
      <c r="V180" s="1463">
        <f>'Resource Build-Up'!AG179</f>
        <v/>
      </c>
    </row>
    <row r="181">
      <c r="A181" s="1462" t="inlineStr">
        <is>
          <t>RV-174</t>
        </is>
      </c>
      <c r="B181" s="1462">
        <f>'Resource Build-Up'!A180</f>
        <v/>
      </c>
      <c r="C181" s="1462">
        <f>'Resource Build-Up'!B180</f>
        <v/>
      </c>
      <c r="D181" s="1463">
        <f>'Resource Build-Up'!C180</f>
        <v/>
      </c>
      <c r="E181" s="1463">
        <f>'Resource Build-Up'!H180</f>
        <v/>
      </c>
      <c r="F181" s="1463">
        <f>'Resource Build-Up'!P180</f>
        <v/>
      </c>
      <c r="G181" s="1463">
        <f>'Resource Build-Up'!Q180</f>
        <v/>
      </c>
      <c r="H181" s="1463">
        <f>'Resource Build-Up'!T180</f>
        <v/>
      </c>
      <c r="I181" s="1464">
        <f>'Resource Build-Up'!Y180</f>
        <v/>
      </c>
      <c r="J181" s="1464">
        <f>'Resource Build-Up'!Z180</f>
        <v/>
      </c>
      <c r="K181" s="1463" t="n"/>
      <c r="L181" s="1463" t="n"/>
      <c r="M181" s="1463" t="n"/>
      <c r="N181" s="1463" t="n"/>
      <c r="O181" s="1463" t="n"/>
      <c r="P181" s="1463" t="n"/>
      <c r="Q181" s="1463">
        <f>COUNTIF(L181,"PASS")+COUNTIF(N181,"PASS")+COUNTIF(P181,"PASS")</f>
        <v/>
      </c>
      <c r="R181" s="1463">
        <f>'Resource Build-Up'!AC180</f>
        <v/>
      </c>
      <c r="S181" s="1463">
        <f>'Resource Build-Up'!AF180</f>
        <v/>
      </c>
      <c r="T181" s="1465" t="n"/>
      <c r="U181" s="1463" t="n"/>
      <c r="V181" s="1463">
        <f>'Resource Build-Up'!AG180</f>
        <v/>
      </c>
    </row>
    <row r="182">
      <c r="A182" s="1462" t="inlineStr">
        <is>
          <t>RV-175</t>
        </is>
      </c>
      <c r="B182" s="1462">
        <f>'Resource Build-Up'!A181</f>
        <v/>
      </c>
      <c r="C182" s="1462">
        <f>'Resource Build-Up'!B181</f>
        <v/>
      </c>
      <c r="D182" s="1463">
        <f>'Resource Build-Up'!C181</f>
        <v/>
      </c>
      <c r="E182" s="1463">
        <f>'Resource Build-Up'!H181</f>
        <v/>
      </c>
      <c r="F182" s="1463">
        <f>'Resource Build-Up'!P181</f>
        <v/>
      </c>
      <c r="G182" s="1463">
        <f>'Resource Build-Up'!Q181</f>
        <v/>
      </c>
      <c r="H182" s="1463">
        <f>'Resource Build-Up'!T181</f>
        <v/>
      </c>
      <c r="I182" s="1464">
        <f>'Resource Build-Up'!Y181</f>
        <v/>
      </c>
      <c r="J182" s="1464">
        <f>'Resource Build-Up'!Z181</f>
        <v/>
      </c>
      <c r="K182" s="1463" t="n"/>
      <c r="L182" s="1463" t="n"/>
      <c r="M182" s="1463" t="n"/>
      <c r="N182" s="1463" t="n"/>
      <c r="O182" s="1463" t="n"/>
      <c r="P182" s="1463" t="n"/>
      <c r="Q182" s="1463">
        <f>COUNTIF(L182,"PASS")+COUNTIF(N182,"PASS")+COUNTIF(P182,"PASS")</f>
        <v/>
      </c>
      <c r="R182" s="1463">
        <f>'Resource Build-Up'!AC181</f>
        <v/>
      </c>
      <c r="S182" s="1463">
        <f>'Resource Build-Up'!AF181</f>
        <v/>
      </c>
      <c r="T182" s="1465" t="n"/>
      <c r="U182" s="1463" t="n"/>
      <c r="V182" s="1463">
        <f>'Resource Build-Up'!AG181</f>
        <v/>
      </c>
    </row>
    <row r="183">
      <c r="A183" s="1462" t="inlineStr">
        <is>
          <t>RV-176</t>
        </is>
      </c>
      <c r="B183" s="1462">
        <f>'Resource Build-Up'!A182</f>
        <v/>
      </c>
      <c r="C183" s="1462">
        <f>'Resource Build-Up'!B182</f>
        <v/>
      </c>
      <c r="D183" s="1463">
        <f>'Resource Build-Up'!C182</f>
        <v/>
      </c>
      <c r="E183" s="1463">
        <f>'Resource Build-Up'!H182</f>
        <v/>
      </c>
      <c r="F183" s="1463">
        <f>'Resource Build-Up'!P182</f>
        <v/>
      </c>
      <c r="G183" s="1463">
        <f>'Resource Build-Up'!Q182</f>
        <v/>
      </c>
      <c r="H183" s="1463">
        <f>'Resource Build-Up'!T182</f>
        <v/>
      </c>
      <c r="I183" s="1464">
        <f>'Resource Build-Up'!Y182</f>
        <v/>
      </c>
      <c r="J183" s="1464">
        <f>'Resource Build-Up'!Z182</f>
        <v/>
      </c>
      <c r="K183" s="1463" t="n"/>
      <c r="L183" s="1463" t="n"/>
      <c r="M183" s="1463" t="n"/>
      <c r="N183" s="1463" t="n"/>
      <c r="O183" s="1463" t="n"/>
      <c r="P183" s="1463" t="n"/>
      <c r="Q183" s="1463">
        <f>COUNTIF(L183,"PASS")+COUNTIF(N183,"PASS")+COUNTIF(P183,"PASS")</f>
        <v/>
      </c>
      <c r="R183" s="1463">
        <f>'Resource Build-Up'!AC182</f>
        <v/>
      </c>
      <c r="S183" s="1463">
        <f>'Resource Build-Up'!AF182</f>
        <v/>
      </c>
      <c r="T183" s="1465" t="n"/>
      <c r="U183" s="1463" t="n"/>
      <c r="V183" s="1463">
        <f>'Resource Build-Up'!AG182</f>
        <v/>
      </c>
    </row>
    <row r="184">
      <c r="A184" s="1462" t="inlineStr">
        <is>
          <t>RV-177</t>
        </is>
      </c>
      <c r="B184" s="1462">
        <f>'Resource Build-Up'!A183</f>
        <v/>
      </c>
      <c r="C184" s="1462">
        <f>'Resource Build-Up'!B183</f>
        <v/>
      </c>
      <c r="D184" s="1463">
        <f>'Resource Build-Up'!C183</f>
        <v/>
      </c>
      <c r="E184" s="1463">
        <f>'Resource Build-Up'!H183</f>
        <v/>
      </c>
      <c r="F184" s="1463">
        <f>'Resource Build-Up'!P183</f>
        <v/>
      </c>
      <c r="G184" s="1463">
        <f>'Resource Build-Up'!Q183</f>
        <v/>
      </c>
      <c r="H184" s="1463">
        <f>'Resource Build-Up'!T183</f>
        <v/>
      </c>
      <c r="I184" s="1464">
        <f>'Resource Build-Up'!Y183</f>
        <v/>
      </c>
      <c r="J184" s="1464">
        <f>'Resource Build-Up'!Z183</f>
        <v/>
      </c>
      <c r="K184" s="1463" t="n"/>
      <c r="L184" s="1463" t="n"/>
      <c r="M184" s="1463" t="n"/>
      <c r="N184" s="1463" t="n"/>
      <c r="O184" s="1463" t="n"/>
      <c r="P184" s="1463" t="n"/>
      <c r="Q184" s="1463">
        <f>COUNTIF(L184,"PASS")+COUNTIF(N184,"PASS")+COUNTIF(P184,"PASS")</f>
        <v/>
      </c>
      <c r="R184" s="1463">
        <f>'Resource Build-Up'!AC183</f>
        <v/>
      </c>
      <c r="S184" s="1463">
        <f>'Resource Build-Up'!AF183</f>
        <v/>
      </c>
      <c r="T184" s="1465" t="n"/>
      <c r="U184" s="1463" t="n"/>
      <c r="V184" s="1463">
        <f>'Resource Build-Up'!AG183</f>
        <v/>
      </c>
    </row>
    <row r="185">
      <c r="A185" s="1462" t="inlineStr">
        <is>
          <t>RV-178</t>
        </is>
      </c>
      <c r="B185" s="1462">
        <f>'Resource Build-Up'!A184</f>
        <v/>
      </c>
      <c r="C185" s="1462">
        <f>'Resource Build-Up'!B184</f>
        <v/>
      </c>
      <c r="D185" s="1463">
        <f>'Resource Build-Up'!C184</f>
        <v/>
      </c>
      <c r="E185" s="1463">
        <f>'Resource Build-Up'!H184</f>
        <v/>
      </c>
      <c r="F185" s="1463">
        <f>'Resource Build-Up'!P184</f>
        <v/>
      </c>
      <c r="G185" s="1463">
        <f>'Resource Build-Up'!Q184</f>
        <v/>
      </c>
      <c r="H185" s="1463">
        <f>'Resource Build-Up'!T184</f>
        <v/>
      </c>
      <c r="I185" s="1464">
        <f>'Resource Build-Up'!Y184</f>
        <v/>
      </c>
      <c r="J185" s="1464">
        <f>'Resource Build-Up'!Z184</f>
        <v/>
      </c>
      <c r="K185" s="1463" t="n"/>
      <c r="L185" s="1463" t="n"/>
      <c r="M185" s="1463" t="n"/>
      <c r="N185" s="1463" t="n"/>
      <c r="O185" s="1463" t="n"/>
      <c r="P185" s="1463" t="n"/>
      <c r="Q185" s="1463">
        <f>COUNTIF(L185,"PASS")+COUNTIF(N185,"PASS")+COUNTIF(P185,"PASS")</f>
        <v/>
      </c>
      <c r="R185" s="1463">
        <f>'Resource Build-Up'!AC184</f>
        <v/>
      </c>
      <c r="S185" s="1463">
        <f>'Resource Build-Up'!AF184</f>
        <v/>
      </c>
      <c r="T185" s="1465" t="n"/>
      <c r="U185" s="1463" t="n"/>
      <c r="V185" s="1463">
        <f>'Resource Build-Up'!AG184</f>
        <v/>
      </c>
    </row>
    <row r="186">
      <c r="A186" s="1462" t="inlineStr">
        <is>
          <t>RV-179</t>
        </is>
      </c>
      <c r="B186" s="1462">
        <f>'Resource Build-Up'!A185</f>
        <v/>
      </c>
      <c r="C186" s="1462">
        <f>'Resource Build-Up'!B185</f>
        <v/>
      </c>
      <c r="D186" s="1463">
        <f>'Resource Build-Up'!C185</f>
        <v/>
      </c>
      <c r="E186" s="1463">
        <f>'Resource Build-Up'!H185</f>
        <v/>
      </c>
      <c r="F186" s="1463">
        <f>'Resource Build-Up'!P185</f>
        <v/>
      </c>
      <c r="G186" s="1463">
        <f>'Resource Build-Up'!Q185</f>
        <v/>
      </c>
      <c r="H186" s="1463">
        <f>'Resource Build-Up'!T185</f>
        <v/>
      </c>
      <c r="I186" s="1464">
        <f>'Resource Build-Up'!Y185</f>
        <v/>
      </c>
      <c r="J186" s="1464">
        <f>'Resource Build-Up'!Z185</f>
        <v/>
      </c>
      <c r="K186" s="1463" t="n"/>
      <c r="L186" s="1463" t="n"/>
      <c r="M186" s="1463" t="n"/>
      <c r="N186" s="1463" t="n"/>
      <c r="O186" s="1463" t="n"/>
      <c r="P186" s="1463" t="n"/>
      <c r="Q186" s="1463">
        <f>COUNTIF(L186,"PASS")+COUNTIF(N186,"PASS")+COUNTIF(P186,"PASS")</f>
        <v/>
      </c>
      <c r="R186" s="1463">
        <f>'Resource Build-Up'!AC185</f>
        <v/>
      </c>
      <c r="S186" s="1463">
        <f>'Resource Build-Up'!AF185</f>
        <v/>
      </c>
      <c r="T186" s="1465" t="n"/>
      <c r="U186" s="1463" t="n"/>
      <c r="V186" s="1463">
        <f>'Resource Build-Up'!AG185</f>
        <v/>
      </c>
    </row>
    <row r="187">
      <c r="A187" s="1462" t="inlineStr">
        <is>
          <t>RV-180</t>
        </is>
      </c>
      <c r="B187" s="1462">
        <f>'Resource Build-Up'!A186</f>
        <v/>
      </c>
      <c r="C187" s="1462">
        <f>'Resource Build-Up'!B186</f>
        <v/>
      </c>
      <c r="D187" s="1463">
        <f>'Resource Build-Up'!C186</f>
        <v/>
      </c>
      <c r="E187" s="1463">
        <f>'Resource Build-Up'!H186</f>
        <v/>
      </c>
      <c r="F187" s="1463">
        <f>'Resource Build-Up'!P186</f>
        <v/>
      </c>
      <c r="G187" s="1463">
        <f>'Resource Build-Up'!Q186</f>
        <v/>
      </c>
      <c r="H187" s="1463">
        <f>'Resource Build-Up'!T186</f>
        <v/>
      </c>
      <c r="I187" s="1464">
        <f>'Resource Build-Up'!Y186</f>
        <v/>
      </c>
      <c r="J187" s="1464">
        <f>'Resource Build-Up'!Z186</f>
        <v/>
      </c>
      <c r="K187" s="1463" t="n"/>
      <c r="L187" s="1463" t="n"/>
      <c r="M187" s="1463" t="n"/>
      <c r="N187" s="1463" t="n"/>
      <c r="O187" s="1463" t="n"/>
      <c r="P187" s="1463" t="n"/>
      <c r="Q187" s="1463">
        <f>COUNTIF(L187,"PASS")+COUNTIF(N187,"PASS")+COUNTIF(P187,"PASS")</f>
        <v/>
      </c>
      <c r="R187" s="1463">
        <f>'Resource Build-Up'!AC186</f>
        <v/>
      </c>
      <c r="S187" s="1463">
        <f>'Resource Build-Up'!AF186</f>
        <v/>
      </c>
      <c r="T187" s="1465" t="n"/>
      <c r="U187" s="1463" t="n"/>
      <c r="V187" s="1463">
        <f>'Resource Build-Up'!AG186</f>
        <v/>
      </c>
    </row>
    <row r="188">
      <c r="A188" s="1462" t="inlineStr">
        <is>
          <t>RV-181</t>
        </is>
      </c>
      <c r="B188" s="1462">
        <f>'Resource Build-Up'!A187</f>
        <v/>
      </c>
      <c r="C188" s="1462">
        <f>'Resource Build-Up'!B187</f>
        <v/>
      </c>
      <c r="D188" s="1463">
        <f>'Resource Build-Up'!C187</f>
        <v/>
      </c>
      <c r="E188" s="1463">
        <f>'Resource Build-Up'!H187</f>
        <v/>
      </c>
      <c r="F188" s="1463">
        <f>'Resource Build-Up'!P187</f>
        <v/>
      </c>
      <c r="G188" s="1463">
        <f>'Resource Build-Up'!Q187</f>
        <v/>
      </c>
      <c r="H188" s="1463">
        <f>'Resource Build-Up'!T187</f>
        <v/>
      </c>
      <c r="I188" s="1464">
        <f>'Resource Build-Up'!Y187</f>
        <v/>
      </c>
      <c r="J188" s="1464">
        <f>'Resource Build-Up'!Z187</f>
        <v/>
      </c>
      <c r="K188" s="1463" t="n"/>
      <c r="L188" s="1463" t="n"/>
      <c r="M188" s="1463" t="n"/>
      <c r="N188" s="1463" t="n"/>
      <c r="O188" s="1463" t="n"/>
      <c r="P188" s="1463" t="n"/>
      <c r="Q188" s="1463">
        <f>COUNTIF(L188,"PASS")+COUNTIF(N188,"PASS")+COUNTIF(P188,"PASS")</f>
        <v/>
      </c>
      <c r="R188" s="1463">
        <f>'Resource Build-Up'!AC187</f>
        <v/>
      </c>
      <c r="S188" s="1463">
        <f>'Resource Build-Up'!AF187</f>
        <v/>
      </c>
      <c r="T188" s="1465" t="n"/>
      <c r="U188" s="1463" t="n"/>
      <c r="V188" s="1463">
        <f>'Resource Build-Up'!AG187</f>
        <v/>
      </c>
    </row>
    <row r="189">
      <c r="A189" s="1462" t="inlineStr">
        <is>
          <t>RV-182</t>
        </is>
      </c>
      <c r="B189" s="1462">
        <f>'Resource Build-Up'!A188</f>
        <v/>
      </c>
      <c r="C189" s="1462">
        <f>'Resource Build-Up'!B188</f>
        <v/>
      </c>
      <c r="D189" s="1463">
        <f>'Resource Build-Up'!C188</f>
        <v/>
      </c>
      <c r="E189" s="1463">
        <f>'Resource Build-Up'!H188</f>
        <v/>
      </c>
      <c r="F189" s="1463">
        <f>'Resource Build-Up'!P188</f>
        <v/>
      </c>
      <c r="G189" s="1463">
        <f>'Resource Build-Up'!Q188</f>
        <v/>
      </c>
      <c r="H189" s="1463">
        <f>'Resource Build-Up'!T188</f>
        <v/>
      </c>
      <c r="I189" s="1464">
        <f>'Resource Build-Up'!Y188</f>
        <v/>
      </c>
      <c r="J189" s="1464">
        <f>'Resource Build-Up'!Z188</f>
        <v/>
      </c>
      <c r="K189" s="1463" t="n"/>
      <c r="L189" s="1463" t="n"/>
      <c r="M189" s="1463" t="n"/>
      <c r="N189" s="1463" t="n"/>
      <c r="O189" s="1463" t="n"/>
      <c r="P189" s="1463" t="n"/>
      <c r="Q189" s="1463">
        <f>COUNTIF(L189,"PASS")+COUNTIF(N189,"PASS")+COUNTIF(P189,"PASS")</f>
        <v/>
      </c>
      <c r="R189" s="1463">
        <f>'Resource Build-Up'!AC188</f>
        <v/>
      </c>
      <c r="S189" s="1463">
        <f>'Resource Build-Up'!AF188</f>
        <v/>
      </c>
      <c r="T189" s="1465" t="n"/>
      <c r="U189" s="1463" t="n"/>
      <c r="V189" s="1463">
        <f>'Resource Build-Up'!AG188</f>
        <v/>
      </c>
    </row>
    <row r="190">
      <c r="A190" s="1462" t="inlineStr">
        <is>
          <t>RV-183</t>
        </is>
      </c>
      <c r="B190" s="1462">
        <f>'Resource Build-Up'!A189</f>
        <v/>
      </c>
      <c r="C190" s="1462">
        <f>'Resource Build-Up'!B189</f>
        <v/>
      </c>
      <c r="D190" s="1463">
        <f>'Resource Build-Up'!C189</f>
        <v/>
      </c>
      <c r="E190" s="1463">
        <f>'Resource Build-Up'!H189</f>
        <v/>
      </c>
      <c r="F190" s="1463">
        <f>'Resource Build-Up'!P189</f>
        <v/>
      </c>
      <c r="G190" s="1463">
        <f>'Resource Build-Up'!Q189</f>
        <v/>
      </c>
      <c r="H190" s="1463">
        <f>'Resource Build-Up'!T189</f>
        <v/>
      </c>
      <c r="I190" s="1464">
        <f>'Resource Build-Up'!Y189</f>
        <v/>
      </c>
      <c r="J190" s="1464">
        <f>'Resource Build-Up'!Z189</f>
        <v/>
      </c>
      <c r="K190" s="1463" t="n"/>
      <c r="L190" s="1463" t="n"/>
      <c r="M190" s="1463" t="n"/>
      <c r="N190" s="1463" t="n"/>
      <c r="O190" s="1463" t="n"/>
      <c r="P190" s="1463" t="n"/>
      <c r="Q190" s="1463">
        <f>COUNTIF(L190,"PASS")+COUNTIF(N190,"PASS")+COUNTIF(P190,"PASS")</f>
        <v/>
      </c>
      <c r="R190" s="1463">
        <f>'Resource Build-Up'!AC189</f>
        <v/>
      </c>
      <c r="S190" s="1463">
        <f>'Resource Build-Up'!AF189</f>
        <v/>
      </c>
      <c r="T190" s="1465" t="n"/>
      <c r="U190" s="1463" t="n"/>
      <c r="V190" s="1463">
        <f>'Resource Build-Up'!AG189</f>
        <v/>
      </c>
    </row>
    <row r="191">
      <c r="A191" s="1462" t="inlineStr">
        <is>
          <t>RV-184</t>
        </is>
      </c>
      <c r="B191" s="1462">
        <f>'Resource Build-Up'!A190</f>
        <v/>
      </c>
      <c r="C191" s="1462">
        <f>'Resource Build-Up'!B190</f>
        <v/>
      </c>
      <c r="D191" s="1463">
        <f>'Resource Build-Up'!C190</f>
        <v/>
      </c>
      <c r="E191" s="1463">
        <f>'Resource Build-Up'!H190</f>
        <v/>
      </c>
      <c r="F191" s="1463">
        <f>'Resource Build-Up'!P190</f>
        <v/>
      </c>
      <c r="G191" s="1463">
        <f>'Resource Build-Up'!Q190</f>
        <v/>
      </c>
      <c r="H191" s="1463">
        <f>'Resource Build-Up'!T190</f>
        <v/>
      </c>
      <c r="I191" s="1464">
        <f>'Resource Build-Up'!Y190</f>
        <v/>
      </c>
      <c r="J191" s="1464">
        <f>'Resource Build-Up'!Z190</f>
        <v/>
      </c>
      <c r="K191" s="1463" t="n"/>
      <c r="L191" s="1463" t="n"/>
      <c r="M191" s="1463" t="n"/>
      <c r="N191" s="1463" t="n"/>
      <c r="O191" s="1463" t="n"/>
      <c r="P191" s="1463" t="n"/>
      <c r="Q191" s="1463">
        <f>COUNTIF(L191,"PASS")+COUNTIF(N191,"PASS")+COUNTIF(P191,"PASS")</f>
        <v/>
      </c>
      <c r="R191" s="1463">
        <f>'Resource Build-Up'!AC190</f>
        <v/>
      </c>
      <c r="S191" s="1463">
        <f>'Resource Build-Up'!AF190</f>
        <v/>
      </c>
      <c r="T191" s="1465" t="n"/>
      <c r="U191" s="1463" t="n"/>
      <c r="V191" s="1463">
        <f>'Resource Build-Up'!AG190</f>
        <v/>
      </c>
    </row>
    <row r="192">
      <c r="A192" s="1462" t="inlineStr">
        <is>
          <t>RV-185</t>
        </is>
      </c>
      <c r="B192" s="1462">
        <f>'Resource Build-Up'!A191</f>
        <v/>
      </c>
      <c r="C192" s="1462">
        <f>'Resource Build-Up'!B191</f>
        <v/>
      </c>
      <c r="D192" s="1463">
        <f>'Resource Build-Up'!C191</f>
        <v/>
      </c>
      <c r="E192" s="1463">
        <f>'Resource Build-Up'!H191</f>
        <v/>
      </c>
      <c r="F192" s="1463">
        <f>'Resource Build-Up'!P191</f>
        <v/>
      </c>
      <c r="G192" s="1463">
        <f>'Resource Build-Up'!Q191</f>
        <v/>
      </c>
      <c r="H192" s="1463">
        <f>'Resource Build-Up'!T191</f>
        <v/>
      </c>
      <c r="I192" s="1464">
        <f>'Resource Build-Up'!Y191</f>
        <v/>
      </c>
      <c r="J192" s="1464">
        <f>'Resource Build-Up'!Z191</f>
        <v/>
      </c>
      <c r="K192" s="1463" t="n"/>
      <c r="L192" s="1463" t="n"/>
      <c r="M192" s="1463" t="n"/>
      <c r="N192" s="1463" t="n"/>
      <c r="O192" s="1463" t="n"/>
      <c r="P192" s="1463" t="n"/>
      <c r="Q192" s="1463">
        <f>COUNTIF(L192,"PASS")+COUNTIF(N192,"PASS")+COUNTIF(P192,"PASS")</f>
        <v/>
      </c>
      <c r="R192" s="1463">
        <f>'Resource Build-Up'!AC191</f>
        <v/>
      </c>
      <c r="S192" s="1463">
        <f>'Resource Build-Up'!AF191</f>
        <v/>
      </c>
      <c r="T192" s="1465" t="n"/>
      <c r="U192" s="1463" t="n"/>
      <c r="V192" s="1463">
        <f>'Resource Build-Up'!AG191</f>
        <v/>
      </c>
    </row>
    <row r="193">
      <c r="A193" s="1462" t="inlineStr">
        <is>
          <t>RV-186</t>
        </is>
      </c>
      <c r="B193" s="1462">
        <f>'Resource Build-Up'!A192</f>
        <v/>
      </c>
      <c r="C193" s="1462">
        <f>'Resource Build-Up'!B192</f>
        <v/>
      </c>
      <c r="D193" s="1463">
        <f>'Resource Build-Up'!C192</f>
        <v/>
      </c>
      <c r="E193" s="1463">
        <f>'Resource Build-Up'!H192</f>
        <v/>
      </c>
      <c r="F193" s="1463">
        <f>'Resource Build-Up'!P192</f>
        <v/>
      </c>
      <c r="G193" s="1463">
        <f>'Resource Build-Up'!Q192</f>
        <v/>
      </c>
      <c r="H193" s="1463">
        <f>'Resource Build-Up'!T192</f>
        <v/>
      </c>
      <c r="I193" s="1464">
        <f>'Resource Build-Up'!Y192</f>
        <v/>
      </c>
      <c r="J193" s="1464">
        <f>'Resource Build-Up'!Z192</f>
        <v/>
      </c>
      <c r="K193" s="1463" t="n"/>
      <c r="L193" s="1463" t="n"/>
      <c r="M193" s="1463" t="n"/>
      <c r="N193" s="1463" t="n"/>
      <c r="O193" s="1463" t="n"/>
      <c r="P193" s="1463" t="n"/>
      <c r="Q193" s="1463">
        <f>COUNTIF(L193,"PASS")+COUNTIF(N193,"PASS")+COUNTIF(P193,"PASS")</f>
        <v/>
      </c>
      <c r="R193" s="1463">
        <f>'Resource Build-Up'!AC192</f>
        <v/>
      </c>
      <c r="S193" s="1463">
        <f>'Resource Build-Up'!AF192</f>
        <v/>
      </c>
      <c r="T193" s="1465" t="n"/>
      <c r="U193" s="1463" t="n"/>
      <c r="V193" s="1463">
        <f>'Resource Build-Up'!AG192</f>
        <v/>
      </c>
    </row>
    <row r="194">
      <c r="A194" s="1462" t="inlineStr">
        <is>
          <t>RV-187</t>
        </is>
      </c>
      <c r="B194" s="1462">
        <f>'Resource Build-Up'!A193</f>
        <v/>
      </c>
      <c r="C194" s="1462">
        <f>'Resource Build-Up'!B193</f>
        <v/>
      </c>
      <c r="D194" s="1463">
        <f>'Resource Build-Up'!C193</f>
        <v/>
      </c>
      <c r="E194" s="1463">
        <f>'Resource Build-Up'!H193</f>
        <v/>
      </c>
      <c r="F194" s="1463">
        <f>'Resource Build-Up'!P193</f>
        <v/>
      </c>
      <c r="G194" s="1463">
        <f>'Resource Build-Up'!Q193</f>
        <v/>
      </c>
      <c r="H194" s="1463">
        <f>'Resource Build-Up'!T193</f>
        <v/>
      </c>
      <c r="I194" s="1464">
        <f>'Resource Build-Up'!Y193</f>
        <v/>
      </c>
      <c r="J194" s="1464">
        <f>'Resource Build-Up'!Z193</f>
        <v/>
      </c>
      <c r="K194" s="1463" t="n"/>
      <c r="L194" s="1463" t="n"/>
      <c r="M194" s="1463" t="n"/>
      <c r="N194" s="1463" t="n"/>
      <c r="O194" s="1463" t="n"/>
      <c r="P194" s="1463" t="n"/>
      <c r="Q194" s="1463">
        <f>COUNTIF(L194,"PASS")+COUNTIF(N194,"PASS")+COUNTIF(P194,"PASS")</f>
        <v/>
      </c>
      <c r="R194" s="1463">
        <f>'Resource Build-Up'!AC193</f>
        <v/>
      </c>
      <c r="S194" s="1463">
        <f>'Resource Build-Up'!AF193</f>
        <v/>
      </c>
      <c r="T194" s="1465" t="n"/>
      <c r="U194" s="1463" t="n"/>
      <c r="V194" s="1463">
        <f>'Resource Build-Up'!AG193</f>
        <v/>
      </c>
    </row>
    <row r="195">
      <c r="A195" s="1462" t="inlineStr">
        <is>
          <t>RV-188</t>
        </is>
      </c>
      <c r="B195" s="1462">
        <f>'Resource Build-Up'!A194</f>
        <v/>
      </c>
      <c r="C195" s="1462">
        <f>'Resource Build-Up'!B194</f>
        <v/>
      </c>
      <c r="D195" s="1463">
        <f>'Resource Build-Up'!C194</f>
        <v/>
      </c>
      <c r="E195" s="1463">
        <f>'Resource Build-Up'!H194</f>
        <v/>
      </c>
      <c r="F195" s="1463">
        <f>'Resource Build-Up'!P194</f>
        <v/>
      </c>
      <c r="G195" s="1463">
        <f>'Resource Build-Up'!Q194</f>
        <v/>
      </c>
      <c r="H195" s="1463">
        <f>'Resource Build-Up'!T194</f>
        <v/>
      </c>
      <c r="I195" s="1464">
        <f>'Resource Build-Up'!Y194</f>
        <v/>
      </c>
      <c r="J195" s="1464">
        <f>'Resource Build-Up'!Z194</f>
        <v/>
      </c>
      <c r="K195" s="1463" t="n"/>
      <c r="L195" s="1463" t="n"/>
      <c r="M195" s="1463" t="n"/>
      <c r="N195" s="1463" t="n"/>
      <c r="O195" s="1463" t="n"/>
      <c r="P195" s="1463" t="n"/>
      <c r="Q195" s="1463">
        <f>COUNTIF(L195,"PASS")+COUNTIF(N195,"PASS")+COUNTIF(P195,"PASS")</f>
        <v/>
      </c>
      <c r="R195" s="1463">
        <f>'Resource Build-Up'!AC194</f>
        <v/>
      </c>
      <c r="S195" s="1463">
        <f>'Resource Build-Up'!AF194</f>
        <v/>
      </c>
      <c r="T195" s="1465" t="n"/>
      <c r="U195" s="1463" t="n"/>
      <c r="V195" s="1463">
        <f>'Resource Build-Up'!AG194</f>
        <v/>
      </c>
    </row>
    <row r="196">
      <c r="A196" s="1462" t="inlineStr">
        <is>
          <t>RV-189</t>
        </is>
      </c>
      <c r="B196" s="1462">
        <f>'Resource Build-Up'!A195</f>
        <v/>
      </c>
      <c r="C196" s="1462">
        <f>'Resource Build-Up'!B195</f>
        <v/>
      </c>
      <c r="D196" s="1463">
        <f>'Resource Build-Up'!C195</f>
        <v/>
      </c>
      <c r="E196" s="1463">
        <f>'Resource Build-Up'!H195</f>
        <v/>
      </c>
      <c r="F196" s="1463">
        <f>'Resource Build-Up'!P195</f>
        <v/>
      </c>
      <c r="G196" s="1463">
        <f>'Resource Build-Up'!Q195</f>
        <v/>
      </c>
      <c r="H196" s="1463">
        <f>'Resource Build-Up'!T195</f>
        <v/>
      </c>
      <c r="I196" s="1464">
        <f>'Resource Build-Up'!Y195</f>
        <v/>
      </c>
      <c r="J196" s="1464">
        <f>'Resource Build-Up'!Z195</f>
        <v/>
      </c>
      <c r="K196" s="1463" t="n"/>
      <c r="L196" s="1463" t="n"/>
      <c r="M196" s="1463" t="n"/>
      <c r="N196" s="1463" t="n"/>
      <c r="O196" s="1463" t="n"/>
      <c r="P196" s="1463" t="n"/>
      <c r="Q196" s="1463">
        <f>COUNTIF(L196,"PASS")+COUNTIF(N196,"PASS")+COUNTIF(P196,"PASS")</f>
        <v/>
      </c>
      <c r="R196" s="1463">
        <f>'Resource Build-Up'!AC195</f>
        <v/>
      </c>
      <c r="S196" s="1463">
        <f>'Resource Build-Up'!AF195</f>
        <v/>
      </c>
      <c r="T196" s="1465" t="n"/>
      <c r="U196" s="1463" t="n"/>
      <c r="V196" s="1463">
        <f>'Resource Build-Up'!AG195</f>
        <v/>
      </c>
    </row>
    <row r="197">
      <c r="A197" s="1462" t="inlineStr">
        <is>
          <t>RV-190</t>
        </is>
      </c>
      <c r="B197" s="1462">
        <f>'Resource Build-Up'!A196</f>
        <v/>
      </c>
      <c r="C197" s="1462">
        <f>'Resource Build-Up'!B196</f>
        <v/>
      </c>
      <c r="D197" s="1463">
        <f>'Resource Build-Up'!C196</f>
        <v/>
      </c>
      <c r="E197" s="1463">
        <f>'Resource Build-Up'!H196</f>
        <v/>
      </c>
      <c r="F197" s="1463">
        <f>'Resource Build-Up'!P196</f>
        <v/>
      </c>
      <c r="G197" s="1463">
        <f>'Resource Build-Up'!Q196</f>
        <v/>
      </c>
      <c r="H197" s="1463">
        <f>'Resource Build-Up'!T196</f>
        <v/>
      </c>
      <c r="I197" s="1464">
        <f>'Resource Build-Up'!Y196</f>
        <v/>
      </c>
      <c r="J197" s="1464">
        <f>'Resource Build-Up'!Z196</f>
        <v/>
      </c>
      <c r="K197" s="1463" t="n"/>
      <c r="L197" s="1463" t="n"/>
      <c r="M197" s="1463" t="n"/>
      <c r="N197" s="1463" t="n"/>
      <c r="O197" s="1463" t="n"/>
      <c r="P197" s="1463" t="n"/>
      <c r="Q197" s="1463">
        <f>COUNTIF(L197,"PASS")+COUNTIF(N197,"PASS")+COUNTIF(P197,"PASS")</f>
        <v/>
      </c>
      <c r="R197" s="1463">
        <f>'Resource Build-Up'!AC196</f>
        <v/>
      </c>
      <c r="S197" s="1463">
        <f>'Resource Build-Up'!AF196</f>
        <v/>
      </c>
      <c r="T197" s="1465" t="n"/>
      <c r="U197" s="1463" t="n"/>
      <c r="V197" s="1463">
        <f>'Resource Build-Up'!AG196</f>
        <v/>
      </c>
    </row>
    <row r="198">
      <c r="A198" s="1462" t="inlineStr">
        <is>
          <t>RV-191</t>
        </is>
      </c>
      <c r="B198" s="1462">
        <f>'Resource Build-Up'!A197</f>
        <v/>
      </c>
      <c r="C198" s="1462">
        <f>'Resource Build-Up'!B197</f>
        <v/>
      </c>
      <c r="D198" s="1463">
        <f>'Resource Build-Up'!C197</f>
        <v/>
      </c>
      <c r="E198" s="1463">
        <f>'Resource Build-Up'!H197</f>
        <v/>
      </c>
      <c r="F198" s="1463">
        <f>'Resource Build-Up'!P197</f>
        <v/>
      </c>
      <c r="G198" s="1463">
        <f>'Resource Build-Up'!Q197</f>
        <v/>
      </c>
      <c r="H198" s="1463">
        <f>'Resource Build-Up'!T197</f>
        <v/>
      </c>
      <c r="I198" s="1464">
        <f>'Resource Build-Up'!Y197</f>
        <v/>
      </c>
      <c r="J198" s="1464">
        <f>'Resource Build-Up'!Z197</f>
        <v/>
      </c>
      <c r="K198" s="1463" t="n"/>
      <c r="L198" s="1463" t="n"/>
      <c r="M198" s="1463" t="n"/>
      <c r="N198" s="1463" t="n"/>
      <c r="O198" s="1463" t="n"/>
      <c r="P198" s="1463" t="n"/>
      <c r="Q198" s="1463">
        <f>COUNTIF(L198,"PASS")+COUNTIF(N198,"PASS")+COUNTIF(P198,"PASS")</f>
        <v/>
      </c>
      <c r="R198" s="1463">
        <f>'Resource Build-Up'!AC197</f>
        <v/>
      </c>
      <c r="S198" s="1463">
        <f>'Resource Build-Up'!AF197</f>
        <v/>
      </c>
      <c r="T198" s="1465" t="n"/>
      <c r="U198" s="1463" t="n"/>
      <c r="V198" s="1463">
        <f>'Resource Build-Up'!AG197</f>
        <v/>
      </c>
    </row>
    <row r="199">
      <c r="A199" s="1462" t="inlineStr">
        <is>
          <t>RV-192</t>
        </is>
      </c>
      <c r="B199" s="1462">
        <f>'Resource Build-Up'!A198</f>
        <v/>
      </c>
      <c r="C199" s="1462">
        <f>'Resource Build-Up'!B198</f>
        <v/>
      </c>
      <c r="D199" s="1463">
        <f>'Resource Build-Up'!C198</f>
        <v/>
      </c>
      <c r="E199" s="1463">
        <f>'Resource Build-Up'!H198</f>
        <v/>
      </c>
      <c r="F199" s="1463">
        <f>'Resource Build-Up'!P198</f>
        <v/>
      </c>
      <c r="G199" s="1463">
        <f>'Resource Build-Up'!Q198</f>
        <v/>
      </c>
      <c r="H199" s="1463">
        <f>'Resource Build-Up'!T198</f>
        <v/>
      </c>
      <c r="I199" s="1464">
        <f>'Resource Build-Up'!Y198</f>
        <v/>
      </c>
      <c r="J199" s="1464">
        <f>'Resource Build-Up'!Z198</f>
        <v/>
      </c>
      <c r="K199" s="1463" t="n"/>
      <c r="L199" s="1463" t="n"/>
      <c r="M199" s="1463" t="n"/>
      <c r="N199" s="1463" t="n"/>
      <c r="O199" s="1463" t="n"/>
      <c r="P199" s="1463" t="n"/>
      <c r="Q199" s="1463">
        <f>COUNTIF(L199,"PASS")+COUNTIF(N199,"PASS")+COUNTIF(P199,"PASS")</f>
        <v/>
      </c>
      <c r="R199" s="1463">
        <f>'Resource Build-Up'!AC198</f>
        <v/>
      </c>
      <c r="S199" s="1463">
        <f>'Resource Build-Up'!AF198</f>
        <v/>
      </c>
      <c r="T199" s="1465" t="n"/>
      <c r="U199" s="1463" t="n"/>
      <c r="V199" s="1463">
        <f>'Resource Build-Up'!AG198</f>
        <v/>
      </c>
    </row>
    <row r="200">
      <c r="A200" s="1462" t="inlineStr">
        <is>
          <t>RV-193</t>
        </is>
      </c>
      <c r="B200" s="1462">
        <f>'Resource Build-Up'!A199</f>
        <v/>
      </c>
      <c r="C200" s="1462">
        <f>'Resource Build-Up'!B199</f>
        <v/>
      </c>
      <c r="D200" s="1463">
        <f>'Resource Build-Up'!C199</f>
        <v/>
      </c>
      <c r="E200" s="1463">
        <f>'Resource Build-Up'!H199</f>
        <v/>
      </c>
      <c r="F200" s="1463">
        <f>'Resource Build-Up'!P199</f>
        <v/>
      </c>
      <c r="G200" s="1463">
        <f>'Resource Build-Up'!Q199</f>
        <v/>
      </c>
      <c r="H200" s="1463">
        <f>'Resource Build-Up'!T199</f>
        <v/>
      </c>
      <c r="I200" s="1464">
        <f>'Resource Build-Up'!Y199</f>
        <v/>
      </c>
      <c r="J200" s="1464">
        <f>'Resource Build-Up'!Z199</f>
        <v/>
      </c>
      <c r="K200" s="1463" t="n"/>
      <c r="L200" s="1463" t="n"/>
      <c r="M200" s="1463" t="n"/>
      <c r="N200" s="1463" t="n"/>
      <c r="O200" s="1463" t="n"/>
      <c r="P200" s="1463" t="n"/>
      <c r="Q200" s="1463">
        <f>COUNTIF(L200,"PASS")+COUNTIF(N200,"PASS")+COUNTIF(P200,"PASS")</f>
        <v/>
      </c>
      <c r="R200" s="1463">
        <f>'Resource Build-Up'!AC199</f>
        <v/>
      </c>
      <c r="S200" s="1463">
        <f>'Resource Build-Up'!AF199</f>
        <v/>
      </c>
      <c r="T200" s="1465" t="n"/>
      <c r="U200" s="1463" t="n"/>
      <c r="V200" s="1463">
        <f>'Resource Build-Up'!AG199</f>
        <v/>
      </c>
    </row>
    <row r="201">
      <c r="A201" s="1462" t="inlineStr">
        <is>
          <t>RV-194</t>
        </is>
      </c>
      <c r="B201" s="1462">
        <f>'Resource Build-Up'!A200</f>
        <v/>
      </c>
      <c r="C201" s="1462">
        <f>'Resource Build-Up'!B200</f>
        <v/>
      </c>
      <c r="D201" s="1463">
        <f>'Resource Build-Up'!C200</f>
        <v/>
      </c>
      <c r="E201" s="1463">
        <f>'Resource Build-Up'!H200</f>
        <v/>
      </c>
      <c r="F201" s="1463">
        <f>'Resource Build-Up'!P200</f>
        <v/>
      </c>
      <c r="G201" s="1463">
        <f>'Resource Build-Up'!Q200</f>
        <v/>
      </c>
      <c r="H201" s="1463">
        <f>'Resource Build-Up'!T200</f>
        <v/>
      </c>
      <c r="I201" s="1464">
        <f>'Resource Build-Up'!Y200</f>
        <v/>
      </c>
      <c r="J201" s="1464">
        <f>'Resource Build-Up'!Z200</f>
        <v/>
      </c>
      <c r="K201" s="1463" t="n"/>
      <c r="L201" s="1463" t="n"/>
      <c r="M201" s="1463" t="n"/>
      <c r="N201" s="1463" t="n"/>
      <c r="O201" s="1463" t="n"/>
      <c r="P201" s="1463" t="n"/>
      <c r="Q201" s="1463">
        <f>COUNTIF(L201,"PASS")+COUNTIF(N201,"PASS")+COUNTIF(P201,"PASS")</f>
        <v/>
      </c>
      <c r="R201" s="1463">
        <f>'Resource Build-Up'!AC200</f>
        <v/>
      </c>
      <c r="S201" s="1463">
        <f>'Resource Build-Up'!AF200</f>
        <v/>
      </c>
      <c r="T201" s="1465" t="n"/>
      <c r="U201" s="1463" t="n"/>
      <c r="V201" s="1463">
        <f>'Resource Build-Up'!AG200</f>
        <v/>
      </c>
    </row>
    <row r="202">
      <c r="A202" s="1462" t="inlineStr">
        <is>
          <t>RV-195</t>
        </is>
      </c>
      <c r="B202" s="1462">
        <f>'Resource Build-Up'!A201</f>
        <v/>
      </c>
      <c r="C202" s="1462">
        <f>'Resource Build-Up'!B201</f>
        <v/>
      </c>
      <c r="D202" s="1463">
        <f>'Resource Build-Up'!C201</f>
        <v/>
      </c>
      <c r="E202" s="1463">
        <f>'Resource Build-Up'!H201</f>
        <v/>
      </c>
      <c r="F202" s="1463">
        <f>'Resource Build-Up'!P201</f>
        <v/>
      </c>
      <c r="G202" s="1463">
        <f>'Resource Build-Up'!Q201</f>
        <v/>
      </c>
      <c r="H202" s="1463">
        <f>'Resource Build-Up'!T201</f>
        <v/>
      </c>
      <c r="I202" s="1464">
        <f>'Resource Build-Up'!Y201</f>
        <v/>
      </c>
      <c r="J202" s="1464">
        <f>'Resource Build-Up'!Z201</f>
        <v/>
      </c>
      <c r="K202" s="1463" t="n"/>
      <c r="L202" s="1463" t="n"/>
      <c r="M202" s="1463" t="n"/>
      <c r="N202" s="1463" t="n"/>
      <c r="O202" s="1463" t="n"/>
      <c r="P202" s="1463" t="n"/>
      <c r="Q202" s="1463">
        <f>COUNTIF(L202,"PASS")+COUNTIF(N202,"PASS")+COUNTIF(P202,"PASS")</f>
        <v/>
      </c>
      <c r="R202" s="1463">
        <f>'Resource Build-Up'!AC201</f>
        <v/>
      </c>
      <c r="S202" s="1463">
        <f>'Resource Build-Up'!AF201</f>
        <v/>
      </c>
      <c r="T202" s="1465" t="n"/>
      <c r="U202" s="1463" t="n"/>
      <c r="V202" s="1463">
        <f>'Resource Build-Up'!AG201</f>
        <v/>
      </c>
    </row>
    <row r="203">
      <c r="A203" s="1462" t="inlineStr">
        <is>
          <t>RV-196</t>
        </is>
      </c>
      <c r="B203" s="1462">
        <f>'Resource Build-Up'!A202</f>
        <v/>
      </c>
      <c r="C203" s="1462">
        <f>'Resource Build-Up'!B202</f>
        <v/>
      </c>
      <c r="D203" s="1463">
        <f>'Resource Build-Up'!C202</f>
        <v/>
      </c>
      <c r="E203" s="1463">
        <f>'Resource Build-Up'!H202</f>
        <v/>
      </c>
      <c r="F203" s="1463">
        <f>'Resource Build-Up'!P202</f>
        <v/>
      </c>
      <c r="G203" s="1463">
        <f>'Resource Build-Up'!Q202</f>
        <v/>
      </c>
      <c r="H203" s="1463">
        <f>'Resource Build-Up'!T202</f>
        <v/>
      </c>
      <c r="I203" s="1464">
        <f>'Resource Build-Up'!Y202</f>
        <v/>
      </c>
      <c r="J203" s="1464">
        <f>'Resource Build-Up'!Z202</f>
        <v/>
      </c>
      <c r="K203" s="1463" t="n"/>
      <c r="L203" s="1463" t="n"/>
      <c r="M203" s="1463" t="n"/>
      <c r="N203" s="1463" t="n"/>
      <c r="O203" s="1463" t="n"/>
      <c r="P203" s="1463" t="n"/>
      <c r="Q203" s="1463">
        <f>COUNTIF(L203,"PASS")+COUNTIF(N203,"PASS")+COUNTIF(P203,"PASS")</f>
        <v/>
      </c>
      <c r="R203" s="1463">
        <f>'Resource Build-Up'!AC202</f>
        <v/>
      </c>
      <c r="S203" s="1463">
        <f>'Resource Build-Up'!AF202</f>
        <v/>
      </c>
      <c r="T203" s="1465" t="n"/>
      <c r="U203" s="1463" t="n"/>
      <c r="V203" s="1463">
        <f>'Resource Build-Up'!AG202</f>
        <v/>
      </c>
    </row>
    <row r="204">
      <c r="A204" s="1462" t="inlineStr">
        <is>
          <t>RV-197</t>
        </is>
      </c>
      <c r="B204" s="1462">
        <f>'Resource Build-Up'!A203</f>
        <v/>
      </c>
      <c r="C204" s="1462">
        <f>'Resource Build-Up'!B203</f>
        <v/>
      </c>
      <c r="D204" s="1463">
        <f>'Resource Build-Up'!C203</f>
        <v/>
      </c>
      <c r="E204" s="1463">
        <f>'Resource Build-Up'!H203</f>
        <v/>
      </c>
      <c r="F204" s="1463">
        <f>'Resource Build-Up'!P203</f>
        <v/>
      </c>
      <c r="G204" s="1463">
        <f>'Resource Build-Up'!Q203</f>
        <v/>
      </c>
      <c r="H204" s="1463">
        <f>'Resource Build-Up'!T203</f>
        <v/>
      </c>
      <c r="I204" s="1464">
        <f>'Resource Build-Up'!Y203</f>
        <v/>
      </c>
      <c r="J204" s="1464">
        <f>'Resource Build-Up'!Z203</f>
        <v/>
      </c>
      <c r="K204" s="1463" t="n"/>
      <c r="L204" s="1463" t="n"/>
      <c r="M204" s="1463" t="n"/>
      <c r="N204" s="1463" t="n"/>
      <c r="O204" s="1463" t="n"/>
      <c r="P204" s="1463" t="n"/>
      <c r="Q204" s="1463">
        <f>COUNTIF(L204,"PASS")+COUNTIF(N204,"PASS")+COUNTIF(P204,"PASS")</f>
        <v/>
      </c>
      <c r="R204" s="1463">
        <f>'Resource Build-Up'!AC203</f>
        <v/>
      </c>
      <c r="S204" s="1463">
        <f>'Resource Build-Up'!AF203</f>
        <v/>
      </c>
      <c r="T204" s="1465" t="n"/>
      <c r="U204" s="1463" t="n"/>
      <c r="V204" s="1463">
        <f>'Resource Build-Up'!AG203</f>
        <v/>
      </c>
    </row>
    <row r="205">
      <c r="A205" s="1462" t="inlineStr">
        <is>
          <t>RV-198</t>
        </is>
      </c>
      <c r="B205" s="1462">
        <f>'Resource Build-Up'!A204</f>
        <v/>
      </c>
      <c r="C205" s="1462">
        <f>'Resource Build-Up'!B204</f>
        <v/>
      </c>
      <c r="D205" s="1463">
        <f>'Resource Build-Up'!C204</f>
        <v/>
      </c>
      <c r="E205" s="1463">
        <f>'Resource Build-Up'!H204</f>
        <v/>
      </c>
      <c r="F205" s="1463">
        <f>'Resource Build-Up'!P204</f>
        <v/>
      </c>
      <c r="G205" s="1463">
        <f>'Resource Build-Up'!Q204</f>
        <v/>
      </c>
      <c r="H205" s="1463">
        <f>'Resource Build-Up'!T204</f>
        <v/>
      </c>
      <c r="I205" s="1464">
        <f>'Resource Build-Up'!Y204</f>
        <v/>
      </c>
      <c r="J205" s="1464">
        <f>'Resource Build-Up'!Z204</f>
        <v/>
      </c>
      <c r="K205" s="1463" t="n"/>
      <c r="L205" s="1463" t="n"/>
      <c r="M205" s="1463" t="n"/>
      <c r="N205" s="1463" t="n"/>
      <c r="O205" s="1463" t="n"/>
      <c r="P205" s="1463" t="n"/>
      <c r="Q205" s="1463">
        <f>COUNTIF(L205,"PASS")+COUNTIF(N205,"PASS")+COUNTIF(P205,"PASS")</f>
        <v/>
      </c>
      <c r="R205" s="1463">
        <f>'Resource Build-Up'!AC204</f>
        <v/>
      </c>
      <c r="S205" s="1463">
        <f>'Resource Build-Up'!AF204</f>
        <v/>
      </c>
      <c r="T205" s="1465" t="n"/>
      <c r="U205" s="1463" t="n"/>
      <c r="V205" s="1463">
        <f>'Resource Build-Up'!AG204</f>
        <v/>
      </c>
    </row>
    <row r="206">
      <c r="A206" s="1462" t="inlineStr">
        <is>
          <t>RV-199</t>
        </is>
      </c>
      <c r="B206" s="1462">
        <f>'Resource Build-Up'!A205</f>
        <v/>
      </c>
      <c r="C206" s="1462">
        <f>'Resource Build-Up'!B205</f>
        <v/>
      </c>
      <c r="D206" s="1463">
        <f>'Resource Build-Up'!C205</f>
        <v/>
      </c>
      <c r="E206" s="1463">
        <f>'Resource Build-Up'!H205</f>
        <v/>
      </c>
      <c r="F206" s="1463">
        <f>'Resource Build-Up'!P205</f>
        <v/>
      </c>
      <c r="G206" s="1463">
        <f>'Resource Build-Up'!Q205</f>
        <v/>
      </c>
      <c r="H206" s="1463">
        <f>'Resource Build-Up'!T205</f>
        <v/>
      </c>
      <c r="I206" s="1464">
        <f>'Resource Build-Up'!Y205</f>
        <v/>
      </c>
      <c r="J206" s="1464">
        <f>'Resource Build-Up'!Z205</f>
        <v/>
      </c>
      <c r="K206" s="1463" t="n"/>
      <c r="L206" s="1463" t="n"/>
      <c r="M206" s="1463" t="n"/>
      <c r="N206" s="1463" t="n"/>
      <c r="O206" s="1463" t="n"/>
      <c r="P206" s="1463" t="n"/>
      <c r="Q206" s="1463">
        <f>COUNTIF(L206,"PASS")+COUNTIF(N206,"PASS")+COUNTIF(P206,"PASS")</f>
        <v/>
      </c>
      <c r="R206" s="1463">
        <f>'Resource Build-Up'!AC205</f>
        <v/>
      </c>
      <c r="S206" s="1463">
        <f>'Resource Build-Up'!AF205</f>
        <v/>
      </c>
      <c r="T206" s="1465" t="n"/>
      <c r="U206" s="1463" t="n"/>
      <c r="V206" s="1463">
        <f>'Resource Build-Up'!AG205</f>
        <v/>
      </c>
    </row>
    <row r="207">
      <c r="A207" s="1462" t="inlineStr">
        <is>
          <t>RV-200</t>
        </is>
      </c>
      <c r="B207" s="1462">
        <f>'Resource Build-Up'!A206</f>
        <v/>
      </c>
      <c r="C207" s="1462">
        <f>'Resource Build-Up'!B206</f>
        <v/>
      </c>
      <c r="D207" s="1463">
        <f>'Resource Build-Up'!C206</f>
        <v/>
      </c>
      <c r="E207" s="1463">
        <f>'Resource Build-Up'!H206</f>
        <v/>
      </c>
      <c r="F207" s="1463">
        <f>'Resource Build-Up'!P206</f>
        <v/>
      </c>
      <c r="G207" s="1463">
        <f>'Resource Build-Up'!Q206</f>
        <v/>
      </c>
      <c r="H207" s="1463">
        <f>'Resource Build-Up'!T206</f>
        <v/>
      </c>
      <c r="I207" s="1464">
        <f>'Resource Build-Up'!Y206</f>
        <v/>
      </c>
      <c r="J207" s="1464">
        <f>'Resource Build-Up'!Z206</f>
        <v/>
      </c>
      <c r="K207" s="1463" t="n"/>
      <c r="L207" s="1463" t="n"/>
      <c r="M207" s="1463" t="n"/>
      <c r="N207" s="1463" t="n"/>
      <c r="O207" s="1463" t="n"/>
      <c r="P207" s="1463" t="n"/>
      <c r="Q207" s="1463">
        <f>COUNTIF(L207,"PASS")+COUNTIF(N207,"PASS")+COUNTIF(P207,"PASS")</f>
        <v/>
      </c>
      <c r="R207" s="1463">
        <f>'Resource Build-Up'!AC206</f>
        <v/>
      </c>
      <c r="S207" s="1463">
        <f>'Resource Build-Up'!AF206</f>
        <v/>
      </c>
      <c r="T207" s="1465" t="n"/>
      <c r="U207" s="1463" t="n"/>
      <c r="V207" s="1463">
        <f>'Resource Build-Up'!AG206</f>
        <v/>
      </c>
    </row>
    <row r="208">
      <c r="A208" s="1462" t="inlineStr">
        <is>
          <t>RV-201</t>
        </is>
      </c>
      <c r="B208" s="1462">
        <f>'Resource Build-Up'!A207</f>
        <v/>
      </c>
      <c r="C208" s="1462">
        <f>'Resource Build-Up'!B207</f>
        <v/>
      </c>
      <c r="D208" s="1463">
        <f>'Resource Build-Up'!C207</f>
        <v/>
      </c>
      <c r="E208" s="1463">
        <f>'Resource Build-Up'!H207</f>
        <v/>
      </c>
      <c r="F208" s="1463">
        <f>'Resource Build-Up'!P207</f>
        <v/>
      </c>
      <c r="G208" s="1463">
        <f>'Resource Build-Up'!Q207</f>
        <v/>
      </c>
      <c r="H208" s="1463">
        <f>'Resource Build-Up'!T207</f>
        <v/>
      </c>
      <c r="I208" s="1464">
        <f>'Resource Build-Up'!Y207</f>
        <v/>
      </c>
      <c r="J208" s="1464">
        <f>'Resource Build-Up'!Z207</f>
        <v/>
      </c>
      <c r="K208" s="1463" t="n"/>
      <c r="L208" s="1463" t="n"/>
      <c r="M208" s="1463" t="n"/>
      <c r="N208" s="1463" t="n"/>
      <c r="O208" s="1463" t="n"/>
      <c r="P208" s="1463" t="n"/>
      <c r="Q208" s="1463">
        <f>COUNTIF(L208,"PASS")+COUNTIF(N208,"PASS")+COUNTIF(P208,"PASS")</f>
        <v/>
      </c>
      <c r="R208" s="1463">
        <f>'Resource Build-Up'!AC207</f>
        <v/>
      </c>
      <c r="S208" s="1463">
        <f>'Resource Build-Up'!AF207</f>
        <v/>
      </c>
      <c r="T208" s="1465" t="n"/>
      <c r="U208" s="1463" t="n"/>
      <c r="V208" s="1463">
        <f>'Resource Build-Up'!AG207</f>
        <v/>
      </c>
    </row>
    <row r="209">
      <c r="A209" s="1462" t="inlineStr">
        <is>
          <t>RV-202</t>
        </is>
      </c>
      <c r="B209" s="1462">
        <f>'Resource Build-Up'!A208</f>
        <v/>
      </c>
      <c r="C209" s="1462">
        <f>'Resource Build-Up'!B208</f>
        <v/>
      </c>
      <c r="D209" s="1463">
        <f>'Resource Build-Up'!C208</f>
        <v/>
      </c>
      <c r="E209" s="1463">
        <f>'Resource Build-Up'!H208</f>
        <v/>
      </c>
      <c r="F209" s="1463">
        <f>'Resource Build-Up'!P208</f>
        <v/>
      </c>
      <c r="G209" s="1463">
        <f>'Resource Build-Up'!Q208</f>
        <v/>
      </c>
      <c r="H209" s="1463">
        <f>'Resource Build-Up'!T208</f>
        <v/>
      </c>
      <c r="I209" s="1464">
        <f>'Resource Build-Up'!Y208</f>
        <v/>
      </c>
      <c r="J209" s="1464">
        <f>'Resource Build-Up'!Z208</f>
        <v/>
      </c>
      <c r="K209" s="1463" t="n"/>
      <c r="L209" s="1463" t="n"/>
      <c r="M209" s="1463" t="n"/>
      <c r="N209" s="1463" t="n"/>
      <c r="O209" s="1463" t="n"/>
      <c r="P209" s="1463" t="n"/>
      <c r="Q209" s="1463">
        <f>COUNTIF(L209,"PASS")+COUNTIF(N209,"PASS")+COUNTIF(P209,"PASS")</f>
        <v/>
      </c>
      <c r="R209" s="1463">
        <f>'Resource Build-Up'!AC208</f>
        <v/>
      </c>
      <c r="S209" s="1463">
        <f>'Resource Build-Up'!AF208</f>
        <v/>
      </c>
      <c r="T209" s="1465" t="n"/>
      <c r="U209" s="1463" t="n"/>
      <c r="V209" s="1463">
        <f>'Resource Build-Up'!AG208</f>
        <v/>
      </c>
    </row>
    <row r="210">
      <c r="A210" s="1462" t="inlineStr">
        <is>
          <t>RV-203</t>
        </is>
      </c>
      <c r="B210" s="1462">
        <f>'Resource Build-Up'!A209</f>
        <v/>
      </c>
      <c r="C210" s="1462">
        <f>'Resource Build-Up'!B209</f>
        <v/>
      </c>
      <c r="D210" s="1463">
        <f>'Resource Build-Up'!C209</f>
        <v/>
      </c>
      <c r="E210" s="1463">
        <f>'Resource Build-Up'!H209</f>
        <v/>
      </c>
      <c r="F210" s="1463">
        <f>'Resource Build-Up'!P209</f>
        <v/>
      </c>
      <c r="G210" s="1463">
        <f>'Resource Build-Up'!Q209</f>
        <v/>
      </c>
      <c r="H210" s="1463">
        <f>'Resource Build-Up'!T209</f>
        <v/>
      </c>
      <c r="I210" s="1464">
        <f>'Resource Build-Up'!Y209</f>
        <v/>
      </c>
      <c r="J210" s="1464">
        <f>'Resource Build-Up'!Z209</f>
        <v/>
      </c>
      <c r="K210" s="1463" t="n"/>
      <c r="L210" s="1463" t="n"/>
      <c r="M210" s="1463" t="n"/>
      <c r="N210" s="1463" t="n"/>
      <c r="O210" s="1463" t="n"/>
      <c r="P210" s="1463" t="n"/>
      <c r="Q210" s="1463">
        <f>COUNTIF(L210,"PASS")+COUNTIF(N210,"PASS")+COUNTIF(P210,"PASS")</f>
        <v/>
      </c>
      <c r="R210" s="1463">
        <f>'Resource Build-Up'!AC209</f>
        <v/>
      </c>
      <c r="S210" s="1463">
        <f>'Resource Build-Up'!AF209</f>
        <v/>
      </c>
      <c r="T210" s="1465" t="n"/>
      <c r="U210" s="1463" t="n"/>
      <c r="V210" s="1463">
        <f>'Resource Build-Up'!AG209</f>
        <v/>
      </c>
    </row>
    <row r="211">
      <c r="A211" s="1462" t="inlineStr">
        <is>
          <t>RV-204</t>
        </is>
      </c>
      <c r="B211" s="1462">
        <f>'Resource Build-Up'!A210</f>
        <v/>
      </c>
      <c r="C211" s="1462">
        <f>'Resource Build-Up'!B210</f>
        <v/>
      </c>
      <c r="D211" s="1463">
        <f>'Resource Build-Up'!C210</f>
        <v/>
      </c>
      <c r="E211" s="1463">
        <f>'Resource Build-Up'!H210</f>
        <v/>
      </c>
      <c r="F211" s="1463">
        <f>'Resource Build-Up'!P210</f>
        <v/>
      </c>
      <c r="G211" s="1463">
        <f>'Resource Build-Up'!Q210</f>
        <v/>
      </c>
      <c r="H211" s="1463">
        <f>'Resource Build-Up'!T210</f>
        <v/>
      </c>
      <c r="I211" s="1464">
        <f>'Resource Build-Up'!Y210</f>
        <v/>
      </c>
      <c r="J211" s="1464">
        <f>'Resource Build-Up'!Z210</f>
        <v/>
      </c>
      <c r="K211" s="1463" t="n"/>
      <c r="L211" s="1463" t="n"/>
      <c r="M211" s="1463" t="n"/>
      <c r="N211" s="1463" t="n"/>
      <c r="O211" s="1463" t="n"/>
      <c r="P211" s="1463" t="n"/>
      <c r="Q211" s="1463">
        <f>COUNTIF(L211,"PASS")+COUNTIF(N211,"PASS")+COUNTIF(P211,"PASS")</f>
        <v/>
      </c>
      <c r="R211" s="1463">
        <f>'Resource Build-Up'!AC210</f>
        <v/>
      </c>
      <c r="S211" s="1463">
        <f>'Resource Build-Up'!AF210</f>
        <v/>
      </c>
      <c r="T211" s="1465" t="n"/>
      <c r="U211" s="1463" t="n"/>
      <c r="V211" s="1463">
        <f>'Resource Build-Up'!AG210</f>
        <v/>
      </c>
    </row>
    <row r="212">
      <c r="A212" s="1462" t="inlineStr">
        <is>
          <t>RV-205</t>
        </is>
      </c>
      <c r="B212" s="1462">
        <f>'Resource Build-Up'!A211</f>
        <v/>
      </c>
      <c r="C212" s="1462">
        <f>'Resource Build-Up'!B211</f>
        <v/>
      </c>
      <c r="D212" s="1463">
        <f>'Resource Build-Up'!C211</f>
        <v/>
      </c>
      <c r="E212" s="1463">
        <f>'Resource Build-Up'!H211</f>
        <v/>
      </c>
      <c r="F212" s="1463">
        <f>'Resource Build-Up'!P211</f>
        <v/>
      </c>
      <c r="G212" s="1463">
        <f>'Resource Build-Up'!Q211</f>
        <v/>
      </c>
      <c r="H212" s="1463">
        <f>'Resource Build-Up'!T211</f>
        <v/>
      </c>
      <c r="I212" s="1464">
        <f>'Resource Build-Up'!Y211</f>
        <v/>
      </c>
      <c r="J212" s="1464">
        <f>'Resource Build-Up'!Z211</f>
        <v/>
      </c>
      <c r="K212" s="1463" t="n"/>
      <c r="L212" s="1463" t="n"/>
      <c r="M212" s="1463" t="n"/>
      <c r="N212" s="1463" t="n"/>
      <c r="O212" s="1463" t="n"/>
      <c r="P212" s="1463" t="n"/>
      <c r="Q212" s="1463">
        <f>COUNTIF(L212,"PASS")+COUNTIF(N212,"PASS")+COUNTIF(P212,"PASS")</f>
        <v/>
      </c>
      <c r="R212" s="1463">
        <f>'Resource Build-Up'!AC211</f>
        <v/>
      </c>
      <c r="S212" s="1463">
        <f>'Resource Build-Up'!AF211</f>
        <v/>
      </c>
      <c r="T212" s="1465" t="n"/>
      <c r="U212" s="1463" t="n"/>
      <c r="V212" s="1463">
        <f>'Resource Build-Up'!AG211</f>
        <v/>
      </c>
    </row>
    <row r="213">
      <c r="A213" s="1462" t="inlineStr">
        <is>
          <t>RV-206</t>
        </is>
      </c>
      <c r="B213" s="1462">
        <f>'Resource Build-Up'!A212</f>
        <v/>
      </c>
      <c r="C213" s="1462">
        <f>'Resource Build-Up'!B212</f>
        <v/>
      </c>
      <c r="D213" s="1463">
        <f>'Resource Build-Up'!C212</f>
        <v/>
      </c>
      <c r="E213" s="1463">
        <f>'Resource Build-Up'!H212</f>
        <v/>
      </c>
      <c r="F213" s="1463">
        <f>'Resource Build-Up'!P212</f>
        <v/>
      </c>
      <c r="G213" s="1463">
        <f>'Resource Build-Up'!Q212</f>
        <v/>
      </c>
      <c r="H213" s="1463">
        <f>'Resource Build-Up'!T212</f>
        <v/>
      </c>
      <c r="I213" s="1464">
        <f>'Resource Build-Up'!Y212</f>
        <v/>
      </c>
      <c r="J213" s="1464">
        <f>'Resource Build-Up'!Z212</f>
        <v/>
      </c>
      <c r="K213" s="1463" t="n"/>
      <c r="L213" s="1463" t="n"/>
      <c r="M213" s="1463" t="n"/>
      <c r="N213" s="1463" t="n"/>
      <c r="O213" s="1463" t="n"/>
      <c r="P213" s="1463" t="n"/>
      <c r="Q213" s="1463">
        <f>COUNTIF(L213,"PASS")+COUNTIF(N213,"PASS")+COUNTIF(P213,"PASS")</f>
        <v/>
      </c>
      <c r="R213" s="1463">
        <f>'Resource Build-Up'!AC212</f>
        <v/>
      </c>
      <c r="S213" s="1463">
        <f>'Resource Build-Up'!AF212</f>
        <v/>
      </c>
      <c r="T213" s="1465" t="n"/>
      <c r="U213" s="1463" t="n"/>
      <c r="V213" s="1463">
        <f>'Resource Build-Up'!AG212</f>
        <v/>
      </c>
    </row>
    <row r="214">
      <c r="A214" s="1462" t="inlineStr">
        <is>
          <t>RV-207</t>
        </is>
      </c>
      <c r="B214" s="1462">
        <f>'Resource Build-Up'!A213</f>
        <v/>
      </c>
      <c r="C214" s="1462">
        <f>'Resource Build-Up'!B213</f>
        <v/>
      </c>
      <c r="D214" s="1463">
        <f>'Resource Build-Up'!C213</f>
        <v/>
      </c>
      <c r="E214" s="1463">
        <f>'Resource Build-Up'!H213</f>
        <v/>
      </c>
      <c r="F214" s="1463">
        <f>'Resource Build-Up'!P213</f>
        <v/>
      </c>
      <c r="G214" s="1463">
        <f>'Resource Build-Up'!Q213</f>
        <v/>
      </c>
      <c r="H214" s="1463">
        <f>'Resource Build-Up'!T213</f>
        <v/>
      </c>
      <c r="I214" s="1464">
        <f>'Resource Build-Up'!Y213</f>
        <v/>
      </c>
      <c r="J214" s="1464">
        <f>'Resource Build-Up'!Z213</f>
        <v/>
      </c>
      <c r="K214" s="1463" t="n"/>
      <c r="L214" s="1463" t="n"/>
      <c r="M214" s="1463" t="n"/>
      <c r="N214" s="1463" t="n"/>
      <c r="O214" s="1463" t="n"/>
      <c r="P214" s="1463" t="n"/>
      <c r="Q214" s="1463">
        <f>COUNTIF(L214,"PASS")+COUNTIF(N214,"PASS")+COUNTIF(P214,"PASS")</f>
        <v/>
      </c>
      <c r="R214" s="1463">
        <f>'Resource Build-Up'!AC213</f>
        <v/>
      </c>
      <c r="S214" s="1463">
        <f>'Resource Build-Up'!AF213</f>
        <v/>
      </c>
      <c r="T214" s="1465" t="n"/>
      <c r="U214" s="1463" t="n"/>
      <c r="V214" s="1463">
        <f>'Resource Build-Up'!AG213</f>
        <v/>
      </c>
    </row>
    <row r="215">
      <c r="A215" s="1462" t="inlineStr">
        <is>
          <t>RV-208</t>
        </is>
      </c>
      <c r="B215" s="1462">
        <f>'Resource Build-Up'!A214</f>
        <v/>
      </c>
      <c r="C215" s="1462">
        <f>'Resource Build-Up'!B214</f>
        <v/>
      </c>
      <c r="D215" s="1463">
        <f>'Resource Build-Up'!C214</f>
        <v/>
      </c>
      <c r="E215" s="1463">
        <f>'Resource Build-Up'!H214</f>
        <v/>
      </c>
      <c r="F215" s="1463">
        <f>'Resource Build-Up'!P214</f>
        <v/>
      </c>
      <c r="G215" s="1463">
        <f>'Resource Build-Up'!Q214</f>
        <v/>
      </c>
      <c r="H215" s="1463">
        <f>'Resource Build-Up'!T214</f>
        <v/>
      </c>
      <c r="I215" s="1464">
        <f>'Resource Build-Up'!Y214</f>
        <v/>
      </c>
      <c r="J215" s="1464">
        <f>'Resource Build-Up'!Z214</f>
        <v/>
      </c>
      <c r="K215" s="1463" t="n"/>
      <c r="L215" s="1463" t="n"/>
      <c r="M215" s="1463" t="n"/>
      <c r="N215" s="1463" t="n"/>
      <c r="O215" s="1463" t="n"/>
      <c r="P215" s="1463" t="n"/>
      <c r="Q215" s="1463">
        <f>COUNTIF(L215,"PASS")+COUNTIF(N215,"PASS")+COUNTIF(P215,"PASS")</f>
        <v/>
      </c>
      <c r="R215" s="1463">
        <f>'Resource Build-Up'!AC214</f>
        <v/>
      </c>
      <c r="S215" s="1463">
        <f>'Resource Build-Up'!AF214</f>
        <v/>
      </c>
      <c r="T215" s="1465" t="n"/>
      <c r="U215" s="1463" t="n"/>
      <c r="V215" s="1463">
        <f>'Resource Build-Up'!AG214</f>
        <v/>
      </c>
    </row>
    <row r="216">
      <c r="A216" s="1462" t="inlineStr">
        <is>
          <t>RV-209</t>
        </is>
      </c>
      <c r="B216" s="1462">
        <f>'Resource Build-Up'!A215</f>
        <v/>
      </c>
      <c r="C216" s="1462">
        <f>'Resource Build-Up'!B215</f>
        <v/>
      </c>
      <c r="D216" s="1463">
        <f>'Resource Build-Up'!C215</f>
        <v/>
      </c>
      <c r="E216" s="1463">
        <f>'Resource Build-Up'!H215</f>
        <v/>
      </c>
      <c r="F216" s="1463">
        <f>'Resource Build-Up'!P215</f>
        <v/>
      </c>
      <c r="G216" s="1463">
        <f>'Resource Build-Up'!Q215</f>
        <v/>
      </c>
      <c r="H216" s="1463">
        <f>'Resource Build-Up'!T215</f>
        <v/>
      </c>
      <c r="I216" s="1464">
        <f>'Resource Build-Up'!Y215</f>
        <v/>
      </c>
      <c r="J216" s="1464">
        <f>'Resource Build-Up'!Z215</f>
        <v/>
      </c>
      <c r="K216" s="1463" t="n"/>
      <c r="L216" s="1463" t="n"/>
      <c r="M216" s="1463" t="n"/>
      <c r="N216" s="1463" t="n"/>
      <c r="O216" s="1463" t="n"/>
      <c r="P216" s="1463" t="n"/>
      <c r="Q216" s="1463">
        <f>COUNTIF(L216,"PASS")+COUNTIF(N216,"PASS")+COUNTIF(P216,"PASS")</f>
        <v/>
      </c>
      <c r="R216" s="1463">
        <f>'Resource Build-Up'!AC215</f>
        <v/>
      </c>
      <c r="S216" s="1463">
        <f>'Resource Build-Up'!AF215</f>
        <v/>
      </c>
      <c r="T216" s="1465" t="n"/>
      <c r="U216" s="1463" t="n"/>
      <c r="V216" s="1463">
        <f>'Resource Build-Up'!AG215</f>
        <v/>
      </c>
    </row>
    <row r="217">
      <c r="A217" s="1462" t="inlineStr">
        <is>
          <t>RV-210</t>
        </is>
      </c>
      <c r="B217" s="1462">
        <f>'Resource Build-Up'!A216</f>
        <v/>
      </c>
      <c r="C217" s="1462">
        <f>'Resource Build-Up'!B216</f>
        <v/>
      </c>
      <c r="D217" s="1463">
        <f>'Resource Build-Up'!C216</f>
        <v/>
      </c>
      <c r="E217" s="1463">
        <f>'Resource Build-Up'!H216</f>
        <v/>
      </c>
      <c r="F217" s="1463">
        <f>'Resource Build-Up'!P216</f>
        <v/>
      </c>
      <c r="G217" s="1463">
        <f>'Resource Build-Up'!Q216</f>
        <v/>
      </c>
      <c r="H217" s="1463">
        <f>'Resource Build-Up'!T216</f>
        <v/>
      </c>
      <c r="I217" s="1464">
        <f>'Resource Build-Up'!Y216</f>
        <v/>
      </c>
      <c r="J217" s="1464">
        <f>'Resource Build-Up'!Z216</f>
        <v/>
      </c>
      <c r="K217" s="1463" t="n"/>
      <c r="L217" s="1463" t="n"/>
      <c r="M217" s="1463" t="n"/>
      <c r="N217" s="1463" t="n"/>
      <c r="O217" s="1463" t="n"/>
      <c r="P217" s="1463" t="n"/>
      <c r="Q217" s="1463">
        <f>COUNTIF(L217,"PASS")+COUNTIF(N217,"PASS")+COUNTIF(P217,"PASS")</f>
        <v/>
      </c>
      <c r="R217" s="1463">
        <f>'Resource Build-Up'!AC216</f>
        <v/>
      </c>
      <c r="S217" s="1463">
        <f>'Resource Build-Up'!AF216</f>
        <v/>
      </c>
      <c r="T217" s="1465" t="n"/>
      <c r="U217" s="1463" t="n"/>
      <c r="V217" s="1463">
        <f>'Resource Build-Up'!AG216</f>
        <v/>
      </c>
    </row>
    <row r="218">
      <c r="A218" s="1462" t="inlineStr">
        <is>
          <t>RV-211</t>
        </is>
      </c>
      <c r="B218" s="1462">
        <f>'Resource Build-Up'!A217</f>
        <v/>
      </c>
      <c r="C218" s="1462">
        <f>'Resource Build-Up'!B217</f>
        <v/>
      </c>
      <c r="D218" s="1463">
        <f>'Resource Build-Up'!C217</f>
        <v/>
      </c>
      <c r="E218" s="1463">
        <f>'Resource Build-Up'!H217</f>
        <v/>
      </c>
      <c r="F218" s="1463">
        <f>'Resource Build-Up'!P217</f>
        <v/>
      </c>
      <c r="G218" s="1463">
        <f>'Resource Build-Up'!Q217</f>
        <v/>
      </c>
      <c r="H218" s="1463">
        <f>'Resource Build-Up'!T217</f>
        <v/>
      </c>
      <c r="I218" s="1464">
        <f>'Resource Build-Up'!Y217</f>
        <v/>
      </c>
      <c r="J218" s="1464">
        <f>'Resource Build-Up'!Z217</f>
        <v/>
      </c>
      <c r="K218" s="1463" t="n"/>
      <c r="L218" s="1463" t="n"/>
      <c r="M218" s="1463" t="n"/>
      <c r="N218" s="1463" t="n"/>
      <c r="O218" s="1463" t="n"/>
      <c r="P218" s="1463" t="n"/>
      <c r="Q218" s="1463">
        <f>COUNTIF(L218,"PASS")+COUNTIF(N218,"PASS")+COUNTIF(P218,"PASS")</f>
        <v/>
      </c>
      <c r="R218" s="1463">
        <f>'Resource Build-Up'!AC217</f>
        <v/>
      </c>
      <c r="S218" s="1463">
        <f>'Resource Build-Up'!AF217</f>
        <v/>
      </c>
      <c r="T218" s="1465" t="n"/>
      <c r="U218" s="1463" t="n"/>
      <c r="V218" s="1463">
        <f>'Resource Build-Up'!AG217</f>
        <v/>
      </c>
    </row>
    <row r="219">
      <c r="A219" s="1462" t="inlineStr">
        <is>
          <t>RV-212</t>
        </is>
      </c>
      <c r="B219" s="1462">
        <f>'Resource Build-Up'!A218</f>
        <v/>
      </c>
      <c r="C219" s="1462">
        <f>'Resource Build-Up'!B218</f>
        <v/>
      </c>
      <c r="D219" s="1463">
        <f>'Resource Build-Up'!C218</f>
        <v/>
      </c>
      <c r="E219" s="1463">
        <f>'Resource Build-Up'!H218</f>
        <v/>
      </c>
      <c r="F219" s="1463">
        <f>'Resource Build-Up'!P218</f>
        <v/>
      </c>
      <c r="G219" s="1463">
        <f>'Resource Build-Up'!Q218</f>
        <v/>
      </c>
      <c r="H219" s="1463">
        <f>'Resource Build-Up'!T218</f>
        <v/>
      </c>
      <c r="I219" s="1464">
        <f>'Resource Build-Up'!Y218</f>
        <v/>
      </c>
      <c r="J219" s="1464">
        <f>'Resource Build-Up'!Z218</f>
        <v/>
      </c>
      <c r="K219" s="1463" t="n"/>
      <c r="L219" s="1463" t="n"/>
      <c r="M219" s="1463" t="n"/>
      <c r="N219" s="1463" t="n"/>
      <c r="O219" s="1463" t="n"/>
      <c r="P219" s="1463" t="n"/>
      <c r="Q219" s="1463">
        <f>COUNTIF(L219,"PASS")+COUNTIF(N219,"PASS")+COUNTIF(P219,"PASS")</f>
        <v/>
      </c>
      <c r="R219" s="1463">
        <f>'Resource Build-Up'!AC218</f>
        <v/>
      </c>
      <c r="S219" s="1463">
        <f>'Resource Build-Up'!AF218</f>
        <v/>
      </c>
      <c r="T219" s="1465" t="n"/>
      <c r="U219" s="1463" t="n"/>
      <c r="V219" s="1463">
        <f>'Resource Build-Up'!AG218</f>
        <v/>
      </c>
    </row>
    <row r="220">
      <c r="A220" s="1462" t="inlineStr">
        <is>
          <t>RV-213</t>
        </is>
      </c>
      <c r="B220" s="1462">
        <f>'Resource Build-Up'!A219</f>
        <v/>
      </c>
      <c r="C220" s="1462">
        <f>'Resource Build-Up'!B219</f>
        <v/>
      </c>
      <c r="D220" s="1463">
        <f>'Resource Build-Up'!C219</f>
        <v/>
      </c>
      <c r="E220" s="1463">
        <f>'Resource Build-Up'!H219</f>
        <v/>
      </c>
      <c r="F220" s="1463">
        <f>'Resource Build-Up'!P219</f>
        <v/>
      </c>
      <c r="G220" s="1463">
        <f>'Resource Build-Up'!Q219</f>
        <v/>
      </c>
      <c r="H220" s="1463">
        <f>'Resource Build-Up'!T219</f>
        <v/>
      </c>
      <c r="I220" s="1464">
        <f>'Resource Build-Up'!Y219</f>
        <v/>
      </c>
      <c r="J220" s="1464">
        <f>'Resource Build-Up'!Z219</f>
        <v/>
      </c>
      <c r="K220" s="1463" t="n"/>
      <c r="L220" s="1463" t="n"/>
      <c r="M220" s="1463" t="n"/>
      <c r="N220" s="1463" t="n"/>
      <c r="O220" s="1463" t="n"/>
      <c r="P220" s="1463" t="n"/>
      <c r="Q220" s="1463">
        <f>COUNTIF(L220,"PASS")+COUNTIF(N220,"PASS")+COUNTIF(P220,"PASS")</f>
        <v/>
      </c>
      <c r="R220" s="1463">
        <f>'Resource Build-Up'!AC219</f>
        <v/>
      </c>
      <c r="S220" s="1463">
        <f>'Resource Build-Up'!AF219</f>
        <v/>
      </c>
      <c r="T220" s="1465" t="n"/>
      <c r="U220" s="1463" t="n"/>
      <c r="V220" s="1463">
        <f>'Resource Build-Up'!AG219</f>
        <v/>
      </c>
    </row>
    <row r="221">
      <c r="A221" s="1462" t="inlineStr">
        <is>
          <t>RV-214</t>
        </is>
      </c>
      <c r="B221" s="1462">
        <f>'Resource Build-Up'!A220</f>
        <v/>
      </c>
      <c r="C221" s="1462">
        <f>'Resource Build-Up'!B220</f>
        <v/>
      </c>
      <c r="D221" s="1463">
        <f>'Resource Build-Up'!C220</f>
        <v/>
      </c>
      <c r="E221" s="1463">
        <f>'Resource Build-Up'!H220</f>
        <v/>
      </c>
      <c r="F221" s="1463">
        <f>'Resource Build-Up'!P220</f>
        <v/>
      </c>
      <c r="G221" s="1463">
        <f>'Resource Build-Up'!Q220</f>
        <v/>
      </c>
      <c r="H221" s="1463">
        <f>'Resource Build-Up'!T220</f>
        <v/>
      </c>
      <c r="I221" s="1464">
        <f>'Resource Build-Up'!Y220</f>
        <v/>
      </c>
      <c r="J221" s="1464">
        <f>'Resource Build-Up'!Z220</f>
        <v/>
      </c>
      <c r="K221" s="1463" t="n"/>
      <c r="L221" s="1463" t="n"/>
      <c r="M221" s="1463" t="n"/>
      <c r="N221" s="1463" t="n"/>
      <c r="O221" s="1463" t="n"/>
      <c r="P221" s="1463" t="n"/>
      <c r="Q221" s="1463">
        <f>COUNTIF(L221,"PASS")+COUNTIF(N221,"PASS")+COUNTIF(P221,"PASS")</f>
        <v/>
      </c>
      <c r="R221" s="1463">
        <f>'Resource Build-Up'!AC220</f>
        <v/>
      </c>
      <c r="S221" s="1463">
        <f>'Resource Build-Up'!AF220</f>
        <v/>
      </c>
      <c r="T221" s="1465" t="n"/>
      <c r="U221" s="1463" t="n"/>
      <c r="V221" s="1463">
        <f>'Resource Build-Up'!AG220</f>
        <v/>
      </c>
    </row>
    <row r="222">
      <c r="A222" s="1462" t="inlineStr">
        <is>
          <t>RV-215</t>
        </is>
      </c>
      <c r="B222" s="1462">
        <f>'Resource Build-Up'!A221</f>
        <v/>
      </c>
      <c r="C222" s="1462">
        <f>'Resource Build-Up'!B221</f>
        <v/>
      </c>
      <c r="D222" s="1463">
        <f>'Resource Build-Up'!C221</f>
        <v/>
      </c>
      <c r="E222" s="1463">
        <f>'Resource Build-Up'!H221</f>
        <v/>
      </c>
      <c r="F222" s="1463">
        <f>'Resource Build-Up'!P221</f>
        <v/>
      </c>
      <c r="G222" s="1463">
        <f>'Resource Build-Up'!Q221</f>
        <v/>
      </c>
      <c r="H222" s="1463">
        <f>'Resource Build-Up'!T221</f>
        <v/>
      </c>
      <c r="I222" s="1464">
        <f>'Resource Build-Up'!Y221</f>
        <v/>
      </c>
      <c r="J222" s="1464">
        <f>'Resource Build-Up'!Z221</f>
        <v/>
      </c>
      <c r="K222" s="1463" t="n"/>
      <c r="L222" s="1463" t="n"/>
      <c r="M222" s="1463" t="n"/>
      <c r="N222" s="1463" t="n"/>
      <c r="O222" s="1463" t="n"/>
      <c r="P222" s="1463" t="n"/>
      <c r="Q222" s="1463">
        <f>COUNTIF(L222,"PASS")+COUNTIF(N222,"PASS")+COUNTIF(P222,"PASS")</f>
        <v/>
      </c>
      <c r="R222" s="1463">
        <f>'Resource Build-Up'!AC221</f>
        <v/>
      </c>
      <c r="S222" s="1463">
        <f>'Resource Build-Up'!AF221</f>
        <v/>
      </c>
      <c r="T222" s="1465" t="n"/>
      <c r="U222" s="1463" t="n"/>
      <c r="V222" s="1463">
        <f>'Resource Build-Up'!AG221</f>
        <v/>
      </c>
    </row>
    <row r="223">
      <c r="A223" s="1462" t="inlineStr">
        <is>
          <t>RV-216</t>
        </is>
      </c>
      <c r="B223" s="1462">
        <f>'Resource Build-Up'!A222</f>
        <v/>
      </c>
      <c r="C223" s="1462">
        <f>'Resource Build-Up'!B222</f>
        <v/>
      </c>
      <c r="D223" s="1463">
        <f>'Resource Build-Up'!C222</f>
        <v/>
      </c>
      <c r="E223" s="1463">
        <f>'Resource Build-Up'!H222</f>
        <v/>
      </c>
      <c r="F223" s="1463">
        <f>'Resource Build-Up'!P222</f>
        <v/>
      </c>
      <c r="G223" s="1463">
        <f>'Resource Build-Up'!Q222</f>
        <v/>
      </c>
      <c r="H223" s="1463">
        <f>'Resource Build-Up'!T222</f>
        <v/>
      </c>
      <c r="I223" s="1464">
        <f>'Resource Build-Up'!Y222</f>
        <v/>
      </c>
      <c r="J223" s="1464">
        <f>'Resource Build-Up'!Z222</f>
        <v/>
      </c>
      <c r="K223" s="1463" t="n"/>
      <c r="L223" s="1463" t="n"/>
      <c r="M223" s="1463" t="n"/>
      <c r="N223" s="1463" t="n"/>
      <c r="O223" s="1463" t="n"/>
      <c r="P223" s="1463" t="n"/>
      <c r="Q223" s="1463">
        <f>COUNTIF(L223,"PASS")+COUNTIF(N223,"PASS")+COUNTIF(P223,"PASS")</f>
        <v/>
      </c>
      <c r="R223" s="1463">
        <f>'Resource Build-Up'!AC222</f>
        <v/>
      </c>
      <c r="S223" s="1463">
        <f>'Resource Build-Up'!AF222</f>
        <v/>
      </c>
      <c r="T223" s="1465" t="n"/>
      <c r="U223" s="1463" t="n"/>
      <c r="V223" s="1463">
        <f>'Resource Build-Up'!AG222</f>
        <v/>
      </c>
    </row>
    <row r="224">
      <c r="A224" s="1462" t="inlineStr">
        <is>
          <t>RV-217</t>
        </is>
      </c>
      <c r="B224" s="1462">
        <f>'Resource Build-Up'!A223</f>
        <v/>
      </c>
      <c r="C224" s="1462">
        <f>'Resource Build-Up'!B223</f>
        <v/>
      </c>
      <c r="D224" s="1463">
        <f>'Resource Build-Up'!C223</f>
        <v/>
      </c>
      <c r="E224" s="1463">
        <f>'Resource Build-Up'!H223</f>
        <v/>
      </c>
      <c r="F224" s="1463">
        <f>'Resource Build-Up'!P223</f>
        <v/>
      </c>
      <c r="G224" s="1463">
        <f>'Resource Build-Up'!Q223</f>
        <v/>
      </c>
      <c r="H224" s="1463">
        <f>'Resource Build-Up'!T223</f>
        <v/>
      </c>
      <c r="I224" s="1464">
        <f>'Resource Build-Up'!Y223</f>
        <v/>
      </c>
      <c r="J224" s="1464">
        <f>'Resource Build-Up'!Z223</f>
        <v/>
      </c>
      <c r="K224" s="1463" t="n"/>
      <c r="L224" s="1463" t="n"/>
      <c r="M224" s="1463" t="n"/>
      <c r="N224" s="1463" t="n"/>
      <c r="O224" s="1463" t="n"/>
      <c r="P224" s="1463" t="n"/>
      <c r="Q224" s="1463">
        <f>COUNTIF(L224,"PASS")+COUNTIF(N224,"PASS")+COUNTIF(P224,"PASS")</f>
        <v/>
      </c>
      <c r="R224" s="1463">
        <f>'Resource Build-Up'!AC223</f>
        <v/>
      </c>
      <c r="S224" s="1463">
        <f>'Resource Build-Up'!AF223</f>
        <v/>
      </c>
      <c r="T224" s="1465" t="n"/>
      <c r="U224" s="1463" t="n"/>
      <c r="V224" s="1463">
        <f>'Resource Build-Up'!AG223</f>
        <v/>
      </c>
    </row>
    <row r="225">
      <c r="A225" s="1462" t="inlineStr">
        <is>
          <t>RV-218</t>
        </is>
      </c>
      <c r="B225" s="1462">
        <f>'Resource Build-Up'!A224</f>
        <v/>
      </c>
      <c r="C225" s="1462">
        <f>'Resource Build-Up'!B224</f>
        <v/>
      </c>
      <c r="D225" s="1463">
        <f>'Resource Build-Up'!C224</f>
        <v/>
      </c>
      <c r="E225" s="1463">
        <f>'Resource Build-Up'!H224</f>
        <v/>
      </c>
      <c r="F225" s="1463">
        <f>'Resource Build-Up'!P224</f>
        <v/>
      </c>
      <c r="G225" s="1463">
        <f>'Resource Build-Up'!Q224</f>
        <v/>
      </c>
      <c r="H225" s="1463">
        <f>'Resource Build-Up'!T224</f>
        <v/>
      </c>
      <c r="I225" s="1464">
        <f>'Resource Build-Up'!Y224</f>
        <v/>
      </c>
      <c r="J225" s="1464">
        <f>'Resource Build-Up'!Z224</f>
        <v/>
      </c>
      <c r="K225" s="1463" t="n"/>
      <c r="L225" s="1463" t="n"/>
      <c r="M225" s="1463" t="n"/>
      <c r="N225" s="1463" t="n"/>
      <c r="O225" s="1463" t="n"/>
      <c r="P225" s="1463" t="n"/>
      <c r="Q225" s="1463">
        <f>COUNTIF(L225,"PASS")+COUNTIF(N225,"PASS")+COUNTIF(P225,"PASS")</f>
        <v/>
      </c>
      <c r="R225" s="1463">
        <f>'Resource Build-Up'!AC224</f>
        <v/>
      </c>
      <c r="S225" s="1463">
        <f>'Resource Build-Up'!AF224</f>
        <v/>
      </c>
      <c r="T225" s="1465" t="n"/>
      <c r="U225" s="1463" t="n"/>
      <c r="V225" s="1463">
        <f>'Resource Build-Up'!AG224</f>
        <v/>
      </c>
    </row>
    <row r="226">
      <c r="A226" s="1462" t="inlineStr">
        <is>
          <t>RV-219</t>
        </is>
      </c>
      <c r="B226" s="1462">
        <f>'Resource Build-Up'!A225</f>
        <v/>
      </c>
      <c r="C226" s="1462">
        <f>'Resource Build-Up'!B225</f>
        <v/>
      </c>
      <c r="D226" s="1463">
        <f>'Resource Build-Up'!C225</f>
        <v/>
      </c>
      <c r="E226" s="1463">
        <f>'Resource Build-Up'!H225</f>
        <v/>
      </c>
      <c r="F226" s="1463">
        <f>'Resource Build-Up'!P225</f>
        <v/>
      </c>
      <c r="G226" s="1463">
        <f>'Resource Build-Up'!Q225</f>
        <v/>
      </c>
      <c r="H226" s="1463">
        <f>'Resource Build-Up'!T225</f>
        <v/>
      </c>
      <c r="I226" s="1464">
        <f>'Resource Build-Up'!Y225</f>
        <v/>
      </c>
      <c r="J226" s="1464">
        <f>'Resource Build-Up'!Z225</f>
        <v/>
      </c>
      <c r="K226" s="1463" t="n"/>
      <c r="L226" s="1463" t="n"/>
      <c r="M226" s="1463" t="n"/>
      <c r="N226" s="1463" t="n"/>
      <c r="O226" s="1463" t="n"/>
      <c r="P226" s="1463" t="n"/>
      <c r="Q226" s="1463">
        <f>COUNTIF(L226,"PASS")+COUNTIF(N226,"PASS")+COUNTIF(P226,"PASS")</f>
        <v/>
      </c>
      <c r="R226" s="1463">
        <f>'Resource Build-Up'!AC225</f>
        <v/>
      </c>
      <c r="S226" s="1463">
        <f>'Resource Build-Up'!AF225</f>
        <v/>
      </c>
      <c r="T226" s="1465" t="n"/>
      <c r="U226" s="1463" t="n"/>
      <c r="V226" s="1463">
        <f>'Resource Build-Up'!AG225</f>
        <v/>
      </c>
    </row>
    <row r="227">
      <c r="A227" s="1462" t="inlineStr">
        <is>
          <t>RV-220</t>
        </is>
      </c>
      <c r="B227" s="1462">
        <f>'Resource Build-Up'!A226</f>
        <v/>
      </c>
      <c r="C227" s="1462">
        <f>'Resource Build-Up'!B226</f>
        <v/>
      </c>
      <c r="D227" s="1463">
        <f>'Resource Build-Up'!C226</f>
        <v/>
      </c>
      <c r="E227" s="1463">
        <f>'Resource Build-Up'!H226</f>
        <v/>
      </c>
      <c r="F227" s="1463">
        <f>'Resource Build-Up'!P226</f>
        <v/>
      </c>
      <c r="G227" s="1463">
        <f>'Resource Build-Up'!Q226</f>
        <v/>
      </c>
      <c r="H227" s="1463">
        <f>'Resource Build-Up'!T226</f>
        <v/>
      </c>
      <c r="I227" s="1464">
        <f>'Resource Build-Up'!Y226</f>
        <v/>
      </c>
      <c r="J227" s="1464">
        <f>'Resource Build-Up'!Z226</f>
        <v/>
      </c>
      <c r="K227" s="1463" t="n"/>
      <c r="L227" s="1463" t="n"/>
      <c r="M227" s="1463" t="n"/>
      <c r="N227" s="1463" t="n"/>
      <c r="O227" s="1463" t="n"/>
      <c r="P227" s="1463" t="n"/>
      <c r="Q227" s="1463">
        <f>COUNTIF(L227,"PASS")+COUNTIF(N227,"PASS")+COUNTIF(P227,"PASS")</f>
        <v/>
      </c>
      <c r="R227" s="1463">
        <f>'Resource Build-Up'!AC226</f>
        <v/>
      </c>
      <c r="S227" s="1463">
        <f>'Resource Build-Up'!AF226</f>
        <v/>
      </c>
      <c r="T227" s="1465" t="n"/>
      <c r="U227" s="1463" t="n"/>
      <c r="V227" s="1463">
        <f>'Resource Build-Up'!AG226</f>
        <v/>
      </c>
    </row>
    <row r="228">
      <c r="A228" s="1462" t="inlineStr">
        <is>
          <t>RV-221</t>
        </is>
      </c>
      <c r="B228" s="1462">
        <f>'Resource Build-Up'!A227</f>
        <v/>
      </c>
      <c r="C228" s="1462">
        <f>'Resource Build-Up'!B227</f>
        <v/>
      </c>
      <c r="D228" s="1463">
        <f>'Resource Build-Up'!C227</f>
        <v/>
      </c>
      <c r="E228" s="1463">
        <f>'Resource Build-Up'!H227</f>
        <v/>
      </c>
      <c r="F228" s="1463">
        <f>'Resource Build-Up'!P227</f>
        <v/>
      </c>
      <c r="G228" s="1463">
        <f>'Resource Build-Up'!Q227</f>
        <v/>
      </c>
      <c r="H228" s="1463">
        <f>'Resource Build-Up'!T227</f>
        <v/>
      </c>
      <c r="I228" s="1464">
        <f>'Resource Build-Up'!Y227</f>
        <v/>
      </c>
      <c r="J228" s="1464">
        <f>'Resource Build-Up'!Z227</f>
        <v/>
      </c>
      <c r="K228" s="1463" t="n"/>
      <c r="L228" s="1463" t="n"/>
      <c r="M228" s="1463" t="n"/>
      <c r="N228" s="1463" t="n"/>
      <c r="O228" s="1463" t="n"/>
      <c r="P228" s="1463" t="n"/>
      <c r="Q228" s="1463">
        <f>COUNTIF(L228,"PASS")+COUNTIF(N228,"PASS")+COUNTIF(P228,"PASS")</f>
        <v/>
      </c>
      <c r="R228" s="1463">
        <f>'Resource Build-Up'!AC227</f>
        <v/>
      </c>
      <c r="S228" s="1463">
        <f>'Resource Build-Up'!AF227</f>
        <v/>
      </c>
      <c r="T228" s="1465" t="n"/>
      <c r="U228" s="1463" t="n"/>
      <c r="V228" s="1463">
        <f>'Resource Build-Up'!AG227</f>
        <v/>
      </c>
    </row>
    <row r="229">
      <c r="A229" s="1462" t="inlineStr">
        <is>
          <t>RV-222</t>
        </is>
      </c>
      <c r="B229" s="1462">
        <f>'Resource Build-Up'!A228</f>
        <v/>
      </c>
      <c r="C229" s="1462">
        <f>'Resource Build-Up'!B228</f>
        <v/>
      </c>
      <c r="D229" s="1463">
        <f>'Resource Build-Up'!C228</f>
        <v/>
      </c>
      <c r="E229" s="1463">
        <f>'Resource Build-Up'!H228</f>
        <v/>
      </c>
      <c r="F229" s="1463">
        <f>'Resource Build-Up'!P228</f>
        <v/>
      </c>
      <c r="G229" s="1463">
        <f>'Resource Build-Up'!Q228</f>
        <v/>
      </c>
      <c r="H229" s="1463">
        <f>'Resource Build-Up'!T228</f>
        <v/>
      </c>
      <c r="I229" s="1464">
        <f>'Resource Build-Up'!Y228</f>
        <v/>
      </c>
      <c r="J229" s="1464">
        <f>'Resource Build-Up'!Z228</f>
        <v/>
      </c>
      <c r="K229" s="1463" t="n"/>
      <c r="L229" s="1463" t="n"/>
      <c r="M229" s="1463" t="n"/>
      <c r="N229" s="1463" t="n"/>
      <c r="O229" s="1463" t="n"/>
      <c r="P229" s="1463" t="n"/>
      <c r="Q229" s="1463">
        <f>COUNTIF(L229,"PASS")+COUNTIF(N229,"PASS")+COUNTIF(P229,"PASS")</f>
        <v/>
      </c>
      <c r="R229" s="1463">
        <f>'Resource Build-Up'!AC228</f>
        <v/>
      </c>
      <c r="S229" s="1463">
        <f>'Resource Build-Up'!AF228</f>
        <v/>
      </c>
      <c r="T229" s="1465" t="n"/>
      <c r="U229" s="1463" t="n"/>
      <c r="V229" s="1463">
        <f>'Resource Build-Up'!AG228</f>
        <v/>
      </c>
    </row>
    <row r="230">
      <c r="A230" s="1462" t="inlineStr">
        <is>
          <t>RV-223</t>
        </is>
      </c>
      <c r="B230" s="1462">
        <f>'Resource Build-Up'!A229</f>
        <v/>
      </c>
      <c r="C230" s="1462">
        <f>'Resource Build-Up'!B229</f>
        <v/>
      </c>
      <c r="D230" s="1463">
        <f>'Resource Build-Up'!C229</f>
        <v/>
      </c>
      <c r="E230" s="1463">
        <f>'Resource Build-Up'!H229</f>
        <v/>
      </c>
      <c r="F230" s="1463">
        <f>'Resource Build-Up'!P229</f>
        <v/>
      </c>
      <c r="G230" s="1463">
        <f>'Resource Build-Up'!Q229</f>
        <v/>
      </c>
      <c r="H230" s="1463">
        <f>'Resource Build-Up'!T229</f>
        <v/>
      </c>
      <c r="I230" s="1464">
        <f>'Resource Build-Up'!Y229</f>
        <v/>
      </c>
      <c r="J230" s="1464">
        <f>'Resource Build-Up'!Z229</f>
        <v/>
      </c>
      <c r="K230" s="1463" t="n"/>
      <c r="L230" s="1463" t="n"/>
      <c r="M230" s="1463" t="n"/>
      <c r="N230" s="1463" t="n"/>
      <c r="O230" s="1463" t="n"/>
      <c r="P230" s="1463" t="n"/>
      <c r="Q230" s="1463">
        <f>COUNTIF(L230,"PASS")+COUNTIF(N230,"PASS")+COUNTIF(P230,"PASS")</f>
        <v/>
      </c>
      <c r="R230" s="1463">
        <f>'Resource Build-Up'!AC229</f>
        <v/>
      </c>
      <c r="S230" s="1463">
        <f>'Resource Build-Up'!AF229</f>
        <v/>
      </c>
      <c r="T230" s="1465" t="n"/>
      <c r="U230" s="1463" t="n"/>
      <c r="V230" s="1463">
        <f>'Resource Build-Up'!AG229</f>
        <v/>
      </c>
    </row>
    <row r="231">
      <c r="A231" s="1462" t="inlineStr">
        <is>
          <t>RV-224</t>
        </is>
      </c>
      <c r="B231" s="1462">
        <f>'Resource Build-Up'!A230</f>
        <v/>
      </c>
      <c r="C231" s="1462">
        <f>'Resource Build-Up'!B230</f>
        <v/>
      </c>
      <c r="D231" s="1463">
        <f>'Resource Build-Up'!C230</f>
        <v/>
      </c>
      <c r="E231" s="1463">
        <f>'Resource Build-Up'!H230</f>
        <v/>
      </c>
      <c r="F231" s="1463">
        <f>'Resource Build-Up'!P230</f>
        <v/>
      </c>
      <c r="G231" s="1463">
        <f>'Resource Build-Up'!Q230</f>
        <v/>
      </c>
      <c r="H231" s="1463">
        <f>'Resource Build-Up'!T230</f>
        <v/>
      </c>
      <c r="I231" s="1464">
        <f>'Resource Build-Up'!Y230</f>
        <v/>
      </c>
      <c r="J231" s="1464">
        <f>'Resource Build-Up'!Z230</f>
        <v/>
      </c>
      <c r="K231" s="1463" t="n"/>
      <c r="L231" s="1463" t="n"/>
      <c r="M231" s="1463" t="n"/>
      <c r="N231" s="1463" t="n"/>
      <c r="O231" s="1463" t="n"/>
      <c r="P231" s="1463" t="n"/>
      <c r="Q231" s="1463">
        <f>COUNTIF(L231,"PASS")+COUNTIF(N231,"PASS")+COUNTIF(P231,"PASS")</f>
        <v/>
      </c>
      <c r="R231" s="1463">
        <f>'Resource Build-Up'!AC230</f>
        <v/>
      </c>
      <c r="S231" s="1463">
        <f>'Resource Build-Up'!AF230</f>
        <v/>
      </c>
      <c r="T231" s="1465" t="n"/>
      <c r="U231" s="1463" t="n"/>
      <c r="V231" s="1463">
        <f>'Resource Build-Up'!AG230</f>
        <v/>
      </c>
    </row>
    <row r="232">
      <c r="A232" s="1462" t="inlineStr">
        <is>
          <t>RV-225</t>
        </is>
      </c>
      <c r="B232" s="1462">
        <f>'Resource Build-Up'!A231</f>
        <v/>
      </c>
      <c r="C232" s="1462">
        <f>'Resource Build-Up'!B231</f>
        <v/>
      </c>
      <c r="D232" s="1463">
        <f>'Resource Build-Up'!C231</f>
        <v/>
      </c>
      <c r="E232" s="1463">
        <f>'Resource Build-Up'!H231</f>
        <v/>
      </c>
      <c r="F232" s="1463">
        <f>'Resource Build-Up'!P231</f>
        <v/>
      </c>
      <c r="G232" s="1463">
        <f>'Resource Build-Up'!Q231</f>
        <v/>
      </c>
      <c r="H232" s="1463">
        <f>'Resource Build-Up'!T231</f>
        <v/>
      </c>
      <c r="I232" s="1464">
        <f>'Resource Build-Up'!Y231</f>
        <v/>
      </c>
      <c r="J232" s="1464">
        <f>'Resource Build-Up'!Z231</f>
        <v/>
      </c>
      <c r="K232" s="1463" t="n"/>
      <c r="L232" s="1463" t="n"/>
      <c r="M232" s="1463" t="n"/>
      <c r="N232" s="1463" t="n"/>
      <c r="O232" s="1463" t="n"/>
      <c r="P232" s="1463" t="n"/>
      <c r="Q232" s="1463">
        <f>COUNTIF(L232,"PASS")+COUNTIF(N232,"PASS")+COUNTIF(P232,"PASS")</f>
        <v/>
      </c>
      <c r="R232" s="1463">
        <f>'Resource Build-Up'!AC231</f>
        <v/>
      </c>
      <c r="S232" s="1463">
        <f>'Resource Build-Up'!AF231</f>
        <v/>
      </c>
      <c r="T232" s="1465" t="n"/>
      <c r="U232" s="1463" t="n"/>
      <c r="V232" s="1463">
        <f>'Resource Build-Up'!AG231</f>
        <v/>
      </c>
    </row>
    <row r="233">
      <c r="A233" s="1462" t="inlineStr">
        <is>
          <t>RV-226</t>
        </is>
      </c>
      <c r="B233" s="1462">
        <f>'Resource Build-Up'!A232</f>
        <v/>
      </c>
      <c r="C233" s="1462">
        <f>'Resource Build-Up'!B232</f>
        <v/>
      </c>
      <c r="D233" s="1463">
        <f>'Resource Build-Up'!C232</f>
        <v/>
      </c>
      <c r="E233" s="1463">
        <f>'Resource Build-Up'!H232</f>
        <v/>
      </c>
      <c r="F233" s="1463">
        <f>'Resource Build-Up'!P232</f>
        <v/>
      </c>
      <c r="G233" s="1463">
        <f>'Resource Build-Up'!Q232</f>
        <v/>
      </c>
      <c r="H233" s="1463">
        <f>'Resource Build-Up'!T232</f>
        <v/>
      </c>
      <c r="I233" s="1464">
        <f>'Resource Build-Up'!Y232</f>
        <v/>
      </c>
      <c r="J233" s="1464">
        <f>'Resource Build-Up'!Z232</f>
        <v/>
      </c>
      <c r="K233" s="1463" t="n"/>
      <c r="L233" s="1463" t="n"/>
      <c r="M233" s="1463" t="n"/>
      <c r="N233" s="1463" t="n"/>
      <c r="O233" s="1463" t="n"/>
      <c r="P233" s="1463" t="n"/>
      <c r="Q233" s="1463">
        <f>COUNTIF(L233,"PASS")+COUNTIF(N233,"PASS")+COUNTIF(P233,"PASS")</f>
        <v/>
      </c>
      <c r="R233" s="1463">
        <f>'Resource Build-Up'!AC232</f>
        <v/>
      </c>
      <c r="S233" s="1463">
        <f>'Resource Build-Up'!AF232</f>
        <v/>
      </c>
      <c r="T233" s="1465" t="n"/>
      <c r="U233" s="1463" t="n"/>
      <c r="V233" s="1463">
        <f>'Resource Build-Up'!AG232</f>
        <v/>
      </c>
    </row>
    <row r="234">
      <c r="A234" s="1462" t="inlineStr">
        <is>
          <t>RV-227</t>
        </is>
      </c>
      <c r="B234" s="1462">
        <f>'Resource Build-Up'!A233</f>
        <v/>
      </c>
      <c r="C234" s="1462">
        <f>'Resource Build-Up'!B233</f>
        <v/>
      </c>
      <c r="D234" s="1463">
        <f>'Resource Build-Up'!C233</f>
        <v/>
      </c>
      <c r="E234" s="1463">
        <f>'Resource Build-Up'!H233</f>
        <v/>
      </c>
      <c r="F234" s="1463">
        <f>'Resource Build-Up'!P233</f>
        <v/>
      </c>
      <c r="G234" s="1463">
        <f>'Resource Build-Up'!Q233</f>
        <v/>
      </c>
      <c r="H234" s="1463">
        <f>'Resource Build-Up'!T233</f>
        <v/>
      </c>
      <c r="I234" s="1464">
        <f>'Resource Build-Up'!Y233</f>
        <v/>
      </c>
      <c r="J234" s="1464">
        <f>'Resource Build-Up'!Z233</f>
        <v/>
      </c>
      <c r="K234" s="1463" t="n"/>
      <c r="L234" s="1463" t="n"/>
      <c r="M234" s="1463" t="n"/>
      <c r="N234" s="1463" t="n"/>
      <c r="O234" s="1463" t="n"/>
      <c r="P234" s="1463" t="n"/>
      <c r="Q234" s="1463">
        <f>COUNTIF(L234,"PASS")+COUNTIF(N234,"PASS")+COUNTIF(P234,"PASS")</f>
        <v/>
      </c>
      <c r="R234" s="1463">
        <f>'Resource Build-Up'!AC233</f>
        <v/>
      </c>
      <c r="S234" s="1463">
        <f>'Resource Build-Up'!AF233</f>
        <v/>
      </c>
      <c r="T234" s="1465" t="n"/>
      <c r="U234" s="1463" t="n"/>
      <c r="V234" s="1463">
        <f>'Resource Build-Up'!AG233</f>
        <v/>
      </c>
    </row>
    <row r="235">
      <c r="A235" s="1462" t="inlineStr">
        <is>
          <t>RV-228</t>
        </is>
      </c>
      <c r="B235" s="1462">
        <f>'Resource Build-Up'!A234</f>
        <v/>
      </c>
      <c r="C235" s="1462">
        <f>'Resource Build-Up'!B234</f>
        <v/>
      </c>
      <c r="D235" s="1463">
        <f>'Resource Build-Up'!C234</f>
        <v/>
      </c>
      <c r="E235" s="1463">
        <f>'Resource Build-Up'!H234</f>
        <v/>
      </c>
      <c r="F235" s="1463">
        <f>'Resource Build-Up'!P234</f>
        <v/>
      </c>
      <c r="G235" s="1463">
        <f>'Resource Build-Up'!Q234</f>
        <v/>
      </c>
      <c r="H235" s="1463">
        <f>'Resource Build-Up'!T234</f>
        <v/>
      </c>
      <c r="I235" s="1464">
        <f>'Resource Build-Up'!Y234</f>
        <v/>
      </c>
      <c r="J235" s="1464">
        <f>'Resource Build-Up'!Z234</f>
        <v/>
      </c>
      <c r="K235" s="1463" t="n"/>
      <c r="L235" s="1463" t="n"/>
      <c r="M235" s="1463" t="n"/>
      <c r="N235" s="1463" t="n"/>
      <c r="O235" s="1463" t="n"/>
      <c r="P235" s="1463" t="n"/>
      <c r="Q235" s="1463">
        <f>COUNTIF(L235,"PASS")+COUNTIF(N235,"PASS")+COUNTIF(P235,"PASS")</f>
        <v/>
      </c>
      <c r="R235" s="1463">
        <f>'Resource Build-Up'!AC234</f>
        <v/>
      </c>
      <c r="S235" s="1463">
        <f>'Resource Build-Up'!AF234</f>
        <v/>
      </c>
      <c r="T235" s="1465" t="n"/>
      <c r="U235" s="1463" t="n"/>
      <c r="V235" s="1463">
        <f>'Resource Build-Up'!AG234</f>
        <v/>
      </c>
    </row>
    <row r="236">
      <c r="A236" s="1462" t="inlineStr">
        <is>
          <t>RV-229</t>
        </is>
      </c>
      <c r="B236" s="1462">
        <f>'Resource Build-Up'!A235</f>
        <v/>
      </c>
      <c r="C236" s="1462">
        <f>'Resource Build-Up'!B235</f>
        <v/>
      </c>
      <c r="D236" s="1463">
        <f>'Resource Build-Up'!C235</f>
        <v/>
      </c>
      <c r="E236" s="1463">
        <f>'Resource Build-Up'!H235</f>
        <v/>
      </c>
      <c r="F236" s="1463">
        <f>'Resource Build-Up'!P235</f>
        <v/>
      </c>
      <c r="G236" s="1463">
        <f>'Resource Build-Up'!Q235</f>
        <v/>
      </c>
      <c r="H236" s="1463">
        <f>'Resource Build-Up'!T235</f>
        <v/>
      </c>
      <c r="I236" s="1464">
        <f>'Resource Build-Up'!Y235</f>
        <v/>
      </c>
      <c r="J236" s="1464">
        <f>'Resource Build-Up'!Z235</f>
        <v/>
      </c>
      <c r="K236" s="1463" t="n"/>
      <c r="L236" s="1463" t="n"/>
      <c r="M236" s="1463" t="n"/>
      <c r="N236" s="1463" t="n"/>
      <c r="O236" s="1463" t="n"/>
      <c r="P236" s="1463" t="n"/>
      <c r="Q236" s="1463">
        <f>COUNTIF(L236,"PASS")+COUNTIF(N236,"PASS")+COUNTIF(P236,"PASS")</f>
        <v/>
      </c>
      <c r="R236" s="1463">
        <f>'Resource Build-Up'!AC235</f>
        <v/>
      </c>
      <c r="S236" s="1463">
        <f>'Resource Build-Up'!AF235</f>
        <v/>
      </c>
      <c r="T236" s="1465" t="n"/>
      <c r="U236" s="1463" t="n"/>
      <c r="V236" s="1463">
        <f>'Resource Build-Up'!AG235</f>
        <v/>
      </c>
    </row>
    <row r="237">
      <c r="A237" s="1462" t="inlineStr">
        <is>
          <t>RV-230</t>
        </is>
      </c>
      <c r="B237" s="1462">
        <f>'Resource Build-Up'!A236</f>
        <v/>
      </c>
      <c r="C237" s="1462">
        <f>'Resource Build-Up'!B236</f>
        <v/>
      </c>
      <c r="D237" s="1463">
        <f>'Resource Build-Up'!C236</f>
        <v/>
      </c>
      <c r="E237" s="1463">
        <f>'Resource Build-Up'!H236</f>
        <v/>
      </c>
      <c r="F237" s="1463">
        <f>'Resource Build-Up'!P236</f>
        <v/>
      </c>
      <c r="G237" s="1463">
        <f>'Resource Build-Up'!Q236</f>
        <v/>
      </c>
      <c r="H237" s="1463">
        <f>'Resource Build-Up'!T236</f>
        <v/>
      </c>
      <c r="I237" s="1464">
        <f>'Resource Build-Up'!Y236</f>
        <v/>
      </c>
      <c r="J237" s="1464">
        <f>'Resource Build-Up'!Z236</f>
        <v/>
      </c>
      <c r="K237" s="1463" t="n"/>
      <c r="L237" s="1463" t="n"/>
      <c r="M237" s="1463" t="n"/>
      <c r="N237" s="1463" t="n"/>
      <c r="O237" s="1463" t="n"/>
      <c r="P237" s="1463" t="n"/>
      <c r="Q237" s="1463">
        <f>COUNTIF(L237,"PASS")+COUNTIF(N237,"PASS")+COUNTIF(P237,"PASS")</f>
        <v/>
      </c>
      <c r="R237" s="1463">
        <f>'Resource Build-Up'!AC236</f>
        <v/>
      </c>
      <c r="S237" s="1463">
        <f>'Resource Build-Up'!AF236</f>
        <v/>
      </c>
      <c r="T237" s="1465" t="n"/>
      <c r="U237" s="1463" t="n"/>
      <c r="V237" s="1463">
        <f>'Resource Build-Up'!AG236</f>
        <v/>
      </c>
    </row>
    <row r="238">
      <c r="A238" s="1462" t="inlineStr">
        <is>
          <t>RV-231</t>
        </is>
      </c>
      <c r="B238" s="1462">
        <f>'Resource Build-Up'!A237</f>
        <v/>
      </c>
      <c r="C238" s="1462">
        <f>'Resource Build-Up'!B237</f>
        <v/>
      </c>
      <c r="D238" s="1463">
        <f>'Resource Build-Up'!C237</f>
        <v/>
      </c>
      <c r="E238" s="1463">
        <f>'Resource Build-Up'!H237</f>
        <v/>
      </c>
      <c r="F238" s="1463">
        <f>'Resource Build-Up'!P237</f>
        <v/>
      </c>
      <c r="G238" s="1463">
        <f>'Resource Build-Up'!Q237</f>
        <v/>
      </c>
      <c r="H238" s="1463">
        <f>'Resource Build-Up'!T237</f>
        <v/>
      </c>
      <c r="I238" s="1464">
        <f>'Resource Build-Up'!Y237</f>
        <v/>
      </c>
      <c r="J238" s="1464">
        <f>'Resource Build-Up'!Z237</f>
        <v/>
      </c>
      <c r="K238" s="1463" t="n"/>
      <c r="L238" s="1463" t="n"/>
      <c r="M238" s="1463" t="n"/>
      <c r="N238" s="1463" t="n"/>
      <c r="O238" s="1463" t="n"/>
      <c r="P238" s="1463" t="n"/>
      <c r="Q238" s="1463">
        <f>COUNTIF(L238,"PASS")+COUNTIF(N238,"PASS")+COUNTIF(P238,"PASS")</f>
        <v/>
      </c>
      <c r="R238" s="1463">
        <f>'Resource Build-Up'!AC237</f>
        <v/>
      </c>
      <c r="S238" s="1463">
        <f>'Resource Build-Up'!AF237</f>
        <v/>
      </c>
      <c r="T238" s="1465" t="n"/>
      <c r="U238" s="1463" t="n"/>
      <c r="V238" s="1463">
        <f>'Resource Build-Up'!AG237</f>
        <v/>
      </c>
    </row>
    <row r="239">
      <c r="A239" s="1462" t="inlineStr">
        <is>
          <t>RV-232</t>
        </is>
      </c>
      <c r="B239" s="1462">
        <f>'Resource Build-Up'!A238</f>
        <v/>
      </c>
      <c r="C239" s="1462">
        <f>'Resource Build-Up'!B238</f>
        <v/>
      </c>
      <c r="D239" s="1463">
        <f>'Resource Build-Up'!C238</f>
        <v/>
      </c>
      <c r="E239" s="1463">
        <f>'Resource Build-Up'!H238</f>
        <v/>
      </c>
      <c r="F239" s="1463">
        <f>'Resource Build-Up'!P238</f>
        <v/>
      </c>
      <c r="G239" s="1463">
        <f>'Resource Build-Up'!Q238</f>
        <v/>
      </c>
      <c r="H239" s="1463">
        <f>'Resource Build-Up'!T238</f>
        <v/>
      </c>
      <c r="I239" s="1464">
        <f>'Resource Build-Up'!Y238</f>
        <v/>
      </c>
      <c r="J239" s="1464">
        <f>'Resource Build-Up'!Z238</f>
        <v/>
      </c>
      <c r="K239" s="1463" t="n"/>
      <c r="L239" s="1463" t="n"/>
      <c r="M239" s="1463" t="n"/>
      <c r="N239" s="1463" t="n"/>
      <c r="O239" s="1463" t="n"/>
      <c r="P239" s="1463" t="n"/>
      <c r="Q239" s="1463">
        <f>COUNTIF(L239,"PASS")+COUNTIF(N239,"PASS")+COUNTIF(P239,"PASS")</f>
        <v/>
      </c>
      <c r="R239" s="1463">
        <f>'Resource Build-Up'!AC238</f>
        <v/>
      </c>
      <c r="S239" s="1463">
        <f>'Resource Build-Up'!AF238</f>
        <v/>
      </c>
      <c r="T239" s="1465" t="n"/>
      <c r="U239" s="1463" t="n"/>
      <c r="V239" s="1463">
        <f>'Resource Build-Up'!AG238</f>
        <v/>
      </c>
    </row>
    <row r="240">
      <c r="A240" s="1462" t="inlineStr">
        <is>
          <t>RV-233</t>
        </is>
      </c>
      <c r="B240" s="1462">
        <f>'Resource Build-Up'!A239</f>
        <v/>
      </c>
      <c r="C240" s="1462">
        <f>'Resource Build-Up'!B239</f>
        <v/>
      </c>
      <c r="D240" s="1463">
        <f>'Resource Build-Up'!C239</f>
        <v/>
      </c>
      <c r="E240" s="1463">
        <f>'Resource Build-Up'!H239</f>
        <v/>
      </c>
      <c r="F240" s="1463">
        <f>'Resource Build-Up'!P239</f>
        <v/>
      </c>
      <c r="G240" s="1463">
        <f>'Resource Build-Up'!Q239</f>
        <v/>
      </c>
      <c r="H240" s="1463">
        <f>'Resource Build-Up'!T239</f>
        <v/>
      </c>
      <c r="I240" s="1464">
        <f>'Resource Build-Up'!Y239</f>
        <v/>
      </c>
      <c r="J240" s="1464">
        <f>'Resource Build-Up'!Z239</f>
        <v/>
      </c>
      <c r="K240" s="1463" t="n"/>
      <c r="L240" s="1463" t="n"/>
      <c r="M240" s="1463" t="n"/>
      <c r="N240" s="1463" t="n"/>
      <c r="O240" s="1463" t="n"/>
      <c r="P240" s="1463" t="n"/>
      <c r="Q240" s="1463">
        <f>COUNTIF(L240,"PASS")+COUNTIF(N240,"PASS")+COUNTIF(P240,"PASS")</f>
        <v/>
      </c>
      <c r="R240" s="1463">
        <f>'Resource Build-Up'!AC239</f>
        <v/>
      </c>
      <c r="S240" s="1463">
        <f>'Resource Build-Up'!AF239</f>
        <v/>
      </c>
      <c r="T240" s="1465" t="n"/>
      <c r="U240" s="1463" t="n"/>
      <c r="V240" s="1463">
        <f>'Resource Build-Up'!AG239</f>
        <v/>
      </c>
    </row>
    <row r="241">
      <c r="A241" s="1462" t="inlineStr">
        <is>
          <t>RV-234</t>
        </is>
      </c>
      <c r="B241" s="1462">
        <f>'Resource Build-Up'!A240</f>
        <v/>
      </c>
      <c r="C241" s="1462">
        <f>'Resource Build-Up'!B240</f>
        <v/>
      </c>
      <c r="D241" s="1463">
        <f>'Resource Build-Up'!C240</f>
        <v/>
      </c>
      <c r="E241" s="1463">
        <f>'Resource Build-Up'!H240</f>
        <v/>
      </c>
      <c r="F241" s="1463">
        <f>'Resource Build-Up'!P240</f>
        <v/>
      </c>
      <c r="G241" s="1463">
        <f>'Resource Build-Up'!Q240</f>
        <v/>
      </c>
      <c r="H241" s="1463">
        <f>'Resource Build-Up'!T240</f>
        <v/>
      </c>
      <c r="I241" s="1464">
        <f>'Resource Build-Up'!Y240</f>
        <v/>
      </c>
      <c r="J241" s="1464">
        <f>'Resource Build-Up'!Z240</f>
        <v/>
      </c>
      <c r="K241" s="1463" t="n"/>
      <c r="L241" s="1463" t="n"/>
      <c r="M241" s="1463" t="n"/>
      <c r="N241" s="1463" t="n"/>
      <c r="O241" s="1463" t="n"/>
      <c r="P241" s="1463" t="n"/>
      <c r="Q241" s="1463">
        <f>COUNTIF(L241,"PASS")+COUNTIF(N241,"PASS")+COUNTIF(P241,"PASS")</f>
        <v/>
      </c>
      <c r="R241" s="1463">
        <f>'Resource Build-Up'!AC240</f>
        <v/>
      </c>
      <c r="S241" s="1463">
        <f>'Resource Build-Up'!AF240</f>
        <v/>
      </c>
      <c r="T241" s="1465" t="n"/>
      <c r="U241" s="1463" t="n"/>
      <c r="V241" s="1463">
        <f>'Resource Build-Up'!AG240</f>
        <v/>
      </c>
    </row>
    <row r="242">
      <c r="A242" s="1462" t="inlineStr">
        <is>
          <t>RV-235</t>
        </is>
      </c>
      <c r="B242" s="1462">
        <f>'Resource Build-Up'!A241</f>
        <v/>
      </c>
      <c r="C242" s="1462">
        <f>'Resource Build-Up'!B241</f>
        <v/>
      </c>
      <c r="D242" s="1463">
        <f>'Resource Build-Up'!C241</f>
        <v/>
      </c>
      <c r="E242" s="1463">
        <f>'Resource Build-Up'!H241</f>
        <v/>
      </c>
      <c r="F242" s="1463">
        <f>'Resource Build-Up'!P241</f>
        <v/>
      </c>
      <c r="G242" s="1463">
        <f>'Resource Build-Up'!Q241</f>
        <v/>
      </c>
      <c r="H242" s="1463">
        <f>'Resource Build-Up'!T241</f>
        <v/>
      </c>
      <c r="I242" s="1464">
        <f>'Resource Build-Up'!Y241</f>
        <v/>
      </c>
      <c r="J242" s="1464">
        <f>'Resource Build-Up'!Z241</f>
        <v/>
      </c>
      <c r="K242" s="1463" t="n"/>
      <c r="L242" s="1463" t="n"/>
      <c r="M242" s="1463" t="n"/>
      <c r="N242" s="1463" t="n"/>
      <c r="O242" s="1463" t="n"/>
      <c r="P242" s="1463" t="n"/>
      <c r="Q242" s="1463">
        <f>COUNTIF(L242,"PASS")+COUNTIF(N242,"PASS")+COUNTIF(P242,"PASS")</f>
        <v/>
      </c>
      <c r="R242" s="1463">
        <f>'Resource Build-Up'!AC241</f>
        <v/>
      </c>
      <c r="S242" s="1463">
        <f>'Resource Build-Up'!AF241</f>
        <v/>
      </c>
      <c r="T242" s="1465" t="n"/>
      <c r="U242" s="1463" t="n"/>
      <c r="V242" s="1463">
        <f>'Resource Build-Up'!AG241</f>
        <v/>
      </c>
    </row>
    <row r="243">
      <c r="A243" s="1462" t="inlineStr">
        <is>
          <t>RV-236</t>
        </is>
      </c>
      <c r="B243" s="1462">
        <f>'Resource Build-Up'!A242</f>
        <v/>
      </c>
      <c r="C243" s="1462">
        <f>'Resource Build-Up'!B242</f>
        <v/>
      </c>
      <c r="D243" s="1463">
        <f>'Resource Build-Up'!C242</f>
        <v/>
      </c>
      <c r="E243" s="1463">
        <f>'Resource Build-Up'!H242</f>
        <v/>
      </c>
      <c r="F243" s="1463">
        <f>'Resource Build-Up'!P242</f>
        <v/>
      </c>
      <c r="G243" s="1463">
        <f>'Resource Build-Up'!Q242</f>
        <v/>
      </c>
      <c r="H243" s="1463">
        <f>'Resource Build-Up'!T242</f>
        <v/>
      </c>
      <c r="I243" s="1464">
        <f>'Resource Build-Up'!Y242</f>
        <v/>
      </c>
      <c r="J243" s="1464">
        <f>'Resource Build-Up'!Z242</f>
        <v/>
      </c>
      <c r="K243" s="1463" t="n"/>
      <c r="L243" s="1463" t="n"/>
      <c r="M243" s="1463" t="n"/>
      <c r="N243" s="1463" t="n"/>
      <c r="O243" s="1463" t="n"/>
      <c r="P243" s="1463" t="n"/>
      <c r="Q243" s="1463">
        <f>COUNTIF(L243,"PASS")+COUNTIF(N243,"PASS")+COUNTIF(P243,"PASS")</f>
        <v/>
      </c>
      <c r="R243" s="1463">
        <f>'Resource Build-Up'!AC242</f>
        <v/>
      </c>
      <c r="S243" s="1463">
        <f>'Resource Build-Up'!AF242</f>
        <v/>
      </c>
      <c r="T243" s="1465" t="n"/>
      <c r="U243" s="1463" t="n"/>
      <c r="V243" s="1463">
        <f>'Resource Build-Up'!AG242</f>
        <v/>
      </c>
    </row>
    <row r="244">
      <c r="A244" s="1462" t="inlineStr">
        <is>
          <t>RV-237</t>
        </is>
      </c>
      <c r="B244" s="1462">
        <f>'Resource Build-Up'!A243</f>
        <v/>
      </c>
      <c r="C244" s="1462">
        <f>'Resource Build-Up'!B243</f>
        <v/>
      </c>
      <c r="D244" s="1463">
        <f>'Resource Build-Up'!C243</f>
        <v/>
      </c>
      <c r="E244" s="1463">
        <f>'Resource Build-Up'!H243</f>
        <v/>
      </c>
      <c r="F244" s="1463">
        <f>'Resource Build-Up'!P243</f>
        <v/>
      </c>
      <c r="G244" s="1463">
        <f>'Resource Build-Up'!Q243</f>
        <v/>
      </c>
      <c r="H244" s="1463">
        <f>'Resource Build-Up'!T243</f>
        <v/>
      </c>
      <c r="I244" s="1464">
        <f>'Resource Build-Up'!Y243</f>
        <v/>
      </c>
      <c r="J244" s="1464">
        <f>'Resource Build-Up'!Z243</f>
        <v/>
      </c>
      <c r="K244" s="1463" t="n"/>
      <c r="L244" s="1463" t="n"/>
      <c r="M244" s="1463" t="n"/>
      <c r="N244" s="1463" t="n"/>
      <c r="O244" s="1463" t="n"/>
      <c r="P244" s="1463" t="n"/>
      <c r="Q244" s="1463">
        <f>COUNTIF(L244,"PASS")+COUNTIF(N244,"PASS")+COUNTIF(P244,"PASS")</f>
        <v/>
      </c>
      <c r="R244" s="1463">
        <f>'Resource Build-Up'!AC243</f>
        <v/>
      </c>
      <c r="S244" s="1463">
        <f>'Resource Build-Up'!AF243</f>
        <v/>
      </c>
      <c r="T244" s="1465" t="n"/>
      <c r="U244" s="1463" t="n"/>
      <c r="V244" s="1463">
        <f>'Resource Build-Up'!AG243</f>
        <v/>
      </c>
    </row>
    <row r="245">
      <c r="A245" s="1462" t="inlineStr">
        <is>
          <t>RV-238</t>
        </is>
      </c>
      <c r="B245" s="1462">
        <f>'Resource Build-Up'!A244</f>
        <v/>
      </c>
      <c r="C245" s="1462">
        <f>'Resource Build-Up'!B244</f>
        <v/>
      </c>
      <c r="D245" s="1463">
        <f>'Resource Build-Up'!C244</f>
        <v/>
      </c>
      <c r="E245" s="1463">
        <f>'Resource Build-Up'!H244</f>
        <v/>
      </c>
      <c r="F245" s="1463">
        <f>'Resource Build-Up'!P244</f>
        <v/>
      </c>
      <c r="G245" s="1463">
        <f>'Resource Build-Up'!Q244</f>
        <v/>
      </c>
      <c r="H245" s="1463">
        <f>'Resource Build-Up'!T244</f>
        <v/>
      </c>
      <c r="I245" s="1464">
        <f>'Resource Build-Up'!Y244</f>
        <v/>
      </c>
      <c r="J245" s="1464">
        <f>'Resource Build-Up'!Z244</f>
        <v/>
      </c>
      <c r="K245" s="1463" t="n"/>
      <c r="L245" s="1463" t="n"/>
      <c r="M245" s="1463" t="n"/>
      <c r="N245" s="1463" t="n"/>
      <c r="O245" s="1463" t="n"/>
      <c r="P245" s="1463" t="n"/>
      <c r="Q245" s="1463">
        <f>COUNTIF(L245,"PASS")+COUNTIF(N245,"PASS")+COUNTIF(P245,"PASS")</f>
        <v/>
      </c>
      <c r="R245" s="1463">
        <f>'Resource Build-Up'!AC244</f>
        <v/>
      </c>
      <c r="S245" s="1463">
        <f>'Resource Build-Up'!AF244</f>
        <v/>
      </c>
      <c r="T245" s="1465" t="n"/>
      <c r="U245" s="1463" t="n"/>
      <c r="V245" s="1463">
        <f>'Resource Build-Up'!AG244</f>
        <v/>
      </c>
    </row>
    <row r="246">
      <c r="A246" s="1462" t="inlineStr">
        <is>
          <t>RV-239</t>
        </is>
      </c>
      <c r="B246" s="1462">
        <f>'Resource Build-Up'!A245</f>
        <v/>
      </c>
      <c r="C246" s="1462">
        <f>'Resource Build-Up'!B245</f>
        <v/>
      </c>
      <c r="D246" s="1463">
        <f>'Resource Build-Up'!C245</f>
        <v/>
      </c>
      <c r="E246" s="1463">
        <f>'Resource Build-Up'!H245</f>
        <v/>
      </c>
      <c r="F246" s="1463">
        <f>'Resource Build-Up'!P245</f>
        <v/>
      </c>
      <c r="G246" s="1463">
        <f>'Resource Build-Up'!Q245</f>
        <v/>
      </c>
      <c r="H246" s="1463">
        <f>'Resource Build-Up'!T245</f>
        <v/>
      </c>
      <c r="I246" s="1464">
        <f>'Resource Build-Up'!Y245</f>
        <v/>
      </c>
      <c r="J246" s="1464">
        <f>'Resource Build-Up'!Z245</f>
        <v/>
      </c>
      <c r="K246" s="1463" t="n"/>
      <c r="L246" s="1463" t="n"/>
      <c r="M246" s="1463" t="n"/>
      <c r="N246" s="1463" t="n"/>
      <c r="O246" s="1463" t="n"/>
      <c r="P246" s="1463" t="n"/>
      <c r="Q246" s="1463">
        <f>COUNTIF(L246,"PASS")+COUNTIF(N246,"PASS")+COUNTIF(P246,"PASS")</f>
        <v/>
      </c>
      <c r="R246" s="1463">
        <f>'Resource Build-Up'!AC245</f>
        <v/>
      </c>
      <c r="S246" s="1463">
        <f>'Resource Build-Up'!AF245</f>
        <v/>
      </c>
      <c r="T246" s="1465" t="n"/>
      <c r="U246" s="1463" t="n"/>
      <c r="V246" s="1463">
        <f>'Resource Build-Up'!AG245</f>
        <v/>
      </c>
    </row>
    <row r="247">
      <c r="A247" s="1462" t="inlineStr">
        <is>
          <t>RV-240</t>
        </is>
      </c>
      <c r="B247" s="1462">
        <f>'Resource Build-Up'!A246</f>
        <v/>
      </c>
      <c r="C247" s="1462">
        <f>'Resource Build-Up'!B246</f>
        <v/>
      </c>
      <c r="D247" s="1463">
        <f>'Resource Build-Up'!C246</f>
        <v/>
      </c>
      <c r="E247" s="1463">
        <f>'Resource Build-Up'!H246</f>
        <v/>
      </c>
      <c r="F247" s="1463">
        <f>'Resource Build-Up'!P246</f>
        <v/>
      </c>
      <c r="G247" s="1463">
        <f>'Resource Build-Up'!Q246</f>
        <v/>
      </c>
      <c r="H247" s="1463">
        <f>'Resource Build-Up'!T246</f>
        <v/>
      </c>
      <c r="I247" s="1464">
        <f>'Resource Build-Up'!Y246</f>
        <v/>
      </c>
      <c r="J247" s="1464">
        <f>'Resource Build-Up'!Z246</f>
        <v/>
      </c>
      <c r="K247" s="1463" t="n"/>
      <c r="L247" s="1463" t="n"/>
      <c r="M247" s="1463" t="n"/>
      <c r="N247" s="1463" t="n"/>
      <c r="O247" s="1463" t="n"/>
      <c r="P247" s="1463" t="n"/>
      <c r="Q247" s="1463">
        <f>COUNTIF(L247,"PASS")+COUNTIF(N247,"PASS")+COUNTIF(P247,"PASS")</f>
        <v/>
      </c>
      <c r="R247" s="1463">
        <f>'Resource Build-Up'!AC246</f>
        <v/>
      </c>
      <c r="S247" s="1463">
        <f>'Resource Build-Up'!AF246</f>
        <v/>
      </c>
      <c r="T247" s="1465" t="n"/>
      <c r="U247" s="1463" t="n"/>
      <c r="V247" s="1463">
        <f>'Resource Build-Up'!AG246</f>
        <v/>
      </c>
    </row>
    <row r="248">
      <c r="A248" s="1462" t="inlineStr">
        <is>
          <t>RV-241</t>
        </is>
      </c>
      <c r="B248" s="1462">
        <f>'Resource Build-Up'!A247</f>
        <v/>
      </c>
      <c r="C248" s="1462">
        <f>'Resource Build-Up'!B247</f>
        <v/>
      </c>
      <c r="D248" s="1463">
        <f>'Resource Build-Up'!C247</f>
        <v/>
      </c>
      <c r="E248" s="1463">
        <f>'Resource Build-Up'!H247</f>
        <v/>
      </c>
      <c r="F248" s="1463">
        <f>'Resource Build-Up'!P247</f>
        <v/>
      </c>
      <c r="G248" s="1463">
        <f>'Resource Build-Up'!Q247</f>
        <v/>
      </c>
      <c r="H248" s="1463">
        <f>'Resource Build-Up'!T247</f>
        <v/>
      </c>
      <c r="I248" s="1464">
        <f>'Resource Build-Up'!Y247</f>
        <v/>
      </c>
      <c r="J248" s="1464">
        <f>'Resource Build-Up'!Z247</f>
        <v/>
      </c>
      <c r="K248" s="1463" t="n"/>
      <c r="L248" s="1463" t="n"/>
      <c r="M248" s="1463" t="n"/>
      <c r="N248" s="1463" t="n"/>
      <c r="O248" s="1463" t="n"/>
      <c r="P248" s="1463" t="n"/>
      <c r="Q248" s="1463">
        <f>COUNTIF(L248,"PASS")+COUNTIF(N248,"PASS")+COUNTIF(P248,"PASS")</f>
        <v/>
      </c>
      <c r="R248" s="1463">
        <f>'Resource Build-Up'!AC247</f>
        <v/>
      </c>
      <c r="S248" s="1463">
        <f>'Resource Build-Up'!AF247</f>
        <v/>
      </c>
      <c r="T248" s="1465" t="n"/>
      <c r="U248" s="1463" t="n"/>
      <c r="V248" s="1463">
        <f>'Resource Build-Up'!AG247</f>
        <v/>
      </c>
    </row>
    <row r="249">
      <c r="A249" s="1462" t="inlineStr">
        <is>
          <t>RV-242</t>
        </is>
      </c>
      <c r="B249" s="1462">
        <f>'Resource Build-Up'!A248</f>
        <v/>
      </c>
      <c r="C249" s="1462">
        <f>'Resource Build-Up'!B248</f>
        <v/>
      </c>
      <c r="D249" s="1463">
        <f>'Resource Build-Up'!C248</f>
        <v/>
      </c>
      <c r="E249" s="1463">
        <f>'Resource Build-Up'!H248</f>
        <v/>
      </c>
      <c r="F249" s="1463">
        <f>'Resource Build-Up'!P248</f>
        <v/>
      </c>
      <c r="G249" s="1463">
        <f>'Resource Build-Up'!Q248</f>
        <v/>
      </c>
      <c r="H249" s="1463">
        <f>'Resource Build-Up'!T248</f>
        <v/>
      </c>
      <c r="I249" s="1464">
        <f>'Resource Build-Up'!Y248</f>
        <v/>
      </c>
      <c r="J249" s="1464">
        <f>'Resource Build-Up'!Z248</f>
        <v/>
      </c>
      <c r="K249" s="1463" t="n"/>
      <c r="L249" s="1463" t="n"/>
      <c r="M249" s="1463" t="n"/>
      <c r="N249" s="1463" t="n"/>
      <c r="O249" s="1463" t="n"/>
      <c r="P249" s="1463" t="n"/>
      <c r="Q249" s="1463">
        <f>COUNTIF(L249,"PASS")+COUNTIF(N249,"PASS")+COUNTIF(P249,"PASS")</f>
        <v/>
      </c>
      <c r="R249" s="1463">
        <f>'Resource Build-Up'!AC248</f>
        <v/>
      </c>
      <c r="S249" s="1463">
        <f>'Resource Build-Up'!AF248</f>
        <v/>
      </c>
      <c r="T249" s="1465" t="n"/>
      <c r="U249" s="1463" t="n"/>
      <c r="V249" s="1463">
        <f>'Resource Build-Up'!AG248</f>
        <v/>
      </c>
    </row>
    <row r="250">
      <c r="A250" s="1462" t="inlineStr">
        <is>
          <t>RV-243</t>
        </is>
      </c>
      <c r="B250" s="1462">
        <f>'Resource Build-Up'!A249</f>
        <v/>
      </c>
      <c r="C250" s="1462">
        <f>'Resource Build-Up'!B249</f>
        <v/>
      </c>
      <c r="D250" s="1463">
        <f>'Resource Build-Up'!C249</f>
        <v/>
      </c>
      <c r="E250" s="1463">
        <f>'Resource Build-Up'!H249</f>
        <v/>
      </c>
      <c r="F250" s="1463">
        <f>'Resource Build-Up'!P249</f>
        <v/>
      </c>
      <c r="G250" s="1463">
        <f>'Resource Build-Up'!Q249</f>
        <v/>
      </c>
      <c r="H250" s="1463">
        <f>'Resource Build-Up'!T249</f>
        <v/>
      </c>
      <c r="I250" s="1464">
        <f>'Resource Build-Up'!Y249</f>
        <v/>
      </c>
      <c r="J250" s="1464">
        <f>'Resource Build-Up'!Z249</f>
        <v/>
      </c>
      <c r="K250" s="1463" t="n"/>
      <c r="L250" s="1463" t="n"/>
      <c r="M250" s="1463" t="n"/>
      <c r="N250" s="1463" t="n"/>
      <c r="O250" s="1463" t="n"/>
      <c r="P250" s="1463" t="n"/>
      <c r="Q250" s="1463">
        <f>COUNTIF(L250,"PASS")+COUNTIF(N250,"PASS")+COUNTIF(P250,"PASS")</f>
        <v/>
      </c>
      <c r="R250" s="1463">
        <f>'Resource Build-Up'!AC249</f>
        <v/>
      </c>
      <c r="S250" s="1463">
        <f>'Resource Build-Up'!AF249</f>
        <v/>
      </c>
      <c r="T250" s="1465" t="n"/>
      <c r="U250" s="1463" t="n"/>
      <c r="V250" s="1463">
        <f>'Resource Build-Up'!AG249</f>
        <v/>
      </c>
    </row>
    <row r="251">
      <c r="A251" s="1462" t="inlineStr">
        <is>
          <t>RV-244</t>
        </is>
      </c>
      <c r="B251" s="1462">
        <f>'Resource Build-Up'!A250</f>
        <v/>
      </c>
      <c r="C251" s="1462">
        <f>'Resource Build-Up'!B250</f>
        <v/>
      </c>
      <c r="D251" s="1463">
        <f>'Resource Build-Up'!C250</f>
        <v/>
      </c>
      <c r="E251" s="1463">
        <f>'Resource Build-Up'!H250</f>
        <v/>
      </c>
      <c r="F251" s="1463">
        <f>'Resource Build-Up'!P250</f>
        <v/>
      </c>
      <c r="G251" s="1463">
        <f>'Resource Build-Up'!Q250</f>
        <v/>
      </c>
      <c r="H251" s="1463">
        <f>'Resource Build-Up'!T250</f>
        <v/>
      </c>
      <c r="I251" s="1464">
        <f>'Resource Build-Up'!Y250</f>
        <v/>
      </c>
      <c r="J251" s="1464">
        <f>'Resource Build-Up'!Z250</f>
        <v/>
      </c>
      <c r="K251" s="1463" t="n"/>
      <c r="L251" s="1463" t="n"/>
      <c r="M251" s="1463" t="n"/>
      <c r="N251" s="1463" t="n"/>
      <c r="O251" s="1463" t="n"/>
      <c r="P251" s="1463" t="n"/>
      <c r="Q251" s="1463">
        <f>COUNTIF(L251,"PASS")+COUNTIF(N251,"PASS")+COUNTIF(P251,"PASS")</f>
        <v/>
      </c>
      <c r="R251" s="1463">
        <f>'Resource Build-Up'!AC250</f>
        <v/>
      </c>
      <c r="S251" s="1463">
        <f>'Resource Build-Up'!AF250</f>
        <v/>
      </c>
      <c r="T251" s="1465" t="n"/>
      <c r="U251" s="1463" t="n"/>
      <c r="V251" s="1463">
        <f>'Resource Build-Up'!AG250</f>
        <v/>
      </c>
    </row>
    <row r="252">
      <c r="A252" s="1462" t="inlineStr">
        <is>
          <t>RV-245</t>
        </is>
      </c>
      <c r="B252" s="1462">
        <f>'Resource Build-Up'!A251</f>
        <v/>
      </c>
      <c r="C252" s="1462">
        <f>'Resource Build-Up'!B251</f>
        <v/>
      </c>
      <c r="D252" s="1463">
        <f>'Resource Build-Up'!C251</f>
        <v/>
      </c>
      <c r="E252" s="1463">
        <f>'Resource Build-Up'!H251</f>
        <v/>
      </c>
      <c r="F252" s="1463">
        <f>'Resource Build-Up'!P251</f>
        <v/>
      </c>
      <c r="G252" s="1463">
        <f>'Resource Build-Up'!Q251</f>
        <v/>
      </c>
      <c r="H252" s="1463">
        <f>'Resource Build-Up'!T251</f>
        <v/>
      </c>
      <c r="I252" s="1464">
        <f>'Resource Build-Up'!Y251</f>
        <v/>
      </c>
      <c r="J252" s="1464">
        <f>'Resource Build-Up'!Z251</f>
        <v/>
      </c>
      <c r="K252" s="1463" t="n"/>
      <c r="L252" s="1463" t="n"/>
      <c r="M252" s="1463" t="n"/>
      <c r="N252" s="1463" t="n"/>
      <c r="O252" s="1463" t="n"/>
      <c r="P252" s="1463" t="n"/>
      <c r="Q252" s="1463">
        <f>COUNTIF(L252,"PASS")+COUNTIF(N252,"PASS")+COUNTIF(P252,"PASS")</f>
        <v/>
      </c>
      <c r="R252" s="1463">
        <f>'Resource Build-Up'!AC251</f>
        <v/>
      </c>
      <c r="S252" s="1463">
        <f>'Resource Build-Up'!AF251</f>
        <v/>
      </c>
      <c r="T252" s="1465" t="n"/>
      <c r="U252" s="1463" t="n"/>
      <c r="V252" s="1463">
        <f>'Resource Build-Up'!AG251</f>
        <v/>
      </c>
    </row>
    <row r="253">
      <c r="A253" s="1462" t="inlineStr">
        <is>
          <t>RV-246</t>
        </is>
      </c>
      <c r="B253" s="1462">
        <f>'Resource Build-Up'!A252</f>
        <v/>
      </c>
      <c r="C253" s="1462">
        <f>'Resource Build-Up'!B252</f>
        <v/>
      </c>
      <c r="D253" s="1463">
        <f>'Resource Build-Up'!C252</f>
        <v/>
      </c>
      <c r="E253" s="1463">
        <f>'Resource Build-Up'!H252</f>
        <v/>
      </c>
      <c r="F253" s="1463">
        <f>'Resource Build-Up'!P252</f>
        <v/>
      </c>
      <c r="G253" s="1463">
        <f>'Resource Build-Up'!Q252</f>
        <v/>
      </c>
      <c r="H253" s="1463">
        <f>'Resource Build-Up'!T252</f>
        <v/>
      </c>
      <c r="I253" s="1464">
        <f>'Resource Build-Up'!Y252</f>
        <v/>
      </c>
      <c r="J253" s="1464">
        <f>'Resource Build-Up'!Z252</f>
        <v/>
      </c>
      <c r="K253" s="1463" t="n"/>
      <c r="L253" s="1463" t="n"/>
      <c r="M253" s="1463" t="n"/>
      <c r="N253" s="1463" t="n"/>
      <c r="O253" s="1463" t="n"/>
      <c r="P253" s="1463" t="n"/>
      <c r="Q253" s="1463">
        <f>COUNTIF(L253,"PASS")+COUNTIF(N253,"PASS")+COUNTIF(P253,"PASS")</f>
        <v/>
      </c>
      <c r="R253" s="1463">
        <f>'Resource Build-Up'!AC252</f>
        <v/>
      </c>
      <c r="S253" s="1463">
        <f>'Resource Build-Up'!AF252</f>
        <v/>
      </c>
      <c r="T253" s="1465" t="n"/>
      <c r="U253" s="1463" t="n"/>
      <c r="V253" s="1463">
        <f>'Resource Build-Up'!AG252</f>
        <v/>
      </c>
    </row>
    <row r="254">
      <c r="A254" s="1462" t="inlineStr">
        <is>
          <t>RV-247</t>
        </is>
      </c>
      <c r="B254" s="1462">
        <f>'Resource Build-Up'!A253</f>
        <v/>
      </c>
      <c r="C254" s="1462">
        <f>'Resource Build-Up'!B253</f>
        <v/>
      </c>
      <c r="D254" s="1463">
        <f>'Resource Build-Up'!C253</f>
        <v/>
      </c>
      <c r="E254" s="1463">
        <f>'Resource Build-Up'!H253</f>
        <v/>
      </c>
      <c r="F254" s="1463">
        <f>'Resource Build-Up'!P253</f>
        <v/>
      </c>
      <c r="G254" s="1463">
        <f>'Resource Build-Up'!Q253</f>
        <v/>
      </c>
      <c r="H254" s="1463">
        <f>'Resource Build-Up'!T253</f>
        <v/>
      </c>
      <c r="I254" s="1464">
        <f>'Resource Build-Up'!Y253</f>
        <v/>
      </c>
      <c r="J254" s="1464">
        <f>'Resource Build-Up'!Z253</f>
        <v/>
      </c>
      <c r="K254" s="1463" t="n"/>
      <c r="L254" s="1463" t="n"/>
      <c r="M254" s="1463" t="n"/>
      <c r="N254" s="1463" t="n"/>
      <c r="O254" s="1463" t="n"/>
      <c r="P254" s="1463" t="n"/>
      <c r="Q254" s="1463">
        <f>COUNTIF(L254,"PASS")+COUNTIF(N254,"PASS")+COUNTIF(P254,"PASS")</f>
        <v/>
      </c>
      <c r="R254" s="1463">
        <f>'Resource Build-Up'!AC253</f>
        <v/>
      </c>
      <c r="S254" s="1463">
        <f>'Resource Build-Up'!AF253</f>
        <v/>
      </c>
      <c r="T254" s="1465" t="n"/>
      <c r="U254" s="1463" t="n"/>
      <c r="V254" s="1463">
        <f>'Resource Build-Up'!AG253</f>
        <v/>
      </c>
    </row>
    <row r="255">
      <c r="A255" s="1462" t="inlineStr">
        <is>
          <t>RV-248</t>
        </is>
      </c>
      <c r="B255" s="1462">
        <f>'Resource Build-Up'!A254</f>
        <v/>
      </c>
      <c r="C255" s="1462">
        <f>'Resource Build-Up'!B254</f>
        <v/>
      </c>
      <c r="D255" s="1463">
        <f>'Resource Build-Up'!C254</f>
        <v/>
      </c>
      <c r="E255" s="1463">
        <f>'Resource Build-Up'!H254</f>
        <v/>
      </c>
      <c r="F255" s="1463">
        <f>'Resource Build-Up'!P254</f>
        <v/>
      </c>
      <c r="G255" s="1463">
        <f>'Resource Build-Up'!Q254</f>
        <v/>
      </c>
      <c r="H255" s="1463">
        <f>'Resource Build-Up'!T254</f>
        <v/>
      </c>
      <c r="I255" s="1464">
        <f>'Resource Build-Up'!Y254</f>
        <v/>
      </c>
      <c r="J255" s="1464">
        <f>'Resource Build-Up'!Z254</f>
        <v/>
      </c>
      <c r="K255" s="1463" t="n"/>
      <c r="L255" s="1463" t="n"/>
      <c r="M255" s="1463" t="n"/>
      <c r="N255" s="1463" t="n"/>
      <c r="O255" s="1463" t="n"/>
      <c r="P255" s="1463" t="n"/>
      <c r="Q255" s="1463">
        <f>COUNTIF(L255,"PASS")+COUNTIF(N255,"PASS")+COUNTIF(P255,"PASS")</f>
        <v/>
      </c>
      <c r="R255" s="1463">
        <f>'Resource Build-Up'!AC254</f>
        <v/>
      </c>
      <c r="S255" s="1463">
        <f>'Resource Build-Up'!AF254</f>
        <v/>
      </c>
      <c r="T255" s="1465" t="n"/>
      <c r="U255" s="1463" t="n"/>
      <c r="V255" s="1463">
        <f>'Resource Build-Up'!AG254</f>
        <v/>
      </c>
    </row>
    <row r="256">
      <c r="A256" s="1462" t="inlineStr">
        <is>
          <t>RV-249</t>
        </is>
      </c>
      <c r="B256" s="1462">
        <f>'Resource Build-Up'!A255</f>
        <v/>
      </c>
      <c r="C256" s="1462">
        <f>'Resource Build-Up'!B255</f>
        <v/>
      </c>
      <c r="D256" s="1463">
        <f>'Resource Build-Up'!C255</f>
        <v/>
      </c>
      <c r="E256" s="1463">
        <f>'Resource Build-Up'!H255</f>
        <v/>
      </c>
      <c r="F256" s="1463">
        <f>'Resource Build-Up'!P255</f>
        <v/>
      </c>
      <c r="G256" s="1463">
        <f>'Resource Build-Up'!Q255</f>
        <v/>
      </c>
      <c r="H256" s="1463">
        <f>'Resource Build-Up'!T255</f>
        <v/>
      </c>
      <c r="I256" s="1464">
        <f>'Resource Build-Up'!Y255</f>
        <v/>
      </c>
      <c r="J256" s="1464">
        <f>'Resource Build-Up'!Z255</f>
        <v/>
      </c>
      <c r="K256" s="1463" t="n"/>
      <c r="L256" s="1463" t="n"/>
      <c r="M256" s="1463" t="n"/>
      <c r="N256" s="1463" t="n"/>
      <c r="O256" s="1463" t="n"/>
      <c r="P256" s="1463" t="n"/>
      <c r="Q256" s="1463">
        <f>COUNTIF(L256,"PASS")+COUNTIF(N256,"PASS")+COUNTIF(P256,"PASS")</f>
        <v/>
      </c>
      <c r="R256" s="1463">
        <f>'Resource Build-Up'!AC255</f>
        <v/>
      </c>
      <c r="S256" s="1463">
        <f>'Resource Build-Up'!AF255</f>
        <v/>
      </c>
      <c r="T256" s="1465" t="n"/>
      <c r="U256" s="1463" t="n"/>
      <c r="V256" s="1463">
        <f>'Resource Build-Up'!AG255</f>
        <v/>
      </c>
    </row>
    <row r="257">
      <c r="A257" s="1462" t="inlineStr">
        <is>
          <t>RV-250</t>
        </is>
      </c>
      <c r="B257" s="1462">
        <f>'Resource Build-Up'!A256</f>
        <v/>
      </c>
      <c r="C257" s="1462">
        <f>'Resource Build-Up'!B256</f>
        <v/>
      </c>
      <c r="D257" s="1463">
        <f>'Resource Build-Up'!C256</f>
        <v/>
      </c>
      <c r="E257" s="1463">
        <f>'Resource Build-Up'!H256</f>
        <v/>
      </c>
      <c r="F257" s="1463">
        <f>'Resource Build-Up'!P256</f>
        <v/>
      </c>
      <c r="G257" s="1463">
        <f>'Resource Build-Up'!Q256</f>
        <v/>
      </c>
      <c r="H257" s="1463">
        <f>'Resource Build-Up'!T256</f>
        <v/>
      </c>
      <c r="I257" s="1464">
        <f>'Resource Build-Up'!Y256</f>
        <v/>
      </c>
      <c r="J257" s="1464">
        <f>'Resource Build-Up'!Z256</f>
        <v/>
      </c>
      <c r="K257" s="1463" t="n"/>
      <c r="L257" s="1463" t="n"/>
      <c r="M257" s="1463" t="n"/>
      <c r="N257" s="1463" t="n"/>
      <c r="O257" s="1463" t="n"/>
      <c r="P257" s="1463" t="n"/>
      <c r="Q257" s="1463">
        <f>COUNTIF(L257,"PASS")+COUNTIF(N257,"PASS")+COUNTIF(P257,"PASS")</f>
        <v/>
      </c>
      <c r="R257" s="1463">
        <f>'Resource Build-Up'!AC256</f>
        <v/>
      </c>
      <c r="S257" s="1463">
        <f>'Resource Build-Up'!AF256</f>
        <v/>
      </c>
      <c r="T257" s="1465" t="n"/>
      <c r="U257" s="1463" t="n"/>
      <c r="V257" s="1463">
        <f>'Resource Build-Up'!AG256</f>
        <v/>
      </c>
    </row>
    <row r="258">
      <c r="A258" s="1462" t="inlineStr">
        <is>
          <t>RV-251</t>
        </is>
      </c>
      <c r="B258" s="1462">
        <f>'Resource Build-Up'!A257</f>
        <v/>
      </c>
      <c r="C258" s="1462">
        <f>'Resource Build-Up'!B257</f>
        <v/>
      </c>
      <c r="D258" s="1463">
        <f>'Resource Build-Up'!C257</f>
        <v/>
      </c>
      <c r="E258" s="1463">
        <f>'Resource Build-Up'!H257</f>
        <v/>
      </c>
      <c r="F258" s="1463">
        <f>'Resource Build-Up'!P257</f>
        <v/>
      </c>
      <c r="G258" s="1463">
        <f>'Resource Build-Up'!Q257</f>
        <v/>
      </c>
      <c r="H258" s="1463">
        <f>'Resource Build-Up'!T257</f>
        <v/>
      </c>
      <c r="I258" s="1464">
        <f>'Resource Build-Up'!Y257</f>
        <v/>
      </c>
      <c r="J258" s="1464">
        <f>'Resource Build-Up'!Z257</f>
        <v/>
      </c>
      <c r="K258" s="1463" t="n"/>
      <c r="L258" s="1463" t="n"/>
      <c r="M258" s="1463" t="n"/>
      <c r="N258" s="1463" t="n"/>
      <c r="O258" s="1463" t="n"/>
      <c r="P258" s="1463" t="n"/>
      <c r="Q258" s="1463">
        <f>COUNTIF(L258,"PASS")+COUNTIF(N258,"PASS")+COUNTIF(P258,"PASS")</f>
        <v/>
      </c>
      <c r="R258" s="1463">
        <f>'Resource Build-Up'!AC257</f>
        <v/>
      </c>
      <c r="S258" s="1463">
        <f>'Resource Build-Up'!AF257</f>
        <v/>
      </c>
      <c r="T258" s="1465" t="n"/>
      <c r="U258" s="1463" t="n"/>
      <c r="V258" s="1463">
        <f>'Resource Build-Up'!AG257</f>
        <v/>
      </c>
    </row>
    <row r="259">
      <c r="A259" s="1462" t="inlineStr">
        <is>
          <t>RV-252</t>
        </is>
      </c>
      <c r="B259" s="1462">
        <f>'Resource Build-Up'!A258</f>
        <v/>
      </c>
      <c r="C259" s="1462">
        <f>'Resource Build-Up'!B258</f>
        <v/>
      </c>
      <c r="D259" s="1463">
        <f>'Resource Build-Up'!C258</f>
        <v/>
      </c>
      <c r="E259" s="1463">
        <f>'Resource Build-Up'!H258</f>
        <v/>
      </c>
      <c r="F259" s="1463">
        <f>'Resource Build-Up'!P258</f>
        <v/>
      </c>
      <c r="G259" s="1463">
        <f>'Resource Build-Up'!Q258</f>
        <v/>
      </c>
      <c r="H259" s="1463">
        <f>'Resource Build-Up'!T258</f>
        <v/>
      </c>
      <c r="I259" s="1464">
        <f>'Resource Build-Up'!Y258</f>
        <v/>
      </c>
      <c r="J259" s="1464">
        <f>'Resource Build-Up'!Z258</f>
        <v/>
      </c>
      <c r="K259" s="1463" t="n"/>
      <c r="L259" s="1463" t="n"/>
      <c r="M259" s="1463" t="n"/>
      <c r="N259" s="1463" t="n"/>
      <c r="O259" s="1463" t="n"/>
      <c r="P259" s="1463" t="n"/>
      <c r="Q259" s="1463">
        <f>COUNTIF(L259,"PASS")+COUNTIF(N259,"PASS")+COUNTIF(P259,"PASS")</f>
        <v/>
      </c>
      <c r="R259" s="1463">
        <f>'Resource Build-Up'!AC258</f>
        <v/>
      </c>
      <c r="S259" s="1463">
        <f>'Resource Build-Up'!AF258</f>
        <v/>
      </c>
      <c r="T259" s="1465" t="n"/>
      <c r="U259" s="1463" t="n"/>
      <c r="V259" s="1463">
        <f>'Resource Build-Up'!AG258</f>
        <v/>
      </c>
    </row>
    <row r="260">
      <c r="A260" s="1462" t="inlineStr">
        <is>
          <t>RV-253</t>
        </is>
      </c>
      <c r="B260" s="1462">
        <f>'Resource Build-Up'!A259</f>
        <v/>
      </c>
      <c r="C260" s="1462">
        <f>'Resource Build-Up'!B259</f>
        <v/>
      </c>
      <c r="D260" s="1463">
        <f>'Resource Build-Up'!C259</f>
        <v/>
      </c>
      <c r="E260" s="1463">
        <f>'Resource Build-Up'!H259</f>
        <v/>
      </c>
      <c r="F260" s="1463">
        <f>'Resource Build-Up'!P259</f>
        <v/>
      </c>
      <c r="G260" s="1463">
        <f>'Resource Build-Up'!Q259</f>
        <v/>
      </c>
      <c r="H260" s="1463">
        <f>'Resource Build-Up'!T259</f>
        <v/>
      </c>
      <c r="I260" s="1464">
        <f>'Resource Build-Up'!Y259</f>
        <v/>
      </c>
      <c r="J260" s="1464">
        <f>'Resource Build-Up'!Z259</f>
        <v/>
      </c>
      <c r="K260" s="1463" t="n"/>
      <c r="L260" s="1463" t="n"/>
      <c r="M260" s="1463" t="n"/>
      <c r="N260" s="1463" t="n"/>
      <c r="O260" s="1463" t="n"/>
      <c r="P260" s="1463" t="n"/>
      <c r="Q260" s="1463">
        <f>COUNTIF(L260,"PASS")+COUNTIF(N260,"PASS")+COUNTIF(P260,"PASS")</f>
        <v/>
      </c>
      <c r="R260" s="1463">
        <f>'Resource Build-Up'!AC259</f>
        <v/>
      </c>
      <c r="S260" s="1463">
        <f>'Resource Build-Up'!AF259</f>
        <v/>
      </c>
      <c r="T260" s="1465" t="n"/>
      <c r="U260" s="1463" t="n"/>
      <c r="V260" s="1463">
        <f>'Resource Build-Up'!AG259</f>
        <v/>
      </c>
    </row>
    <row r="261">
      <c r="A261" s="1462" t="inlineStr">
        <is>
          <t>RV-254</t>
        </is>
      </c>
      <c r="B261" s="1462">
        <f>'Resource Build-Up'!A260</f>
        <v/>
      </c>
      <c r="C261" s="1462">
        <f>'Resource Build-Up'!B260</f>
        <v/>
      </c>
      <c r="D261" s="1463">
        <f>'Resource Build-Up'!C260</f>
        <v/>
      </c>
      <c r="E261" s="1463">
        <f>'Resource Build-Up'!H260</f>
        <v/>
      </c>
      <c r="F261" s="1463">
        <f>'Resource Build-Up'!P260</f>
        <v/>
      </c>
      <c r="G261" s="1463">
        <f>'Resource Build-Up'!Q260</f>
        <v/>
      </c>
      <c r="H261" s="1463">
        <f>'Resource Build-Up'!T260</f>
        <v/>
      </c>
      <c r="I261" s="1464">
        <f>'Resource Build-Up'!Y260</f>
        <v/>
      </c>
      <c r="J261" s="1464">
        <f>'Resource Build-Up'!Z260</f>
        <v/>
      </c>
      <c r="K261" s="1463" t="n"/>
      <c r="L261" s="1463" t="n"/>
      <c r="M261" s="1463" t="n"/>
      <c r="N261" s="1463" t="n"/>
      <c r="O261" s="1463" t="n"/>
      <c r="P261" s="1463" t="n"/>
      <c r="Q261" s="1463">
        <f>COUNTIF(L261,"PASS")+COUNTIF(N261,"PASS")+COUNTIF(P261,"PASS")</f>
        <v/>
      </c>
      <c r="R261" s="1463">
        <f>'Resource Build-Up'!AC260</f>
        <v/>
      </c>
      <c r="S261" s="1463">
        <f>'Resource Build-Up'!AF260</f>
        <v/>
      </c>
      <c r="T261" s="1465" t="n"/>
      <c r="U261" s="1463" t="n"/>
      <c r="V261" s="1463">
        <f>'Resource Build-Up'!AG260</f>
        <v/>
      </c>
    </row>
    <row r="262">
      <c r="A262" s="1462" t="inlineStr">
        <is>
          <t>RV-255</t>
        </is>
      </c>
      <c r="B262" s="1462">
        <f>'Resource Build-Up'!A261</f>
        <v/>
      </c>
      <c r="C262" s="1462">
        <f>'Resource Build-Up'!B261</f>
        <v/>
      </c>
      <c r="D262" s="1463">
        <f>'Resource Build-Up'!C261</f>
        <v/>
      </c>
      <c r="E262" s="1463">
        <f>'Resource Build-Up'!H261</f>
        <v/>
      </c>
      <c r="F262" s="1463">
        <f>'Resource Build-Up'!P261</f>
        <v/>
      </c>
      <c r="G262" s="1463">
        <f>'Resource Build-Up'!Q261</f>
        <v/>
      </c>
      <c r="H262" s="1463">
        <f>'Resource Build-Up'!T261</f>
        <v/>
      </c>
      <c r="I262" s="1464">
        <f>'Resource Build-Up'!Y261</f>
        <v/>
      </c>
      <c r="J262" s="1464">
        <f>'Resource Build-Up'!Z261</f>
        <v/>
      </c>
      <c r="K262" s="1463" t="n"/>
      <c r="L262" s="1463" t="n"/>
      <c r="M262" s="1463" t="n"/>
      <c r="N262" s="1463" t="n"/>
      <c r="O262" s="1463" t="n"/>
      <c r="P262" s="1463" t="n"/>
      <c r="Q262" s="1463">
        <f>COUNTIF(L262,"PASS")+COUNTIF(N262,"PASS")+COUNTIF(P262,"PASS")</f>
        <v/>
      </c>
      <c r="R262" s="1463">
        <f>'Resource Build-Up'!AC261</f>
        <v/>
      </c>
      <c r="S262" s="1463">
        <f>'Resource Build-Up'!AF261</f>
        <v/>
      </c>
      <c r="T262" s="1465" t="n"/>
      <c r="U262" s="1463" t="n"/>
      <c r="V262" s="1463">
        <f>'Resource Build-Up'!AG261</f>
        <v/>
      </c>
    </row>
    <row r="263">
      <c r="A263" s="1462" t="inlineStr">
        <is>
          <t>RV-256</t>
        </is>
      </c>
      <c r="B263" s="1462">
        <f>'Resource Build-Up'!A262</f>
        <v/>
      </c>
      <c r="C263" s="1462">
        <f>'Resource Build-Up'!B262</f>
        <v/>
      </c>
      <c r="D263" s="1463">
        <f>'Resource Build-Up'!C262</f>
        <v/>
      </c>
      <c r="E263" s="1463">
        <f>'Resource Build-Up'!H262</f>
        <v/>
      </c>
      <c r="F263" s="1463">
        <f>'Resource Build-Up'!P262</f>
        <v/>
      </c>
      <c r="G263" s="1463">
        <f>'Resource Build-Up'!Q262</f>
        <v/>
      </c>
      <c r="H263" s="1463">
        <f>'Resource Build-Up'!T262</f>
        <v/>
      </c>
      <c r="I263" s="1464">
        <f>'Resource Build-Up'!Y262</f>
        <v/>
      </c>
      <c r="J263" s="1464">
        <f>'Resource Build-Up'!Z262</f>
        <v/>
      </c>
      <c r="K263" s="1463" t="n"/>
      <c r="L263" s="1463" t="n"/>
      <c r="M263" s="1463" t="n"/>
      <c r="N263" s="1463" t="n"/>
      <c r="O263" s="1463" t="n"/>
      <c r="P263" s="1463" t="n"/>
      <c r="Q263" s="1463">
        <f>COUNTIF(L263,"PASS")+COUNTIF(N263,"PASS")+COUNTIF(P263,"PASS")</f>
        <v/>
      </c>
      <c r="R263" s="1463">
        <f>'Resource Build-Up'!AC262</f>
        <v/>
      </c>
      <c r="S263" s="1463">
        <f>'Resource Build-Up'!AF262</f>
        <v/>
      </c>
      <c r="T263" s="1465" t="n"/>
      <c r="U263" s="1463" t="n"/>
      <c r="V263" s="1463">
        <f>'Resource Build-Up'!AG262</f>
        <v/>
      </c>
    </row>
    <row r="264">
      <c r="A264" s="1462" t="inlineStr">
        <is>
          <t>RV-257</t>
        </is>
      </c>
      <c r="B264" s="1462">
        <f>'Resource Build-Up'!A263</f>
        <v/>
      </c>
      <c r="C264" s="1462">
        <f>'Resource Build-Up'!B263</f>
        <v/>
      </c>
      <c r="D264" s="1463">
        <f>'Resource Build-Up'!C263</f>
        <v/>
      </c>
      <c r="E264" s="1463">
        <f>'Resource Build-Up'!H263</f>
        <v/>
      </c>
      <c r="F264" s="1463">
        <f>'Resource Build-Up'!P263</f>
        <v/>
      </c>
      <c r="G264" s="1463">
        <f>'Resource Build-Up'!Q263</f>
        <v/>
      </c>
      <c r="H264" s="1463">
        <f>'Resource Build-Up'!T263</f>
        <v/>
      </c>
      <c r="I264" s="1464">
        <f>'Resource Build-Up'!Y263</f>
        <v/>
      </c>
      <c r="J264" s="1464">
        <f>'Resource Build-Up'!Z263</f>
        <v/>
      </c>
      <c r="K264" s="1463" t="n"/>
      <c r="L264" s="1463" t="n"/>
      <c r="M264" s="1463" t="n"/>
      <c r="N264" s="1463" t="n"/>
      <c r="O264" s="1463" t="n"/>
      <c r="P264" s="1463" t="n"/>
      <c r="Q264" s="1463">
        <f>COUNTIF(L264,"PASS")+COUNTIF(N264,"PASS")+COUNTIF(P264,"PASS")</f>
        <v/>
      </c>
      <c r="R264" s="1463">
        <f>'Resource Build-Up'!AC263</f>
        <v/>
      </c>
      <c r="S264" s="1463">
        <f>'Resource Build-Up'!AF263</f>
        <v/>
      </c>
      <c r="T264" s="1465" t="n"/>
      <c r="U264" s="1463" t="n"/>
      <c r="V264" s="1463">
        <f>'Resource Build-Up'!AG263</f>
        <v/>
      </c>
    </row>
    <row r="265">
      <c r="A265" s="1462" t="inlineStr">
        <is>
          <t>RV-258</t>
        </is>
      </c>
      <c r="B265" s="1462">
        <f>'Resource Build-Up'!A264</f>
        <v/>
      </c>
      <c r="C265" s="1462">
        <f>'Resource Build-Up'!B264</f>
        <v/>
      </c>
      <c r="D265" s="1463">
        <f>'Resource Build-Up'!C264</f>
        <v/>
      </c>
      <c r="E265" s="1463">
        <f>'Resource Build-Up'!H264</f>
        <v/>
      </c>
      <c r="F265" s="1463">
        <f>'Resource Build-Up'!P264</f>
        <v/>
      </c>
      <c r="G265" s="1463">
        <f>'Resource Build-Up'!Q264</f>
        <v/>
      </c>
      <c r="H265" s="1463">
        <f>'Resource Build-Up'!T264</f>
        <v/>
      </c>
      <c r="I265" s="1464">
        <f>'Resource Build-Up'!Y264</f>
        <v/>
      </c>
      <c r="J265" s="1464">
        <f>'Resource Build-Up'!Z264</f>
        <v/>
      </c>
      <c r="K265" s="1463" t="n"/>
      <c r="L265" s="1463" t="n"/>
      <c r="M265" s="1463" t="n"/>
      <c r="N265" s="1463" t="n"/>
      <c r="O265" s="1463" t="n"/>
      <c r="P265" s="1463" t="n"/>
      <c r="Q265" s="1463">
        <f>COUNTIF(L265,"PASS")+COUNTIF(N265,"PASS")+COUNTIF(P265,"PASS")</f>
        <v/>
      </c>
      <c r="R265" s="1463">
        <f>'Resource Build-Up'!AC264</f>
        <v/>
      </c>
      <c r="S265" s="1463">
        <f>'Resource Build-Up'!AF264</f>
        <v/>
      </c>
      <c r="T265" s="1465" t="n"/>
      <c r="U265" s="1463" t="n"/>
      <c r="V265" s="1463">
        <f>'Resource Build-Up'!AG264</f>
        <v/>
      </c>
    </row>
    <row r="266">
      <c r="A266" s="1462" t="inlineStr">
        <is>
          <t>RV-259</t>
        </is>
      </c>
      <c r="B266" s="1462">
        <f>'Resource Build-Up'!A265</f>
        <v/>
      </c>
      <c r="C266" s="1462">
        <f>'Resource Build-Up'!B265</f>
        <v/>
      </c>
      <c r="D266" s="1463">
        <f>'Resource Build-Up'!C265</f>
        <v/>
      </c>
      <c r="E266" s="1463">
        <f>'Resource Build-Up'!H265</f>
        <v/>
      </c>
      <c r="F266" s="1463">
        <f>'Resource Build-Up'!P265</f>
        <v/>
      </c>
      <c r="G266" s="1463">
        <f>'Resource Build-Up'!Q265</f>
        <v/>
      </c>
      <c r="H266" s="1463">
        <f>'Resource Build-Up'!T265</f>
        <v/>
      </c>
      <c r="I266" s="1464">
        <f>'Resource Build-Up'!Y265</f>
        <v/>
      </c>
      <c r="J266" s="1464">
        <f>'Resource Build-Up'!Z265</f>
        <v/>
      </c>
      <c r="K266" s="1463" t="n"/>
      <c r="L266" s="1463" t="n"/>
      <c r="M266" s="1463" t="n"/>
      <c r="N266" s="1463" t="n"/>
      <c r="O266" s="1463" t="n"/>
      <c r="P266" s="1463" t="n"/>
      <c r="Q266" s="1463">
        <f>COUNTIF(L266,"PASS")+COUNTIF(N266,"PASS")+COUNTIF(P266,"PASS")</f>
        <v/>
      </c>
      <c r="R266" s="1463">
        <f>'Resource Build-Up'!AC265</f>
        <v/>
      </c>
      <c r="S266" s="1463">
        <f>'Resource Build-Up'!AF265</f>
        <v/>
      </c>
      <c r="T266" s="1465" t="n"/>
      <c r="U266" s="1463" t="n"/>
      <c r="V266" s="1463">
        <f>'Resource Build-Up'!AG265</f>
        <v/>
      </c>
    </row>
    <row r="267">
      <c r="A267" s="1462" t="inlineStr">
        <is>
          <t>RV-260</t>
        </is>
      </c>
      <c r="B267" s="1462">
        <f>'Resource Build-Up'!A266</f>
        <v/>
      </c>
      <c r="C267" s="1462">
        <f>'Resource Build-Up'!B266</f>
        <v/>
      </c>
      <c r="D267" s="1463">
        <f>'Resource Build-Up'!C266</f>
        <v/>
      </c>
      <c r="E267" s="1463">
        <f>'Resource Build-Up'!H266</f>
        <v/>
      </c>
      <c r="F267" s="1463">
        <f>'Resource Build-Up'!P266</f>
        <v/>
      </c>
      <c r="G267" s="1463">
        <f>'Resource Build-Up'!Q266</f>
        <v/>
      </c>
      <c r="H267" s="1463">
        <f>'Resource Build-Up'!T266</f>
        <v/>
      </c>
      <c r="I267" s="1464">
        <f>'Resource Build-Up'!Y266</f>
        <v/>
      </c>
      <c r="J267" s="1464">
        <f>'Resource Build-Up'!Z266</f>
        <v/>
      </c>
      <c r="K267" s="1463" t="n"/>
      <c r="L267" s="1463" t="n"/>
      <c r="M267" s="1463" t="n"/>
      <c r="N267" s="1463" t="n"/>
      <c r="O267" s="1463" t="n"/>
      <c r="P267" s="1463" t="n"/>
      <c r="Q267" s="1463">
        <f>COUNTIF(L267,"PASS")+COUNTIF(N267,"PASS")+COUNTIF(P267,"PASS")</f>
        <v/>
      </c>
      <c r="R267" s="1463">
        <f>'Resource Build-Up'!AC266</f>
        <v/>
      </c>
      <c r="S267" s="1463">
        <f>'Resource Build-Up'!AF266</f>
        <v/>
      </c>
      <c r="T267" s="1465" t="n"/>
      <c r="U267" s="1463" t="n"/>
      <c r="V267" s="1463">
        <f>'Resource Build-Up'!AG266</f>
        <v/>
      </c>
    </row>
    <row r="268">
      <c r="A268" s="1462" t="inlineStr">
        <is>
          <t>RV-261</t>
        </is>
      </c>
      <c r="B268" s="1462">
        <f>'Resource Build-Up'!A267</f>
        <v/>
      </c>
      <c r="C268" s="1462">
        <f>'Resource Build-Up'!B267</f>
        <v/>
      </c>
      <c r="D268" s="1463">
        <f>'Resource Build-Up'!C267</f>
        <v/>
      </c>
      <c r="E268" s="1463">
        <f>'Resource Build-Up'!H267</f>
        <v/>
      </c>
      <c r="F268" s="1463">
        <f>'Resource Build-Up'!P267</f>
        <v/>
      </c>
      <c r="G268" s="1463">
        <f>'Resource Build-Up'!Q267</f>
        <v/>
      </c>
      <c r="H268" s="1463">
        <f>'Resource Build-Up'!T267</f>
        <v/>
      </c>
      <c r="I268" s="1464">
        <f>'Resource Build-Up'!Y267</f>
        <v/>
      </c>
      <c r="J268" s="1464">
        <f>'Resource Build-Up'!Z267</f>
        <v/>
      </c>
      <c r="K268" s="1463" t="n"/>
      <c r="L268" s="1463" t="n"/>
      <c r="M268" s="1463" t="n"/>
      <c r="N268" s="1463" t="n"/>
      <c r="O268" s="1463" t="n"/>
      <c r="P268" s="1463" t="n"/>
      <c r="Q268" s="1463">
        <f>COUNTIF(L268,"PASS")+COUNTIF(N268,"PASS")+COUNTIF(P268,"PASS")</f>
        <v/>
      </c>
      <c r="R268" s="1463">
        <f>'Resource Build-Up'!AC267</f>
        <v/>
      </c>
      <c r="S268" s="1463">
        <f>'Resource Build-Up'!AF267</f>
        <v/>
      </c>
      <c r="T268" s="1465" t="n"/>
      <c r="U268" s="1463" t="n"/>
      <c r="V268" s="1463">
        <f>'Resource Build-Up'!AG267</f>
        <v/>
      </c>
    </row>
    <row r="269">
      <c r="A269" s="1462" t="inlineStr">
        <is>
          <t>RV-262</t>
        </is>
      </c>
      <c r="B269" s="1462">
        <f>'Resource Build-Up'!A268</f>
        <v/>
      </c>
      <c r="C269" s="1462">
        <f>'Resource Build-Up'!B268</f>
        <v/>
      </c>
      <c r="D269" s="1463">
        <f>'Resource Build-Up'!C268</f>
        <v/>
      </c>
      <c r="E269" s="1463">
        <f>'Resource Build-Up'!H268</f>
        <v/>
      </c>
      <c r="F269" s="1463">
        <f>'Resource Build-Up'!P268</f>
        <v/>
      </c>
      <c r="G269" s="1463">
        <f>'Resource Build-Up'!Q268</f>
        <v/>
      </c>
      <c r="H269" s="1463">
        <f>'Resource Build-Up'!T268</f>
        <v/>
      </c>
      <c r="I269" s="1464">
        <f>'Resource Build-Up'!Y268</f>
        <v/>
      </c>
      <c r="J269" s="1464">
        <f>'Resource Build-Up'!Z268</f>
        <v/>
      </c>
      <c r="K269" s="1463" t="n"/>
      <c r="L269" s="1463" t="n"/>
      <c r="M269" s="1463" t="n"/>
      <c r="N269" s="1463" t="n"/>
      <c r="O269" s="1463" t="n"/>
      <c r="P269" s="1463" t="n"/>
      <c r="Q269" s="1463">
        <f>COUNTIF(L269,"PASS")+COUNTIF(N269,"PASS")+COUNTIF(P269,"PASS")</f>
        <v/>
      </c>
      <c r="R269" s="1463">
        <f>'Resource Build-Up'!AC268</f>
        <v/>
      </c>
      <c r="S269" s="1463">
        <f>'Resource Build-Up'!AF268</f>
        <v/>
      </c>
      <c r="T269" s="1465" t="n"/>
      <c r="U269" s="1463" t="n"/>
      <c r="V269" s="1463">
        <f>'Resource Build-Up'!AG268</f>
        <v/>
      </c>
    </row>
    <row r="270">
      <c r="A270" s="1462" t="inlineStr">
        <is>
          <t>RV-263</t>
        </is>
      </c>
      <c r="B270" s="1462">
        <f>'Resource Build-Up'!A269</f>
        <v/>
      </c>
      <c r="C270" s="1462">
        <f>'Resource Build-Up'!B269</f>
        <v/>
      </c>
      <c r="D270" s="1463">
        <f>'Resource Build-Up'!C269</f>
        <v/>
      </c>
      <c r="E270" s="1463">
        <f>'Resource Build-Up'!H269</f>
        <v/>
      </c>
      <c r="F270" s="1463">
        <f>'Resource Build-Up'!P269</f>
        <v/>
      </c>
      <c r="G270" s="1463">
        <f>'Resource Build-Up'!Q269</f>
        <v/>
      </c>
      <c r="H270" s="1463">
        <f>'Resource Build-Up'!T269</f>
        <v/>
      </c>
      <c r="I270" s="1464">
        <f>'Resource Build-Up'!Y269</f>
        <v/>
      </c>
      <c r="J270" s="1464">
        <f>'Resource Build-Up'!Z269</f>
        <v/>
      </c>
      <c r="K270" s="1463" t="n"/>
      <c r="L270" s="1463" t="n"/>
      <c r="M270" s="1463" t="n"/>
      <c r="N270" s="1463" t="n"/>
      <c r="O270" s="1463" t="n"/>
      <c r="P270" s="1463" t="n"/>
      <c r="Q270" s="1463">
        <f>COUNTIF(L270,"PASS")+COUNTIF(N270,"PASS")+COUNTIF(P270,"PASS")</f>
        <v/>
      </c>
      <c r="R270" s="1463">
        <f>'Resource Build-Up'!AC269</f>
        <v/>
      </c>
      <c r="S270" s="1463">
        <f>'Resource Build-Up'!AF269</f>
        <v/>
      </c>
      <c r="T270" s="1465" t="n"/>
      <c r="U270" s="1463" t="n"/>
      <c r="V270" s="1463">
        <f>'Resource Build-Up'!AG269</f>
        <v/>
      </c>
    </row>
    <row r="271">
      <c r="A271" s="1462" t="inlineStr">
        <is>
          <t>RV-264</t>
        </is>
      </c>
      <c r="B271" s="1462">
        <f>'Resource Build-Up'!A270</f>
        <v/>
      </c>
      <c r="C271" s="1462">
        <f>'Resource Build-Up'!B270</f>
        <v/>
      </c>
      <c r="D271" s="1463">
        <f>'Resource Build-Up'!C270</f>
        <v/>
      </c>
      <c r="E271" s="1463">
        <f>'Resource Build-Up'!H270</f>
        <v/>
      </c>
      <c r="F271" s="1463">
        <f>'Resource Build-Up'!P270</f>
        <v/>
      </c>
      <c r="G271" s="1463">
        <f>'Resource Build-Up'!Q270</f>
        <v/>
      </c>
      <c r="H271" s="1463">
        <f>'Resource Build-Up'!T270</f>
        <v/>
      </c>
      <c r="I271" s="1464">
        <f>'Resource Build-Up'!Y270</f>
        <v/>
      </c>
      <c r="J271" s="1464">
        <f>'Resource Build-Up'!Z270</f>
        <v/>
      </c>
      <c r="K271" s="1463" t="n"/>
      <c r="L271" s="1463" t="n"/>
      <c r="M271" s="1463" t="n"/>
      <c r="N271" s="1463" t="n"/>
      <c r="O271" s="1463" t="n"/>
      <c r="P271" s="1463" t="n"/>
      <c r="Q271" s="1463">
        <f>COUNTIF(L271,"PASS")+COUNTIF(N271,"PASS")+COUNTIF(P271,"PASS")</f>
        <v/>
      </c>
      <c r="R271" s="1463">
        <f>'Resource Build-Up'!AC270</f>
        <v/>
      </c>
      <c r="S271" s="1463">
        <f>'Resource Build-Up'!AF270</f>
        <v/>
      </c>
      <c r="T271" s="1465" t="n"/>
      <c r="U271" s="1463" t="n"/>
      <c r="V271" s="1463">
        <f>'Resource Build-Up'!AG270</f>
        <v/>
      </c>
    </row>
    <row r="272">
      <c r="A272" s="1462" t="inlineStr">
        <is>
          <t>RV-265</t>
        </is>
      </c>
      <c r="B272" s="1462">
        <f>'Resource Build-Up'!A271</f>
        <v/>
      </c>
      <c r="C272" s="1462">
        <f>'Resource Build-Up'!B271</f>
        <v/>
      </c>
      <c r="D272" s="1463">
        <f>'Resource Build-Up'!C271</f>
        <v/>
      </c>
      <c r="E272" s="1463">
        <f>'Resource Build-Up'!H271</f>
        <v/>
      </c>
      <c r="F272" s="1463">
        <f>'Resource Build-Up'!P271</f>
        <v/>
      </c>
      <c r="G272" s="1463">
        <f>'Resource Build-Up'!Q271</f>
        <v/>
      </c>
      <c r="H272" s="1463">
        <f>'Resource Build-Up'!T271</f>
        <v/>
      </c>
      <c r="I272" s="1464">
        <f>'Resource Build-Up'!Y271</f>
        <v/>
      </c>
      <c r="J272" s="1464">
        <f>'Resource Build-Up'!Z271</f>
        <v/>
      </c>
      <c r="K272" s="1463" t="n"/>
      <c r="L272" s="1463" t="n"/>
      <c r="M272" s="1463" t="n"/>
      <c r="N272" s="1463" t="n"/>
      <c r="O272" s="1463" t="n"/>
      <c r="P272" s="1463" t="n"/>
      <c r="Q272" s="1463">
        <f>COUNTIF(L272,"PASS")+COUNTIF(N272,"PASS")+COUNTIF(P272,"PASS")</f>
        <v/>
      </c>
      <c r="R272" s="1463">
        <f>'Resource Build-Up'!AC271</f>
        <v/>
      </c>
      <c r="S272" s="1463">
        <f>'Resource Build-Up'!AF271</f>
        <v/>
      </c>
      <c r="T272" s="1465" t="n"/>
      <c r="U272" s="1463" t="n"/>
      <c r="V272" s="1463">
        <f>'Resource Build-Up'!AG271</f>
        <v/>
      </c>
    </row>
    <row r="273">
      <c r="A273" s="1462" t="inlineStr">
        <is>
          <t>RV-266</t>
        </is>
      </c>
      <c r="B273" s="1462">
        <f>'Resource Build-Up'!A272</f>
        <v/>
      </c>
      <c r="C273" s="1462">
        <f>'Resource Build-Up'!B272</f>
        <v/>
      </c>
      <c r="D273" s="1463">
        <f>'Resource Build-Up'!C272</f>
        <v/>
      </c>
      <c r="E273" s="1463">
        <f>'Resource Build-Up'!H272</f>
        <v/>
      </c>
      <c r="F273" s="1463">
        <f>'Resource Build-Up'!P272</f>
        <v/>
      </c>
      <c r="G273" s="1463">
        <f>'Resource Build-Up'!Q272</f>
        <v/>
      </c>
      <c r="H273" s="1463">
        <f>'Resource Build-Up'!T272</f>
        <v/>
      </c>
      <c r="I273" s="1464">
        <f>'Resource Build-Up'!Y272</f>
        <v/>
      </c>
      <c r="J273" s="1464">
        <f>'Resource Build-Up'!Z272</f>
        <v/>
      </c>
      <c r="K273" s="1463" t="n"/>
      <c r="L273" s="1463" t="n"/>
      <c r="M273" s="1463" t="n"/>
      <c r="N273" s="1463" t="n"/>
      <c r="O273" s="1463" t="n"/>
      <c r="P273" s="1463" t="n"/>
      <c r="Q273" s="1463">
        <f>COUNTIF(L273,"PASS")+COUNTIF(N273,"PASS")+COUNTIF(P273,"PASS")</f>
        <v/>
      </c>
      <c r="R273" s="1463">
        <f>'Resource Build-Up'!AC272</f>
        <v/>
      </c>
      <c r="S273" s="1463">
        <f>'Resource Build-Up'!AF272</f>
        <v/>
      </c>
      <c r="T273" s="1465" t="n"/>
      <c r="U273" s="1463" t="n"/>
      <c r="V273" s="1463">
        <f>'Resource Build-Up'!AG272</f>
        <v/>
      </c>
    </row>
    <row r="274">
      <c r="A274" s="1462" t="inlineStr">
        <is>
          <t>RV-267</t>
        </is>
      </c>
      <c r="B274" s="1462">
        <f>'Resource Build-Up'!A273</f>
        <v/>
      </c>
      <c r="C274" s="1462">
        <f>'Resource Build-Up'!B273</f>
        <v/>
      </c>
      <c r="D274" s="1463">
        <f>'Resource Build-Up'!C273</f>
        <v/>
      </c>
      <c r="E274" s="1463">
        <f>'Resource Build-Up'!H273</f>
        <v/>
      </c>
      <c r="F274" s="1463">
        <f>'Resource Build-Up'!P273</f>
        <v/>
      </c>
      <c r="G274" s="1463">
        <f>'Resource Build-Up'!Q273</f>
        <v/>
      </c>
      <c r="H274" s="1463">
        <f>'Resource Build-Up'!T273</f>
        <v/>
      </c>
      <c r="I274" s="1464">
        <f>'Resource Build-Up'!Y273</f>
        <v/>
      </c>
      <c r="J274" s="1464">
        <f>'Resource Build-Up'!Z273</f>
        <v/>
      </c>
      <c r="K274" s="1463" t="n"/>
      <c r="L274" s="1463" t="n"/>
      <c r="M274" s="1463" t="n"/>
      <c r="N274" s="1463" t="n"/>
      <c r="O274" s="1463" t="n"/>
      <c r="P274" s="1463" t="n"/>
      <c r="Q274" s="1463">
        <f>COUNTIF(L274,"PASS")+COUNTIF(N274,"PASS")+COUNTIF(P274,"PASS")</f>
        <v/>
      </c>
      <c r="R274" s="1463">
        <f>'Resource Build-Up'!AC273</f>
        <v/>
      </c>
      <c r="S274" s="1463">
        <f>'Resource Build-Up'!AF273</f>
        <v/>
      </c>
      <c r="T274" s="1465" t="n"/>
      <c r="U274" s="1463" t="n"/>
      <c r="V274" s="1463">
        <f>'Resource Build-Up'!AG273</f>
        <v/>
      </c>
    </row>
    <row r="275">
      <c r="A275" s="1462" t="inlineStr">
        <is>
          <t>RV-268</t>
        </is>
      </c>
      <c r="B275" s="1462">
        <f>'Resource Build-Up'!A274</f>
        <v/>
      </c>
      <c r="C275" s="1462">
        <f>'Resource Build-Up'!B274</f>
        <v/>
      </c>
      <c r="D275" s="1463">
        <f>'Resource Build-Up'!C274</f>
        <v/>
      </c>
      <c r="E275" s="1463">
        <f>'Resource Build-Up'!H274</f>
        <v/>
      </c>
      <c r="F275" s="1463">
        <f>'Resource Build-Up'!P274</f>
        <v/>
      </c>
      <c r="G275" s="1463">
        <f>'Resource Build-Up'!Q274</f>
        <v/>
      </c>
      <c r="H275" s="1463">
        <f>'Resource Build-Up'!T274</f>
        <v/>
      </c>
      <c r="I275" s="1464">
        <f>'Resource Build-Up'!Y274</f>
        <v/>
      </c>
      <c r="J275" s="1464">
        <f>'Resource Build-Up'!Z274</f>
        <v/>
      </c>
      <c r="K275" s="1463" t="n"/>
      <c r="L275" s="1463" t="n"/>
      <c r="M275" s="1463" t="n"/>
      <c r="N275" s="1463" t="n"/>
      <c r="O275" s="1463" t="n"/>
      <c r="P275" s="1463" t="n"/>
      <c r="Q275" s="1463">
        <f>COUNTIF(L275,"PASS")+COUNTIF(N275,"PASS")+COUNTIF(P275,"PASS")</f>
        <v/>
      </c>
      <c r="R275" s="1463">
        <f>'Resource Build-Up'!AC274</f>
        <v/>
      </c>
      <c r="S275" s="1463">
        <f>'Resource Build-Up'!AF274</f>
        <v/>
      </c>
      <c r="T275" s="1465" t="n"/>
      <c r="U275" s="1463" t="n"/>
      <c r="V275" s="1463">
        <f>'Resource Build-Up'!AG274</f>
        <v/>
      </c>
    </row>
    <row r="276">
      <c r="A276" s="1462" t="inlineStr">
        <is>
          <t>RV-269</t>
        </is>
      </c>
      <c r="B276" s="1462">
        <f>'Resource Build-Up'!A275</f>
        <v/>
      </c>
      <c r="C276" s="1462">
        <f>'Resource Build-Up'!B275</f>
        <v/>
      </c>
      <c r="D276" s="1463">
        <f>'Resource Build-Up'!C275</f>
        <v/>
      </c>
      <c r="E276" s="1463">
        <f>'Resource Build-Up'!H275</f>
        <v/>
      </c>
      <c r="F276" s="1463">
        <f>'Resource Build-Up'!P275</f>
        <v/>
      </c>
      <c r="G276" s="1463">
        <f>'Resource Build-Up'!Q275</f>
        <v/>
      </c>
      <c r="H276" s="1463">
        <f>'Resource Build-Up'!T275</f>
        <v/>
      </c>
      <c r="I276" s="1464">
        <f>'Resource Build-Up'!Y275</f>
        <v/>
      </c>
      <c r="J276" s="1464">
        <f>'Resource Build-Up'!Z275</f>
        <v/>
      </c>
      <c r="K276" s="1463" t="n"/>
      <c r="L276" s="1463" t="n"/>
      <c r="M276" s="1463" t="n"/>
      <c r="N276" s="1463" t="n"/>
      <c r="O276" s="1463" t="n"/>
      <c r="P276" s="1463" t="n"/>
      <c r="Q276" s="1463">
        <f>COUNTIF(L276,"PASS")+COUNTIF(N276,"PASS")+COUNTIF(P276,"PASS")</f>
        <v/>
      </c>
      <c r="R276" s="1463">
        <f>'Resource Build-Up'!AC275</f>
        <v/>
      </c>
      <c r="S276" s="1463">
        <f>'Resource Build-Up'!AF275</f>
        <v/>
      </c>
      <c r="T276" s="1465" t="n"/>
      <c r="U276" s="1463" t="n"/>
      <c r="V276" s="1463">
        <f>'Resource Build-Up'!AG275</f>
        <v/>
      </c>
    </row>
    <row r="277">
      <c r="A277" s="1462" t="inlineStr">
        <is>
          <t>RV-270</t>
        </is>
      </c>
      <c r="B277" s="1462">
        <f>'Resource Build-Up'!A276</f>
        <v/>
      </c>
      <c r="C277" s="1462">
        <f>'Resource Build-Up'!B276</f>
        <v/>
      </c>
      <c r="D277" s="1463">
        <f>'Resource Build-Up'!C276</f>
        <v/>
      </c>
      <c r="E277" s="1463">
        <f>'Resource Build-Up'!H276</f>
        <v/>
      </c>
      <c r="F277" s="1463">
        <f>'Resource Build-Up'!P276</f>
        <v/>
      </c>
      <c r="G277" s="1463">
        <f>'Resource Build-Up'!Q276</f>
        <v/>
      </c>
      <c r="H277" s="1463">
        <f>'Resource Build-Up'!T276</f>
        <v/>
      </c>
      <c r="I277" s="1464">
        <f>'Resource Build-Up'!Y276</f>
        <v/>
      </c>
      <c r="J277" s="1464">
        <f>'Resource Build-Up'!Z276</f>
        <v/>
      </c>
      <c r="K277" s="1463" t="n"/>
      <c r="L277" s="1463" t="n"/>
      <c r="M277" s="1463" t="n"/>
      <c r="N277" s="1463" t="n"/>
      <c r="O277" s="1463" t="n"/>
      <c r="P277" s="1463" t="n"/>
      <c r="Q277" s="1463">
        <f>COUNTIF(L277,"PASS")+COUNTIF(N277,"PASS")+COUNTIF(P277,"PASS")</f>
        <v/>
      </c>
      <c r="R277" s="1463">
        <f>'Resource Build-Up'!AC276</f>
        <v/>
      </c>
      <c r="S277" s="1463">
        <f>'Resource Build-Up'!AF276</f>
        <v/>
      </c>
      <c r="T277" s="1465" t="n"/>
      <c r="U277" s="1463" t="n"/>
      <c r="V277" s="1463">
        <f>'Resource Build-Up'!AG276</f>
        <v/>
      </c>
    </row>
    <row r="278">
      <c r="A278" s="1462" t="inlineStr">
        <is>
          <t>RV-271</t>
        </is>
      </c>
      <c r="B278" s="1462">
        <f>'Resource Build-Up'!A277</f>
        <v/>
      </c>
      <c r="C278" s="1462">
        <f>'Resource Build-Up'!B277</f>
        <v/>
      </c>
      <c r="D278" s="1463">
        <f>'Resource Build-Up'!C277</f>
        <v/>
      </c>
      <c r="E278" s="1463">
        <f>'Resource Build-Up'!H277</f>
        <v/>
      </c>
      <c r="F278" s="1463">
        <f>'Resource Build-Up'!P277</f>
        <v/>
      </c>
      <c r="G278" s="1463">
        <f>'Resource Build-Up'!Q277</f>
        <v/>
      </c>
      <c r="H278" s="1463">
        <f>'Resource Build-Up'!T277</f>
        <v/>
      </c>
      <c r="I278" s="1464">
        <f>'Resource Build-Up'!Y277</f>
        <v/>
      </c>
      <c r="J278" s="1464">
        <f>'Resource Build-Up'!Z277</f>
        <v/>
      </c>
      <c r="K278" s="1463" t="n"/>
      <c r="L278" s="1463" t="n"/>
      <c r="M278" s="1463" t="n"/>
      <c r="N278" s="1463" t="n"/>
      <c r="O278" s="1463" t="n"/>
      <c r="P278" s="1463" t="n"/>
      <c r="Q278" s="1463">
        <f>COUNTIF(L278,"PASS")+COUNTIF(N278,"PASS")+COUNTIF(P278,"PASS")</f>
        <v/>
      </c>
      <c r="R278" s="1463">
        <f>'Resource Build-Up'!AC277</f>
        <v/>
      </c>
      <c r="S278" s="1463">
        <f>'Resource Build-Up'!AF277</f>
        <v/>
      </c>
      <c r="T278" s="1465" t="n"/>
      <c r="U278" s="1463" t="n"/>
      <c r="V278" s="1463">
        <f>'Resource Build-Up'!AG277</f>
        <v/>
      </c>
    </row>
    <row r="279">
      <c r="A279" s="1462" t="inlineStr">
        <is>
          <t>RV-272</t>
        </is>
      </c>
      <c r="B279" s="1462">
        <f>'Resource Build-Up'!A278</f>
        <v/>
      </c>
      <c r="C279" s="1462">
        <f>'Resource Build-Up'!B278</f>
        <v/>
      </c>
      <c r="D279" s="1463">
        <f>'Resource Build-Up'!C278</f>
        <v/>
      </c>
      <c r="E279" s="1463">
        <f>'Resource Build-Up'!H278</f>
        <v/>
      </c>
      <c r="F279" s="1463">
        <f>'Resource Build-Up'!P278</f>
        <v/>
      </c>
      <c r="G279" s="1463">
        <f>'Resource Build-Up'!Q278</f>
        <v/>
      </c>
      <c r="H279" s="1463">
        <f>'Resource Build-Up'!T278</f>
        <v/>
      </c>
      <c r="I279" s="1464">
        <f>'Resource Build-Up'!Y278</f>
        <v/>
      </c>
      <c r="J279" s="1464">
        <f>'Resource Build-Up'!Z278</f>
        <v/>
      </c>
      <c r="K279" s="1463" t="n"/>
      <c r="L279" s="1463" t="n"/>
      <c r="M279" s="1463" t="n"/>
      <c r="N279" s="1463" t="n"/>
      <c r="O279" s="1463" t="n"/>
      <c r="P279" s="1463" t="n"/>
      <c r="Q279" s="1463">
        <f>COUNTIF(L279,"PASS")+COUNTIF(N279,"PASS")+COUNTIF(P279,"PASS")</f>
        <v/>
      </c>
      <c r="R279" s="1463">
        <f>'Resource Build-Up'!AC278</f>
        <v/>
      </c>
      <c r="S279" s="1463">
        <f>'Resource Build-Up'!AF278</f>
        <v/>
      </c>
      <c r="T279" s="1465" t="n"/>
      <c r="U279" s="1463" t="n"/>
      <c r="V279" s="1463">
        <f>'Resource Build-Up'!AG278</f>
        <v/>
      </c>
    </row>
    <row r="280">
      <c r="A280" s="1462" t="inlineStr">
        <is>
          <t>RV-273</t>
        </is>
      </c>
      <c r="B280" s="1462">
        <f>'Resource Build-Up'!A279</f>
        <v/>
      </c>
      <c r="C280" s="1462">
        <f>'Resource Build-Up'!B279</f>
        <v/>
      </c>
      <c r="D280" s="1463">
        <f>'Resource Build-Up'!C279</f>
        <v/>
      </c>
      <c r="E280" s="1463">
        <f>'Resource Build-Up'!H279</f>
        <v/>
      </c>
      <c r="F280" s="1463">
        <f>'Resource Build-Up'!P279</f>
        <v/>
      </c>
      <c r="G280" s="1463">
        <f>'Resource Build-Up'!Q279</f>
        <v/>
      </c>
      <c r="H280" s="1463">
        <f>'Resource Build-Up'!T279</f>
        <v/>
      </c>
      <c r="I280" s="1464">
        <f>'Resource Build-Up'!Y279</f>
        <v/>
      </c>
      <c r="J280" s="1464">
        <f>'Resource Build-Up'!Z279</f>
        <v/>
      </c>
      <c r="K280" s="1463" t="n"/>
      <c r="L280" s="1463" t="n"/>
      <c r="M280" s="1463" t="n"/>
      <c r="N280" s="1463" t="n"/>
      <c r="O280" s="1463" t="n"/>
      <c r="P280" s="1463" t="n"/>
      <c r="Q280" s="1463">
        <f>COUNTIF(L280,"PASS")+COUNTIF(N280,"PASS")+COUNTIF(P280,"PASS")</f>
        <v/>
      </c>
      <c r="R280" s="1463">
        <f>'Resource Build-Up'!AC279</f>
        <v/>
      </c>
      <c r="S280" s="1463">
        <f>'Resource Build-Up'!AF279</f>
        <v/>
      </c>
      <c r="T280" s="1465" t="n"/>
      <c r="U280" s="1463" t="n"/>
      <c r="V280" s="1463">
        <f>'Resource Build-Up'!AG279</f>
        <v/>
      </c>
    </row>
    <row r="281">
      <c r="A281" s="1462" t="inlineStr">
        <is>
          <t>RV-274</t>
        </is>
      </c>
      <c r="B281" s="1462">
        <f>'Resource Build-Up'!A280</f>
        <v/>
      </c>
      <c r="C281" s="1462">
        <f>'Resource Build-Up'!B280</f>
        <v/>
      </c>
      <c r="D281" s="1463">
        <f>'Resource Build-Up'!C280</f>
        <v/>
      </c>
      <c r="E281" s="1463">
        <f>'Resource Build-Up'!H280</f>
        <v/>
      </c>
      <c r="F281" s="1463">
        <f>'Resource Build-Up'!P280</f>
        <v/>
      </c>
      <c r="G281" s="1463">
        <f>'Resource Build-Up'!Q280</f>
        <v/>
      </c>
      <c r="H281" s="1463">
        <f>'Resource Build-Up'!T280</f>
        <v/>
      </c>
      <c r="I281" s="1464">
        <f>'Resource Build-Up'!Y280</f>
        <v/>
      </c>
      <c r="J281" s="1464">
        <f>'Resource Build-Up'!Z280</f>
        <v/>
      </c>
      <c r="K281" s="1463" t="n"/>
      <c r="L281" s="1463" t="n"/>
      <c r="M281" s="1463" t="n"/>
      <c r="N281" s="1463" t="n"/>
      <c r="O281" s="1463" t="n"/>
      <c r="P281" s="1463" t="n"/>
      <c r="Q281" s="1463">
        <f>COUNTIF(L281,"PASS")+COUNTIF(N281,"PASS")+COUNTIF(P281,"PASS")</f>
        <v/>
      </c>
      <c r="R281" s="1463">
        <f>'Resource Build-Up'!AC280</f>
        <v/>
      </c>
      <c r="S281" s="1463">
        <f>'Resource Build-Up'!AF280</f>
        <v/>
      </c>
      <c r="T281" s="1465" t="n"/>
      <c r="U281" s="1463" t="n"/>
      <c r="V281" s="1463">
        <f>'Resource Build-Up'!AG280</f>
        <v/>
      </c>
    </row>
    <row r="282">
      <c r="A282" s="1462" t="inlineStr">
        <is>
          <t>RV-275</t>
        </is>
      </c>
      <c r="B282" s="1462">
        <f>'Resource Build-Up'!A281</f>
        <v/>
      </c>
      <c r="C282" s="1462">
        <f>'Resource Build-Up'!B281</f>
        <v/>
      </c>
      <c r="D282" s="1463">
        <f>'Resource Build-Up'!C281</f>
        <v/>
      </c>
      <c r="E282" s="1463">
        <f>'Resource Build-Up'!H281</f>
        <v/>
      </c>
      <c r="F282" s="1463">
        <f>'Resource Build-Up'!P281</f>
        <v/>
      </c>
      <c r="G282" s="1463">
        <f>'Resource Build-Up'!Q281</f>
        <v/>
      </c>
      <c r="H282" s="1463">
        <f>'Resource Build-Up'!T281</f>
        <v/>
      </c>
      <c r="I282" s="1464">
        <f>'Resource Build-Up'!Y281</f>
        <v/>
      </c>
      <c r="J282" s="1464">
        <f>'Resource Build-Up'!Z281</f>
        <v/>
      </c>
      <c r="K282" s="1463" t="n"/>
      <c r="L282" s="1463" t="n"/>
      <c r="M282" s="1463" t="n"/>
      <c r="N282" s="1463" t="n"/>
      <c r="O282" s="1463" t="n"/>
      <c r="P282" s="1463" t="n"/>
      <c r="Q282" s="1463">
        <f>COUNTIF(L282,"PASS")+COUNTIF(N282,"PASS")+COUNTIF(P282,"PASS")</f>
        <v/>
      </c>
      <c r="R282" s="1463">
        <f>'Resource Build-Up'!AC281</f>
        <v/>
      </c>
      <c r="S282" s="1463">
        <f>'Resource Build-Up'!AF281</f>
        <v/>
      </c>
      <c r="T282" s="1465" t="n"/>
      <c r="U282" s="1463" t="n"/>
      <c r="V282" s="1463">
        <f>'Resource Build-Up'!AG281</f>
        <v/>
      </c>
    </row>
    <row r="283">
      <c r="A283" s="1462" t="inlineStr">
        <is>
          <t>RV-276</t>
        </is>
      </c>
      <c r="B283" s="1462">
        <f>'Resource Build-Up'!A282</f>
        <v/>
      </c>
      <c r="C283" s="1462">
        <f>'Resource Build-Up'!B282</f>
        <v/>
      </c>
      <c r="D283" s="1463">
        <f>'Resource Build-Up'!C282</f>
        <v/>
      </c>
      <c r="E283" s="1463">
        <f>'Resource Build-Up'!H282</f>
        <v/>
      </c>
      <c r="F283" s="1463">
        <f>'Resource Build-Up'!P282</f>
        <v/>
      </c>
      <c r="G283" s="1463">
        <f>'Resource Build-Up'!Q282</f>
        <v/>
      </c>
      <c r="H283" s="1463">
        <f>'Resource Build-Up'!T282</f>
        <v/>
      </c>
      <c r="I283" s="1464">
        <f>'Resource Build-Up'!Y282</f>
        <v/>
      </c>
      <c r="J283" s="1464">
        <f>'Resource Build-Up'!Z282</f>
        <v/>
      </c>
      <c r="K283" s="1463" t="n"/>
      <c r="L283" s="1463" t="n"/>
      <c r="M283" s="1463" t="n"/>
      <c r="N283" s="1463" t="n"/>
      <c r="O283" s="1463" t="n"/>
      <c r="P283" s="1463" t="n"/>
      <c r="Q283" s="1463">
        <f>COUNTIF(L283,"PASS")+COUNTIF(N283,"PASS")+COUNTIF(P283,"PASS")</f>
        <v/>
      </c>
      <c r="R283" s="1463">
        <f>'Resource Build-Up'!AC282</f>
        <v/>
      </c>
      <c r="S283" s="1463">
        <f>'Resource Build-Up'!AF282</f>
        <v/>
      </c>
      <c r="T283" s="1465" t="n"/>
      <c r="U283" s="1463" t="n"/>
      <c r="V283" s="1463">
        <f>'Resource Build-Up'!AG282</f>
        <v/>
      </c>
    </row>
    <row r="284">
      <c r="A284" s="1462" t="inlineStr">
        <is>
          <t>RV-277</t>
        </is>
      </c>
      <c r="B284" s="1462">
        <f>'Resource Build-Up'!A283</f>
        <v/>
      </c>
      <c r="C284" s="1462">
        <f>'Resource Build-Up'!B283</f>
        <v/>
      </c>
      <c r="D284" s="1463">
        <f>'Resource Build-Up'!C283</f>
        <v/>
      </c>
      <c r="E284" s="1463">
        <f>'Resource Build-Up'!H283</f>
        <v/>
      </c>
      <c r="F284" s="1463">
        <f>'Resource Build-Up'!P283</f>
        <v/>
      </c>
      <c r="G284" s="1463">
        <f>'Resource Build-Up'!Q283</f>
        <v/>
      </c>
      <c r="H284" s="1463">
        <f>'Resource Build-Up'!T283</f>
        <v/>
      </c>
      <c r="I284" s="1464">
        <f>'Resource Build-Up'!Y283</f>
        <v/>
      </c>
      <c r="J284" s="1464">
        <f>'Resource Build-Up'!Z283</f>
        <v/>
      </c>
      <c r="K284" s="1463" t="n"/>
      <c r="L284" s="1463" t="n"/>
      <c r="M284" s="1463" t="n"/>
      <c r="N284" s="1463" t="n"/>
      <c r="O284" s="1463" t="n"/>
      <c r="P284" s="1463" t="n"/>
      <c r="Q284" s="1463">
        <f>COUNTIF(L284,"PASS")+COUNTIF(N284,"PASS")+COUNTIF(P284,"PASS")</f>
        <v/>
      </c>
      <c r="R284" s="1463">
        <f>'Resource Build-Up'!AC283</f>
        <v/>
      </c>
      <c r="S284" s="1463">
        <f>'Resource Build-Up'!AF283</f>
        <v/>
      </c>
      <c r="T284" s="1465" t="n"/>
      <c r="U284" s="1463" t="n"/>
      <c r="V284" s="1463">
        <f>'Resource Build-Up'!AG283</f>
        <v/>
      </c>
    </row>
    <row r="285">
      <c r="A285" s="1462" t="inlineStr">
        <is>
          <t>RV-278</t>
        </is>
      </c>
      <c r="B285" s="1462">
        <f>'Resource Build-Up'!A284</f>
        <v/>
      </c>
      <c r="C285" s="1462">
        <f>'Resource Build-Up'!B284</f>
        <v/>
      </c>
      <c r="D285" s="1463">
        <f>'Resource Build-Up'!C284</f>
        <v/>
      </c>
      <c r="E285" s="1463">
        <f>'Resource Build-Up'!H284</f>
        <v/>
      </c>
      <c r="F285" s="1463">
        <f>'Resource Build-Up'!P284</f>
        <v/>
      </c>
      <c r="G285" s="1463">
        <f>'Resource Build-Up'!Q284</f>
        <v/>
      </c>
      <c r="H285" s="1463">
        <f>'Resource Build-Up'!T284</f>
        <v/>
      </c>
      <c r="I285" s="1464">
        <f>'Resource Build-Up'!Y284</f>
        <v/>
      </c>
      <c r="J285" s="1464">
        <f>'Resource Build-Up'!Z284</f>
        <v/>
      </c>
      <c r="K285" s="1463" t="n"/>
      <c r="L285" s="1463" t="n"/>
      <c r="M285" s="1463" t="n"/>
      <c r="N285" s="1463" t="n"/>
      <c r="O285" s="1463" t="n"/>
      <c r="P285" s="1463" t="n"/>
      <c r="Q285" s="1463">
        <f>COUNTIF(L285,"PASS")+COUNTIF(N285,"PASS")+COUNTIF(P285,"PASS")</f>
        <v/>
      </c>
      <c r="R285" s="1463">
        <f>'Resource Build-Up'!AC284</f>
        <v/>
      </c>
      <c r="S285" s="1463">
        <f>'Resource Build-Up'!AF284</f>
        <v/>
      </c>
      <c r="T285" s="1465" t="n"/>
      <c r="U285" s="1463" t="n"/>
      <c r="V285" s="1463">
        <f>'Resource Build-Up'!AG284</f>
        <v/>
      </c>
    </row>
    <row r="286">
      <c r="A286" s="1462" t="inlineStr">
        <is>
          <t>RV-279</t>
        </is>
      </c>
      <c r="B286" s="1462">
        <f>'Resource Build-Up'!A285</f>
        <v/>
      </c>
      <c r="C286" s="1462">
        <f>'Resource Build-Up'!B285</f>
        <v/>
      </c>
      <c r="D286" s="1463">
        <f>'Resource Build-Up'!C285</f>
        <v/>
      </c>
      <c r="E286" s="1463">
        <f>'Resource Build-Up'!H285</f>
        <v/>
      </c>
      <c r="F286" s="1463">
        <f>'Resource Build-Up'!P285</f>
        <v/>
      </c>
      <c r="G286" s="1463">
        <f>'Resource Build-Up'!Q285</f>
        <v/>
      </c>
      <c r="H286" s="1463">
        <f>'Resource Build-Up'!T285</f>
        <v/>
      </c>
      <c r="I286" s="1464">
        <f>'Resource Build-Up'!Y285</f>
        <v/>
      </c>
      <c r="J286" s="1464">
        <f>'Resource Build-Up'!Z285</f>
        <v/>
      </c>
      <c r="K286" s="1463" t="n"/>
      <c r="L286" s="1463" t="n"/>
      <c r="M286" s="1463" t="n"/>
      <c r="N286" s="1463" t="n"/>
      <c r="O286" s="1463" t="n"/>
      <c r="P286" s="1463" t="n"/>
      <c r="Q286" s="1463">
        <f>COUNTIF(L286,"PASS")+COUNTIF(N286,"PASS")+COUNTIF(P286,"PASS")</f>
        <v/>
      </c>
      <c r="R286" s="1463">
        <f>'Resource Build-Up'!AC285</f>
        <v/>
      </c>
      <c r="S286" s="1463">
        <f>'Resource Build-Up'!AF285</f>
        <v/>
      </c>
      <c r="T286" s="1465" t="n"/>
      <c r="U286" s="1463" t="n"/>
      <c r="V286" s="1463">
        <f>'Resource Build-Up'!AG285</f>
        <v/>
      </c>
    </row>
    <row r="287">
      <c r="A287" s="1462" t="inlineStr">
        <is>
          <t>RV-280</t>
        </is>
      </c>
      <c r="B287" s="1462">
        <f>'Resource Build-Up'!A286</f>
        <v/>
      </c>
      <c r="C287" s="1462">
        <f>'Resource Build-Up'!B286</f>
        <v/>
      </c>
      <c r="D287" s="1463">
        <f>'Resource Build-Up'!C286</f>
        <v/>
      </c>
      <c r="E287" s="1463">
        <f>'Resource Build-Up'!H286</f>
        <v/>
      </c>
      <c r="F287" s="1463">
        <f>'Resource Build-Up'!P286</f>
        <v/>
      </c>
      <c r="G287" s="1463">
        <f>'Resource Build-Up'!Q286</f>
        <v/>
      </c>
      <c r="H287" s="1463">
        <f>'Resource Build-Up'!T286</f>
        <v/>
      </c>
      <c r="I287" s="1464">
        <f>'Resource Build-Up'!Y286</f>
        <v/>
      </c>
      <c r="J287" s="1464">
        <f>'Resource Build-Up'!Z286</f>
        <v/>
      </c>
      <c r="K287" s="1463" t="n"/>
      <c r="L287" s="1463" t="n"/>
      <c r="M287" s="1463" t="n"/>
      <c r="N287" s="1463" t="n"/>
      <c r="O287" s="1463" t="n"/>
      <c r="P287" s="1463" t="n"/>
      <c r="Q287" s="1463">
        <f>COUNTIF(L287,"PASS")+COUNTIF(N287,"PASS")+COUNTIF(P287,"PASS")</f>
        <v/>
      </c>
      <c r="R287" s="1463">
        <f>'Resource Build-Up'!AC286</f>
        <v/>
      </c>
      <c r="S287" s="1463">
        <f>'Resource Build-Up'!AF286</f>
        <v/>
      </c>
      <c r="T287" s="1465" t="n"/>
      <c r="U287" s="1463" t="n"/>
      <c r="V287" s="1463">
        <f>'Resource Build-Up'!AG286</f>
        <v/>
      </c>
    </row>
    <row r="288">
      <c r="A288" s="1462" t="inlineStr">
        <is>
          <t>RV-281</t>
        </is>
      </c>
      <c r="B288" s="1462">
        <f>'Resource Build-Up'!A287</f>
        <v/>
      </c>
      <c r="C288" s="1462">
        <f>'Resource Build-Up'!B287</f>
        <v/>
      </c>
      <c r="D288" s="1463">
        <f>'Resource Build-Up'!C287</f>
        <v/>
      </c>
      <c r="E288" s="1463">
        <f>'Resource Build-Up'!H287</f>
        <v/>
      </c>
      <c r="F288" s="1463">
        <f>'Resource Build-Up'!P287</f>
        <v/>
      </c>
      <c r="G288" s="1463">
        <f>'Resource Build-Up'!Q287</f>
        <v/>
      </c>
      <c r="H288" s="1463">
        <f>'Resource Build-Up'!T287</f>
        <v/>
      </c>
      <c r="I288" s="1464">
        <f>'Resource Build-Up'!Y287</f>
        <v/>
      </c>
      <c r="J288" s="1464">
        <f>'Resource Build-Up'!Z287</f>
        <v/>
      </c>
      <c r="K288" s="1463" t="n"/>
      <c r="L288" s="1463" t="n"/>
      <c r="M288" s="1463" t="n"/>
      <c r="N288" s="1463" t="n"/>
      <c r="O288" s="1463" t="n"/>
      <c r="P288" s="1463" t="n"/>
      <c r="Q288" s="1463">
        <f>COUNTIF(L288,"PASS")+COUNTIF(N288,"PASS")+COUNTIF(P288,"PASS")</f>
        <v/>
      </c>
      <c r="R288" s="1463">
        <f>'Resource Build-Up'!AC287</f>
        <v/>
      </c>
      <c r="S288" s="1463">
        <f>'Resource Build-Up'!AF287</f>
        <v/>
      </c>
      <c r="T288" s="1465" t="n"/>
      <c r="U288" s="1463" t="n"/>
      <c r="V288" s="1463">
        <f>'Resource Build-Up'!AG287</f>
        <v/>
      </c>
    </row>
    <row r="289">
      <c r="A289" s="1462" t="inlineStr">
        <is>
          <t>RV-282</t>
        </is>
      </c>
      <c r="B289" s="1462">
        <f>'Resource Build-Up'!A288</f>
        <v/>
      </c>
      <c r="C289" s="1462">
        <f>'Resource Build-Up'!B288</f>
        <v/>
      </c>
      <c r="D289" s="1463">
        <f>'Resource Build-Up'!C288</f>
        <v/>
      </c>
      <c r="E289" s="1463">
        <f>'Resource Build-Up'!H288</f>
        <v/>
      </c>
      <c r="F289" s="1463">
        <f>'Resource Build-Up'!P288</f>
        <v/>
      </c>
      <c r="G289" s="1463">
        <f>'Resource Build-Up'!Q288</f>
        <v/>
      </c>
      <c r="H289" s="1463">
        <f>'Resource Build-Up'!T288</f>
        <v/>
      </c>
      <c r="I289" s="1464">
        <f>'Resource Build-Up'!Y288</f>
        <v/>
      </c>
      <c r="J289" s="1464">
        <f>'Resource Build-Up'!Z288</f>
        <v/>
      </c>
      <c r="K289" s="1463" t="n"/>
      <c r="L289" s="1463" t="n"/>
      <c r="M289" s="1463" t="n"/>
      <c r="N289" s="1463" t="n"/>
      <c r="O289" s="1463" t="n"/>
      <c r="P289" s="1463" t="n"/>
      <c r="Q289" s="1463">
        <f>COUNTIF(L289,"PASS")+COUNTIF(N289,"PASS")+COUNTIF(P289,"PASS")</f>
        <v/>
      </c>
      <c r="R289" s="1463">
        <f>'Resource Build-Up'!AC288</f>
        <v/>
      </c>
      <c r="S289" s="1463">
        <f>'Resource Build-Up'!AF288</f>
        <v/>
      </c>
      <c r="T289" s="1465" t="n"/>
      <c r="U289" s="1463" t="n"/>
      <c r="V289" s="1463">
        <f>'Resource Build-Up'!AG288</f>
        <v/>
      </c>
    </row>
    <row r="290">
      <c r="A290" s="1462" t="inlineStr">
        <is>
          <t>RV-283</t>
        </is>
      </c>
      <c r="B290" s="1462">
        <f>'Resource Build-Up'!A289</f>
        <v/>
      </c>
      <c r="C290" s="1462">
        <f>'Resource Build-Up'!B289</f>
        <v/>
      </c>
      <c r="D290" s="1463">
        <f>'Resource Build-Up'!C289</f>
        <v/>
      </c>
      <c r="E290" s="1463">
        <f>'Resource Build-Up'!H289</f>
        <v/>
      </c>
      <c r="F290" s="1463">
        <f>'Resource Build-Up'!P289</f>
        <v/>
      </c>
      <c r="G290" s="1463">
        <f>'Resource Build-Up'!Q289</f>
        <v/>
      </c>
      <c r="H290" s="1463">
        <f>'Resource Build-Up'!T289</f>
        <v/>
      </c>
      <c r="I290" s="1464">
        <f>'Resource Build-Up'!Y289</f>
        <v/>
      </c>
      <c r="J290" s="1464">
        <f>'Resource Build-Up'!Z289</f>
        <v/>
      </c>
      <c r="K290" s="1463" t="n"/>
      <c r="L290" s="1463" t="n"/>
      <c r="M290" s="1463" t="n"/>
      <c r="N290" s="1463" t="n"/>
      <c r="O290" s="1463" t="n"/>
      <c r="P290" s="1463" t="n"/>
      <c r="Q290" s="1463">
        <f>COUNTIF(L290,"PASS")+COUNTIF(N290,"PASS")+COUNTIF(P290,"PASS")</f>
        <v/>
      </c>
      <c r="R290" s="1463">
        <f>'Resource Build-Up'!AC289</f>
        <v/>
      </c>
      <c r="S290" s="1463">
        <f>'Resource Build-Up'!AF289</f>
        <v/>
      </c>
      <c r="T290" s="1465" t="n"/>
      <c r="U290" s="1463" t="n"/>
      <c r="V290" s="1463">
        <f>'Resource Build-Up'!AG289</f>
        <v/>
      </c>
    </row>
    <row r="291">
      <c r="A291" s="1462" t="inlineStr">
        <is>
          <t>RV-284</t>
        </is>
      </c>
      <c r="B291" s="1462">
        <f>'Resource Build-Up'!A290</f>
        <v/>
      </c>
      <c r="C291" s="1462">
        <f>'Resource Build-Up'!B290</f>
        <v/>
      </c>
      <c r="D291" s="1463">
        <f>'Resource Build-Up'!C290</f>
        <v/>
      </c>
      <c r="E291" s="1463">
        <f>'Resource Build-Up'!H290</f>
        <v/>
      </c>
      <c r="F291" s="1463">
        <f>'Resource Build-Up'!P290</f>
        <v/>
      </c>
      <c r="G291" s="1463">
        <f>'Resource Build-Up'!Q290</f>
        <v/>
      </c>
      <c r="H291" s="1463">
        <f>'Resource Build-Up'!T290</f>
        <v/>
      </c>
      <c r="I291" s="1464">
        <f>'Resource Build-Up'!Y290</f>
        <v/>
      </c>
      <c r="J291" s="1464">
        <f>'Resource Build-Up'!Z290</f>
        <v/>
      </c>
      <c r="K291" s="1463" t="n"/>
      <c r="L291" s="1463" t="n"/>
      <c r="M291" s="1463" t="n"/>
      <c r="N291" s="1463" t="n"/>
      <c r="O291" s="1463" t="n"/>
      <c r="P291" s="1463" t="n"/>
      <c r="Q291" s="1463">
        <f>COUNTIF(L291,"PASS")+COUNTIF(N291,"PASS")+COUNTIF(P291,"PASS")</f>
        <v/>
      </c>
      <c r="R291" s="1463">
        <f>'Resource Build-Up'!AC290</f>
        <v/>
      </c>
      <c r="S291" s="1463">
        <f>'Resource Build-Up'!AF290</f>
        <v/>
      </c>
      <c r="T291" s="1465" t="n"/>
      <c r="U291" s="1463" t="n"/>
      <c r="V291" s="1463">
        <f>'Resource Build-Up'!AG290</f>
        <v/>
      </c>
    </row>
    <row r="292">
      <c r="A292" s="1462" t="inlineStr">
        <is>
          <t>RV-285</t>
        </is>
      </c>
      <c r="B292" s="1462">
        <f>'Resource Build-Up'!A291</f>
        <v/>
      </c>
      <c r="C292" s="1462">
        <f>'Resource Build-Up'!B291</f>
        <v/>
      </c>
      <c r="D292" s="1463">
        <f>'Resource Build-Up'!C291</f>
        <v/>
      </c>
      <c r="E292" s="1463">
        <f>'Resource Build-Up'!H291</f>
        <v/>
      </c>
      <c r="F292" s="1463">
        <f>'Resource Build-Up'!P291</f>
        <v/>
      </c>
      <c r="G292" s="1463">
        <f>'Resource Build-Up'!Q291</f>
        <v/>
      </c>
      <c r="H292" s="1463">
        <f>'Resource Build-Up'!T291</f>
        <v/>
      </c>
      <c r="I292" s="1464">
        <f>'Resource Build-Up'!Y291</f>
        <v/>
      </c>
      <c r="J292" s="1464">
        <f>'Resource Build-Up'!Z291</f>
        <v/>
      </c>
      <c r="K292" s="1463" t="n"/>
      <c r="L292" s="1463" t="n"/>
      <c r="M292" s="1463" t="n"/>
      <c r="N292" s="1463" t="n"/>
      <c r="O292" s="1463" t="n"/>
      <c r="P292" s="1463" t="n"/>
      <c r="Q292" s="1463">
        <f>COUNTIF(L292,"PASS")+COUNTIF(N292,"PASS")+COUNTIF(P292,"PASS")</f>
        <v/>
      </c>
      <c r="R292" s="1463">
        <f>'Resource Build-Up'!AC291</f>
        <v/>
      </c>
      <c r="S292" s="1463">
        <f>'Resource Build-Up'!AF291</f>
        <v/>
      </c>
      <c r="T292" s="1465" t="n"/>
      <c r="U292" s="1463" t="n"/>
      <c r="V292" s="1463">
        <f>'Resource Build-Up'!AG291</f>
        <v/>
      </c>
    </row>
    <row r="293">
      <c r="A293" s="1462" t="inlineStr">
        <is>
          <t>RV-286</t>
        </is>
      </c>
      <c r="B293" s="1462">
        <f>'Resource Build-Up'!A292</f>
        <v/>
      </c>
      <c r="C293" s="1462">
        <f>'Resource Build-Up'!B292</f>
        <v/>
      </c>
      <c r="D293" s="1463">
        <f>'Resource Build-Up'!C292</f>
        <v/>
      </c>
      <c r="E293" s="1463">
        <f>'Resource Build-Up'!H292</f>
        <v/>
      </c>
      <c r="F293" s="1463">
        <f>'Resource Build-Up'!P292</f>
        <v/>
      </c>
      <c r="G293" s="1463">
        <f>'Resource Build-Up'!Q292</f>
        <v/>
      </c>
      <c r="H293" s="1463">
        <f>'Resource Build-Up'!T292</f>
        <v/>
      </c>
      <c r="I293" s="1464">
        <f>'Resource Build-Up'!Y292</f>
        <v/>
      </c>
      <c r="J293" s="1464">
        <f>'Resource Build-Up'!Z292</f>
        <v/>
      </c>
      <c r="K293" s="1463" t="n"/>
      <c r="L293" s="1463" t="n"/>
      <c r="M293" s="1463" t="n"/>
      <c r="N293" s="1463" t="n"/>
      <c r="O293" s="1463" t="n"/>
      <c r="P293" s="1463" t="n"/>
      <c r="Q293" s="1463">
        <f>COUNTIF(L293,"PASS")+COUNTIF(N293,"PASS")+COUNTIF(P293,"PASS")</f>
        <v/>
      </c>
      <c r="R293" s="1463">
        <f>'Resource Build-Up'!AC292</f>
        <v/>
      </c>
      <c r="S293" s="1463">
        <f>'Resource Build-Up'!AF292</f>
        <v/>
      </c>
      <c r="T293" s="1465" t="n"/>
      <c r="U293" s="1463" t="n"/>
      <c r="V293" s="1463">
        <f>'Resource Build-Up'!AG292</f>
        <v/>
      </c>
    </row>
    <row r="294">
      <c r="A294" s="1462" t="inlineStr">
        <is>
          <t>RV-287</t>
        </is>
      </c>
      <c r="B294" s="1462">
        <f>'Resource Build-Up'!A293</f>
        <v/>
      </c>
      <c r="C294" s="1462">
        <f>'Resource Build-Up'!B293</f>
        <v/>
      </c>
      <c r="D294" s="1463">
        <f>'Resource Build-Up'!C293</f>
        <v/>
      </c>
      <c r="E294" s="1463">
        <f>'Resource Build-Up'!H293</f>
        <v/>
      </c>
      <c r="F294" s="1463">
        <f>'Resource Build-Up'!P293</f>
        <v/>
      </c>
      <c r="G294" s="1463">
        <f>'Resource Build-Up'!Q293</f>
        <v/>
      </c>
      <c r="H294" s="1463">
        <f>'Resource Build-Up'!T293</f>
        <v/>
      </c>
      <c r="I294" s="1464">
        <f>'Resource Build-Up'!Y293</f>
        <v/>
      </c>
      <c r="J294" s="1464">
        <f>'Resource Build-Up'!Z293</f>
        <v/>
      </c>
      <c r="K294" s="1463" t="n"/>
      <c r="L294" s="1463" t="n"/>
      <c r="M294" s="1463" t="n"/>
      <c r="N294" s="1463" t="n"/>
      <c r="O294" s="1463" t="n"/>
      <c r="P294" s="1463" t="n"/>
      <c r="Q294" s="1463">
        <f>COUNTIF(L294,"PASS")+COUNTIF(N294,"PASS")+COUNTIF(P294,"PASS")</f>
        <v/>
      </c>
      <c r="R294" s="1463">
        <f>'Resource Build-Up'!AC293</f>
        <v/>
      </c>
      <c r="S294" s="1463">
        <f>'Resource Build-Up'!AF293</f>
        <v/>
      </c>
      <c r="T294" s="1465" t="n"/>
      <c r="U294" s="1463" t="n"/>
      <c r="V294" s="1463">
        <f>'Resource Build-Up'!AG293</f>
        <v/>
      </c>
    </row>
    <row r="295">
      <c r="A295" s="1462" t="inlineStr">
        <is>
          <t>RV-288</t>
        </is>
      </c>
      <c r="B295" s="1462">
        <f>'Resource Build-Up'!A294</f>
        <v/>
      </c>
      <c r="C295" s="1462">
        <f>'Resource Build-Up'!B294</f>
        <v/>
      </c>
      <c r="D295" s="1463">
        <f>'Resource Build-Up'!C294</f>
        <v/>
      </c>
      <c r="E295" s="1463">
        <f>'Resource Build-Up'!H294</f>
        <v/>
      </c>
      <c r="F295" s="1463">
        <f>'Resource Build-Up'!P294</f>
        <v/>
      </c>
      <c r="G295" s="1463">
        <f>'Resource Build-Up'!Q294</f>
        <v/>
      </c>
      <c r="H295" s="1463">
        <f>'Resource Build-Up'!T294</f>
        <v/>
      </c>
      <c r="I295" s="1464">
        <f>'Resource Build-Up'!Y294</f>
        <v/>
      </c>
      <c r="J295" s="1464">
        <f>'Resource Build-Up'!Z294</f>
        <v/>
      </c>
      <c r="K295" s="1463" t="n"/>
      <c r="L295" s="1463" t="n"/>
      <c r="M295" s="1463" t="n"/>
      <c r="N295" s="1463" t="n"/>
      <c r="O295" s="1463" t="n"/>
      <c r="P295" s="1463" t="n"/>
      <c r="Q295" s="1463">
        <f>COUNTIF(L295,"PASS")+COUNTIF(N295,"PASS")+COUNTIF(P295,"PASS")</f>
        <v/>
      </c>
      <c r="R295" s="1463">
        <f>'Resource Build-Up'!AC294</f>
        <v/>
      </c>
      <c r="S295" s="1463">
        <f>'Resource Build-Up'!AF294</f>
        <v/>
      </c>
      <c r="T295" s="1465" t="n"/>
      <c r="U295" s="1463" t="n"/>
      <c r="V295" s="1463">
        <f>'Resource Build-Up'!AG294</f>
        <v/>
      </c>
    </row>
    <row r="296">
      <c r="A296" s="1462" t="inlineStr">
        <is>
          <t>RV-289</t>
        </is>
      </c>
      <c r="B296" s="1462">
        <f>'Resource Build-Up'!A295</f>
        <v/>
      </c>
      <c r="C296" s="1462">
        <f>'Resource Build-Up'!B295</f>
        <v/>
      </c>
      <c r="D296" s="1463">
        <f>'Resource Build-Up'!C295</f>
        <v/>
      </c>
      <c r="E296" s="1463">
        <f>'Resource Build-Up'!H295</f>
        <v/>
      </c>
      <c r="F296" s="1463">
        <f>'Resource Build-Up'!P295</f>
        <v/>
      </c>
      <c r="G296" s="1463">
        <f>'Resource Build-Up'!Q295</f>
        <v/>
      </c>
      <c r="H296" s="1463">
        <f>'Resource Build-Up'!T295</f>
        <v/>
      </c>
      <c r="I296" s="1464">
        <f>'Resource Build-Up'!Y295</f>
        <v/>
      </c>
      <c r="J296" s="1464">
        <f>'Resource Build-Up'!Z295</f>
        <v/>
      </c>
      <c r="K296" s="1463" t="n"/>
      <c r="L296" s="1463" t="n"/>
      <c r="M296" s="1463" t="n"/>
      <c r="N296" s="1463" t="n"/>
      <c r="O296" s="1463" t="n"/>
      <c r="P296" s="1463" t="n"/>
      <c r="Q296" s="1463">
        <f>COUNTIF(L296,"PASS")+COUNTIF(N296,"PASS")+COUNTIF(P296,"PASS")</f>
        <v/>
      </c>
      <c r="R296" s="1463">
        <f>'Resource Build-Up'!AC295</f>
        <v/>
      </c>
      <c r="S296" s="1463">
        <f>'Resource Build-Up'!AF295</f>
        <v/>
      </c>
      <c r="T296" s="1465" t="n"/>
      <c r="U296" s="1463" t="n"/>
      <c r="V296" s="1463">
        <f>'Resource Build-Up'!AG295</f>
        <v/>
      </c>
    </row>
    <row r="297">
      <c r="A297" s="1462" t="inlineStr">
        <is>
          <t>RV-290</t>
        </is>
      </c>
      <c r="B297" s="1462">
        <f>'Resource Build-Up'!A296</f>
        <v/>
      </c>
      <c r="C297" s="1462">
        <f>'Resource Build-Up'!B296</f>
        <v/>
      </c>
      <c r="D297" s="1463">
        <f>'Resource Build-Up'!C296</f>
        <v/>
      </c>
      <c r="E297" s="1463">
        <f>'Resource Build-Up'!H296</f>
        <v/>
      </c>
      <c r="F297" s="1463">
        <f>'Resource Build-Up'!P296</f>
        <v/>
      </c>
      <c r="G297" s="1463">
        <f>'Resource Build-Up'!Q296</f>
        <v/>
      </c>
      <c r="H297" s="1463">
        <f>'Resource Build-Up'!T296</f>
        <v/>
      </c>
      <c r="I297" s="1464">
        <f>'Resource Build-Up'!Y296</f>
        <v/>
      </c>
      <c r="J297" s="1464">
        <f>'Resource Build-Up'!Z296</f>
        <v/>
      </c>
      <c r="K297" s="1463" t="n"/>
      <c r="L297" s="1463" t="n"/>
      <c r="M297" s="1463" t="n"/>
      <c r="N297" s="1463" t="n"/>
      <c r="O297" s="1463" t="n"/>
      <c r="P297" s="1463" t="n"/>
      <c r="Q297" s="1463">
        <f>COUNTIF(L297,"PASS")+COUNTIF(N297,"PASS")+COUNTIF(P297,"PASS")</f>
        <v/>
      </c>
      <c r="R297" s="1463">
        <f>'Resource Build-Up'!AC296</f>
        <v/>
      </c>
      <c r="S297" s="1463">
        <f>'Resource Build-Up'!AF296</f>
        <v/>
      </c>
      <c r="T297" s="1465" t="n"/>
      <c r="U297" s="1463" t="n"/>
      <c r="V297" s="1463">
        <f>'Resource Build-Up'!AG296</f>
        <v/>
      </c>
    </row>
    <row r="298">
      <c r="A298" s="1462" t="inlineStr">
        <is>
          <t>RV-291</t>
        </is>
      </c>
      <c r="B298" s="1462">
        <f>'Resource Build-Up'!A297</f>
        <v/>
      </c>
      <c r="C298" s="1462">
        <f>'Resource Build-Up'!B297</f>
        <v/>
      </c>
      <c r="D298" s="1463">
        <f>'Resource Build-Up'!C297</f>
        <v/>
      </c>
      <c r="E298" s="1463">
        <f>'Resource Build-Up'!H297</f>
        <v/>
      </c>
      <c r="F298" s="1463">
        <f>'Resource Build-Up'!P297</f>
        <v/>
      </c>
      <c r="G298" s="1463">
        <f>'Resource Build-Up'!Q297</f>
        <v/>
      </c>
      <c r="H298" s="1463">
        <f>'Resource Build-Up'!T297</f>
        <v/>
      </c>
      <c r="I298" s="1464">
        <f>'Resource Build-Up'!Y297</f>
        <v/>
      </c>
      <c r="J298" s="1464">
        <f>'Resource Build-Up'!Z297</f>
        <v/>
      </c>
      <c r="K298" s="1463" t="n"/>
      <c r="L298" s="1463" t="n"/>
      <c r="M298" s="1463" t="n"/>
      <c r="N298" s="1463" t="n"/>
      <c r="O298" s="1463" t="n"/>
      <c r="P298" s="1463" t="n"/>
      <c r="Q298" s="1463">
        <f>COUNTIF(L298,"PASS")+COUNTIF(N298,"PASS")+COUNTIF(P298,"PASS")</f>
        <v/>
      </c>
      <c r="R298" s="1463">
        <f>'Resource Build-Up'!AC297</f>
        <v/>
      </c>
      <c r="S298" s="1463">
        <f>'Resource Build-Up'!AF297</f>
        <v/>
      </c>
      <c r="T298" s="1465" t="n"/>
      <c r="U298" s="1463" t="n"/>
      <c r="V298" s="1463">
        <f>'Resource Build-Up'!AG297</f>
        <v/>
      </c>
    </row>
    <row r="299">
      <c r="A299" s="1462" t="inlineStr">
        <is>
          <t>RV-292</t>
        </is>
      </c>
      <c r="B299" s="1462">
        <f>'Resource Build-Up'!A298</f>
        <v/>
      </c>
      <c r="C299" s="1462">
        <f>'Resource Build-Up'!B298</f>
        <v/>
      </c>
      <c r="D299" s="1463">
        <f>'Resource Build-Up'!C298</f>
        <v/>
      </c>
      <c r="E299" s="1463">
        <f>'Resource Build-Up'!H298</f>
        <v/>
      </c>
      <c r="F299" s="1463">
        <f>'Resource Build-Up'!P298</f>
        <v/>
      </c>
      <c r="G299" s="1463">
        <f>'Resource Build-Up'!Q298</f>
        <v/>
      </c>
      <c r="H299" s="1463">
        <f>'Resource Build-Up'!T298</f>
        <v/>
      </c>
      <c r="I299" s="1464">
        <f>'Resource Build-Up'!Y298</f>
        <v/>
      </c>
      <c r="J299" s="1464">
        <f>'Resource Build-Up'!Z298</f>
        <v/>
      </c>
      <c r="K299" s="1463" t="n"/>
      <c r="L299" s="1463" t="n"/>
      <c r="M299" s="1463" t="n"/>
      <c r="N299" s="1463" t="n"/>
      <c r="O299" s="1463" t="n"/>
      <c r="P299" s="1463" t="n"/>
      <c r="Q299" s="1463">
        <f>COUNTIF(L299,"PASS")+COUNTIF(N299,"PASS")+COUNTIF(P299,"PASS")</f>
        <v/>
      </c>
      <c r="R299" s="1463">
        <f>'Resource Build-Up'!AC298</f>
        <v/>
      </c>
      <c r="S299" s="1463">
        <f>'Resource Build-Up'!AF298</f>
        <v/>
      </c>
      <c r="T299" s="1465" t="n"/>
      <c r="U299" s="1463" t="n"/>
      <c r="V299" s="1463">
        <f>'Resource Build-Up'!AG298</f>
        <v/>
      </c>
    </row>
    <row r="300">
      <c r="A300" s="1462" t="inlineStr">
        <is>
          <t>RV-293</t>
        </is>
      </c>
      <c r="B300" s="1462">
        <f>'Resource Build-Up'!A299</f>
        <v/>
      </c>
      <c r="C300" s="1462">
        <f>'Resource Build-Up'!B299</f>
        <v/>
      </c>
      <c r="D300" s="1463">
        <f>'Resource Build-Up'!C299</f>
        <v/>
      </c>
      <c r="E300" s="1463">
        <f>'Resource Build-Up'!H299</f>
        <v/>
      </c>
      <c r="F300" s="1463">
        <f>'Resource Build-Up'!P299</f>
        <v/>
      </c>
      <c r="G300" s="1463">
        <f>'Resource Build-Up'!Q299</f>
        <v/>
      </c>
      <c r="H300" s="1463">
        <f>'Resource Build-Up'!T299</f>
        <v/>
      </c>
      <c r="I300" s="1464">
        <f>'Resource Build-Up'!Y299</f>
        <v/>
      </c>
      <c r="J300" s="1464">
        <f>'Resource Build-Up'!Z299</f>
        <v/>
      </c>
      <c r="K300" s="1463" t="n"/>
      <c r="L300" s="1463" t="n"/>
      <c r="M300" s="1463" t="n"/>
      <c r="N300" s="1463" t="n"/>
      <c r="O300" s="1463" t="n"/>
      <c r="P300" s="1463" t="n"/>
      <c r="Q300" s="1463">
        <f>COUNTIF(L300,"PASS")+COUNTIF(N300,"PASS")+COUNTIF(P300,"PASS")</f>
        <v/>
      </c>
      <c r="R300" s="1463">
        <f>'Resource Build-Up'!AC299</f>
        <v/>
      </c>
      <c r="S300" s="1463">
        <f>'Resource Build-Up'!AF299</f>
        <v/>
      </c>
      <c r="T300" s="1465" t="n"/>
      <c r="U300" s="1463" t="n"/>
      <c r="V300" s="1463">
        <f>'Resource Build-Up'!AG299</f>
        <v/>
      </c>
    </row>
    <row r="301">
      <c r="A301" s="1462" t="inlineStr">
        <is>
          <t>RV-294</t>
        </is>
      </c>
      <c r="B301" s="1462">
        <f>'Resource Build-Up'!A300</f>
        <v/>
      </c>
      <c r="C301" s="1462">
        <f>'Resource Build-Up'!B300</f>
        <v/>
      </c>
      <c r="D301" s="1463">
        <f>'Resource Build-Up'!C300</f>
        <v/>
      </c>
      <c r="E301" s="1463">
        <f>'Resource Build-Up'!H300</f>
        <v/>
      </c>
      <c r="F301" s="1463">
        <f>'Resource Build-Up'!P300</f>
        <v/>
      </c>
      <c r="G301" s="1463">
        <f>'Resource Build-Up'!Q300</f>
        <v/>
      </c>
      <c r="H301" s="1463">
        <f>'Resource Build-Up'!T300</f>
        <v/>
      </c>
      <c r="I301" s="1464">
        <f>'Resource Build-Up'!Y300</f>
        <v/>
      </c>
      <c r="J301" s="1464">
        <f>'Resource Build-Up'!Z300</f>
        <v/>
      </c>
      <c r="K301" s="1463" t="n"/>
      <c r="L301" s="1463" t="n"/>
      <c r="M301" s="1463" t="n"/>
      <c r="N301" s="1463" t="n"/>
      <c r="O301" s="1463" t="n"/>
      <c r="P301" s="1463" t="n"/>
      <c r="Q301" s="1463">
        <f>COUNTIF(L301,"PASS")+COUNTIF(N301,"PASS")+COUNTIF(P301,"PASS")</f>
        <v/>
      </c>
      <c r="R301" s="1463">
        <f>'Resource Build-Up'!AC300</f>
        <v/>
      </c>
      <c r="S301" s="1463">
        <f>'Resource Build-Up'!AF300</f>
        <v/>
      </c>
      <c r="T301" s="1465" t="n"/>
      <c r="U301" s="1463" t="n"/>
      <c r="V301" s="1463">
        <f>'Resource Build-Up'!AG300</f>
        <v/>
      </c>
    </row>
    <row r="302">
      <c r="A302" s="1462" t="inlineStr">
        <is>
          <t>RV-295</t>
        </is>
      </c>
      <c r="B302" s="1462">
        <f>'Resource Build-Up'!A301</f>
        <v/>
      </c>
      <c r="C302" s="1462">
        <f>'Resource Build-Up'!B301</f>
        <v/>
      </c>
      <c r="D302" s="1463">
        <f>'Resource Build-Up'!C301</f>
        <v/>
      </c>
      <c r="E302" s="1463">
        <f>'Resource Build-Up'!H301</f>
        <v/>
      </c>
      <c r="F302" s="1463">
        <f>'Resource Build-Up'!P301</f>
        <v/>
      </c>
      <c r="G302" s="1463">
        <f>'Resource Build-Up'!Q301</f>
        <v/>
      </c>
      <c r="H302" s="1463">
        <f>'Resource Build-Up'!T301</f>
        <v/>
      </c>
      <c r="I302" s="1464">
        <f>'Resource Build-Up'!Y301</f>
        <v/>
      </c>
      <c r="J302" s="1464">
        <f>'Resource Build-Up'!Z301</f>
        <v/>
      </c>
      <c r="K302" s="1463" t="n"/>
      <c r="L302" s="1463" t="n"/>
      <c r="M302" s="1463" t="n"/>
      <c r="N302" s="1463" t="n"/>
      <c r="O302" s="1463" t="n"/>
      <c r="P302" s="1463" t="n"/>
      <c r="Q302" s="1463">
        <f>COUNTIF(L302,"PASS")+COUNTIF(N302,"PASS")+COUNTIF(P302,"PASS")</f>
        <v/>
      </c>
      <c r="R302" s="1463">
        <f>'Resource Build-Up'!AC301</f>
        <v/>
      </c>
      <c r="S302" s="1463">
        <f>'Resource Build-Up'!AF301</f>
        <v/>
      </c>
      <c r="T302" s="1465" t="n"/>
      <c r="U302" s="1463" t="n"/>
      <c r="V302" s="1463">
        <f>'Resource Build-Up'!AG301</f>
        <v/>
      </c>
    </row>
    <row r="303">
      <c r="A303" s="1462" t="inlineStr">
        <is>
          <t>RV-296</t>
        </is>
      </c>
      <c r="B303" s="1462">
        <f>'Resource Build-Up'!A302</f>
        <v/>
      </c>
      <c r="C303" s="1462">
        <f>'Resource Build-Up'!B302</f>
        <v/>
      </c>
      <c r="D303" s="1463">
        <f>'Resource Build-Up'!C302</f>
        <v/>
      </c>
      <c r="E303" s="1463">
        <f>'Resource Build-Up'!H302</f>
        <v/>
      </c>
      <c r="F303" s="1463">
        <f>'Resource Build-Up'!P302</f>
        <v/>
      </c>
      <c r="G303" s="1463">
        <f>'Resource Build-Up'!Q302</f>
        <v/>
      </c>
      <c r="H303" s="1463">
        <f>'Resource Build-Up'!T302</f>
        <v/>
      </c>
      <c r="I303" s="1464">
        <f>'Resource Build-Up'!Y302</f>
        <v/>
      </c>
      <c r="J303" s="1464">
        <f>'Resource Build-Up'!Z302</f>
        <v/>
      </c>
      <c r="K303" s="1463" t="n"/>
      <c r="L303" s="1463" t="n"/>
      <c r="M303" s="1463" t="n"/>
      <c r="N303" s="1463" t="n"/>
      <c r="O303" s="1463" t="n"/>
      <c r="P303" s="1463" t="n"/>
      <c r="Q303" s="1463">
        <f>COUNTIF(L303,"PASS")+COUNTIF(N303,"PASS")+COUNTIF(P303,"PASS")</f>
        <v/>
      </c>
      <c r="R303" s="1463">
        <f>'Resource Build-Up'!AC302</f>
        <v/>
      </c>
      <c r="S303" s="1463">
        <f>'Resource Build-Up'!AF302</f>
        <v/>
      </c>
      <c r="T303" s="1465" t="n"/>
      <c r="U303" s="1463" t="n"/>
      <c r="V303" s="1463">
        <f>'Resource Build-Up'!AG302</f>
        <v/>
      </c>
    </row>
    <row r="304">
      <c r="A304" s="1462" t="inlineStr">
        <is>
          <t>RV-297</t>
        </is>
      </c>
      <c r="B304" s="1462">
        <f>'Resource Build-Up'!A303</f>
        <v/>
      </c>
      <c r="C304" s="1462">
        <f>'Resource Build-Up'!B303</f>
        <v/>
      </c>
      <c r="D304" s="1463">
        <f>'Resource Build-Up'!C303</f>
        <v/>
      </c>
      <c r="E304" s="1463">
        <f>'Resource Build-Up'!H303</f>
        <v/>
      </c>
      <c r="F304" s="1463">
        <f>'Resource Build-Up'!P303</f>
        <v/>
      </c>
      <c r="G304" s="1463">
        <f>'Resource Build-Up'!Q303</f>
        <v/>
      </c>
      <c r="H304" s="1463">
        <f>'Resource Build-Up'!T303</f>
        <v/>
      </c>
      <c r="I304" s="1464">
        <f>'Resource Build-Up'!Y303</f>
        <v/>
      </c>
      <c r="J304" s="1464">
        <f>'Resource Build-Up'!Z303</f>
        <v/>
      </c>
      <c r="K304" s="1463" t="n"/>
      <c r="L304" s="1463" t="n"/>
      <c r="M304" s="1463" t="n"/>
      <c r="N304" s="1463" t="n"/>
      <c r="O304" s="1463" t="n"/>
      <c r="P304" s="1463" t="n"/>
      <c r="Q304" s="1463">
        <f>COUNTIF(L304,"PASS")+COUNTIF(N304,"PASS")+COUNTIF(P304,"PASS")</f>
        <v/>
      </c>
      <c r="R304" s="1463">
        <f>'Resource Build-Up'!AC303</f>
        <v/>
      </c>
      <c r="S304" s="1463">
        <f>'Resource Build-Up'!AF303</f>
        <v/>
      </c>
      <c r="T304" s="1465" t="n"/>
      <c r="U304" s="1463" t="n"/>
      <c r="V304" s="1463">
        <f>'Resource Build-Up'!AG303</f>
        <v/>
      </c>
    </row>
    <row r="305">
      <c r="A305" s="1462" t="inlineStr">
        <is>
          <t>RV-298</t>
        </is>
      </c>
      <c r="B305" s="1462">
        <f>'Resource Build-Up'!A304</f>
        <v/>
      </c>
      <c r="C305" s="1462">
        <f>'Resource Build-Up'!B304</f>
        <v/>
      </c>
      <c r="D305" s="1463">
        <f>'Resource Build-Up'!C304</f>
        <v/>
      </c>
      <c r="E305" s="1463">
        <f>'Resource Build-Up'!H304</f>
        <v/>
      </c>
      <c r="F305" s="1463">
        <f>'Resource Build-Up'!P304</f>
        <v/>
      </c>
      <c r="G305" s="1463">
        <f>'Resource Build-Up'!Q304</f>
        <v/>
      </c>
      <c r="H305" s="1463">
        <f>'Resource Build-Up'!T304</f>
        <v/>
      </c>
      <c r="I305" s="1464">
        <f>'Resource Build-Up'!Y304</f>
        <v/>
      </c>
      <c r="J305" s="1464">
        <f>'Resource Build-Up'!Z304</f>
        <v/>
      </c>
      <c r="K305" s="1463" t="n"/>
      <c r="L305" s="1463" t="n"/>
      <c r="M305" s="1463" t="n"/>
      <c r="N305" s="1463" t="n"/>
      <c r="O305" s="1463" t="n"/>
      <c r="P305" s="1463" t="n"/>
      <c r="Q305" s="1463">
        <f>COUNTIF(L305,"PASS")+COUNTIF(N305,"PASS")+COUNTIF(P305,"PASS")</f>
        <v/>
      </c>
      <c r="R305" s="1463">
        <f>'Resource Build-Up'!AC304</f>
        <v/>
      </c>
      <c r="S305" s="1463">
        <f>'Resource Build-Up'!AF304</f>
        <v/>
      </c>
      <c r="T305" s="1465" t="n"/>
      <c r="U305" s="1463" t="n"/>
      <c r="V305" s="1463">
        <f>'Resource Build-Up'!AG304</f>
        <v/>
      </c>
    </row>
    <row r="306">
      <c r="A306" s="1462" t="inlineStr">
        <is>
          <t>RV-299</t>
        </is>
      </c>
      <c r="B306" s="1462">
        <f>'Resource Build-Up'!A305</f>
        <v/>
      </c>
      <c r="C306" s="1462">
        <f>'Resource Build-Up'!B305</f>
        <v/>
      </c>
      <c r="D306" s="1463">
        <f>'Resource Build-Up'!C305</f>
        <v/>
      </c>
      <c r="E306" s="1463">
        <f>'Resource Build-Up'!H305</f>
        <v/>
      </c>
      <c r="F306" s="1463">
        <f>'Resource Build-Up'!P305</f>
        <v/>
      </c>
      <c r="G306" s="1463">
        <f>'Resource Build-Up'!Q305</f>
        <v/>
      </c>
      <c r="H306" s="1463">
        <f>'Resource Build-Up'!T305</f>
        <v/>
      </c>
      <c r="I306" s="1464">
        <f>'Resource Build-Up'!Y305</f>
        <v/>
      </c>
      <c r="J306" s="1464">
        <f>'Resource Build-Up'!Z305</f>
        <v/>
      </c>
      <c r="K306" s="1463" t="n"/>
      <c r="L306" s="1463" t="n"/>
      <c r="M306" s="1463" t="n"/>
      <c r="N306" s="1463" t="n"/>
      <c r="O306" s="1463" t="n"/>
      <c r="P306" s="1463" t="n"/>
      <c r="Q306" s="1463">
        <f>COUNTIF(L306,"PASS")+COUNTIF(N306,"PASS")+COUNTIF(P306,"PASS")</f>
        <v/>
      </c>
      <c r="R306" s="1463">
        <f>'Resource Build-Up'!AC305</f>
        <v/>
      </c>
      <c r="S306" s="1463">
        <f>'Resource Build-Up'!AF305</f>
        <v/>
      </c>
      <c r="T306" s="1465" t="n"/>
      <c r="U306" s="1463" t="n"/>
      <c r="V306" s="1463">
        <f>'Resource Build-Up'!AG305</f>
        <v/>
      </c>
    </row>
    <row r="307">
      <c r="A307" s="1462" t="inlineStr">
        <is>
          <t>RV-300</t>
        </is>
      </c>
      <c r="B307" s="1462">
        <f>'Resource Build-Up'!A306</f>
        <v/>
      </c>
      <c r="C307" s="1462">
        <f>'Resource Build-Up'!B306</f>
        <v/>
      </c>
      <c r="D307" s="1463">
        <f>'Resource Build-Up'!C306</f>
        <v/>
      </c>
      <c r="E307" s="1463">
        <f>'Resource Build-Up'!H306</f>
        <v/>
      </c>
      <c r="F307" s="1463">
        <f>'Resource Build-Up'!P306</f>
        <v/>
      </c>
      <c r="G307" s="1463">
        <f>'Resource Build-Up'!Q306</f>
        <v/>
      </c>
      <c r="H307" s="1463">
        <f>'Resource Build-Up'!T306</f>
        <v/>
      </c>
      <c r="I307" s="1464">
        <f>'Resource Build-Up'!Y306</f>
        <v/>
      </c>
      <c r="J307" s="1464">
        <f>'Resource Build-Up'!Z306</f>
        <v/>
      </c>
      <c r="K307" s="1463" t="n"/>
      <c r="L307" s="1463" t="n"/>
      <c r="M307" s="1463" t="n"/>
      <c r="N307" s="1463" t="n"/>
      <c r="O307" s="1463" t="n"/>
      <c r="P307" s="1463" t="n"/>
      <c r="Q307" s="1463">
        <f>COUNTIF(L307,"PASS")+COUNTIF(N307,"PASS")+COUNTIF(P307,"PASS")</f>
        <v/>
      </c>
      <c r="R307" s="1463">
        <f>'Resource Build-Up'!AC306</f>
        <v/>
      </c>
      <c r="S307" s="1463">
        <f>'Resource Build-Up'!AF306</f>
        <v/>
      </c>
      <c r="T307" s="1465" t="n"/>
      <c r="U307" s="1463" t="n"/>
      <c r="V307" s="1463">
        <f>'Resource Build-Up'!AG306</f>
        <v/>
      </c>
    </row>
  </sheetData>
  <mergeCells count="2">
    <mergeCell ref="A2:V2"/>
    <mergeCell ref="A1:V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Y226"/>
  <sheetViews>
    <sheetView showGridLines="0" workbookViewId="0">
      <selection activeCell="A1" sqref="A1"/>
    </sheetView>
  </sheetViews>
  <sheetFormatPr baseColWidth="8" defaultRowHeight="13.80000019073486"/>
  <cols>
    <col width="10" customWidth="1" style="491" min="1" max="1"/>
    <col width="9" customWidth="1" style="491" min="2" max="2"/>
    <col width="36.5" customWidth="1" style="491" min="3" max="3"/>
    <col width="10" customWidth="1" style="491" min="4" max="4"/>
    <col width="68.59765625" customWidth="1" style="491" min="5" max="5"/>
    <col width="12" customWidth="1" style="491" min="6" max="6"/>
    <col width="10" customWidth="1" style="491" min="7" max="7"/>
    <col width="15" customWidth="1" style="491" min="8" max="8"/>
    <col width="16" customWidth="1" style="491" min="9" max="10"/>
    <col width="15" customWidth="1" style="491" min="11" max="11"/>
    <col width="17" customWidth="1" style="491" min="12" max="12"/>
    <col width="15" customWidth="1" style="491" min="13" max="13"/>
    <col width="13" customWidth="1" style="491" min="14" max="14"/>
    <col width="86.59765625" customWidth="1" style="491" min="15" max="15"/>
    <col width="28" customWidth="1" style="491" min="16" max="16"/>
    <col width="16" customWidth="1" style="491" min="17" max="17"/>
    <col width="65.5" customWidth="1" style="491" min="18" max="18"/>
    <col width="44.296875" customWidth="1" style="491" min="19" max="19"/>
    <col width="15" customWidth="1" style="491" min="20" max="20"/>
    <col width="12" customWidth="1" style="491" min="21" max="21"/>
    <col width="16" customWidth="1" style="491" min="22" max="22"/>
    <col width="14" customWidth="1" style="491" min="23" max="23"/>
    <col width="44" customWidth="1" style="491" min="24" max="24"/>
  </cols>
  <sheetData>
    <row r="1" ht="34.79999923706055" customHeight="1" s="491">
      <c r="A1" s="1456" t="inlineStr">
        <is>
          <t>PROGRAMME BUILD-UP &amp; MICROSOFT PROJECT EXPORT - MASTER ESTIMATE WORKBOOK</t>
        </is>
      </c>
      <c r="B1" s="242" t="n"/>
      <c r="C1" s="242" t="n"/>
      <c r="D1" s="242" t="n"/>
      <c r="E1" s="242" t="n"/>
      <c r="F1" s="242" t="n"/>
      <c r="G1" s="242" t="n"/>
      <c r="H1" s="242" t="n"/>
      <c r="I1" s="242" t="n"/>
      <c r="J1" s="242" t="n"/>
      <c r="K1" s="242" t="n"/>
      <c r="L1" s="242" t="n"/>
      <c r="M1" s="242" t="n"/>
      <c r="N1" s="242" t="n"/>
      <c r="O1" s="242" t="n"/>
      <c r="P1" s="242" t="n"/>
      <c r="Q1" s="242" t="n"/>
      <c r="R1" s="242" t="n"/>
      <c r="S1" s="242" t="n"/>
      <c r="T1" s="242" t="n"/>
      <c r="U1" s="242" t="n"/>
      <c r="V1" s="242" t="n"/>
      <c r="W1" s="242" t="n"/>
      <c r="X1" s="242" t="n"/>
    </row>
    <row r="2" ht="34.79999923706055" customFormat="1" customHeight="1" s="217">
      <c r="A2" s="1466" t="inlineStr">
        <is>
          <t>Programme durations derive from Resource Build-Up quantity/productivity unless an explicit programme override is entered. Set the current project calendar, start date, holidays, shutdowns and work fronts before issue.</t>
        </is>
      </c>
      <c r="B2" s="242" t="n"/>
      <c r="C2" s="242" t="n"/>
      <c r="D2" s="242" t="n"/>
      <c r="E2" s="242" t="n"/>
      <c r="F2" s="242" t="n"/>
      <c r="G2" s="242" t="n"/>
      <c r="H2" s="242" t="n"/>
      <c r="I2" s="242" t="n"/>
      <c r="J2" s="242" t="n"/>
      <c r="K2" s="242" t="n"/>
      <c r="L2" s="242" t="n"/>
      <c r="M2" s="242" t="n"/>
      <c r="N2" s="242" t="n"/>
      <c r="O2" s="242" t="n"/>
      <c r="P2" s="242" t="n"/>
      <c r="Q2" s="242" t="n"/>
      <c r="R2" s="242" t="n"/>
      <c r="S2" s="242" t="n"/>
      <c r="T2" s="242" t="n"/>
      <c r="U2" s="242" t="n"/>
      <c r="V2" s="242" t="n"/>
      <c r="W2" s="242" t="n"/>
      <c r="X2" s="242" t="n"/>
    </row>
    <row r="3" ht="34.79999923706055" customFormat="1" customHeight="1" s="217">
      <c r="A3" s="1467" t="inlineStr">
        <is>
          <t>MS Project: import Tasks and map Name, Duration, Predecessors, Fixed Cost, Text fields, Notes, Task Mode and Fixed Cost Accrual. Do not also import the same resource costs when Fixed Cost is used, or costs will double.</t>
        </is>
      </c>
      <c r="B3" s="242" t="n"/>
      <c r="C3" s="242" t="n"/>
      <c r="D3" s="242" t="n"/>
      <c r="E3" s="242" t="n"/>
      <c r="F3" s="242" t="n"/>
      <c r="G3" s="242" t="n"/>
      <c r="H3" s="242" t="n"/>
      <c r="I3" s="242" t="n"/>
      <c r="J3" s="242" t="n"/>
      <c r="K3" s="242" t="n"/>
      <c r="L3" s="242" t="n"/>
      <c r="M3" s="242" t="n"/>
      <c r="N3" s="242" t="n"/>
      <c r="O3" s="242" t="n"/>
      <c r="P3" s="242" t="n"/>
      <c r="Q3" s="242" t="n"/>
      <c r="R3" s="242" t="n"/>
      <c r="S3" s="242" t="n"/>
      <c r="T3" s="242" t="n"/>
      <c r="U3" s="242" t="n"/>
      <c r="V3" s="242" t="n"/>
      <c r="W3" s="242" t="n"/>
      <c r="X3" s="242" t="n"/>
    </row>
    <row r="4" ht="34.79999923706055" customFormat="1" customHeight="1" s="217">
      <c r="A4" s="1468" t="inlineStr">
        <is>
          <t>Microsoft import guidance: https://support.microsoft.com/en-us/project/export-or-import-data-to-another-file-format</t>
        </is>
      </c>
      <c r="B4" s="242" t="n"/>
      <c r="C4" s="242" t="n"/>
      <c r="D4" s="242" t="n"/>
      <c r="E4" s="242" t="n"/>
      <c r="F4" s="242" t="n"/>
      <c r="G4" s="242" t="n"/>
      <c r="H4" s="242" t="n"/>
      <c r="I4" s="242" t="n"/>
      <c r="J4" s="242" t="n"/>
      <c r="K4" s="242" t="n"/>
      <c r="L4" s="242" t="n"/>
      <c r="M4" s="242" t="n"/>
      <c r="N4" s="242" t="n"/>
      <c r="O4" s="242" t="n"/>
      <c r="P4" s="242" t="n"/>
      <c r="Q4" s="242" t="n"/>
      <c r="R4" s="242" t="n"/>
      <c r="S4" s="242" t="n"/>
      <c r="T4" s="242" t="n"/>
      <c r="U4" s="242" t="n"/>
      <c r="V4" s="242" t="n"/>
      <c r="W4" s="242" t="n"/>
      <c r="X4" s="242" t="n"/>
    </row>
    <row r="5" ht="34.79999923706055" customFormat="1" customHeight="1" s="217">
      <c r="A5" s="1469" t="inlineStr">
        <is>
          <t>PROGRAMME RECONCILIATION: J takes the largest linked Resource Build-Up applied duration for each QS code; K converts hours to working days; M uses the override in L when one is entered. Rows 7-206 follow QS Takeoff rows 3-202. Control tasks that are not QS items (cure, inspection holds, proof rolls) go in rows 207-226: type the code in D, the name in E, the days in L and predecessor codes in P.</t>
        </is>
      </c>
      <c r="B5" s="242" t="n"/>
      <c r="C5" s="242" t="n"/>
      <c r="D5" s="242" t="n"/>
      <c r="E5" s="242" t="n"/>
      <c r="F5" s="242" t="n"/>
      <c r="G5" s="242" t="n"/>
      <c r="H5" s="242" t="n"/>
      <c r="I5" s="242" t="n"/>
      <c r="J5" s="242" t="n"/>
      <c r="K5" s="242" t="n"/>
      <c r="L5" s="242" t="n"/>
      <c r="M5" s="242" t="n"/>
      <c r="N5" s="242" t="n"/>
      <c r="O5" s="242" t="n"/>
      <c r="P5" s="242" t="n"/>
      <c r="Q5" s="242" t="n"/>
      <c r="R5" s="242" t="n"/>
      <c r="S5" s="242" t="n"/>
      <c r="T5" s="242" t="n"/>
      <c r="U5" s="242" t="n"/>
      <c r="V5" s="242" t="n"/>
      <c r="W5" s="242" t="n"/>
      <c r="X5" s="242" t="n"/>
    </row>
    <row r="6" ht="42" customFormat="1" customHeight="1" s="217">
      <c r="A6" s="184" t="inlineStr">
        <is>
          <t>Import ID</t>
        </is>
      </c>
      <c r="B6" s="184" t="inlineStr">
        <is>
          <t>QS Row</t>
        </is>
      </c>
      <c r="C6" s="184" t="inlineStr">
        <is>
          <t>WBS / Section</t>
        </is>
      </c>
      <c r="D6" s="184" t="inlineStr">
        <is>
          <t>QS Code</t>
        </is>
      </c>
      <c r="E6" s="184" t="inlineStr">
        <is>
          <t>Task Name</t>
        </is>
      </c>
      <c r="F6" s="184" t="inlineStr">
        <is>
          <t>Quantity</t>
        </is>
      </c>
      <c r="G6" s="184" t="inlineStr">
        <is>
          <t>Unit</t>
        </is>
      </c>
      <c r="H6" s="184" t="inlineStr">
        <is>
          <t>QS Fixed Cost</t>
        </is>
      </c>
      <c r="I6" s="184" t="inlineStr">
        <is>
          <t>Resource Cost Check</t>
        </is>
      </c>
      <c r="J6" s="184" t="inlineStr">
        <is>
          <t>Max Resource Duration hrs</t>
        </is>
      </c>
      <c r="K6" s="184" t="inlineStr">
        <is>
          <t>Derived Duration days</t>
        </is>
      </c>
      <c r="L6" s="184" t="inlineStr">
        <is>
          <t>Programme Override days</t>
        </is>
      </c>
      <c r="M6" s="184" t="inlineStr">
        <is>
          <t>Export Duration days</t>
        </is>
      </c>
      <c r="N6" s="184" t="inlineStr">
        <is>
          <t>Duration</t>
        </is>
      </c>
      <c r="O6" s="184" t="inlineStr">
        <is>
          <t>Duration Basis</t>
        </is>
      </c>
      <c r="P6" s="184" t="inlineStr">
        <is>
          <t>Predecessor QS Codes</t>
        </is>
      </c>
      <c r="Q6" s="184" t="inlineStr">
        <is>
          <t>Predecessors</t>
        </is>
      </c>
      <c r="R6" s="184" t="inlineStr">
        <is>
          <t>Resource Summary</t>
        </is>
      </c>
      <c r="S6" s="184" t="inlineStr">
        <is>
          <t>Rate QA Status</t>
        </is>
      </c>
      <c r="T6" s="184" t="inlineStr">
        <is>
          <t>QS / Resource Difference</t>
        </is>
      </c>
      <c r="U6" s="184" t="inlineStr">
        <is>
          <t>Cost Check</t>
        </is>
      </c>
      <c r="V6" s="184" t="inlineStr">
        <is>
          <t>Task Mode</t>
        </is>
      </c>
      <c r="W6" s="184" t="inlineStr">
        <is>
          <t>Cost Accrual</t>
        </is>
      </c>
      <c r="X6" s="184" t="inlineStr">
        <is>
          <t>Notes</t>
        </is>
      </c>
      <c r="Y6" s="1470" t="inlineStr">
        <is>
          <t>Task sequence (helper)</t>
        </is>
      </c>
    </row>
    <row r="7" ht="52.79999923706055" customFormat="1" customHeight="1" s="217">
      <c r="A7" s="1471" t="n">
        <v>1</v>
      </c>
      <c r="B7" s="1471" t="n">
        <v>3</v>
      </c>
      <c r="C7" s="1397">
        <f>IF('QS Takeoff'!$B3="","",'QS Takeoff'!A3)</f>
        <v/>
      </c>
      <c r="D7" s="1397">
        <f>IF('QS Takeoff'!$B3="","",'QS Takeoff'!B3)</f>
        <v/>
      </c>
      <c r="E7" s="1397">
        <f>IF('QS Takeoff'!$B3="","",'QS Takeoff'!C3)</f>
        <v/>
      </c>
      <c r="F7" s="1397">
        <f>IF('QS Takeoff'!$B3="","",'QS Takeoff'!E3)</f>
        <v/>
      </c>
      <c r="G7" s="1397">
        <f>IF('QS Takeoff'!$B3="","",'QS Takeoff'!D3)</f>
        <v/>
      </c>
      <c r="H7" s="1472">
        <f>IF('QS Takeoff'!$B3="","",'QS Takeoff'!G3)</f>
        <v/>
      </c>
      <c r="I7" s="1472">
        <f>SUMIF('Resource Build-Up'!$B$7:$B$306,D7,'Resource Build-Up'!$Z$7:$Z$306)</f>
        <v/>
      </c>
      <c r="J7" s="1473">
        <f>IFERROR(_xlfn.MAXIFS('Resource Build-Up'!$M$7:$M$306,'Resource Build-Up'!$B$7:$B$306,D7),0)</f>
        <v/>
      </c>
      <c r="K7" s="1473">
        <f>IF(J7=0,"",ROUNDUP(J7/8,0))</f>
        <v/>
      </c>
      <c r="L7" s="1474" t="n"/>
      <c r="M7" s="1473">
        <f>IF(L7&lt;&gt;"",L7,K7)</f>
        <v/>
      </c>
      <c r="N7" s="1436">
        <f>IF(M7="","",TEXT(M7,"0")&amp;" days")</f>
        <v/>
      </c>
      <c r="O7" s="1397" t="n"/>
      <c r="P7" s="1397" t="n"/>
      <c r="Q7" s="1397" t="n"/>
      <c r="R7" s="1397" t="n"/>
      <c r="S7" s="1475" t="n"/>
      <c r="T7" s="1476">
        <f>IF($D7="","",I7-N(H7))</f>
        <v/>
      </c>
      <c r="U7" s="1397">
        <f>IF($D7="","",IF(ABS(T7)&lt;0.01,"OK","CHECK"))</f>
        <v/>
      </c>
      <c r="V7" s="1397" t="inlineStr">
        <is>
          <t>Auto Scheduled</t>
        </is>
      </c>
      <c r="W7" s="1397" t="inlineStr">
        <is>
          <t>Prorated</t>
        </is>
      </c>
      <c r="X7" s="1397" t="n"/>
      <c r="Y7" s="1397">
        <f>IF($D7="","",COUNTIF($D$7:$D7,"?*"))</f>
        <v/>
      </c>
    </row>
    <row r="8" ht="52.79999923706055" customFormat="1" customHeight="1" s="217">
      <c r="A8" s="1471" t="n">
        <v>2</v>
      </c>
      <c r="B8" s="1471" t="n">
        <v>4</v>
      </c>
      <c r="C8" s="1397">
        <f>IF('QS Takeoff'!$B4="","",'QS Takeoff'!A4)</f>
        <v/>
      </c>
      <c r="D8" s="1397">
        <f>IF('QS Takeoff'!$B4="","",'QS Takeoff'!B4)</f>
        <v/>
      </c>
      <c r="E8" s="1397">
        <f>IF('QS Takeoff'!$B4="","",'QS Takeoff'!C4)</f>
        <v/>
      </c>
      <c r="F8" s="1397">
        <f>IF('QS Takeoff'!$B4="","",'QS Takeoff'!E4)</f>
        <v/>
      </c>
      <c r="G8" s="1397">
        <f>IF('QS Takeoff'!$B4="","",'QS Takeoff'!D4)</f>
        <v/>
      </c>
      <c r="H8" s="1472">
        <f>IF('QS Takeoff'!$B4="","",'QS Takeoff'!G4)</f>
        <v/>
      </c>
      <c r="I8" s="1472">
        <f>SUMIF('Resource Build-Up'!$B$7:$B$306,D8,'Resource Build-Up'!$Z$7:$Z$306)</f>
        <v/>
      </c>
      <c r="J8" s="1473">
        <f>IFERROR(_xlfn.MAXIFS('Resource Build-Up'!$M$7:$M$306,'Resource Build-Up'!$B$7:$B$306,D8),0)</f>
        <v/>
      </c>
      <c r="K8" s="1473">
        <f>IF(J8=0,"",ROUNDUP(J8/8,0))</f>
        <v/>
      </c>
      <c r="L8" s="1474" t="n"/>
      <c r="M8" s="1473">
        <f>IF(L8&lt;&gt;"",L8,K8)</f>
        <v/>
      </c>
      <c r="N8" s="1436">
        <f>IF(M8="","",TEXT(M8,"0")&amp;" days")</f>
        <v/>
      </c>
      <c r="O8" s="1397" t="n"/>
      <c r="P8" s="1397" t="n"/>
      <c r="Q8" s="1397" t="n"/>
      <c r="R8" s="1397" t="n"/>
      <c r="S8" s="1475" t="n"/>
      <c r="T8" s="1476">
        <f>IF($D8="","",I8-N(H8))</f>
        <v/>
      </c>
      <c r="U8" s="1397">
        <f>IF($D8="","",IF(ABS(T8)&lt;0.01,"OK","CHECK"))</f>
        <v/>
      </c>
      <c r="V8" s="1397" t="inlineStr">
        <is>
          <t>Auto Scheduled</t>
        </is>
      </c>
      <c r="W8" s="1397" t="inlineStr">
        <is>
          <t>Prorated</t>
        </is>
      </c>
      <c r="X8" s="1397" t="n"/>
      <c r="Y8" s="1397">
        <f>IF($D8="","",COUNTIF($D$7:$D8,"?*"))</f>
        <v/>
      </c>
    </row>
    <row r="9" ht="52.79999923706055" customFormat="1" customHeight="1" s="217">
      <c r="A9" s="1471" t="n">
        <v>3</v>
      </c>
      <c r="B9" s="1471" t="n">
        <v>5</v>
      </c>
      <c r="C9" s="1397">
        <f>IF('QS Takeoff'!$B5="","",'QS Takeoff'!A5)</f>
        <v/>
      </c>
      <c r="D9" s="1397">
        <f>IF('QS Takeoff'!$B5="","",'QS Takeoff'!B5)</f>
        <v/>
      </c>
      <c r="E9" s="1397">
        <f>IF('QS Takeoff'!$B5="","",'QS Takeoff'!C5)</f>
        <v/>
      </c>
      <c r="F9" s="1397">
        <f>IF('QS Takeoff'!$B5="","",'QS Takeoff'!E5)</f>
        <v/>
      </c>
      <c r="G9" s="1397">
        <f>IF('QS Takeoff'!$B5="","",'QS Takeoff'!D5)</f>
        <v/>
      </c>
      <c r="H9" s="1472">
        <f>IF('QS Takeoff'!$B5="","",'QS Takeoff'!G5)</f>
        <v/>
      </c>
      <c r="I9" s="1472">
        <f>SUMIF('Resource Build-Up'!$B$7:$B$306,D9,'Resource Build-Up'!$Z$7:$Z$306)</f>
        <v/>
      </c>
      <c r="J9" s="1473">
        <f>IFERROR(_xlfn.MAXIFS('Resource Build-Up'!$M$7:$M$306,'Resource Build-Up'!$B$7:$B$306,D9),0)</f>
        <v/>
      </c>
      <c r="K9" s="1473">
        <f>IF(J9=0,"",ROUNDUP(J9/8,0))</f>
        <v/>
      </c>
      <c r="L9" s="1474" t="n"/>
      <c r="M9" s="1473">
        <f>IF(L9&lt;&gt;"",L9,K9)</f>
        <v/>
      </c>
      <c r="N9" s="1436">
        <f>IF(M9="","",TEXT(M9,"0")&amp;" days")</f>
        <v/>
      </c>
      <c r="O9" s="1397" t="n"/>
      <c r="P9" s="1397" t="n"/>
      <c r="Q9" s="1397" t="n"/>
      <c r="R9" s="1397" t="n"/>
      <c r="S9" s="1475" t="n"/>
      <c r="T9" s="1476">
        <f>IF($D9="","",I9-N(H9))</f>
        <v/>
      </c>
      <c r="U9" s="1397">
        <f>IF($D9="","",IF(ABS(T9)&lt;0.01,"OK","CHECK"))</f>
        <v/>
      </c>
      <c r="V9" s="1397" t="inlineStr">
        <is>
          <t>Auto Scheduled</t>
        </is>
      </c>
      <c r="W9" s="1397" t="inlineStr">
        <is>
          <t>Prorated</t>
        </is>
      </c>
      <c r="X9" s="1397" t="n"/>
      <c r="Y9" s="1397">
        <f>IF($D9="","",COUNTIF($D$7:$D9,"?*"))</f>
        <v/>
      </c>
    </row>
    <row r="10" ht="52.79999923706055" customFormat="1" customHeight="1" s="217">
      <c r="A10" s="1471" t="n">
        <v>4</v>
      </c>
      <c r="B10" s="1471" t="n">
        <v>6</v>
      </c>
      <c r="C10" s="1397">
        <f>IF('QS Takeoff'!$B6="","",'QS Takeoff'!A6)</f>
        <v/>
      </c>
      <c r="D10" s="1397">
        <f>IF('QS Takeoff'!$B6="","",'QS Takeoff'!B6)</f>
        <v/>
      </c>
      <c r="E10" s="1397">
        <f>IF('QS Takeoff'!$B6="","",'QS Takeoff'!C6)</f>
        <v/>
      </c>
      <c r="F10" s="1397">
        <f>IF('QS Takeoff'!$B6="","",'QS Takeoff'!E6)</f>
        <v/>
      </c>
      <c r="G10" s="1397">
        <f>IF('QS Takeoff'!$B6="","",'QS Takeoff'!D6)</f>
        <v/>
      </c>
      <c r="H10" s="1472">
        <f>IF('QS Takeoff'!$B6="","",'QS Takeoff'!G6)</f>
        <v/>
      </c>
      <c r="I10" s="1472">
        <f>SUMIF('Resource Build-Up'!$B$7:$B$306,D10,'Resource Build-Up'!$Z$7:$Z$306)</f>
        <v/>
      </c>
      <c r="J10" s="1473">
        <f>IFERROR(_xlfn.MAXIFS('Resource Build-Up'!$M$7:$M$306,'Resource Build-Up'!$B$7:$B$306,D10),0)</f>
        <v/>
      </c>
      <c r="K10" s="1473">
        <f>IF(J10=0,"",ROUNDUP(J10/8,0))</f>
        <v/>
      </c>
      <c r="L10" s="1474" t="n"/>
      <c r="M10" s="1473">
        <f>IF(L10&lt;&gt;"",L10,K10)</f>
        <v/>
      </c>
      <c r="N10" s="1436">
        <f>IF(M10="","",TEXT(M10,"0")&amp;" days")</f>
        <v/>
      </c>
      <c r="O10" s="1397" t="n"/>
      <c r="P10" s="1397" t="n"/>
      <c r="Q10" s="1397" t="n"/>
      <c r="R10" s="1397" t="n"/>
      <c r="S10" s="1475" t="n"/>
      <c r="T10" s="1476">
        <f>IF($D10="","",I10-N(H10))</f>
        <v/>
      </c>
      <c r="U10" s="1397">
        <f>IF($D10="","",IF(ABS(T10)&lt;0.01,"OK","CHECK"))</f>
        <v/>
      </c>
      <c r="V10" s="1397" t="inlineStr">
        <is>
          <t>Auto Scheduled</t>
        </is>
      </c>
      <c r="W10" s="1397" t="inlineStr">
        <is>
          <t>Prorated</t>
        </is>
      </c>
      <c r="X10" s="1397" t="n"/>
      <c r="Y10" s="1397">
        <f>IF($D10="","",COUNTIF($D$7:$D10,"?*"))</f>
        <v/>
      </c>
    </row>
    <row r="11" ht="52.79999923706055" customFormat="1" customHeight="1" s="217">
      <c r="A11" s="1471" t="n">
        <v>5</v>
      </c>
      <c r="B11" s="1471" t="n">
        <v>7</v>
      </c>
      <c r="C11" s="1397">
        <f>IF('QS Takeoff'!$B7="","",'QS Takeoff'!A7)</f>
        <v/>
      </c>
      <c r="D11" s="1397">
        <f>IF('QS Takeoff'!$B7="","",'QS Takeoff'!B7)</f>
        <v/>
      </c>
      <c r="E11" s="1397">
        <f>IF('QS Takeoff'!$B7="","",'QS Takeoff'!C7)</f>
        <v/>
      </c>
      <c r="F11" s="1397">
        <f>IF('QS Takeoff'!$B7="","",'QS Takeoff'!E7)</f>
        <v/>
      </c>
      <c r="G11" s="1397">
        <f>IF('QS Takeoff'!$B7="","",'QS Takeoff'!D7)</f>
        <v/>
      </c>
      <c r="H11" s="1472">
        <f>IF('QS Takeoff'!$B7="","",'QS Takeoff'!G7)</f>
        <v/>
      </c>
      <c r="I11" s="1472">
        <f>SUMIF('Resource Build-Up'!$B$7:$B$306,D11,'Resource Build-Up'!$Z$7:$Z$306)</f>
        <v/>
      </c>
      <c r="J11" s="1473">
        <f>IFERROR(_xlfn.MAXIFS('Resource Build-Up'!$M$7:$M$306,'Resource Build-Up'!$B$7:$B$306,D11),0)</f>
        <v/>
      </c>
      <c r="K11" s="1473">
        <f>IF(J11=0,"",ROUNDUP(J11/8,0))</f>
        <v/>
      </c>
      <c r="L11" s="1474" t="n"/>
      <c r="M11" s="1473">
        <f>IF(L11&lt;&gt;"",L11,K11)</f>
        <v/>
      </c>
      <c r="N11" s="1436">
        <f>IF(M11="","",TEXT(M11,"0")&amp;" days")</f>
        <v/>
      </c>
      <c r="O11" s="1397" t="n"/>
      <c r="P11" s="1397" t="n"/>
      <c r="Q11" s="1397" t="n"/>
      <c r="R11" s="1397" t="n"/>
      <c r="S11" s="1475" t="n"/>
      <c r="T11" s="1476">
        <f>IF($D11="","",I11-N(H11))</f>
        <v/>
      </c>
      <c r="U11" s="1397">
        <f>IF($D11="","",IF(ABS(T11)&lt;0.01,"OK","CHECK"))</f>
        <v/>
      </c>
      <c r="V11" s="1397" t="inlineStr">
        <is>
          <t>Auto Scheduled</t>
        </is>
      </c>
      <c r="W11" s="1397" t="inlineStr">
        <is>
          <t>Prorated</t>
        </is>
      </c>
      <c r="X11" s="1397" t="n"/>
      <c r="Y11" s="1397">
        <f>IF($D11="","",COUNTIF($D$7:$D11,"?*"))</f>
        <v/>
      </c>
    </row>
    <row r="12" ht="52.79999923706055" customFormat="1" customHeight="1" s="217">
      <c r="A12" s="1471" t="n">
        <v>6</v>
      </c>
      <c r="B12" s="1471" t="n">
        <v>8</v>
      </c>
      <c r="C12" s="1397">
        <f>IF('QS Takeoff'!$B8="","",'QS Takeoff'!A8)</f>
        <v/>
      </c>
      <c r="D12" s="1397">
        <f>IF('QS Takeoff'!$B8="","",'QS Takeoff'!B8)</f>
        <v/>
      </c>
      <c r="E12" s="1397">
        <f>IF('QS Takeoff'!$B8="","",'QS Takeoff'!C8)</f>
        <v/>
      </c>
      <c r="F12" s="1397">
        <f>IF('QS Takeoff'!$B8="","",'QS Takeoff'!E8)</f>
        <v/>
      </c>
      <c r="G12" s="1397">
        <f>IF('QS Takeoff'!$B8="","",'QS Takeoff'!D8)</f>
        <v/>
      </c>
      <c r="H12" s="1472">
        <f>IF('QS Takeoff'!$B8="","",'QS Takeoff'!G8)</f>
        <v/>
      </c>
      <c r="I12" s="1472">
        <f>SUMIF('Resource Build-Up'!$B$7:$B$306,D12,'Resource Build-Up'!$Z$7:$Z$306)</f>
        <v/>
      </c>
      <c r="J12" s="1473">
        <f>IFERROR(_xlfn.MAXIFS('Resource Build-Up'!$M$7:$M$306,'Resource Build-Up'!$B$7:$B$306,D12),0)</f>
        <v/>
      </c>
      <c r="K12" s="1473">
        <f>IF(J12=0,"",ROUNDUP(J12/8,0))</f>
        <v/>
      </c>
      <c r="L12" s="1474" t="n"/>
      <c r="M12" s="1473">
        <f>IF(L12&lt;&gt;"",L12,K12)</f>
        <v/>
      </c>
      <c r="N12" s="1436">
        <f>IF(M12="","",TEXT(M12,"0")&amp;" days")</f>
        <v/>
      </c>
      <c r="O12" s="1397" t="n"/>
      <c r="P12" s="1397" t="n"/>
      <c r="Q12" s="1397" t="n"/>
      <c r="R12" s="1397" t="n"/>
      <c r="S12" s="1475" t="n"/>
      <c r="T12" s="1476">
        <f>IF($D12="","",I12-N(H12))</f>
        <v/>
      </c>
      <c r="U12" s="1397">
        <f>IF($D12="","",IF(ABS(T12)&lt;0.01,"OK","CHECK"))</f>
        <v/>
      </c>
      <c r="V12" s="1397" t="inlineStr">
        <is>
          <t>Auto Scheduled</t>
        </is>
      </c>
      <c r="W12" s="1397" t="inlineStr">
        <is>
          <t>Prorated</t>
        </is>
      </c>
      <c r="X12" s="1397" t="n"/>
      <c r="Y12" s="1397">
        <f>IF($D12="","",COUNTIF($D$7:$D12,"?*"))</f>
        <v/>
      </c>
    </row>
    <row r="13" ht="52.79999923706055" customFormat="1" customHeight="1" s="217">
      <c r="A13" s="1471" t="n">
        <v>7</v>
      </c>
      <c r="B13" s="1471" t="n">
        <v>9</v>
      </c>
      <c r="C13" s="1397">
        <f>IF('QS Takeoff'!$B9="","",'QS Takeoff'!A9)</f>
        <v/>
      </c>
      <c r="D13" s="1397">
        <f>IF('QS Takeoff'!$B9="","",'QS Takeoff'!B9)</f>
        <v/>
      </c>
      <c r="E13" s="1397">
        <f>IF('QS Takeoff'!$B9="","",'QS Takeoff'!C9)</f>
        <v/>
      </c>
      <c r="F13" s="1397">
        <f>IF('QS Takeoff'!$B9="","",'QS Takeoff'!E9)</f>
        <v/>
      </c>
      <c r="G13" s="1397">
        <f>IF('QS Takeoff'!$B9="","",'QS Takeoff'!D9)</f>
        <v/>
      </c>
      <c r="H13" s="1472">
        <f>IF('QS Takeoff'!$B9="","",'QS Takeoff'!G9)</f>
        <v/>
      </c>
      <c r="I13" s="1472">
        <f>SUMIF('Resource Build-Up'!$B$7:$B$306,D13,'Resource Build-Up'!$Z$7:$Z$306)</f>
        <v/>
      </c>
      <c r="J13" s="1473">
        <f>IFERROR(_xlfn.MAXIFS('Resource Build-Up'!$M$7:$M$306,'Resource Build-Up'!$B$7:$B$306,D13),0)</f>
        <v/>
      </c>
      <c r="K13" s="1473">
        <f>IF(J13=0,"",ROUNDUP(J13/8,0))</f>
        <v/>
      </c>
      <c r="L13" s="1474" t="n"/>
      <c r="M13" s="1473">
        <f>IF(L13&lt;&gt;"",L13,K13)</f>
        <v/>
      </c>
      <c r="N13" s="1436">
        <f>IF(M13="","",TEXT(M13,"0")&amp;" days")</f>
        <v/>
      </c>
      <c r="O13" s="1397" t="n"/>
      <c r="P13" s="1397" t="n"/>
      <c r="Q13" s="1397" t="n"/>
      <c r="R13" s="1397" t="n"/>
      <c r="S13" s="1475" t="n"/>
      <c r="T13" s="1476">
        <f>IF($D13="","",I13-N(H13))</f>
        <v/>
      </c>
      <c r="U13" s="1397">
        <f>IF($D13="","",IF(ABS(T13)&lt;0.01,"OK","CHECK"))</f>
        <v/>
      </c>
      <c r="V13" s="1397" t="inlineStr">
        <is>
          <t>Auto Scheduled</t>
        </is>
      </c>
      <c r="W13" s="1397" t="inlineStr">
        <is>
          <t>Prorated</t>
        </is>
      </c>
      <c r="X13" s="1397" t="n"/>
      <c r="Y13" s="1397">
        <f>IF($D13="","",COUNTIF($D$7:$D13,"?*"))</f>
        <v/>
      </c>
    </row>
    <row r="14" ht="52.79999923706055" customFormat="1" customHeight="1" s="217">
      <c r="A14" s="1471" t="n">
        <v>8</v>
      </c>
      <c r="B14" s="1471" t="n">
        <v>10</v>
      </c>
      <c r="C14" s="1397">
        <f>IF('QS Takeoff'!$B10="","",'QS Takeoff'!A10)</f>
        <v/>
      </c>
      <c r="D14" s="1397">
        <f>IF('QS Takeoff'!$B10="","",'QS Takeoff'!B10)</f>
        <v/>
      </c>
      <c r="E14" s="1397">
        <f>IF('QS Takeoff'!$B10="","",'QS Takeoff'!C10)</f>
        <v/>
      </c>
      <c r="F14" s="1397">
        <f>IF('QS Takeoff'!$B10="","",'QS Takeoff'!E10)</f>
        <v/>
      </c>
      <c r="G14" s="1397">
        <f>IF('QS Takeoff'!$B10="","",'QS Takeoff'!D10)</f>
        <v/>
      </c>
      <c r="H14" s="1472">
        <f>IF('QS Takeoff'!$B10="","",'QS Takeoff'!G10)</f>
        <v/>
      </c>
      <c r="I14" s="1472">
        <f>SUMIF('Resource Build-Up'!$B$7:$B$306,D14,'Resource Build-Up'!$Z$7:$Z$306)</f>
        <v/>
      </c>
      <c r="J14" s="1473">
        <f>IFERROR(_xlfn.MAXIFS('Resource Build-Up'!$M$7:$M$306,'Resource Build-Up'!$B$7:$B$306,D14),0)</f>
        <v/>
      </c>
      <c r="K14" s="1473">
        <f>IF(J14=0,"",ROUNDUP(J14/8,0))</f>
        <v/>
      </c>
      <c r="L14" s="1474" t="n"/>
      <c r="M14" s="1473">
        <f>IF(L14&lt;&gt;"",L14,K14)</f>
        <v/>
      </c>
      <c r="N14" s="1436">
        <f>IF(M14="","",TEXT(M14,"0")&amp;" days")</f>
        <v/>
      </c>
      <c r="O14" s="1397" t="n"/>
      <c r="P14" s="1397" t="n"/>
      <c r="Q14" s="1397" t="n"/>
      <c r="R14" s="1397" t="n"/>
      <c r="S14" s="1475" t="n"/>
      <c r="T14" s="1476">
        <f>IF($D14="","",I14-N(H14))</f>
        <v/>
      </c>
      <c r="U14" s="1397">
        <f>IF($D14="","",IF(ABS(T14)&lt;0.01,"OK","CHECK"))</f>
        <v/>
      </c>
      <c r="V14" s="1397" t="inlineStr">
        <is>
          <t>Auto Scheduled</t>
        </is>
      </c>
      <c r="W14" s="1397" t="inlineStr">
        <is>
          <t>Prorated</t>
        </is>
      </c>
      <c r="X14" s="1397" t="n"/>
      <c r="Y14" s="1397">
        <f>IF($D14="","",COUNTIF($D$7:$D14,"?*"))</f>
        <v/>
      </c>
    </row>
    <row r="15" ht="52.79999923706055" customFormat="1" customHeight="1" s="217">
      <c r="A15" s="1471" t="n">
        <v>9</v>
      </c>
      <c r="B15" s="1471" t="n">
        <v>11</v>
      </c>
      <c r="C15" s="1397">
        <f>IF('QS Takeoff'!$B11="","",'QS Takeoff'!A11)</f>
        <v/>
      </c>
      <c r="D15" s="1397">
        <f>IF('QS Takeoff'!$B11="","",'QS Takeoff'!B11)</f>
        <v/>
      </c>
      <c r="E15" s="1397">
        <f>IF('QS Takeoff'!$B11="","",'QS Takeoff'!C11)</f>
        <v/>
      </c>
      <c r="F15" s="1397">
        <f>IF('QS Takeoff'!$B11="","",'QS Takeoff'!E11)</f>
        <v/>
      </c>
      <c r="G15" s="1397">
        <f>IF('QS Takeoff'!$B11="","",'QS Takeoff'!D11)</f>
        <v/>
      </c>
      <c r="H15" s="1472">
        <f>IF('QS Takeoff'!$B11="","",'QS Takeoff'!G11)</f>
        <v/>
      </c>
      <c r="I15" s="1472">
        <f>SUMIF('Resource Build-Up'!$B$7:$B$306,D15,'Resource Build-Up'!$Z$7:$Z$306)</f>
        <v/>
      </c>
      <c r="J15" s="1473">
        <f>IFERROR(_xlfn.MAXIFS('Resource Build-Up'!$M$7:$M$306,'Resource Build-Up'!$B$7:$B$306,D15),0)</f>
        <v/>
      </c>
      <c r="K15" s="1473">
        <f>IF(J15=0,"",ROUNDUP(J15/8,0))</f>
        <v/>
      </c>
      <c r="L15" s="1474" t="n"/>
      <c r="M15" s="1473">
        <f>IF(L15&lt;&gt;"",L15,K15)</f>
        <v/>
      </c>
      <c r="N15" s="1436">
        <f>IF(M15="","",TEXT(M15,"0")&amp;" days")</f>
        <v/>
      </c>
      <c r="O15" s="1397" t="n"/>
      <c r="P15" s="1397" t="n"/>
      <c r="Q15" s="1397" t="n"/>
      <c r="R15" s="1397" t="n"/>
      <c r="S15" s="1475" t="n"/>
      <c r="T15" s="1476">
        <f>IF($D15="","",I15-N(H15))</f>
        <v/>
      </c>
      <c r="U15" s="1397">
        <f>IF($D15="","",IF(ABS(T15)&lt;0.01,"OK","CHECK"))</f>
        <v/>
      </c>
      <c r="V15" s="1397" t="inlineStr">
        <is>
          <t>Auto Scheduled</t>
        </is>
      </c>
      <c r="W15" s="1397" t="inlineStr">
        <is>
          <t>Prorated</t>
        </is>
      </c>
      <c r="X15" s="1397" t="n"/>
      <c r="Y15" s="1397">
        <f>IF($D15="","",COUNTIF($D$7:$D15,"?*"))</f>
        <v/>
      </c>
    </row>
    <row r="16" ht="52.79999923706055" customFormat="1" customHeight="1" s="217">
      <c r="A16" s="1471" t="n">
        <v>10</v>
      </c>
      <c r="B16" s="1471" t="n">
        <v>12</v>
      </c>
      <c r="C16" s="1397">
        <f>IF('QS Takeoff'!$B12="","",'QS Takeoff'!A12)</f>
        <v/>
      </c>
      <c r="D16" s="1397">
        <f>IF('QS Takeoff'!$B12="","",'QS Takeoff'!B12)</f>
        <v/>
      </c>
      <c r="E16" s="1397">
        <f>IF('QS Takeoff'!$B12="","",'QS Takeoff'!C12)</f>
        <v/>
      </c>
      <c r="F16" s="1397">
        <f>IF('QS Takeoff'!$B12="","",'QS Takeoff'!E12)</f>
        <v/>
      </c>
      <c r="G16" s="1397">
        <f>IF('QS Takeoff'!$B12="","",'QS Takeoff'!D12)</f>
        <v/>
      </c>
      <c r="H16" s="1472">
        <f>IF('QS Takeoff'!$B12="","",'QS Takeoff'!G12)</f>
        <v/>
      </c>
      <c r="I16" s="1472">
        <f>SUMIF('Resource Build-Up'!$B$7:$B$306,D16,'Resource Build-Up'!$Z$7:$Z$306)</f>
        <v/>
      </c>
      <c r="J16" s="1473">
        <f>IFERROR(_xlfn.MAXIFS('Resource Build-Up'!$M$7:$M$306,'Resource Build-Up'!$B$7:$B$306,D16),0)</f>
        <v/>
      </c>
      <c r="K16" s="1473">
        <f>IF(J16=0,"",ROUNDUP(J16/8,0))</f>
        <v/>
      </c>
      <c r="L16" s="1474" t="n"/>
      <c r="M16" s="1473">
        <f>IF(L16&lt;&gt;"",L16,K16)</f>
        <v/>
      </c>
      <c r="N16" s="1436">
        <f>IF(M16="","",TEXT(M16,"0")&amp;" days")</f>
        <v/>
      </c>
      <c r="O16" s="1397" t="n"/>
      <c r="P16" s="1397" t="n"/>
      <c r="Q16" s="1397" t="n"/>
      <c r="R16" s="1397" t="n"/>
      <c r="S16" s="1475" t="n"/>
      <c r="T16" s="1476">
        <f>IF($D16="","",I16-N(H16))</f>
        <v/>
      </c>
      <c r="U16" s="1397">
        <f>IF($D16="","",IF(ABS(T16)&lt;0.01,"OK","CHECK"))</f>
        <v/>
      </c>
      <c r="V16" s="1397" t="inlineStr">
        <is>
          <t>Auto Scheduled</t>
        </is>
      </c>
      <c r="W16" s="1397" t="inlineStr">
        <is>
          <t>Prorated</t>
        </is>
      </c>
      <c r="X16" s="1397" t="n"/>
      <c r="Y16" s="1397">
        <f>IF($D16="","",COUNTIF($D$7:$D16,"?*"))</f>
        <v/>
      </c>
    </row>
    <row r="17" ht="52.79999923706055" customFormat="1" customHeight="1" s="217">
      <c r="A17" s="1471" t="n">
        <v>11</v>
      </c>
      <c r="B17" s="1471" t="n">
        <v>13</v>
      </c>
      <c r="C17" s="1397">
        <f>IF('QS Takeoff'!$B13="","",'QS Takeoff'!A13)</f>
        <v/>
      </c>
      <c r="D17" s="1397">
        <f>IF('QS Takeoff'!$B13="","",'QS Takeoff'!B13)</f>
        <v/>
      </c>
      <c r="E17" s="1397">
        <f>IF('QS Takeoff'!$B13="","",'QS Takeoff'!C13)</f>
        <v/>
      </c>
      <c r="F17" s="1397">
        <f>IF('QS Takeoff'!$B13="","",'QS Takeoff'!E13)</f>
        <v/>
      </c>
      <c r="G17" s="1397">
        <f>IF('QS Takeoff'!$B13="","",'QS Takeoff'!D13)</f>
        <v/>
      </c>
      <c r="H17" s="1472">
        <f>IF('QS Takeoff'!$B13="","",'QS Takeoff'!G13)</f>
        <v/>
      </c>
      <c r="I17" s="1472">
        <f>SUMIF('Resource Build-Up'!$B$7:$B$306,D17,'Resource Build-Up'!$Z$7:$Z$306)</f>
        <v/>
      </c>
      <c r="J17" s="1473">
        <f>IFERROR(_xlfn.MAXIFS('Resource Build-Up'!$M$7:$M$306,'Resource Build-Up'!$B$7:$B$306,D17),0)</f>
        <v/>
      </c>
      <c r="K17" s="1473">
        <f>IF(J17=0,"",ROUNDUP(J17/8,0))</f>
        <v/>
      </c>
      <c r="L17" s="1474" t="n"/>
      <c r="M17" s="1473">
        <f>IF(L17&lt;&gt;"",L17,K17)</f>
        <v/>
      </c>
      <c r="N17" s="1436">
        <f>IF(M17="","",TEXT(M17,"0")&amp;" days")</f>
        <v/>
      </c>
      <c r="O17" s="1397" t="n"/>
      <c r="P17" s="1397" t="n"/>
      <c r="Q17" s="1397" t="n"/>
      <c r="R17" s="1397" t="n"/>
      <c r="S17" s="1475" t="n"/>
      <c r="T17" s="1476">
        <f>IF($D17="","",I17-N(H17))</f>
        <v/>
      </c>
      <c r="U17" s="1397">
        <f>IF($D17="","",IF(ABS(T17)&lt;0.01,"OK","CHECK"))</f>
        <v/>
      </c>
      <c r="V17" s="1397" t="inlineStr">
        <is>
          <t>Auto Scheduled</t>
        </is>
      </c>
      <c r="W17" s="1397" t="inlineStr">
        <is>
          <t>Prorated</t>
        </is>
      </c>
      <c r="X17" s="1397" t="n"/>
      <c r="Y17" s="1397">
        <f>IF($D17="","",COUNTIF($D$7:$D17,"?*"))</f>
        <v/>
      </c>
    </row>
    <row r="18" ht="52.79999923706055" customFormat="1" customHeight="1" s="217">
      <c r="A18" s="1471" t="n">
        <v>12</v>
      </c>
      <c r="B18" s="1471" t="n">
        <v>14</v>
      </c>
      <c r="C18" s="1397">
        <f>IF('QS Takeoff'!$B14="","",'QS Takeoff'!A14)</f>
        <v/>
      </c>
      <c r="D18" s="1397">
        <f>IF('QS Takeoff'!$B14="","",'QS Takeoff'!B14)</f>
        <v/>
      </c>
      <c r="E18" s="1397">
        <f>IF('QS Takeoff'!$B14="","",'QS Takeoff'!C14)</f>
        <v/>
      </c>
      <c r="F18" s="1397">
        <f>IF('QS Takeoff'!$B14="","",'QS Takeoff'!E14)</f>
        <v/>
      </c>
      <c r="G18" s="1397">
        <f>IF('QS Takeoff'!$B14="","",'QS Takeoff'!D14)</f>
        <v/>
      </c>
      <c r="H18" s="1472">
        <f>IF('QS Takeoff'!$B14="","",'QS Takeoff'!G14)</f>
        <v/>
      </c>
      <c r="I18" s="1472">
        <f>SUMIF('Resource Build-Up'!$B$7:$B$306,D18,'Resource Build-Up'!$Z$7:$Z$306)</f>
        <v/>
      </c>
      <c r="J18" s="1473">
        <f>IFERROR(_xlfn.MAXIFS('Resource Build-Up'!$M$7:$M$306,'Resource Build-Up'!$B$7:$B$306,D18),0)</f>
        <v/>
      </c>
      <c r="K18" s="1473">
        <f>IF(J18=0,"",ROUNDUP(J18/8,0))</f>
        <v/>
      </c>
      <c r="L18" s="1474" t="n"/>
      <c r="M18" s="1473">
        <f>IF(L18&lt;&gt;"",L18,K18)</f>
        <v/>
      </c>
      <c r="N18" s="1436">
        <f>IF(M18="","",TEXT(M18,"0")&amp;" days")</f>
        <v/>
      </c>
      <c r="O18" s="1397" t="n"/>
      <c r="P18" s="1397" t="n"/>
      <c r="Q18" s="1397" t="n"/>
      <c r="R18" s="1397" t="n"/>
      <c r="S18" s="1475" t="n"/>
      <c r="T18" s="1476">
        <f>IF($D18="","",I18-N(H18))</f>
        <v/>
      </c>
      <c r="U18" s="1397">
        <f>IF($D18="","",IF(ABS(T18)&lt;0.01,"OK","CHECK"))</f>
        <v/>
      </c>
      <c r="V18" s="1397" t="inlineStr">
        <is>
          <t>Auto Scheduled</t>
        </is>
      </c>
      <c r="W18" s="1397" t="inlineStr">
        <is>
          <t>Prorated</t>
        </is>
      </c>
      <c r="X18" s="1397" t="n"/>
      <c r="Y18" s="1397">
        <f>IF($D18="","",COUNTIF($D$7:$D18,"?*"))</f>
        <v/>
      </c>
    </row>
    <row r="19" ht="52.79999923706055" customFormat="1" customHeight="1" s="217">
      <c r="A19" s="1471" t="n">
        <v>13</v>
      </c>
      <c r="B19" s="1471" t="n">
        <v>15</v>
      </c>
      <c r="C19" s="1397">
        <f>IF('QS Takeoff'!$B15="","",'QS Takeoff'!A15)</f>
        <v/>
      </c>
      <c r="D19" s="1397">
        <f>IF('QS Takeoff'!$B15="","",'QS Takeoff'!B15)</f>
        <v/>
      </c>
      <c r="E19" s="1397">
        <f>IF('QS Takeoff'!$B15="","",'QS Takeoff'!C15)</f>
        <v/>
      </c>
      <c r="F19" s="1397">
        <f>IF('QS Takeoff'!$B15="","",'QS Takeoff'!E15)</f>
        <v/>
      </c>
      <c r="G19" s="1397">
        <f>IF('QS Takeoff'!$B15="","",'QS Takeoff'!D15)</f>
        <v/>
      </c>
      <c r="H19" s="1472">
        <f>IF('QS Takeoff'!$B15="","",'QS Takeoff'!G15)</f>
        <v/>
      </c>
      <c r="I19" s="1472">
        <f>SUMIF('Resource Build-Up'!$B$7:$B$306,D19,'Resource Build-Up'!$Z$7:$Z$306)</f>
        <v/>
      </c>
      <c r="J19" s="1473">
        <f>IFERROR(_xlfn.MAXIFS('Resource Build-Up'!$M$7:$M$306,'Resource Build-Up'!$B$7:$B$306,D19),0)</f>
        <v/>
      </c>
      <c r="K19" s="1473">
        <f>IF(J19=0,"",ROUNDUP(J19/8,0))</f>
        <v/>
      </c>
      <c r="L19" s="1474" t="n"/>
      <c r="M19" s="1473">
        <f>IF(L19&lt;&gt;"",L19,K19)</f>
        <v/>
      </c>
      <c r="N19" s="1436">
        <f>IF(M19="","",TEXT(M19,"0")&amp;" days")</f>
        <v/>
      </c>
      <c r="O19" s="1397" t="n"/>
      <c r="P19" s="1397" t="n"/>
      <c r="Q19" s="1397" t="n"/>
      <c r="R19" s="1397" t="n"/>
      <c r="S19" s="1475" t="n"/>
      <c r="T19" s="1476">
        <f>IF($D19="","",I19-N(H19))</f>
        <v/>
      </c>
      <c r="U19" s="1397">
        <f>IF($D19="","",IF(ABS(T19)&lt;0.01,"OK","CHECK"))</f>
        <v/>
      </c>
      <c r="V19" s="1397" t="inlineStr">
        <is>
          <t>Auto Scheduled</t>
        </is>
      </c>
      <c r="W19" s="1397" t="inlineStr">
        <is>
          <t>Prorated</t>
        </is>
      </c>
      <c r="X19" s="1397" t="n"/>
      <c r="Y19" s="1397">
        <f>IF($D19="","",COUNTIF($D$7:$D19,"?*"))</f>
        <v/>
      </c>
    </row>
    <row r="20" ht="52.79999923706055" customFormat="1" customHeight="1" s="217">
      <c r="A20" s="1471" t="n">
        <v>14</v>
      </c>
      <c r="B20" s="1471" t="n">
        <v>16</v>
      </c>
      <c r="C20" s="1397">
        <f>IF('QS Takeoff'!$B16="","",'QS Takeoff'!A16)</f>
        <v/>
      </c>
      <c r="D20" s="1397">
        <f>IF('QS Takeoff'!$B16="","",'QS Takeoff'!B16)</f>
        <v/>
      </c>
      <c r="E20" s="1397">
        <f>IF('QS Takeoff'!$B16="","",'QS Takeoff'!C16)</f>
        <v/>
      </c>
      <c r="F20" s="1397">
        <f>IF('QS Takeoff'!$B16="","",'QS Takeoff'!E16)</f>
        <v/>
      </c>
      <c r="G20" s="1397">
        <f>IF('QS Takeoff'!$B16="","",'QS Takeoff'!D16)</f>
        <v/>
      </c>
      <c r="H20" s="1472">
        <f>IF('QS Takeoff'!$B16="","",'QS Takeoff'!G16)</f>
        <v/>
      </c>
      <c r="I20" s="1472">
        <f>SUMIF('Resource Build-Up'!$B$7:$B$306,D20,'Resource Build-Up'!$Z$7:$Z$306)</f>
        <v/>
      </c>
      <c r="J20" s="1473">
        <f>IFERROR(_xlfn.MAXIFS('Resource Build-Up'!$M$7:$M$306,'Resource Build-Up'!$B$7:$B$306,D20),0)</f>
        <v/>
      </c>
      <c r="K20" s="1473">
        <f>IF(J20=0,"",ROUNDUP(J20/8,0))</f>
        <v/>
      </c>
      <c r="L20" s="1474" t="n"/>
      <c r="M20" s="1473">
        <f>IF(L20&lt;&gt;"",L20,K20)</f>
        <v/>
      </c>
      <c r="N20" s="1436">
        <f>IF(M20="","",TEXT(M20,"0")&amp;" days")</f>
        <v/>
      </c>
      <c r="O20" s="1397" t="n"/>
      <c r="P20" s="1397" t="n"/>
      <c r="Q20" s="1397" t="n"/>
      <c r="R20" s="1397" t="n"/>
      <c r="S20" s="1475" t="n"/>
      <c r="T20" s="1476">
        <f>IF($D20="","",I20-N(H20))</f>
        <v/>
      </c>
      <c r="U20" s="1397">
        <f>IF($D20="","",IF(ABS(T20)&lt;0.01,"OK","CHECK"))</f>
        <v/>
      </c>
      <c r="V20" s="1397" t="inlineStr">
        <is>
          <t>Auto Scheduled</t>
        </is>
      </c>
      <c r="W20" s="1397" t="inlineStr">
        <is>
          <t>Prorated</t>
        </is>
      </c>
      <c r="X20" s="1397" t="n"/>
      <c r="Y20" s="1397">
        <f>IF($D20="","",COUNTIF($D$7:$D20,"?*"))</f>
        <v/>
      </c>
    </row>
    <row r="21" ht="52.79999923706055" customFormat="1" customHeight="1" s="217">
      <c r="A21" s="1471" t="n">
        <v>15</v>
      </c>
      <c r="B21" s="1471" t="n">
        <v>17</v>
      </c>
      <c r="C21" s="1397">
        <f>IF('QS Takeoff'!$B17="","",'QS Takeoff'!A17)</f>
        <v/>
      </c>
      <c r="D21" s="1397">
        <f>IF('QS Takeoff'!$B17="","",'QS Takeoff'!B17)</f>
        <v/>
      </c>
      <c r="E21" s="1397">
        <f>IF('QS Takeoff'!$B17="","",'QS Takeoff'!C17)</f>
        <v/>
      </c>
      <c r="F21" s="1397">
        <f>IF('QS Takeoff'!$B17="","",'QS Takeoff'!E17)</f>
        <v/>
      </c>
      <c r="G21" s="1397">
        <f>IF('QS Takeoff'!$B17="","",'QS Takeoff'!D17)</f>
        <v/>
      </c>
      <c r="H21" s="1472">
        <f>IF('QS Takeoff'!$B17="","",'QS Takeoff'!G17)</f>
        <v/>
      </c>
      <c r="I21" s="1472">
        <f>SUMIF('Resource Build-Up'!$B$7:$B$306,D21,'Resource Build-Up'!$Z$7:$Z$306)</f>
        <v/>
      </c>
      <c r="J21" s="1473">
        <f>IFERROR(_xlfn.MAXIFS('Resource Build-Up'!$M$7:$M$306,'Resource Build-Up'!$B$7:$B$306,D21),0)</f>
        <v/>
      </c>
      <c r="K21" s="1473">
        <f>IF(J21=0,"",ROUNDUP(J21/8,0))</f>
        <v/>
      </c>
      <c r="L21" s="1474" t="n"/>
      <c r="M21" s="1473">
        <f>IF(L21&lt;&gt;"",L21,K21)</f>
        <v/>
      </c>
      <c r="N21" s="1436">
        <f>IF(M21="","",TEXT(M21,"0")&amp;" days")</f>
        <v/>
      </c>
      <c r="O21" s="1397" t="n"/>
      <c r="P21" s="1397" t="n"/>
      <c r="Q21" s="1397" t="n"/>
      <c r="R21" s="1397" t="n"/>
      <c r="S21" s="1475" t="n"/>
      <c r="T21" s="1476">
        <f>IF($D21="","",I21-N(H21))</f>
        <v/>
      </c>
      <c r="U21" s="1397">
        <f>IF($D21="","",IF(ABS(T21)&lt;0.01,"OK","CHECK"))</f>
        <v/>
      </c>
      <c r="V21" s="1397" t="inlineStr">
        <is>
          <t>Auto Scheduled</t>
        </is>
      </c>
      <c r="W21" s="1397" t="inlineStr">
        <is>
          <t>Prorated</t>
        </is>
      </c>
      <c r="X21" s="1397" t="n"/>
      <c r="Y21" s="1397">
        <f>IF($D21="","",COUNTIF($D$7:$D21,"?*"))</f>
        <v/>
      </c>
    </row>
    <row r="22" ht="52.79999923706055" customFormat="1" customHeight="1" s="217">
      <c r="A22" s="1471" t="n">
        <v>16</v>
      </c>
      <c r="B22" s="1471" t="n">
        <v>18</v>
      </c>
      <c r="C22" s="1397">
        <f>IF('QS Takeoff'!$B18="","",'QS Takeoff'!A18)</f>
        <v/>
      </c>
      <c r="D22" s="1397">
        <f>IF('QS Takeoff'!$B18="","",'QS Takeoff'!B18)</f>
        <v/>
      </c>
      <c r="E22" s="1397">
        <f>IF('QS Takeoff'!$B18="","",'QS Takeoff'!C18)</f>
        <v/>
      </c>
      <c r="F22" s="1397">
        <f>IF('QS Takeoff'!$B18="","",'QS Takeoff'!E18)</f>
        <v/>
      </c>
      <c r="G22" s="1397">
        <f>IF('QS Takeoff'!$B18="","",'QS Takeoff'!D18)</f>
        <v/>
      </c>
      <c r="H22" s="1472">
        <f>IF('QS Takeoff'!$B18="","",'QS Takeoff'!G18)</f>
        <v/>
      </c>
      <c r="I22" s="1472">
        <f>SUMIF('Resource Build-Up'!$B$7:$B$306,D22,'Resource Build-Up'!$Z$7:$Z$306)</f>
        <v/>
      </c>
      <c r="J22" s="1473">
        <f>IFERROR(_xlfn.MAXIFS('Resource Build-Up'!$M$7:$M$306,'Resource Build-Up'!$B$7:$B$306,D22),0)</f>
        <v/>
      </c>
      <c r="K22" s="1473">
        <f>IF(J22=0,"",ROUNDUP(J22/8,0))</f>
        <v/>
      </c>
      <c r="L22" s="1474" t="n"/>
      <c r="M22" s="1473">
        <f>IF(L22&lt;&gt;"",L22,K22)</f>
        <v/>
      </c>
      <c r="N22" s="1436">
        <f>IF(M22="","",TEXT(M22,"0")&amp;" days")</f>
        <v/>
      </c>
      <c r="O22" s="1397" t="n"/>
      <c r="P22" s="1397" t="n"/>
      <c r="Q22" s="1397" t="n"/>
      <c r="R22" s="1397" t="n"/>
      <c r="S22" s="1475" t="n"/>
      <c r="T22" s="1476">
        <f>IF($D22="","",I22-N(H22))</f>
        <v/>
      </c>
      <c r="U22" s="1397">
        <f>IF($D22="","",IF(ABS(T22)&lt;0.01,"OK","CHECK"))</f>
        <v/>
      </c>
      <c r="V22" s="1397" t="inlineStr">
        <is>
          <t>Auto Scheduled</t>
        </is>
      </c>
      <c r="W22" s="1397" t="inlineStr">
        <is>
          <t>Prorated</t>
        </is>
      </c>
      <c r="X22" s="1397" t="n"/>
      <c r="Y22" s="1397">
        <f>IF($D22="","",COUNTIF($D$7:$D22,"?*"))</f>
        <v/>
      </c>
    </row>
    <row r="23" ht="52.79999923706055" customFormat="1" customHeight="1" s="217">
      <c r="A23" s="1471" t="n">
        <v>17</v>
      </c>
      <c r="B23" s="1471" t="n">
        <v>19</v>
      </c>
      <c r="C23" s="1397">
        <f>IF('QS Takeoff'!$B19="","",'QS Takeoff'!A19)</f>
        <v/>
      </c>
      <c r="D23" s="1397">
        <f>IF('QS Takeoff'!$B19="","",'QS Takeoff'!B19)</f>
        <v/>
      </c>
      <c r="E23" s="1397">
        <f>IF('QS Takeoff'!$B19="","",'QS Takeoff'!C19)</f>
        <v/>
      </c>
      <c r="F23" s="1397">
        <f>IF('QS Takeoff'!$B19="","",'QS Takeoff'!E19)</f>
        <v/>
      </c>
      <c r="G23" s="1397">
        <f>IF('QS Takeoff'!$B19="","",'QS Takeoff'!D19)</f>
        <v/>
      </c>
      <c r="H23" s="1472">
        <f>IF('QS Takeoff'!$B19="","",'QS Takeoff'!G19)</f>
        <v/>
      </c>
      <c r="I23" s="1472">
        <f>SUMIF('Resource Build-Up'!$B$7:$B$306,D23,'Resource Build-Up'!$Z$7:$Z$306)</f>
        <v/>
      </c>
      <c r="J23" s="1473">
        <f>IFERROR(_xlfn.MAXIFS('Resource Build-Up'!$M$7:$M$306,'Resource Build-Up'!$B$7:$B$306,D23),0)</f>
        <v/>
      </c>
      <c r="K23" s="1473">
        <f>IF(J23=0,"",ROUNDUP(J23/8,0))</f>
        <v/>
      </c>
      <c r="L23" s="1474" t="n"/>
      <c r="M23" s="1473">
        <f>IF(L23&lt;&gt;"",L23,K23)</f>
        <v/>
      </c>
      <c r="N23" s="1436">
        <f>IF(M23="","",TEXT(M23,"0")&amp;" days")</f>
        <v/>
      </c>
      <c r="O23" s="1397" t="n"/>
      <c r="P23" s="1397" t="n"/>
      <c r="Q23" s="1397" t="n"/>
      <c r="R23" s="1397" t="n"/>
      <c r="S23" s="1475" t="n"/>
      <c r="T23" s="1476">
        <f>IF($D23="","",I23-N(H23))</f>
        <v/>
      </c>
      <c r="U23" s="1397">
        <f>IF($D23="","",IF(ABS(T23)&lt;0.01,"OK","CHECK"))</f>
        <v/>
      </c>
      <c r="V23" s="1397" t="inlineStr">
        <is>
          <t>Auto Scheduled</t>
        </is>
      </c>
      <c r="W23" s="1397" t="inlineStr">
        <is>
          <t>Prorated</t>
        </is>
      </c>
      <c r="X23" s="1397" t="n"/>
      <c r="Y23" s="1397">
        <f>IF($D23="","",COUNTIF($D$7:$D23,"?*"))</f>
        <v/>
      </c>
    </row>
    <row r="24" ht="52.79999923706055" customFormat="1" customHeight="1" s="217">
      <c r="A24" s="1471" t="n">
        <v>18</v>
      </c>
      <c r="B24" s="1471" t="n">
        <v>20</v>
      </c>
      <c r="C24" s="1397">
        <f>IF('QS Takeoff'!$B20="","",'QS Takeoff'!A20)</f>
        <v/>
      </c>
      <c r="D24" s="1397">
        <f>IF('QS Takeoff'!$B20="","",'QS Takeoff'!B20)</f>
        <v/>
      </c>
      <c r="E24" s="1397">
        <f>IF('QS Takeoff'!$B20="","",'QS Takeoff'!C20)</f>
        <v/>
      </c>
      <c r="F24" s="1397">
        <f>IF('QS Takeoff'!$B20="","",'QS Takeoff'!E20)</f>
        <v/>
      </c>
      <c r="G24" s="1397">
        <f>IF('QS Takeoff'!$B20="","",'QS Takeoff'!D20)</f>
        <v/>
      </c>
      <c r="H24" s="1472">
        <f>IF('QS Takeoff'!$B20="","",'QS Takeoff'!G20)</f>
        <v/>
      </c>
      <c r="I24" s="1472">
        <f>SUMIF('Resource Build-Up'!$B$7:$B$306,D24,'Resource Build-Up'!$Z$7:$Z$306)</f>
        <v/>
      </c>
      <c r="J24" s="1473">
        <f>IFERROR(_xlfn.MAXIFS('Resource Build-Up'!$M$7:$M$306,'Resource Build-Up'!$B$7:$B$306,D24),0)</f>
        <v/>
      </c>
      <c r="K24" s="1473">
        <f>IF(J24=0,"",ROUNDUP(J24/8,0))</f>
        <v/>
      </c>
      <c r="L24" s="1474" t="n"/>
      <c r="M24" s="1473">
        <f>IF(L24&lt;&gt;"",L24,K24)</f>
        <v/>
      </c>
      <c r="N24" s="1436">
        <f>IF(M24="","",TEXT(M24,"0")&amp;" days")</f>
        <v/>
      </c>
      <c r="O24" s="1397" t="n"/>
      <c r="P24" s="1397" t="n"/>
      <c r="Q24" s="1397" t="n"/>
      <c r="R24" s="1397" t="n"/>
      <c r="S24" s="1475" t="n"/>
      <c r="T24" s="1476">
        <f>IF($D24="","",I24-N(H24))</f>
        <v/>
      </c>
      <c r="U24" s="1397">
        <f>IF($D24="","",IF(ABS(T24)&lt;0.01,"OK","CHECK"))</f>
        <v/>
      </c>
      <c r="V24" s="1397" t="inlineStr">
        <is>
          <t>Auto Scheduled</t>
        </is>
      </c>
      <c r="W24" s="1397" t="inlineStr">
        <is>
          <t>Prorated</t>
        </is>
      </c>
      <c r="X24" s="1397" t="n"/>
      <c r="Y24" s="1397">
        <f>IF($D24="","",COUNTIF($D$7:$D24,"?*"))</f>
        <v/>
      </c>
    </row>
    <row r="25" ht="52.79999923706055" customFormat="1" customHeight="1" s="217">
      <c r="A25" s="1471" t="n">
        <v>19</v>
      </c>
      <c r="B25" s="1471" t="n">
        <v>21</v>
      </c>
      <c r="C25" s="1397">
        <f>IF('QS Takeoff'!$B21="","",'QS Takeoff'!A21)</f>
        <v/>
      </c>
      <c r="D25" s="1397">
        <f>IF('QS Takeoff'!$B21="","",'QS Takeoff'!B21)</f>
        <v/>
      </c>
      <c r="E25" s="1397">
        <f>IF('QS Takeoff'!$B21="","",'QS Takeoff'!C21)</f>
        <v/>
      </c>
      <c r="F25" s="1397">
        <f>IF('QS Takeoff'!$B21="","",'QS Takeoff'!E21)</f>
        <v/>
      </c>
      <c r="G25" s="1397">
        <f>IF('QS Takeoff'!$B21="","",'QS Takeoff'!D21)</f>
        <v/>
      </c>
      <c r="H25" s="1472">
        <f>IF('QS Takeoff'!$B21="","",'QS Takeoff'!G21)</f>
        <v/>
      </c>
      <c r="I25" s="1472">
        <f>SUMIF('Resource Build-Up'!$B$7:$B$306,D25,'Resource Build-Up'!$Z$7:$Z$306)</f>
        <v/>
      </c>
      <c r="J25" s="1473">
        <f>IFERROR(_xlfn.MAXIFS('Resource Build-Up'!$M$7:$M$306,'Resource Build-Up'!$B$7:$B$306,D25),0)</f>
        <v/>
      </c>
      <c r="K25" s="1473">
        <f>IF(J25=0,"",ROUNDUP(J25/8,0))</f>
        <v/>
      </c>
      <c r="L25" s="1474" t="n"/>
      <c r="M25" s="1473">
        <f>IF(L25&lt;&gt;"",L25,K25)</f>
        <v/>
      </c>
      <c r="N25" s="1436">
        <f>IF(M25="","",TEXT(M25,"0")&amp;" days")</f>
        <v/>
      </c>
      <c r="O25" s="1397" t="n"/>
      <c r="P25" s="1397" t="n"/>
      <c r="Q25" s="1397" t="n"/>
      <c r="R25" s="1397" t="n"/>
      <c r="S25" s="1475" t="n"/>
      <c r="T25" s="1476">
        <f>IF($D25="","",I25-N(H25))</f>
        <v/>
      </c>
      <c r="U25" s="1397">
        <f>IF($D25="","",IF(ABS(T25)&lt;0.01,"OK","CHECK"))</f>
        <v/>
      </c>
      <c r="V25" s="1397" t="inlineStr">
        <is>
          <t>Auto Scheduled</t>
        </is>
      </c>
      <c r="W25" s="1397" t="inlineStr">
        <is>
          <t>Prorated</t>
        </is>
      </c>
      <c r="X25" s="1397" t="n"/>
      <c r="Y25" s="1397">
        <f>IF($D25="","",COUNTIF($D$7:$D25,"?*"))</f>
        <v/>
      </c>
    </row>
    <row r="26" ht="52.79999923706055" customFormat="1" customHeight="1" s="217">
      <c r="A26" s="1471" t="n">
        <v>20</v>
      </c>
      <c r="B26" s="1471" t="n">
        <v>22</v>
      </c>
      <c r="C26" s="1397">
        <f>IF('QS Takeoff'!$B22="","",'QS Takeoff'!A22)</f>
        <v/>
      </c>
      <c r="D26" s="1397">
        <f>IF('QS Takeoff'!$B22="","",'QS Takeoff'!B22)</f>
        <v/>
      </c>
      <c r="E26" s="1397">
        <f>IF('QS Takeoff'!$B22="","",'QS Takeoff'!C22)</f>
        <v/>
      </c>
      <c r="F26" s="1397">
        <f>IF('QS Takeoff'!$B22="","",'QS Takeoff'!E22)</f>
        <v/>
      </c>
      <c r="G26" s="1397">
        <f>IF('QS Takeoff'!$B22="","",'QS Takeoff'!D22)</f>
        <v/>
      </c>
      <c r="H26" s="1472">
        <f>IF('QS Takeoff'!$B22="","",'QS Takeoff'!G22)</f>
        <v/>
      </c>
      <c r="I26" s="1472">
        <f>SUMIF('Resource Build-Up'!$B$7:$B$306,D26,'Resource Build-Up'!$Z$7:$Z$306)</f>
        <v/>
      </c>
      <c r="J26" s="1473">
        <f>IFERROR(_xlfn.MAXIFS('Resource Build-Up'!$M$7:$M$306,'Resource Build-Up'!$B$7:$B$306,D26),0)</f>
        <v/>
      </c>
      <c r="K26" s="1473">
        <f>IF(J26=0,"",ROUNDUP(J26/8,0))</f>
        <v/>
      </c>
      <c r="L26" s="1474" t="n"/>
      <c r="M26" s="1473">
        <f>IF(L26&lt;&gt;"",L26,K26)</f>
        <v/>
      </c>
      <c r="N26" s="1436">
        <f>IF(M26="","",TEXT(M26,"0")&amp;" days")</f>
        <v/>
      </c>
      <c r="O26" s="1397" t="n"/>
      <c r="P26" s="1397" t="n"/>
      <c r="Q26" s="1397" t="n"/>
      <c r="R26" s="1397" t="n"/>
      <c r="S26" s="1475" t="n"/>
      <c r="T26" s="1476">
        <f>IF($D26="","",I26-N(H26))</f>
        <v/>
      </c>
      <c r="U26" s="1397">
        <f>IF($D26="","",IF(ABS(T26)&lt;0.01,"OK","CHECK"))</f>
        <v/>
      </c>
      <c r="V26" s="1397" t="inlineStr">
        <is>
          <t>Auto Scheduled</t>
        </is>
      </c>
      <c r="W26" s="1397" t="inlineStr">
        <is>
          <t>Prorated</t>
        </is>
      </c>
      <c r="X26" s="1397" t="n"/>
      <c r="Y26" s="1397">
        <f>IF($D26="","",COUNTIF($D$7:$D26,"?*"))</f>
        <v/>
      </c>
    </row>
    <row r="27" ht="52.79999923706055" customFormat="1" customHeight="1" s="217">
      <c r="A27" s="1471" t="n">
        <v>21</v>
      </c>
      <c r="B27" s="1471" t="n">
        <v>23</v>
      </c>
      <c r="C27" s="1397">
        <f>IF('QS Takeoff'!$B23="","",'QS Takeoff'!A23)</f>
        <v/>
      </c>
      <c r="D27" s="1397">
        <f>IF('QS Takeoff'!$B23="","",'QS Takeoff'!B23)</f>
        <v/>
      </c>
      <c r="E27" s="1397">
        <f>IF('QS Takeoff'!$B23="","",'QS Takeoff'!C23)</f>
        <v/>
      </c>
      <c r="F27" s="1397">
        <f>IF('QS Takeoff'!$B23="","",'QS Takeoff'!E23)</f>
        <v/>
      </c>
      <c r="G27" s="1397">
        <f>IF('QS Takeoff'!$B23="","",'QS Takeoff'!D23)</f>
        <v/>
      </c>
      <c r="H27" s="1472">
        <f>IF('QS Takeoff'!$B23="","",'QS Takeoff'!G23)</f>
        <v/>
      </c>
      <c r="I27" s="1472">
        <f>SUMIF('Resource Build-Up'!$B$7:$B$306,D27,'Resource Build-Up'!$Z$7:$Z$306)</f>
        <v/>
      </c>
      <c r="J27" s="1473">
        <f>IFERROR(_xlfn.MAXIFS('Resource Build-Up'!$M$7:$M$306,'Resource Build-Up'!$B$7:$B$306,D27),0)</f>
        <v/>
      </c>
      <c r="K27" s="1473">
        <f>IF(J27=0,"",ROUNDUP(J27/8,0))</f>
        <v/>
      </c>
      <c r="L27" s="1474" t="n"/>
      <c r="M27" s="1473">
        <f>IF(L27&lt;&gt;"",L27,K27)</f>
        <v/>
      </c>
      <c r="N27" s="1436">
        <f>IF(M27="","",TEXT(M27,"0")&amp;" days")</f>
        <v/>
      </c>
      <c r="O27" s="1397" t="n"/>
      <c r="P27" s="1397" t="n"/>
      <c r="Q27" s="1397" t="n"/>
      <c r="R27" s="1397" t="n"/>
      <c r="S27" s="1475" t="n"/>
      <c r="T27" s="1476">
        <f>IF($D27="","",I27-N(H27))</f>
        <v/>
      </c>
      <c r="U27" s="1397">
        <f>IF($D27="","",IF(ABS(T27)&lt;0.01,"OK","CHECK"))</f>
        <v/>
      </c>
      <c r="V27" s="1397" t="inlineStr">
        <is>
          <t>Auto Scheduled</t>
        </is>
      </c>
      <c r="W27" s="1397" t="inlineStr">
        <is>
          <t>Prorated</t>
        </is>
      </c>
      <c r="X27" s="1397" t="n"/>
      <c r="Y27" s="1397">
        <f>IF($D27="","",COUNTIF($D$7:$D27,"?*"))</f>
        <v/>
      </c>
    </row>
    <row r="28" ht="52.79999923706055" customFormat="1" customHeight="1" s="217">
      <c r="A28" s="1471" t="n">
        <v>22</v>
      </c>
      <c r="B28" s="1471" t="n">
        <v>24</v>
      </c>
      <c r="C28" s="1397">
        <f>IF('QS Takeoff'!$B24="","",'QS Takeoff'!A24)</f>
        <v/>
      </c>
      <c r="D28" s="1397">
        <f>IF('QS Takeoff'!$B24="","",'QS Takeoff'!B24)</f>
        <v/>
      </c>
      <c r="E28" s="1397">
        <f>IF('QS Takeoff'!$B24="","",'QS Takeoff'!C24)</f>
        <v/>
      </c>
      <c r="F28" s="1397">
        <f>IF('QS Takeoff'!$B24="","",'QS Takeoff'!E24)</f>
        <v/>
      </c>
      <c r="G28" s="1397">
        <f>IF('QS Takeoff'!$B24="","",'QS Takeoff'!D24)</f>
        <v/>
      </c>
      <c r="H28" s="1472">
        <f>IF('QS Takeoff'!$B24="","",'QS Takeoff'!G24)</f>
        <v/>
      </c>
      <c r="I28" s="1472">
        <f>SUMIF('Resource Build-Up'!$B$7:$B$306,D28,'Resource Build-Up'!$Z$7:$Z$306)</f>
        <v/>
      </c>
      <c r="J28" s="1473">
        <f>IFERROR(_xlfn.MAXIFS('Resource Build-Up'!$M$7:$M$306,'Resource Build-Up'!$B$7:$B$306,D28),0)</f>
        <v/>
      </c>
      <c r="K28" s="1473">
        <f>IF(J28=0,"",ROUNDUP(J28/8,0))</f>
        <v/>
      </c>
      <c r="L28" s="1474" t="n"/>
      <c r="M28" s="1473">
        <f>IF(L28&lt;&gt;"",L28,K28)</f>
        <v/>
      </c>
      <c r="N28" s="1436">
        <f>IF(M28="","",TEXT(M28,"0")&amp;" days")</f>
        <v/>
      </c>
      <c r="O28" s="1397" t="n"/>
      <c r="P28" s="1397" t="n"/>
      <c r="Q28" s="1397" t="n"/>
      <c r="R28" s="1397" t="n"/>
      <c r="S28" s="1475" t="n"/>
      <c r="T28" s="1476">
        <f>IF($D28="","",I28-N(H28))</f>
        <v/>
      </c>
      <c r="U28" s="1397">
        <f>IF($D28="","",IF(ABS(T28)&lt;0.01,"OK","CHECK"))</f>
        <v/>
      </c>
      <c r="V28" s="1397" t="inlineStr">
        <is>
          <t>Auto Scheduled</t>
        </is>
      </c>
      <c r="W28" s="1397" t="inlineStr">
        <is>
          <t>Prorated</t>
        </is>
      </c>
      <c r="X28" s="1397" t="n"/>
      <c r="Y28" s="1397">
        <f>IF($D28="","",COUNTIF($D$7:$D28,"?*"))</f>
        <v/>
      </c>
    </row>
    <row r="29" ht="52.79999923706055" customFormat="1" customHeight="1" s="217">
      <c r="A29" s="1471" t="n">
        <v>23</v>
      </c>
      <c r="B29" s="1471" t="n">
        <v>25</v>
      </c>
      <c r="C29" s="1397">
        <f>IF('QS Takeoff'!$B25="","",'QS Takeoff'!A25)</f>
        <v/>
      </c>
      <c r="D29" s="1397">
        <f>IF('QS Takeoff'!$B25="","",'QS Takeoff'!B25)</f>
        <v/>
      </c>
      <c r="E29" s="1397">
        <f>IF('QS Takeoff'!$B25="","",'QS Takeoff'!C25)</f>
        <v/>
      </c>
      <c r="F29" s="1397">
        <f>IF('QS Takeoff'!$B25="","",'QS Takeoff'!E25)</f>
        <v/>
      </c>
      <c r="G29" s="1397">
        <f>IF('QS Takeoff'!$B25="","",'QS Takeoff'!D25)</f>
        <v/>
      </c>
      <c r="H29" s="1472">
        <f>IF('QS Takeoff'!$B25="","",'QS Takeoff'!G25)</f>
        <v/>
      </c>
      <c r="I29" s="1472">
        <f>SUMIF('Resource Build-Up'!$B$7:$B$306,D29,'Resource Build-Up'!$Z$7:$Z$306)</f>
        <v/>
      </c>
      <c r="J29" s="1473">
        <f>IFERROR(_xlfn.MAXIFS('Resource Build-Up'!$M$7:$M$306,'Resource Build-Up'!$B$7:$B$306,D29),0)</f>
        <v/>
      </c>
      <c r="K29" s="1473">
        <f>IF(J29=0,"",ROUNDUP(J29/8,0))</f>
        <v/>
      </c>
      <c r="L29" s="1474" t="n"/>
      <c r="M29" s="1473">
        <f>IF(L29&lt;&gt;"",L29,K29)</f>
        <v/>
      </c>
      <c r="N29" s="1436">
        <f>IF(M29="","",TEXT(M29,"0")&amp;" days")</f>
        <v/>
      </c>
      <c r="O29" s="1397" t="n"/>
      <c r="P29" s="1397" t="n"/>
      <c r="Q29" s="1397" t="n"/>
      <c r="R29" s="1397" t="n"/>
      <c r="S29" s="1475" t="n"/>
      <c r="T29" s="1476">
        <f>IF($D29="","",I29-N(H29))</f>
        <v/>
      </c>
      <c r="U29" s="1397">
        <f>IF($D29="","",IF(ABS(T29)&lt;0.01,"OK","CHECK"))</f>
        <v/>
      </c>
      <c r="V29" s="1397" t="inlineStr">
        <is>
          <t>Auto Scheduled</t>
        </is>
      </c>
      <c r="W29" s="1397" t="inlineStr">
        <is>
          <t>Prorated</t>
        </is>
      </c>
      <c r="X29" s="1397" t="n"/>
      <c r="Y29" s="1397">
        <f>IF($D29="","",COUNTIF($D$7:$D29,"?*"))</f>
        <v/>
      </c>
    </row>
    <row r="30" ht="52.79999923706055" customFormat="1" customHeight="1" s="217">
      <c r="A30" s="1471" t="n">
        <v>24</v>
      </c>
      <c r="B30" s="1471" t="n">
        <v>26</v>
      </c>
      <c r="C30" s="1397">
        <f>IF('QS Takeoff'!$B26="","",'QS Takeoff'!A26)</f>
        <v/>
      </c>
      <c r="D30" s="1397">
        <f>IF('QS Takeoff'!$B26="","",'QS Takeoff'!B26)</f>
        <v/>
      </c>
      <c r="E30" s="1397">
        <f>IF('QS Takeoff'!$B26="","",'QS Takeoff'!C26)</f>
        <v/>
      </c>
      <c r="F30" s="1397">
        <f>IF('QS Takeoff'!$B26="","",'QS Takeoff'!E26)</f>
        <v/>
      </c>
      <c r="G30" s="1397">
        <f>IF('QS Takeoff'!$B26="","",'QS Takeoff'!D26)</f>
        <v/>
      </c>
      <c r="H30" s="1472">
        <f>IF('QS Takeoff'!$B26="","",'QS Takeoff'!G26)</f>
        <v/>
      </c>
      <c r="I30" s="1472">
        <f>SUMIF('Resource Build-Up'!$B$7:$B$306,D30,'Resource Build-Up'!$Z$7:$Z$306)</f>
        <v/>
      </c>
      <c r="J30" s="1473">
        <f>IFERROR(_xlfn.MAXIFS('Resource Build-Up'!$M$7:$M$306,'Resource Build-Up'!$B$7:$B$306,D30),0)</f>
        <v/>
      </c>
      <c r="K30" s="1473">
        <f>IF(J30=0,"",ROUNDUP(J30/8,0))</f>
        <v/>
      </c>
      <c r="L30" s="1474" t="n"/>
      <c r="M30" s="1473">
        <f>IF(L30&lt;&gt;"",L30,K30)</f>
        <v/>
      </c>
      <c r="N30" s="1436">
        <f>IF(M30="","",TEXT(M30,"0")&amp;" days")</f>
        <v/>
      </c>
      <c r="O30" s="1397" t="n"/>
      <c r="P30" s="1397" t="n"/>
      <c r="Q30" s="1397" t="n"/>
      <c r="R30" s="1397" t="n"/>
      <c r="S30" s="1475" t="n"/>
      <c r="T30" s="1476">
        <f>IF($D30="","",I30-N(H30))</f>
        <v/>
      </c>
      <c r="U30" s="1397">
        <f>IF($D30="","",IF(ABS(T30)&lt;0.01,"OK","CHECK"))</f>
        <v/>
      </c>
      <c r="V30" s="1397" t="inlineStr">
        <is>
          <t>Auto Scheduled</t>
        </is>
      </c>
      <c r="W30" s="1397" t="inlineStr">
        <is>
          <t>Prorated</t>
        </is>
      </c>
      <c r="X30" s="1397" t="n"/>
      <c r="Y30" s="1397">
        <f>IF($D30="","",COUNTIF($D$7:$D30,"?*"))</f>
        <v/>
      </c>
    </row>
    <row r="31" ht="52.79999923706055" customFormat="1" customHeight="1" s="217">
      <c r="A31" s="1471" t="n">
        <v>25</v>
      </c>
      <c r="B31" s="1471" t="n">
        <v>27</v>
      </c>
      <c r="C31" s="1397">
        <f>IF('QS Takeoff'!$B27="","",'QS Takeoff'!A27)</f>
        <v/>
      </c>
      <c r="D31" s="1397">
        <f>IF('QS Takeoff'!$B27="","",'QS Takeoff'!B27)</f>
        <v/>
      </c>
      <c r="E31" s="1397">
        <f>IF('QS Takeoff'!$B27="","",'QS Takeoff'!C27)</f>
        <v/>
      </c>
      <c r="F31" s="1397">
        <f>IF('QS Takeoff'!$B27="","",'QS Takeoff'!E27)</f>
        <v/>
      </c>
      <c r="G31" s="1397">
        <f>IF('QS Takeoff'!$B27="","",'QS Takeoff'!D27)</f>
        <v/>
      </c>
      <c r="H31" s="1472">
        <f>IF('QS Takeoff'!$B27="","",'QS Takeoff'!G27)</f>
        <v/>
      </c>
      <c r="I31" s="1472">
        <f>SUMIF('Resource Build-Up'!$B$7:$B$306,D31,'Resource Build-Up'!$Z$7:$Z$306)</f>
        <v/>
      </c>
      <c r="J31" s="1473">
        <f>IFERROR(_xlfn.MAXIFS('Resource Build-Up'!$M$7:$M$306,'Resource Build-Up'!$B$7:$B$306,D31),0)</f>
        <v/>
      </c>
      <c r="K31" s="1473">
        <f>IF(J31=0,"",ROUNDUP(J31/8,0))</f>
        <v/>
      </c>
      <c r="L31" s="1474" t="n"/>
      <c r="M31" s="1473">
        <f>IF(L31&lt;&gt;"",L31,K31)</f>
        <v/>
      </c>
      <c r="N31" s="1436">
        <f>IF(M31="","",TEXT(M31,"0")&amp;" days")</f>
        <v/>
      </c>
      <c r="O31" s="1397" t="n"/>
      <c r="P31" s="1397" t="n"/>
      <c r="Q31" s="1397" t="n"/>
      <c r="R31" s="1397" t="n"/>
      <c r="S31" s="1475" t="n"/>
      <c r="T31" s="1476">
        <f>IF($D31="","",I31-N(H31))</f>
        <v/>
      </c>
      <c r="U31" s="1397">
        <f>IF($D31="","",IF(ABS(T31)&lt;0.01,"OK","CHECK"))</f>
        <v/>
      </c>
      <c r="V31" s="1397" t="inlineStr">
        <is>
          <t>Auto Scheduled</t>
        </is>
      </c>
      <c r="W31" s="1397" t="inlineStr">
        <is>
          <t>Prorated</t>
        </is>
      </c>
      <c r="X31" s="1397" t="n"/>
      <c r="Y31" s="1397">
        <f>IF($D31="","",COUNTIF($D$7:$D31,"?*"))</f>
        <v/>
      </c>
    </row>
    <row r="32" ht="52.79999923706055" customFormat="1" customHeight="1" s="217">
      <c r="A32" s="1471" t="n">
        <v>26</v>
      </c>
      <c r="B32" s="1471" t="n">
        <v>28</v>
      </c>
      <c r="C32" s="1397">
        <f>IF('QS Takeoff'!$B28="","",'QS Takeoff'!A28)</f>
        <v/>
      </c>
      <c r="D32" s="1397">
        <f>IF('QS Takeoff'!$B28="","",'QS Takeoff'!B28)</f>
        <v/>
      </c>
      <c r="E32" s="1397">
        <f>IF('QS Takeoff'!$B28="","",'QS Takeoff'!C28)</f>
        <v/>
      </c>
      <c r="F32" s="1397">
        <f>IF('QS Takeoff'!$B28="","",'QS Takeoff'!E28)</f>
        <v/>
      </c>
      <c r="G32" s="1397">
        <f>IF('QS Takeoff'!$B28="","",'QS Takeoff'!D28)</f>
        <v/>
      </c>
      <c r="H32" s="1472">
        <f>IF('QS Takeoff'!$B28="","",'QS Takeoff'!G28)</f>
        <v/>
      </c>
      <c r="I32" s="1472">
        <f>SUMIF('Resource Build-Up'!$B$7:$B$306,D32,'Resource Build-Up'!$Z$7:$Z$306)</f>
        <v/>
      </c>
      <c r="J32" s="1473">
        <f>IFERROR(_xlfn.MAXIFS('Resource Build-Up'!$M$7:$M$306,'Resource Build-Up'!$B$7:$B$306,D32),0)</f>
        <v/>
      </c>
      <c r="K32" s="1473">
        <f>IF(J32=0,"",ROUNDUP(J32/8,0))</f>
        <v/>
      </c>
      <c r="L32" s="1474" t="n"/>
      <c r="M32" s="1473">
        <f>IF(L32&lt;&gt;"",L32,K32)</f>
        <v/>
      </c>
      <c r="N32" s="1436">
        <f>IF(M32="","",TEXT(M32,"0")&amp;" days")</f>
        <v/>
      </c>
      <c r="O32" s="1397" t="n"/>
      <c r="P32" s="1397" t="n"/>
      <c r="Q32" s="1397" t="n"/>
      <c r="R32" s="1397" t="n"/>
      <c r="S32" s="1475" t="n"/>
      <c r="T32" s="1476">
        <f>IF($D32="","",I32-N(H32))</f>
        <v/>
      </c>
      <c r="U32" s="1397">
        <f>IF($D32="","",IF(ABS(T32)&lt;0.01,"OK","CHECK"))</f>
        <v/>
      </c>
      <c r="V32" s="1397" t="inlineStr">
        <is>
          <t>Auto Scheduled</t>
        </is>
      </c>
      <c r="W32" s="1397" t="inlineStr">
        <is>
          <t>Prorated</t>
        </is>
      </c>
      <c r="X32" s="1397" t="n"/>
      <c r="Y32" s="1397">
        <f>IF($D32="","",COUNTIF($D$7:$D32,"?*"))</f>
        <v/>
      </c>
    </row>
    <row r="33" ht="52.79999923706055" customFormat="1" customHeight="1" s="217">
      <c r="A33" s="1471" t="n">
        <v>27</v>
      </c>
      <c r="B33" s="1471" t="n">
        <v>29</v>
      </c>
      <c r="C33" s="1397">
        <f>IF('QS Takeoff'!$B29="","",'QS Takeoff'!A29)</f>
        <v/>
      </c>
      <c r="D33" s="1397">
        <f>IF('QS Takeoff'!$B29="","",'QS Takeoff'!B29)</f>
        <v/>
      </c>
      <c r="E33" s="1397">
        <f>IF('QS Takeoff'!$B29="","",'QS Takeoff'!C29)</f>
        <v/>
      </c>
      <c r="F33" s="1397">
        <f>IF('QS Takeoff'!$B29="","",'QS Takeoff'!E29)</f>
        <v/>
      </c>
      <c r="G33" s="1397">
        <f>IF('QS Takeoff'!$B29="","",'QS Takeoff'!D29)</f>
        <v/>
      </c>
      <c r="H33" s="1472">
        <f>IF('QS Takeoff'!$B29="","",'QS Takeoff'!G29)</f>
        <v/>
      </c>
      <c r="I33" s="1472">
        <f>SUMIF('Resource Build-Up'!$B$7:$B$306,D33,'Resource Build-Up'!$Z$7:$Z$306)</f>
        <v/>
      </c>
      <c r="J33" s="1473">
        <f>IFERROR(_xlfn.MAXIFS('Resource Build-Up'!$M$7:$M$306,'Resource Build-Up'!$B$7:$B$306,D33),0)</f>
        <v/>
      </c>
      <c r="K33" s="1473">
        <f>IF(J33=0,"",ROUNDUP(J33/8,0))</f>
        <v/>
      </c>
      <c r="L33" s="1474" t="n"/>
      <c r="M33" s="1473">
        <f>IF(L33&lt;&gt;"",L33,K33)</f>
        <v/>
      </c>
      <c r="N33" s="1436">
        <f>IF(M33="","",TEXT(M33,"0")&amp;" days")</f>
        <v/>
      </c>
      <c r="O33" s="1397" t="n"/>
      <c r="P33" s="1397" t="n"/>
      <c r="Q33" s="1397" t="n"/>
      <c r="R33" s="1397" t="n"/>
      <c r="S33" s="1475" t="n"/>
      <c r="T33" s="1476">
        <f>IF($D33="","",I33-N(H33))</f>
        <v/>
      </c>
      <c r="U33" s="1397">
        <f>IF($D33="","",IF(ABS(T33)&lt;0.01,"OK","CHECK"))</f>
        <v/>
      </c>
      <c r="V33" s="1397" t="inlineStr">
        <is>
          <t>Auto Scheduled</t>
        </is>
      </c>
      <c r="W33" s="1397" t="inlineStr">
        <is>
          <t>Prorated</t>
        </is>
      </c>
      <c r="X33" s="1397" t="n"/>
      <c r="Y33" s="1397">
        <f>IF($D33="","",COUNTIF($D$7:$D33,"?*"))</f>
        <v/>
      </c>
    </row>
    <row r="34" ht="52.79999923706055" customFormat="1" customHeight="1" s="217">
      <c r="A34" s="1471" t="n">
        <v>28</v>
      </c>
      <c r="B34" s="1471" t="n">
        <v>30</v>
      </c>
      <c r="C34" s="1397">
        <f>IF('QS Takeoff'!$B30="","",'QS Takeoff'!A30)</f>
        <v/>
      </c>
      <c r="D34" s="1397">
        <f>IF('QS Takeoff'!$B30="","",'QS Takeoff'!B30)</f>
        <v/>
      </c>
      <c r="E34" s="1397">
        <f>IF('QS Takeoff'!$B30="","",'QS Takeoff'!C30)</f>
        <v/>
      </c>
      <c r="F34" s="1397">
        <f>IF('QS Takeoff'!$B30="","",'QS Takeoff'!E30)</f>
        <v/>
      </c>
      <c r="G34" s="1397">
        <f>IF('QS Takeoff'!$B30="","",'QS Takeoff'!D30)</f>
        <v/>
      </c>
      <c r="H34" s="1472">
        <f>IF('QS Takeoff'!$B30="","",'QS Takeoff'!G30)</f>
        <v/>
      </c>
      <c r="I34" s="1472">
        <f>SUMIF('Resource Build-Up'!$B$7:$B$306,D34,'Resource Build-Up'!$Z$7:$Z$306)</f>
        <v/>
      </c>
      <c r="J34" s="1473">
        <f>IFERROR(_xlfn.MAXIFS('Resource Build-Up'!$M$7:$M$306,'Resource Build-Up'!$B$7:$B$306,D34),0)</f>
        <v/>
      </c>
      <c r="K34" s="1473">
        <f>IF(J34=0,"",ROUNDUP(J34/8,0))</f>
        <v/>
      </c>
      <c r="L34" s="1474" t="n"/>
      <c r="M34" s="1473">
        <f>IF(L34&lt;&gt;"",L34,K34)</f>
        <v/>
      </c>
      <c r="N34" s="1436">
        <f>IF(M34="","",TEXT(M34,"0")&amp;" days")</f>
        <v/>
      </c>
      <c r="O34" s="1397" t="n"/>
      <c r="P34" s="1397" t="n"/>
      <c r="Q34" s="1397" t="n"/>
      <c r="R34" s="1397" t="n"/>
      <c r="S34" s="1475" t="n"/>
      <c r="T34" s="1476">
        <f>IF($D34="","",I34-N(H34))</f>
        <v/>
      </c>
      <c r="U34" s="1397">
        <f>IF($D34="","",IF(ABS(T34)&lt;0.01,"OK","CHECK"))</f>
        <v/>
      </c>
      <c r="V34" s="1397" t="inlineStr">
        <is>
          <t>Auto Scheduled</t>
        </is>
      </c>
      <c r="W34" s="1397" t="inlineStr">
        <is>
          <t>Prorated</t>
        </is>
      </c>
      <c r="X34" s="1397" t="n"/>
      <c r="Y34" s="1397">
        <f>IF($D34="","",COUNTIF($D$7:$D34,"?*"))</f>
        <v/>
      </c>
    </row>
    <row r="35" ht="52.79999923706055" customFormat="1" customHeight="1" s="217">
      <c r="A35" s="1471" t="n">
        <v>29</v>
      </c>
      <c r="B35" s="1471" t="n">
        <v>31</v>
      </c>
      <c r="C35" s="1397">
        <f>IF('QS Takeoff'!$B31="","",'QS Takeoff'!A31)</f>
        <v/>
      </c>
      <c r="D35" s="1397">
        <f>IF('QS Takeoff'!$B31="","",'QS Takeoff'!B31)</f>
        <v/>
      </c>
      <c r="E35" s="1397">
        <f>IF('QS Takeoff'!$B31="","",'QS Takeoff'!C31)</f>
        <v/>
      </c>
      <c r="F35" s="1397">
        <f>IF('QS Takeoff'!$B31="","",'QS Takeoff'!E31)</f>
        <v/>
      </c>
      <c r="G35" s="1397">
        <f>IF('QS Takeoff'!$B31="","",'QS Takeoff'!D31)</f>
        <v/>
      </c>
      <c r="H35" s="1472">
        <f>IF('QS Takeoff'!$B31="","",'QS Takeoff'!G31)</f>
        <v/>
      </c>
      <c r="I35" s="1472">
        <f>SUMIF('Resource Build-Up'!$B$7:$B$306,D35,'Resource Build-Up'!$Z$7:$Z$306)</f>
        <v/>
      </c>
      <c r="J35" s="1473">
        <f>IFERROR(_xlfn.MAXIFS('Resource Build-Up'!$M$7:$M$306,'Resource Build-Up'!$B$7:$B$306,D35),0)</f>
        <v/>
      </c>
      <c r="K35" s="1473">
        <f>IF(J35=0,"",ROUNDUP(J35/8,0))</f>
        <v/>
      </c>
      <c r="L35" s="1474" t="n"/>
      <c r="M35" s="1473">
        <f>IF(L35&lt;&gt;"",L35,K35)</f>
        <v/>
      </c>
      <c r="N35" s="1436">
        <f>IF(M35="","",TEXT(M35,"0")&amp;" days")</f>
        <v/>
      </c>
      <c r="O35" s="1397" t="n"/>
      <c r="P35" s="1397" t="n"/>
      <c r="Q35" s="1397" t="n"/>
      <c r="R35" s="1397" t="n"/>
      <c r="S35" s="1475" t="n"/>
      <c r="T35" s="1476">
        <f>IF($D35="","",I35-N(H35))</f>
        <v/>
      </c>
      <c r="U35" s="1397">
        <f>IF($D35="","",IF(ABS(T35)&lt;0.01,"OK","CHECK"))</f>
        <v/>
      </c>
      <c r="V35" s="1397" t="inlineStr">
        <is>
          <t>Auto Scheduled</t>
        </is>
      </c>
      <c r="W35" s="1397" t="inlineStr">
        <is>
          <t>Prorated</t>
        </is>
      </c>
      <c r="X35" s="1397" t="n"/>
      <c r="Y35" s="1397">
        <f>IF($D35="","",COUNTIF($D$7:$D35,"?*"))</f>
        <v/>
      </c>
    </row>
    <row r="36" ht="52.79999923706055" customFormat="1" customHeight="1" s="217">
      <c r="A36" s="1471" t="n">
        <v>30</v>
      </c>
      <c r="B36" s="1471" t="n">
        <v>32</v>
      </c>
      <c r="C36" s="1397">
        <f>IF('QS Takeoff'!$B32="","",'QS Takeoff'!A32)</f>
        <v/>
      </c>
      <c r="D36" s="1397">
        <f>IF('QS Takeoff'!$B32="","",'QS Takeoff'!B32)</f>
        <v/>
      </c>
      <c r="E36" s="1397">
        <f>IF('QS Takeoff'!$B32="","",'QS Takeoff'!C32)</f>
        <v/>
      </c>
      <c r="F36" s="1397">
        <f>IF('QS Takeoff'!$B32="","",'QS Takeoff'!E32)</f>
        <v/>
      </c>
      <c r="G36" s="1397">
        <f>IF('QS Takeoff'!$B32="","",'QS Takeoff'!D32)</f>
        <v/>
      </c>
      <c r="H36" s="1472">
        <f>IF('QS Takeoff'!$B32="","",'QS Takeoff'!G32)</f>
        <v/>
      </c>
      <c r="I36" s="1472">
        <f>SUMIF('Resource Build-Up'!$B$7:$B$306,D36,'Resource Build-Up'!$Z$7:$Z$306)</f>
        <v/>
      </c>
      <c r="J36" s="1473">
        <f>IFERROR(_xlfn.MAXIFS('Resource Build-Up'!$M$7:$M$306,'Resource Build-Up'!$B$7:$B$306,D36),0)</f>
        <v/>
      </c>
      <c r="K36" s="1473">
        <f>IF(J36=0,"",ROUNDUP(J36/8,0))</f>
        <v/>
      </c>
      <c r="L36" s="1474" t="n"/>
      <c r="M36" s="1473">
        <f>IF(L36&lt;&gt;"",L36,K36)</f>
        <v/>
      </c>
      <c r="N36" s="1436">
        <f>IF(M36="","",TEXT(M36,"0")&amp;" days")</f>
        <v/>
      </c>
      <c r="O36" s="1397" t="n"/>
      <c r="P36" s="1397" t="n"/>
      <c r="Q36" s="1397" t="n"/>
      <c r="R36" s="1397" t="n"/>
      <c r="S36" s="1475" t="n"/>
      <c r="T36" s="1476">
        <f>IF($D36="","",I36-N(H36))</f>
        <v/>
      </c>
      <c r="U36" s="1397">
        <f>IF($D36="","",IF(ABS(T36)&lt;0.01,"OK","CHECK"))</f>
        <v/>
      </c>
      <c r="V36" s="1397" t="inlineStr">
        <is>
          <t>Auto Scheduled</t>
        </is>
      </c>
      <c r="W36" s="1397" t="inlineStr">
        <is>
          <t>Prorated</t>
        </is>
      </c>
      <c r="X36" s="1397" t="n"/>
      <c r="Y36" s="1397">
        <f>IF($D36="","",COUNTIF($D$7:$D36,"?*"))</f>
        <v/>
      </c>
    </row>
    <row r="37" ht="52.79999923706055" customFormat="1" customHeight="1" s="217">
      <c r="A37" s="1471" t="n">
        <v>31</v>
      </c>
      <c r="B37" s="1471" t="n">
        <v>33</v>
      </c>
      <c r="C37" s="1397">
        <f>IF('QS Takeoff'!$B33="","",'QS Takeoff'!A33)</f>
        <v/>
      </c>
      <c r="D37" s="1397">
        <f>IF('QS Takeoff'!$B33="","",'QS Takeoff'!B33)</f>
        <v/>
      </c>
      <c r="E37" s="1397">
        <f>IF('QS Takeoff'!$B33="","",'QS Takeoff'!C33)</f>
        <v/>
      </c>
      <c r="F37" s="1397">
        <f>IF('QS Takeoff'!$B33="","",'QS Takeoff'!E33)</f>
        <v/>
      </c>
      <c r="G37" s="1397">
        <f>IF('QS Takeoff'!$B33="","",'QS Takeoff'!D33)</f>
        <v/>
      </c>
      <c r="H37" s="1472">
        <f>IF('QS Takeoff'!$B33="","",'QS Takeoff'!G33)</f>
        <v/>
      </c>
      <c r="I37" s="1472">
        <f>SUMIF('Resource Build-Up'!$B$7:$B$306,D37,'Resource Build-Up'!$Z$7:$Z$306)</f>
        <v/>
      </c>
      <c r="J37" s="1473">
        <f>IFERROR(_xlfn.MAXIFS('Resource Build-Up'!$M$7:$M$306,'Resource Build-Up'!$B$7:$B$306,D37),0)</f>
        <v/>
      </c>
      <c r="K37" s="1473">
        <f>IF(J37=0,"",ROUNDUP(J37/8,0))</f>
        <v/>
      </c>
      <c r="L37" s="1474" t="n"/>
      <c r="M37" s="1473">
        <f>IF(L37&lt;&gt;"",L37,K37)</f>
        <v/>
      </c>
      <c r="N37" s="1436">
        <f>IF(M37="","",TEXT(M37,"0")&amp;" days")</f>
        <v/>
      </c>
      <c r="O37" s="1397" t="n"/>
      <c r="P37" s="1397" t="n"/>
      <c r="Q37" s="1397" t="n"/>
      <c r="R37" s="1397" t="n"/>
      <c r="S37" s="1475" t="n"/>
      <c r="T37" s="1476">
        <f>IF($D37="","",I37-N(H37))</f>
        <v/>
      </c>
      <c r="U37" s="1397">
        <f>IF($D37="","",IF(ABS(T37)&lt;0.01,"OK","CHECK"))</f>
        <v/>
      </c>
      <c r="V37" s="1397" t="inlineStr">
        <is>
          <t>Auto Scheduled</t>
        </is>
      </c>
      <c r="W37" s="1397" t="inlineStr">
        <is>
          <t>Prorated</t>
        </is>
      </c>
      <c r="X37" s="1397" t="n"/>
      <c r="Y37" s="1397">
        <f>IF($D37="","",COUNTIF($D$7:$D37,"?*"))</f>
        <v/>
      </c>
    </row>
    <row r="38" ht="52.79999923706055" customFormat="1" customHeight="1" s="217">
      <c r="A38" s="1471" t="n">
        <v>32</v>
      </c>
      <c r="B38" s="1471" t="n">
        <v>34</v>
      </c>
      <c r="C38" s="1397">
        <f>IF('QS Takeoff'!$B34="","",'QS Takeoff'!A34)</f>
        <v/>
      </c>
      <c r="D38" s="1397">
        <f>IF('QS Takeoff'!$B34="","",'QS Takeoff'!B34)</f>
        <v/>
      </c>
      <c r="E38" s="1397">
        <f>IF('QS Takeoff'!$B34="","",'QS Takeoff'!C34)</f>
        <v/>
      </c>
      <c r="F38" s="1397">
        <f>IF('QS Takeoff'!$B34="","",'QS Takeoff'!E34)</f>
        <v/>
      </c>
      <c r="G38" s="1397">
        <f>IF('QS Takeoff'!$B34="","",'QS Takeoff'!D34)</f>
        <v/>
      </c>
      <c r="H38" s="1472">
        <f>IF('QS Takeoff'!$B34="","",'QS Takeoff'!G34)</f>
        <v/>
      </c>
      <c r="I38" s="1472">
        <f>SUMIF('Resource Build-Up'!$B$7:$B$306,D38,'Resource Build-Up'!$Z$7:$Z$306)</f>
        <v/>
      </c>
      <c r="J38" s="1473">
        <f>IFERROR(_xlfn.MAXIFS('Resource Build-Up'!$M$7:$M$306,'Resource Build-Up'!$B$7:$B$306,D38),0)</f>
        <v/>
      </c>
      <c r="K38" s="1473">
        <f>IF(J38=0,"",ROUNDUP(J38/8,0))</f>
        <v/>
      </c>
      <c r="L38" s="1474" t="n"/>
      <c r="M38" s="1473">
        <f>IF(L38&lt;&gt;"",L38,K38)</f>
        <v/>
      </c>
      <c r="N38" s="1436">
        <f>IF(M38="","",TEXT(M38,"0")&amp;" days")</f>
        <v/>
      </c>
      <c r="O38" s="1397" t="n"/>
      <c r="P38" s="1397" t="n"/>
      <c r="Q38" s="1397" t="n"/>
      <c r="R38" s="1397" t="n"/>
      <c r="S38" s="1475" t="n"/>
      <c r="T38" s="1476">
        <f>IF($D38="","",I38-N(H38))</f>
        <v/>
      </c>
      <c r="U38" s="1397">
        <f>IF($D38="","",IF(ABS(T38)&lt;0.01,"OK","CHECK"))</f>
        <v/>
      </c>
      <c r="V38" s="1397" t="inlineStr">
        <is>
          <t>Auto Scheduled</t>
        </is>
      </c>
      <c r="W38" s="1397" t="inlineStr">
        <is>
          <t>Prorated</t>
        </is>
      </c>
      <c r="X38" s="1397" t="n"/>
      <c r="Y38" s="1397">
        <f>IF($D38="","",COUNTIF($D$7:$D38,"?*"))</f>
        <v/>
      </c>
    </row>
    <row r="39" ht="52.79999923706055" customFormat="1" customHeight="1" s="217">
      <c r="A39" s="1471" t="n">
        <v>33</v>
      </c>
      <c r="B39" s="1471" t="n">
        <v>35</v>
      </c>
      <c r="C39" s="1397">
        <f>IF('QS Takeoff'!$B35="","",'QS Takeoff'!A35)</f>
        <v/>
      </c>
      <c r="D39" s="1397">
        <f>IF('QS Takeoff'!$B35="","",'QS Takeoff'!B35)</f>
        <v/>
      </c>
      <c r="E39" s="1397">
        <f>IF('QS Takeoff'!$B35="","",'QS Takeoff'!C35)</f>
        <v/>
      </c>
      <c r="F39" s="1397">
        <f>IF('QS Takeoff'!$B35="","",'QS Takeoff'!E35)</f>
        <v/>
      </c>
      <c r="G39" s="1397">
        <f>IF('QS Takeoff'!$B35="","",'QS Takeoff'!D35)</f>
        <v/>
      </c>
      <c r="H39" s="1472">
        <f>IF('QS Takeoff'!$B35="","",'QS Takeoff'!G35)</f>
        <v/>
      </c>
      <c r="I39" s="1472">
        <f>SUMIF('Resource Build-Up'!$B$7:$B$306,D39,'Resource Build-Up'!$Z$7:$Z$306)</f>
        <v/>
      </c>
      <c r="J39" s="1473">
        <f>IFERROR(_xlfn.MAXIFS('Resource Build-Up'!$M$7:$M$306,'Resource Build-Up'!$B$7:$B$306,D39),0)</f>
        <v/>
      </c>
      <c r="K39" s="1473">
        <f>IF(J39=0,"",ROUNDUP(J39/8,0))</f>
        <v/>
      </c>
      <c r="L39" s="1474" t="n"/>
      <c r="M39" s="1473">
        <f>IF(L39&lt;&gt;"",L39,K39)</f>
        <v/>
      </c>
      <c r="N39" s="1436">
        <f>IF(M39="","",TEXT(M39,"0")&amp;" days")</f>
        <v/>
      </c>
      <c r="O39" s="1397" t="n"/>
      <c r="P39" s="1397" t="n"/>
      <c r="Q39" s="1397" t="n"/>
      <c r="R39" s="1397" t="n"/>
      <c r="S39" s="1475" t="n"/>
      <c r="T39" s="1476">
        <f>IF($D39="","",I39-N(H39))</f>
        <v/>
      </c>
      <c r="U39" s="1397">
        <f>IF($D39="","",IF(ABS(T39)&lt;0.01,"OK","CHECK"))</f>
        <v/>
      </c>
      <c r="V39" s="1397" t="inlineStr">
        <is>
          <t>Auto Scheduled</t>
        </is>
      </c>
      <c r="W39" s="1397" t="inlineStr">
        <is>
          <t>Prorated</t>
        </is>
      </c>
      <c r="X39" s="1397" t="n"/>
      <c r="Y39" s="1397">
        <f>IF($D39="","",COUNTIF($D$7:$D39,"?*"))</f>
        <v/>
      </c>
    </row>
    <row r="40" ht="52.79999923706055" customFormat="1" customHeight="1" s="217">
      <c r="A40" s="1471" t="n">
        <v>34</v>
      </c>
      <c r="B40" s="1471" t="n">
        <v>36</v>
      </c>
      <c r="C40" s="1397">
        <f>IF('QS Takeoff'!$B36="","",'QS Takeoff'!A36)</f>
        <v/>
      </c>
      <c r="D40" s="1397">
        <f>IF('QS Takeoff'!$B36="","",'QS Takeoff'!B36)</f>
        <v/>
      </c>
      <c r="E40" s="1397">
        <f>IF('QS Takeoff'!$B36="","",'QS Takeoff'!C36)</f>
        <v/>
      </c>
      <c r="F40" s="1397">
        <f>IF('QS Takeoff'!$B36="","",'QS Takeoff'!E36)</f>
        <v/>
      </c>
      <c r="G40" s="1397">
        <f>IF('QS Takeoff'!$B36="","",'QS Takeoff'!D36)</f>
        <v/>
      </c>
      <c r="H40" s="1472">
        <f>IF('QS Takeoff'!$B36="","",'QS Takeoff'!G36)</f>
        <v/>
      </c>
      <c r="I40" s="1472">
        <f>SUMIF('Resource Build-Up'!$B$7:$B$306,D40,'Resource Build-Up'!$Z$7:$Z$306)</f>
        <v/>
      </c>
      <c r="J40" s="1473">
        <f>IFERROR(_xlfn.MAXIFS('Resource Build-Up'!$M$7:$M$306,'Resource Build-Up'!$B$7:$B$306,D40),0)</f>
        <v/>
      </c>
      <c r="K40" s="1473">
        <f>IF(J40=0,"",ROUNDUP(J40/8,0))</f>
        <v/>
      </c>
      <c r="L40" s="1474" t="n"/>
      <c r="M40" s="1473">
        <f>IF(L40&lt;&gt;"",L40,K40)</f>
        <v/>
      </c>
      <c r="N40" s="1436">
        <f>IF(M40="","",TEXT(M40,"0")&amp;" days")</f>
        <v/>
      </c>
      <c r="O40" s="1397" t="n"/>
      <c r="P40" s="1397" t="n"/>
      <c r="Q40" s="1397" t="n"/>
      <c r="R40" s="1397" t="n"/>
      <c r="S40" s="1475" t="n"/>
      <c r="T40" s="1476">
        <f>IF($D40="","",I40-N(H40))</f>
        <v/>
      </c>
      <c r="U40" s="1397">
        <f>IF($D40="","",IF(ABS(T40)&lt;0.01,"OK","CHECK"))</f>
        <v/>
      </c>
      <c r="V40" s="1397" t="inlineStr">
        <is>
          <t>Auto Scheduled</t>
        </is>
      </c>
      <c r="W40" s="1397" t="inlineStr">
        <is>
          <t>Prorated</t>
        </is>
      </c>
      <c r="X40" s="1397" t="n"/>
      <c r="Y40" s="1397">
        <f>IF($D40="","",COUNTIF($D$7:$D40,"?*"))</f>
        <v/>
      </c>
    </row>
    <row r="41" ht="52.79999923706055" customFormat="1" customHeight="1" s="217">
      <c r="A41" s="1471" t="n">
        <v>35</v>
      </c>
      <c r="B41" s="1471" t="n">
        <v>37</v>
      </c>
      <c r="C41" s="1397">
        <f>IF('QS Takeoff'!$B37="","",'QS Takeoff'!A37)</f>
        <v/>
      </c>
      <c r="D41" s="1397">
        <f>IF('QS Takeoff'!$B37="","",'QS Takeoff'!B37)</f>
        <v/>
      </c>
      <c r="E41" s="1397">
        <f>IF('QS Takeoff'!$B37="","",'QS Takeoff'!C37)</f>
        <v/>
      </c>
      <c r="F41" s="1397">
        <f>IF('QS Takeoff'!$B37="","",'QS Takeoff'!E37)</f>
        <v/>
      </c>
      <c r="G41" s="1397">
        <f>IF('QS Takeoff'!$B37="","",'QS Takeoff'!D37)</f>
        <v/>
      </c>
      <c r="H41" s="1472">
        <f>IF('QS Takeoff'!$B37="","",'QS Takeoff'!G37)</f>
        <v/>
      </c>
      <c r="I41" s="1472">
        <f>SUMIF('Resource Build-Up'!$B$7:$B$306,D41,'Resource Build-Up'!$Z$7:$Z$306)</f>
        <v/>
      </c>
      <c r="J41" s="1473">
        <f>IFERROR(_xlfn.MAXIFS('Resource Build-Up'!$M$7:$M$306,'Resource Build-Up'!$B$7:$B$306,D41),0)</f>
        <v/>
      </c>
      <c r="K41" s="1473">
        <f>IF(J41=0,"",ROUNDUP(J41/8,0))</f>
        <v/>
      </c>
      <c r="L41" s="1474" t="n"/>
      <c r="M41" s="1473">
        <f>IF(L41&lt;&gt;"",L41,K41)</f>
        <v/>
      </c>
      <c r="N41" s="1436">
        <f>IF(M41="","",TEXT(M41,"0")&amp;" days")</f>
        <v/>
      </c>
      <c r="O41" s="1397" t="n"/>
      <c r="P41" s="1397" t="n"/>
      <c r="Q41" s="1397" t="n"/>
      <c r="R41" s="1397" t="n"/>
      <c r="S41" s="1475" t="n"/>
      <c r="T41" s="1476">
        <f>IF($D41="","",I41-N(H41))</f>
        <v/>
      </c>
      <c r="U41" s="1397">
        <f>IF($D41="","",IF(ABS(T41)&lt;0.01,"OK","CHECK"))</f>
        <v/>
      </c>
      <c r="V41" s="1397" t="inlineStr">
        <is>
          <t>Auto Scheduled</t>
        </is>
      </c>
      <c r="W41" s="1397" t="inlineStr">
        <is>
          <t>Prorated</t>
        </is>
      </c>
      <c r="X41" s="1397" t="n"/>
      <c r="Y41" s="1397">
        <f>IF($D41="","",COUNTIF($D$7:$D41,"?*"))</f>
        <v/>
      </c>
    </row>
    <row r="42" ht="52.79999923706055" customFormat="1" customHeight="1" s="217">
      <c r="A42" s="1471" t="n">
        <v>36</v>
      </c>
      <c r="B42" s="1471" t="n">
        <v>38</v>
      </c>
      <c r="C42" s="1397">
        <f>IF('QS Takeoff'!$B38="","",'QS Takeoff'!A38)</f>
        <v/>
      </c>
      <c r="D42" s="1397">
        <f>IF('QS Takeoff'!$B38="","",'QS Takeoff'!B38)</f>
        <v/>
      </c>
      <c r="E42" s="1397">
        <f>IF('QS Takeoff'!$B38="","",'QS Takeoff'!C38)</f>
        <v/>
      </c>
      <c r="F42" s="1397">
        <f>IF('QS Takeoff'!$B38="","",'QS Takeoff'!E38)</f>
        <v/>
      </c>
      <c r="G42" s="1397">
        <f>IF('QS Takeoff'!$B38="","",'QS Takeoff'!D38)</f>
        <v/>
      </c>
      <c r="H42" s="1472">
        <f>IF('QS Takeoff'!$B38="","",'QS Takeoff'!G38)</f>
        <v/>
      </c>
      <c r="I42" s="1472">
        <f>SUMIF('Resource Build-Up'!$B$7:$B$306,D42,'Resource Build-Up'!$Z$7:$Z$306)</f>
        <v/>
      </c>
      <c r="J42" s="1473">
        <f>IFERROR(_xlfn.MAXIFS('Resource Build-Up'!$M$7:$M$306,'Resource Build-Up'!$B$7:$B$306,D42),0)</f>
        <v/>
      </c>
      <c r="K42" s="1473">
        <f>IF(J42=0,"",ROUNDUP(J42/8,0))</f>
        <v/>
      </c>
      <c r="L42" s="1474" t="n"/>
      <c r="M42" s="1473">
        <f>IF(L42&lt;&gt;"",L42,K42)</f>
        <v/>
      </c>
      <c r="N42" s="1436">
        <f>IF(M42="","",TEXT(M42,"0")&amp;" days")</f>
        <v/>
      </c>
      <c r="O42" s="1397" t="n"/>
      <c r="P42" s="1397" t="n"/>
      <c r="Q42" s="1397" t="n"/>
      <c r="R42" s="1397" t="n"/>
      <c r="S42" s="1475" t="n"/>
      <c r="T42" s="1476">
        <f>IF($D42="","",I42-N(H42))</f>
        <v/>
      </c>
      <c r="U42" s="1397">
        <f>IF($D42="","",IF(ABS(T42)&lt;0.01,"OK","CHECK"))</f>
        <v/>
      </c>
      <c r="V42" s="1397" t="inlineStr">
        <is>
          <t>Auto Scheduled</t>
        </is>
      </c>
      <c r="W42" s="1397" t="inlineStr">
        <is>
          <t>Prorated</t>
        </is>
      </c>
      <c r="X42" s="1397" t="n"/>
      <c r="Y42" s="1397">
        <f>IF($D42="","",COUNTIF($D$7:$D42,"?*"))</f>
        <v/>
      </c>
    </row>
    <row r="43" ht="52.79999923706055" customFormat="1" customHeight="1" s="217">
      <c r="A43" s="1471" t="n">
        <v>37</v>
      </c>
      <c r="B43" s="1471" t="n">
        <v>39</v>
      </c>
      <c r="C43" s="1397">
        <f>IF('QS Takeoff'!$B39="","",'QS Takeoff'!A39)</f>
        <v/>
      </c>
      <c r="D43" s="1397">
        <f>IF('QS Takeoff'!$B39="","",'QS Takeoff'!B39)</f>
        <v/>
      </c>
      <c r="E43" s="1397">
        <f>IF('QS Takeoff'!$B39="","",'QS Takeoff'!C39)</f>
        <v/>
      </c>
      <c r="F43" s="1397">
        <f>IF('QS Takeoff'!$B39="","",'QS Takeoff'!E39)</f>
        <v/>
      </c>
      <c r="G43" s="1397">
        <f>IF('QS Takeoff'!$B39="","",'QS Takeoff'!D39)</f>
        <v/>
      </c>
      <c r="H43" s="1472">
        <f>IF('QS Takeoff'!$B39="","",'QS Takeoff'!G39)</f>
        <v/>
      </c>
      <c r="I43" s="1472">
        <f>SUMIF('Resource Build-Up'!$B$7:$B$306,D43,'Resource Build-Up'!$Z$7:$Z$306)</f>
        <v/>
      </c>
      <c r="J43" s="1473">
        <f>IFERROR(_xlfn.MAXIFS('Resource Build-Up'!$M$7:$M$306,'Resource Build-Up'!$B$7:$B$306,D43),0)</f>
        <v/>
      </c>
      <c r="K43" s="1473">
        <f>IF(J43=0,"",ROUNDUP(J43/8,0))</f>
        <v/>
      </c>
      <c r="L43" s="1474" t="n"/>
      <c r="M43" s="1473">
        <f>IF(L43&lt;&gt;"",L43,K43)</f>
        <v/>
      </c>
      <c r="N43" s="1436">
        <f>IF(M43="","",TEXT(M43,"0")&amp;" days")</f>
        <v/>
      </c>
      <c r="O43" s="1397" t="n"/>
      <c r="P43" s="1397" t="n"/>
      <c r="Q43" s="1397" t="n"/>
      <c r="R43" s="1397" t="n"/>
      <c r="S43" s="1475" t="n"/>
      <c r="T43" s="1476">
        <f>IF($D43="","",I43-N(H43))</f>
        <v/>
      </c>
      <c r="U43" s="1397">
        <f>IF($D43="","",IF(ABS(T43)&lt;0.01,"OK","CHECK"))</f>
        <v/>
      </c>
      <c r="V43" s="1397" t="inlineStr">
        <is>
          <t>Auto Scheduled</t>
        </is>
      </c>
      <c r="W43" s="1397" t="inlineStr">
        <is>
          <t>Prorated</t>
        </is>
      </c>
      <c r="X43" s="1397" t="n"/>
      <c r="Y43" s="1397">
        <f>IF($D43="","",COUNTIF($D$7:$D43,"?*"))</f>
        <v/>
      </c>
    </row>
    <row r="44" ht="52.79999923706055" customFormat="1" customHeight="1" s="217">
      <c r="A44" s="1471" t="n">
        <v>38</v>
      </c>
      <c r="B44" s="1471" t="n">
        <v>40</v>
      </c>
      <c r="C44" s="1397">
        <f>IF('QS Takeoff'!$B40="","",'QS Takeoff'!A40)</f>
        <v/>
      </c>
      <c r="D44" s="1397">
        <f>IF('QS Takeoff'!$B40="","",'QS Takeoff'!B40)</f>
        <v/>
      </c>
      <c r="E44" s="1397">
        <f>IF('QS Takeoff'!$B40="","",'QS Takeoff'!C40)</f>
        <v/>
      </c>
      <c r="F44" s="1397">
        <f>IF('QS Takeoff'!$B40="","",'QS Takeoff'!E40)</f>
        <v/>
      </c>
      <c r="G44" s="1397">
        <f>IF('QS Takeoff'!$B40="","",'QS Takeoff'!D40)</f>
        <v/>
      </c>
      <c r="H44" s="1472">
        <f>IF('QS Takeoff'!$B40="","",'QS Takeoff'!G40)</f>
        <v/>
      </c>
      <c r="I44" s="1472">
        <f>SUMIF('Resource Build-Up'!$B$7:$B$306,D44,'Resource Build-Up'!$Z$7:$Z$306)</f>
        <v/>
      </c>
      <c r="J44" s="1473">
        <f>IFERROR(_xlfn.MAXIFS('Resource Build-Up'!$M$7:$M$306,'Resource Build-Up'!$B$7:$B$306,D44),0)</f>
        <v/>
      </c>
      <c r="K44" s="1473">
        <f>IF(J44=0,"",ROUNDUP(J44/8,0))</f>
        <v/>
      </c>
      <c r="L44" s="1474" t="n"/>
      <c r="M44" s="1473">
        <f>IF(L44&lt;&gt;"",L44,K44)</f>
        <v/>
      </c>
      <c r="N44" s="1436">
        <f>IF(M44="","",TEXT(M44,"0")&amp;" days")</f>
        <v/>
      </c>
      <c r="O44" s="1397" t="n"/>
      <c r="P44" s="1397" t="n"/>
      <c r="Q44" s="1397" t="n"/>
      <c r="R44" s="1397" t="n"/>
      <c r="S44" s="1475" t="n"/>
      <c r="T44" s="1476">
        <f>IF($D44="","",I44-N(H44))</f>
        <v/>
      </c>
      <c r="U44" s="1397">
        <f>IF($D44="","",IF(ABS(T44)&lt;0.01,"OK","CHECK"))</f>
        <v/>
      </c>
      <c r="V44" s="1397" t="inlineStr">
        <is>
          <t>Auto Scheduled</t>
        </is>
      </c>
      <c r="W44" s="1397" t="inlineStr">
        <is>
          <t>Prorated</t>
        </is>
      </c>
      <c r="X44" s="1397" t="n"/>
      <c r="Y44" s="1397">
        <f>IF($D44="","",COUNTIF($D$7:$D44,"?*"))</f>
        <v/>
      </c>
    </row>
    <row r="45" ht="52.79999923706055" customFormat="1" customHeight="1" s="217">
      <c r="A45" s="1471" t="n">
        <v>39</v>
      </c>
      <c r="B45" s="1471" t="n">
        <v>41</v>
      </c>
      <c r="C45" s="1397">
        <f>IF('QS Takeoff'!$B41="","",'QS Takeoff'!A41)</f>
        <v/>
      </c>
      <c r="D45" s="1397">
        <f>IF('QS Takeoff'!$B41="","",'QS Takeoff'!B41)</f>
        <v/>
      </c>
      <c r="E45" s="1397">
        <f>IF('QS Takeoff'!$B41="","",'QS Takeoff'!C41)</f>
        <v/>
      </c>
      <c r="F45" s="1397">
        <f>IF('QS Takeoff'!$B41="","",'QS Takeoff'!E41)</f>
        <v/>
      </c>
      <c r="G45" s="1397">
        <f>IF('QS Takeoff'!$B41="","",'QS Takeoff'!D41)</f>
        <v/>
      </c>
      <c r="H45" s="1472">
        <f>IF('QS Takeoff'!$B41="","",'QS Takeoff'!G41)</f>
        <v/>
      </c>
      <c r="I45" s="1472">
        <f>SUMIF('Resource Build-Up'!$B$7:$B$306,D45,'Resource Build-Up'!$Z$7:$Z$306)</f>
        <v/>
      </c>
      <c r="J45" s="1473">
        <f>IFERROR(_xlfn.MAXIFS('Resource Build-Up'!$M$7:$M$306,'Resource Build-Up'!$B$7:$B$306,D45),0)</f>
        <v/>
      </c>
      <c r="K45" s="1473">
        <f>IF(J45=0,"",ROUNDUP(J45/8,0))</f>
        <v/>
      </c>
      <c r="L45" s="1474" t="n"/>
      <c r="M45" s="1473">
        <f>IF(L45&lt;&gt;"",L45,K45)</f>
        <v/>
      </c>
      <c r="N45" s="1436">
        <f>IF(M45="","",TEXT(M45,"0")&amp;" days")</f>
        <v/>
      </c>
      <c r="O45" s="1397" t="n"/>
      <c r="P45" s="1397" t="n"/>
      <c r="Q45" s="1397" t="n"/>
      <c r="R45" s="1397" t="n"/>
      <c r="S45" s="1475" t="n"/>
      <c r="T45" s="1476">
        <f>IF($D45="","",I45-N(H45))</f>
        <v/>
      </c>
      <c r="U45" s="1397">
        <f>IF($D45="","",IF(ABS(T45)&lt;0.01,"OK","CHECK"))</f>
        <v/>
      </c>
      <c r="V45" s="1397" t="inlineStr">
        <is>
          <t>Auto Scheduled</t>
        </is>
      </c>
      <c r="W45" s="1397" t="inlineStr">
        <is>
          <t>Prorated</t>
        </is>
      </c>
      <c r="X45" s="1397" t="n"/>
      <c r="Y45" s="1397">
        <f>IF($D45="","",COUNTIF($D$7:$D45,"?*"))</f>
        <v/>
      </c>
    </row>
    <row r="46" ht="52.79999923706055" customFormat="1" customHeight="1" s="217">
      <c r="A46" s="1471" t="n">
        <v>40</v>
      </c>
      <c r="B46" s="1471" t="n">
        <v>42</v>
      </c>
      <c r="C46" s="1397">
        <f>IF('QS Takeoff'!$B42="","",'QS Takeoff'!A42)</f>
        <v/>
      </c>
      <c r="D46" s="1397">
        <f>IF('QS Takeoff'!$B42="","",'QS Takeoff'!B42)</f>
        <v/>
      </c>
      <c r="E46" s="1397">
        <f>IF('QS Takeoff'!$B42="","",'QS Takeoff'!C42)</f>
        <v/>
      </c>
      <c r="F46" s="1397">
        <f>IF('QS Takeoff'!$B42="","",'QS Takeoff'!E42)</f>
        <v/>
      </c>
      <c r="G46" s="1397">
        <f>IF('QS Takeoff'!$B42="","",'QS Takeoff'!D42)</f>
        <v/>
      </c>
      <c r="H46" s="1472">
        <f>IF('QS Takeoff'!$B42="","",'QS Takeoff'!G42)</f>
        <v/>
      </c>
      <c r="I46" s="1472">
        <f>SUMIF('Resource Build-Up'!$B$7:$B$306,D46,'Resource Build-Up'!$Z$7:$Z$306)</f>
        <v/>
      </c>
      <c r="J46" s="1473">
        <f>IFERROR(_xlfn.MAXIFS('Resource Build-Up'!$M$7:$M$306,'Resource Build-Up'!$B$7:$B$306,D46),0)</f>
        <v/>
      </c>
      <c r="K46" s="1473">
        <f>IF(J46=0,"",ROUNDUP(J46/8,0))</f>
        <v/>
      </c>
      <c r="L46" s="1474" t="n"/>
      <c r="M46" s="1473">
        <f>IF(L46&lt;&gt;"",L46,K46)</f>
        <v/>
      </c>
      <c r="N46" s="1436">
        <f>IF(M46="","",TEXT(M46,"0")&amp;" days")</f>
        <v/>
      </c>
      <c r="O46" s="1397" t="n"/>
      <c r="P46" s="1397" t="n"/>
      <c r="Q46" s="1397" t="n"/>
      <c r="R46" s="1397" t="n"/>
      <c r="S46" s="1475" t="n"/>
      <c r="T46" s="1476">
        <f>IF($D46="","",I46-N(H46))</f>
        <v/>
      </c>
      <c r="U46" s="1397">
        <f>IF($D46="","",IF(ABS(T46)&lt;0.01,"OK","CHECK"))</f>
        <v/>
      </c>
      <c r="V46" s="1397" t="inlineStr">
        <is>
          <t>Auto Scheduled</t>
        </is>
      </c>
      <c r="W46" s="1397" t="inlineStr">
        <is>
          <t>Prorated</t>
        </is>
      </c>
      <c r="X46" s="1397" t="n"/>
      <c r="Y46" s="1397">
        <f>IF($D46="","",COUNTIF($D$7:$D46,"?*"))</f>
        <v/>
      </c>
    </row>
    <row r="47" ht="52.79999923706055" customFormat="1" customHeight="1" s="217">
      <c r="A47" s="1471" t="n">
        <v>41</v>
      </c>
      <c r="B47" s="1471" t="n">
        <v>43</v>
      </c>
      <c r="C47" s="1397">
        <f>IF('QS Takeoff'!$B43="","",'QS Takeoff'!A43)</f>
        <v/>
      </c>
      <c r="D47" s="1397">
        <f>IF('QS Takeoff'!$B43="","",'QS Takeoff'!B43)</f>
        <v/>
      </c>
      <c r="E47" s="1397">
        <f>IF('QS Takeoff'!$B43="","",'QS Takeoff'!C43)</f>
        <v/>
      </c>
      <c r="F47" s="1397">
        <f>IF('QS Takeoff'!$B43="","",'QS Takeoff'!E43)</f>
        <v/>
      </c>
      <c r="G47" s="1397">
        <f>IF('QS Takeoff'!$B43="","",'QS Takeoff'!D43)</f>
        <v/>
      </c>
      <c r="H47" s="1472">
        <f>IF('QS Takeoff'!$B43="","",'QS Takeoff'!G43)</f>
        <v/>
      </c>
      <c r="I47" s="1472">
        <f>SUMIF('Resource Build-Up'!$B$7:$B$306,D47,'Resource Build-Up'!$Z$7:$Z$306)</f>
        <v/>
      </c>
      <c r="J47" s="1473">
        <f>IFERROR(_xlfn.MAXIFS('Resource Build-Up'!$M$7:$M$306,'Resource Build-Up'!$B$7:$B$306,D47),0)</f>
        <v/>
      </c>
      <c r="K47" s="1473">
        <f>IF(J47=0,"",ROUNDUP(J47/8,0))</f>
        <v/>
      </c>
      <c r="L47" s="1474" t="n"/>
      <c r="M47" s="1473">
        <f>IF(L47&lt;&gt;"",L47,K47)</f>
        <v/>
      </c>
      <c r="N47" s="1436">
        <f>IF(M47="","",TEXT(M47,"0")&amp;" days")</f>
        <v/>
      </c>
      <c r="O47" s="1397" t="n"/>
      <c r="P47" s="1397" t="n"/>
      <c r="Q47" s="1397" t="n"/>
      <c r="R47" s="1397" t="n"/>
      <c r="S47" s="1475" t="n"/>
      <c r="T47" s="1476">
        <f>IF($D47="","",I47-N(H47))</f>
        <v/>
      </c>
      <c r="U47" s="1397">
        <f>IF($D47="","",IF(ABS(T47)&lt;0.01,"OK","CHECK"))</f>
        <v/>
      </c>
      <c r="V47" s="1397" t="inlineStr">
        <is>
          <t>Auto Scheduled</t>
        </is>
      </c>
      <c r="W47" s="1397" t="inlineStr">
        <is>
          <t>Prorated</t>
        </is>
      </c>
      <c r="X47" s="1397" t="n"/>
      <c r="Y47" s="1397">
        <f>IF($D47="","",COUNTIF($D$7:$D47,"?*"))</f>
        <v/>
      </c>
    </row>
    <row r="48" ht="52.79999923706055" customFormat="1" customHeight="1" s="217">
      <c r="A48" s="1471" t="n">
        <v>42</v>
      </c>
      <c r="B48" s="1471" t="n">
        <v>44</v>
      </c>
      <c r="C48" s="1397">
        <f>IF('QS Takeoff'!$B44="","",'QS Takeoff'!A44)</f>
        <v/>
      </c>
      <c r="D48" s="1397">
        <f>IF('QS Takeoff'!$B44="","",'QS Takeoff'!B44)</f>
        <v/>
      </c>
      <c r="E48" s="1397">
        <f>IF('QS Takeoff'!$B44="","",'QS Takeoff'!C44)</f>
        <v/>
      </c>
      <c r="F48" s="1397">
        <f>IF('QS Takeoff'!$B44="","",'QS Takeoff'!E44)</f>
        <v/>
      </c>
      <c r="G48" s="1397">
        <f>IF('QS Takeoff'!$B44="","",'QS Takeoff'!D44)</f>
        <v/>
      </c>
      <c r="H48" s="1472">
        <f>IF('QS Takeoff'!$B44="","",'QS Takeoff'!G44)</f>
        <v/>
      </c>
      <c r="I48" s="1472">
        <f>SUMIF('Resource Build-Up'!$B$7:$B$306,D48,'Resource Build-Up'!$Z$7:$Z$306)</f>
        <v/>
      </c>
      <c r="J48" s="1473">
        <f>IFERROR(_xlfn.MAXIFS('Resource Build-Up'!$M$7:$M$306,'Resource Build-Up'!$B$7:$B$306,D48),0)</f>
        <v/>
      </c>
      <c r="K48" s="1473">
        <f>IF(J48=0,"",ROUNDUP(J48/8,0))</f>
        <v/>
      </c>
      <c r="L48" s="1474" t="n"/>
      <c r="M48" s="1473">
        <f>IF(L48&lt;&gt;"",L48,K48)</f>
        <v/>
      </c>
      <c r="N48" s="1436">
        <f>IF(M48="","",TEXT(M48,"0")&amp;" days")</f>
        <v/>
      </c>
      <c r="O48" s="1397" t="n"/>
      <c r="P48" s="1397" t="n"/>
      <c r="Q48" s="1397" t="n"/>
      <c r="R48" s="1397" t="n"/>
      <c r="S48" s="1475" t="n"/>
      <c r="T48" s="1476">
        <f>IF($D48="","",I48-N(H48))</f>
        <v/>
      </c>
      <c r="U48" s="1397">
        <f>IF($D48="","",IF(ABS(T48)&lt;0.01,"OK","CHECK"))</f>
        <v/>
      </c>
      <c r="V48" s="1397" t="inlineStr">
        <is>
          <t>Auto Scheduled</t>
        </is>
      </c>
      <c r="W48" s="1397" t="inlineStr">
        <is>
          <t>Prorated</t>
        </is>
      </c>
      <c r="X48" s="1397" t="n"/>
      <c r="Y48" s="1397">
        <f>IF($D48="","",COUNTIF($D$7:$D48,"?*"))</f>
        <v/>
      </c>
    </row>
    <row r="49" ht="52.79999923706055" customFormat="1" customHeight="1" s="217">
      <c r="A49" s="1471" t="n">
        <v>43</v>
      </c>
      <c r="B49" s="1471" t="n">
        <v>45</v>
      </c>
      <c r="C49" s="1397">
        <f>IF('QS Takeoff'!$B45="","",'QS Takeoff'!A45)</f>
        <v/>
      </c>
      <c r="D49" s="1397">
        <f>IF('QS Takeoff'!$B45="","",'QS Takeoff'!B45)</f>
        <v/>
      </c>
      <c r="E49" s="1397">
        <f>IF('QS Takeoff'!$B45="","",'QS Takeoff'!C45)</f>
        <v/>
      </c>
      <c r="F49" s="1397">
        <f>IF('QS Takeoff'!$B45="","",'QS Takeoff'!E45)</f>
        <v/>
      </c>
      <c r="G49" s="1397">
        <f>IF('QS Takeoff'!$B45="","",'QS Takeoff'!D45)</f>
        <v/>
      </c>
      <c r="H49" s="1472">
        <f>IF('QS Takeoff'!$B45="","",'QS Takeoff'!G45)</f>
        <v/>
      </c>
      <c r="I49" s="1472">
        <f>SUMIF('Resource Build-Up'!$B$7:$B$306,D49,'Resource Build-Up'!$Z$7:$Z$306)</f>
        <v/>
      </c>
      <c r="J49" s="1473">
        <f>IFERROR(_xlfn.MAXIFS('Resource Build-Up'!$M$7:$M$306,'Resource Build-Up'!$B$7:$B$306,D49),0)</f>
        <v/>
      </c>
      <c r="K49" s="1473">
        <f>IF(J49=0,"",ROUNDUP(J49/8,0))</f>
        <v/>
      </c>
      <c r="L49" s="1474" t="n"/>
      <c r="M49" s="1473">
        <f>IF(L49&lt;&gt;"",L49,K49)</f>
        <v/>
      </c>
      <c r="N49" s="1436">
        <f>IF(M49="","",TEXT(M49,"0")&amp;" days")</f>
        <v/>
      </c>
      <c r="O49" s="1397" t="n"/>
      <c r="P49" s="1397" t="n"/>
      <c r="Q49" s="1397" t="n"/>
      <c r="R49" s="1397" t="n"/>
      <c r="S49" s="1475" t="n"/>
      <c r="T49" s="1476">
        <f>IF($D49="","",I49-N(H49))</f>
        <v/>
      </c>
      <c r="U49" s="1397">
        <f>IF($D49="","",IF(ABS(T49)&lt;0.01,"OK","CHECK"))</f>
        <v/>
      </c>
      <c r="V49" s="1397" t="inlineStr">
        <is>
          <t>Auto Scheduled</t>
        </is>
      </c>
      <c r="W49" s="1397" t="inlineStr">
        <is>
          <t>Prorated</t>
        </is>
      </c>
      <c r="X49" s="1397" t="n"/>
      <c r="Y49" s="1397">
        <f>IF($D49="","",COUNTIF($D$7:$D49,"?*"))</f>
        <v/>
      </c>
    </row>
    <row r="50" ht="52.79999923706055" customFormat="1" customHeight="1" s="217">
      <c r="A50" s="1471" t="n">
        <v>44</v>
      </c>
      <c r="B50" s="1471" t="n">
        <v>46</v>
      </c>
      <c r="C50" s="1397">
        <f>IF('QS Takeoff'!$B46="","",'QS Takeoff'!A46)</f>
        <v/>
      </c>
      <c r="D50" s="1397">
        <f>IF('QS Takeoff'!$B46="","",'QS Takeoff'!B46)</f>
        <v/>
      </c>
      <c r="E50" s="1397">
        <f>IF('QS Takeoff'!$B46="","",'QS Takeoff'!C46)</f>
        <v/>
      </c>
      <c r="F50" s="1397">
        <f>IF('QS Takeoff'!$B46="","",'QS Takeoff'!E46)</f>
        <v/>
      </c>
      <c r="G50" s="1397">
        <f>IF('QS Takeoff'!$B46="","",'QS Takeoff'!D46)</f>
        <v/>
      </c>
      <c r="H50" s="1472">
        <f>IF('QS Takeoff'!$B46="","",'QS Takeoff'!G46)</f>
        <v/>
      </c>
      <c r="I50" s="1472">
        <f>SUMIF('Resource Build-Up'!$B$7:$B$306,D50,'Resource Build-Up'!$Z$7:$Z$306)</f>
        <v/>
      </c>
      <c r="J50" s="1473">
        <f>IFERROR(_xlfn.MAXIFS('Resource Build-Up'!$M$7:$M$306,'Resource Build-Up'!$B$7:$B$306,D50),0)</f>
        <v/>
      </c>
      <c r="K50" s="1473">
        <f>IF(J50=0,"",ROUNDUP(J50/8,0))</f>
        <v/>
      </c>
      <c r="L50" s="1474" t="n"/>
      <c r="M50" s="1473">
        <f>IF(L50&lt;&gt;"",L50,K50)</f>
        <v/>
      </c>
      <c r="N50" s="1436">
        <f>IF(M50="","",TEXT(M50,"0")&amp;" days")</f>
        <v/>
      </c>
      <c r="O50" s="1397" t="n"/>
      <c r="P50" s="1397" t="n"/>
      <c r="Q50" s="1397" t="n"/>
      <c r="R50" s="1397" t="n"/>
      <c r="S50" s="1475" t="n"/>
      <c r="T50" s="1476">
        <f>IF($D50="","",I50-N(H50))</f>
        <v/>
      </c>
      <c r="U50" s="1397">
        <f>IF($D50="","",IF(ABS(T50)&lt;0.01,"OK","CHECK"))</f>
        <v/>
      </c>
      <c r="V50" s="1397" t="inlineStr">
        <is>
          <t>Auto Scheduled</t>
        </is>
      </c>
      <c r="W50" s="1397" t="inlineStr">
        <is>
          <t>Prorated</t>
        </is>
      </c>
      <c r="X50" s="1397" t="n"/>
      <c r="Y50" s="1397">
        <f>IF($D50="","",COUNTIF($D$7:$D50,"?*"))</f>
        <v/>
      </c>
    </row>
    <row r="51" ht="52.79999923706055" customFormat="1" customHeight="1" s="217">
      <c r="A51" s="1471" t="n">
        <v>45</v>
      </c>
      <c r="B51" s="1471" t="n">
        <v>47</v>
      </c>
      <c r="C51" s="1397">
        <f>IF('QS Takeoff'!$B47="","",'QS Takeoff'!A47)</f>
        <v/>
      </c>
      <c r="D51" s="1397">
        <f>IF('QS Takeoff'!$B47="","",'QS Takeoff'!B47)</f>
        <v/>
      </c>
      <c r="E51" s="1397">
        <f>IF('QS Takeoff'!$B47="","",'QS Takeoff'!C47)</f>
        <v/>
      </c>
      <c r="F51" s="1397">
        <f>IF('QS Takeoff'!$B47="","",'QS Takeoff'!E47)</f>
        <v/>
      </c>
      <c r="G51" s="1397">
        <f>IF('QS Takeoff'!$B47="","",'QS Takeoff'!D47)</f>
        <v/>
      </c>
      <c r="H51" s="1472">
        <f>IF('QS Takeoff'!$B47="","",'QS Takeoff'!G47)</f>
        <v/>
      </c>
      <c r="I51" s="1472">
        <f>SUMIF('Resource Build-Up'!$B$7:$B$306,D51,'Resource Build-Up'!$Z$7:$Z$306)</f>
        <v/>
      </c>
      <c r="J51" s="1473">
        <f>IFERROR(_xlfn.MAXIFS('Resource Build-Up'!$M$7:$M$306,'Resource Build-Up'!$B$7:$B$306,D51),0)</f>
        <v/>
      </c>
      <c r="K51" s="1473">
        <f>IF(J51=0,"",ROUNDUP(J51/8,0))</f>
        <v/>
      </c>
      <c r="L51" s="1474" t="n"/>
      <c r="M51" s="1473">
        <f>IF(L51&lt;&gt;"",L51,K51)</f>
        <v/>
      </c>
      <c r="N51" s="1436">
        <f>IF(M51="","",TEXT(M51,"0")&amp;" days")</f>
        <v/>
      </c>
      <c r="O51" s="1397" t="n"/>
      <c r="P51" s="1397" t="n"/>
      <c r="Q51" s="1397" t="n"/>
      <c r="R51" s="1397" t="n"/>
      <c r="S51" s="1475" t="n"/>
      <c r="T51" s="1476">
        <f>IF($D51="","",I51-N(H51))</f>
        <v/>
      </c>
      <c r="U51" s="1397">
        <f>IF($D51="","",IF(ABS(T51)&lt;0.01,"OK","CHECK"))</f>
        <v/>
      </c>
      <c r="V51" s="1397" t="inlineStr">
        <is>
          <t>Auto Scheduled</t>
        </is>
      </c>
      <c r="W51" s="1397" t="inlineStr">
        <is>
          <t>Prorated</t>
        </is>
      </c>
      <c r="X51" s="1397" t="n"/>
      <c r="Y51" s="1397">
        <f>IF($D51="","",COUNTIF($D$7:$D51,"?*"))</f>
        <v/>
      </c>
    </row>
    <row r="52" ht="52.79999923706055" customFormat="1" customHeight="1" s="217">
      <c r="A52" s="1471" t="n">
        <v>46</v>
      </c>
      <c r="B52" s="1471" t="n">
        <v>48</v>
      </c>
      <c r="C52" s="1397">
        <f>IF('QS Takeoff'!$B48="","",'QS Takeoff'!A48)</f>
        <v/>
      </c>
      <c r="D52" s="1397">
        <f>IF('QS Takeoff'!$B48="","",'QS Takeoff'!B48)</f>
        <v/>
      </c>
      <c r="E52" s="1397">
        <f>IF('QS Takeoff'!$B48="","",'QS Takeoff'!C48)</f>
        <v/>
      </c>
      <c r="F52" s="1397">
        <f>IF('QS Takeoff'!$B48="","",'QS Takeoff'!E48)</f>
        <v/>
      </c>
      <c r="G52" s="1397">
        <f>IF('QS Takeoff'!$B48="","",'QS Takeoff'!D48)</f>
        <v/>
      </c>
      <c r="H52" s="1472">
        <f>IF('QS Takeoff'!$B48="","",'QS Takeoff'!G48)</f>
        <v/>
      </c>
      <c r="I52" s="1472">
        <f>SUMIF('Resource Build-Up'!$B$7:$B$306,D52,'Resource Build-Up'!$Z$7:$Z$306)</f>
        <v/>
      </c>
      <c r="J52" s="1473">
        <f>IFERROR(_xlfn.MAXIFS('Resource Build-Up'!$M$7:$M$306,'Resource Build-Up'!$B$7:$B$306,D52),0)</f>
        <v/>
      </c>
      <c r="K52" s="1473">
        <f>IF(J52=0,"",ROUNDUP(J52/8,0))</f>
        <v/>
      </c>
      <c r="L52" s="1474" t="n"/>
      <c r="M52" s="1473">
        <f>IF(L52&lt;&gt;"",L52,K52)</f>
        <v/>
      </c>
      <c r="N52" s="1436">
        <f>IF(M52="","",TEXT(M52,"0")&amp;" days")</f>
        <v/>
      </c>
      <c r="O52" s="1397" t="n"/>
      <c r="P52" s="1397" t="n"/>
      <c r="Q52" s="1397" t="n"/>
      <c r="R52" s="1397" t="n"/>
      <c r="S52" s="1475" t="n"/>
      <c r="T52" s="1476">
        <f>IF($D52="","",I52-N(H52))</f>
        <v/>
      </c>
      <c r="U52" s="1397">
        <f>IF($D52="","",IF(ABS(T52)&lt;0.01,"OK","CHECK"))</f>
        <v/>
      </c>
      <c r="V52" s="1397" t="inlineStr">
        <is>
          <t>Auto Scheduled</t>
        </is>
      </c>
      <c r="W52" s="1397" t="inlineStr">
        <is>
          <t>Prorated</t>
        </is>
      </c>
      <c r="X52" s="1397" t="n"/>
      <c r="Y52" s="1397">
        <f>IF($D52="","",COUNTIF($D$7:$D52,"?*"))</f>
        <v/>
      </c>
    </row>
    <row r="53" ht="52.79999923706055" customFormat="1" customHeight="1" s="217">
      <c r="A53" s="1471" t="n">
        <v>47</v>
      </c>
      <c r="B53" s="1471" t="n">
        <v>49</v>
      </c>
      <c r="C53" s="1397">
        <f>IF('QS Takeoff'!$B49="","",'QS Takeoff'!A49)</f>
        <v/>
      </c>
      <c r="D53" s="1397">
        <f>IF('QS Takeoff'!$B49="","",'QS Takeoff'!B49)</f>
        <v/>
      </c>
      <c r="E53" s="1397">
        <f>IF('QS Takeoff'!$B49="","",'QS Takeoff'!C49)</f>
        <v/>
      </c>
      <c r="F53" s="1397">
        <f>IF('QS Takeoff'!$B49="","",'QS Takeoff'!E49)</f>
        <v/>
      </c>
      <c r="G53" s="1397">
        <f>IF('QS Takeoff'!$B49="","",'QS Takeoff'!D49)</f>
        <v/>
      </c>
      <c r="H53" s="1472">
        <f>IF('QS Takeoff'!$B49="","",'QS Takeoff'!G49)</f>
        <v/>
      </c>
      <c r="I53" s="1472">
        <f>SUMIF('Resource Build-Up'!$B$7:$B$306,D53,'Resource Build-Up'!$Z$7:$Z$306)</f>
        <v/>
      </c>
      <c r="J53" s="1473">
        <f>IFERROR(_xlfn.MAXIFS('Resource Build-Up'!$M$7:$M$306,'Resource Build-Up'!$B$7:$B$306,D53),0)</f>
        <v/>
      </c>
      <c r="K53" s="1473">
        <f>IF(J53=0,"",ROUNDUP(J53/8,0))</f>
        <v/>
      </c>
      <c r="L53" s="1474" t="n"/>
      <c r="M53" s="1473">
        <f>IF(L53&lt;&gt;"",L53,K53)</f>
        <v/>
      </c>
      <c r="N53" s="1436">
        <f>IF(M53="","",TEXT(M53,"0")&amp;" days")</f>
        <v/>
      </c>
      <c r="O53" s="1397" t="n"/>
      <c r="P53" s="1397" t="n"/>
      <c r="Q53" s="1397" t="n"/>
      <c r="R53" s="1397" t="n"/>
      <c r="S53" s="1475" t="n"/>
      <c r="T53" s="1476">
        <f>IF($D53="","",I53-N(H53))</f>
        <v/>
      </c>
      <c r="U53" s="1397">
        <f>IF($D53="","",IF(ABS(T53)&lt;0.01,"OK","CHECK"))</f>
        <v/>
      </c>
      <c r="V53" s="1397" t="inlineStr">
        <is>
          <t>Auto Scheduled</t>
        </is>
      </c>
      <c r="W53" s="1397" t="inlineStr">
        <is>
          <t>Prorated</t>
        </is>
      </c>
      <c r="X53" s="1397" t="n"/>
      <c r="Y53" s="1397">
        <f>IF($D53="","",COUNTIF($D$7:$D53,"?*"))</f>
        <v/>
      </c>
    </row>
    <row r="54" ht="52.79999923706055" customFormat="1" customHeight="1" s="217">
      <c r="A54" s="1471" t="n">
        <v>48</v>
      </c>
      <c r="B54" s="1471" t="n">
        <v>50</v>
      </c>
      <c r="C54" s="1397">
        <f>IF('QS Takeoff'!$B50="","",'QS Takeoff'!A50)</f>
        <v/>
      </c>
      <c r="D54" s="1397">
        <f>IF('QS Takeoff'!$B50="","",'QS Takeoff'!B50)</f>
        <v/>
      </c>
      <c r="E54" s="1397">
        <f>IF('QS Takeoff'!$B50="","",'QS Takeoff'!C50)</f>
        <v/>
      </c>
      <c r="F54" s="1397">
        <f>IF('QS Takeoff'!$B50="","",'QS Takeoff'!E50)</f>
        <v/>
      </c>
      <c r="G54" s="1397">
        <f>IF('QS Takeoff'!$B50="","",'QS Takeoff'!D50)</f>
        <v/>
      </c>
      <c r="H54" s="1472">
        <f>IF('QS Takeoff'!$B50="","",'QS Takeoff'!G50)</f>
        <v/>
      </c>
      <c r="I54" s="1472">
        <f>SUMIF('Resource Build-Up'!$B$7:$B$306,D54,'Resource Build-Up'!$Z$7:$Z$306)</f>
        <v/>
      </c>
      <c r="J54" s="1473">
        <f>IFERROR(_xlfn.MAXIFS('Resource Build-Up'!$M$7:$M$306,'Resource Build-Up'!$B$7:$B$306,D54),0)</f>
        <v/>
      </c>
      <c r="K54" s="1473">
        <f>IF(J54=0,"",ROUNDUP(J54/8,0))</f>
        <v/>
      </c>
      <c r="L54" s="1474" t="n"/>
      <c r="M54" s="1473">
        <f>IF(L54&lt;&gt;"",L54,K54)</f>
        <v/>
      </c>
      <c r="N54" s="1436">
        <f>IF(M54="","",TEXT(M54,"0")&amp;" days")</f>
        <v/>
      </c>
      <c r="O54" s="1397" t="n"/>
      <c r="P54" s="1397" t="n"/>
      <c r="Q54" s="1397" t="n"/>
      <c r="R54" s="1397" t="n"/>
      <c r="S54" s="1475" t="n"/>
      <c r="T54" s="1476">
        <f>IF($D54="","",I54-N(H54))</f>
        <v/>
      </c>
      <c r="U54" s="1397">
        <f>IF($D54="","",IF(ABS(T54)&lt;0.01,"OK","CHECK"))</f>
        <v/>
      </c>
      <c r="V54" s="1397" t="inlineStr">
        <is>
          <t>Auto Scheduled</t>
        </is>
      </c>
      <c r="W54" s="1397" t="inlineStr">
        <is>
          <t>Prorated</t>
        </is>
      </c>
      <c r="X54" s="1397" t="n"/>
      <c r="Y54" s="1397">
        <f>IF($D54="","",COUNTIF($D$7:$D54,"?*"))</f>
        <v/>
      </c>
    </row>
    <row r="55" ht="52.79999923706055" customFormat="1" customHeight="1" s="217">
      <c r="A55" s="1471" t="n">
        <v>49</v>
      </c>
      <c r="B55" s="1471" t="n">
        <v>51</v>
      </c>
      <c r="C55" s="1397">
        <f>IF('QS Takeoff'!$B51="","",'QS Takeoff'!A51)</f>
        <v/>
      </c>
      <c r="D55" s="1397">
        <f>IF('QS Takeoff'!$B51="","",'QS Takeoff'!B51)</f>
        <v/>
      </c>
      <c r="E55" s="1397">
        <f>IF('QS Takeoff'!$B51="","",'QS Takeoff'!C51)</f>
        <v/>
      </c>
      <c r="F55" s="1397">
        <f>IF('QS Takeoff'!$B51="","",'QS Takeoff'!E51)</f>
        <v/>
      </c>
      <c r="G55" s="1397">
        <f>IF('QS Takeoff'!$B51="","",'QS Takeoff'!D51)</f>
        <v/>
      </c>
      <c r="H55" s="1472">
        <f>IF('QS Takeoff'!$B51="","",'QS Takeoff'!G51)</f>
        <v/>
      </c>
      <c r="I55" s="1472">
        <f>SUMIF('Resource Build-Up'!$B$7:$B$306,D55,'Resource Build-Up'!$Z$7:$Z$306)</f>
        <v/>
      </c>
      <c r="J55" s="1473">
        <f>IFERROR(_xlfn.MAXIFS('Resource Build-Up'!$M$7:$M$306,'Resource Build-Up'!$B$7:$B$306,D55),0)</f>
        <v/>
      </c>
      <c r="K55" s="1473">
        <f>IF(J55=0,"",ROUNDUP(J55/8,0))</f>
        <v/>
      </c>
      <c r="L55" s="1474" t="n"/>
      <c r="M55" s="1473">
        <f>IF(L55&lt;&gt;"",L55,K55)</f>
        <v/>
      </c>
      <c r="N55" s="1436">
        <f>IF(M55="","",TEXT(M55,"0")&amp;" days")</f>
        <v/>
      </c>
      <c r="O55" s="1397" t="n"/>
      <c r="P55" s="1397" t="n"/>
      <c r="Q55" s="1397" t="n"/>
      <c r="R55" s="1397" t="n"/>
      <c r="S55" s="1475" t="n"/>
      <c r="T55" s="1476">
        <f>IF($D55="","",I55-N(H55))</f>
        <v/>
      </c>
      <c r="U55" s="1397">
        <f>IF($D55="","",IF(ABS(T55)&lt;0.01,"OK","CHECK"))</f>
        <v/>
      </c>
      <c r="V55" s="1397" t="inlineStr">
        <is>
          <t>Auto Scheduled</t>
        </is>
      </c>
      <c r="W55" s="1397" t="inlineStr">
        <is>
          <t>Prorated</t>
        </is>
      </c>
      <c r="X55" s="1397" t="n"/>
      <c r="Y55" s="1397">
        <f>IF($D55="","",COUNTIF($D$7:$D55,"?*"))</f>
        <v/>
      </c>
    </row>
    <row r="56" ht="52.79999923706055" customFormat="1" customHeight="1" s="217">
      <c r="A56" s="1471" t="n">
        <v>50</v>
      </c>
      <c r="B56" s="1471" t="n">
        <v>52</v>
      </c>
      <c r="C56" s="1397">
        <f>IF('QS Takeoff'!$B52="","",'QS Takeoff'!A52)</f>
        <v/>
      </c>
      <c r="D56" s="1397">
        <f>IF('QS Takeoff'!$B52="","",'QS Takeoff'!B52)</f>
        <v/>
      </c>
      <c r="E56" s="1397">
        <f>IF('QS Takeoff'!$B52="","",'QS Takeoff'!C52)</f>
        <v/>
      </c>
      <c r="F56" s="1397">
        <f>IF('QS Takeoff'!$B52="","",'QS Takeoff'!E52)</f>
        <v/>
      </c>
      <c r="G56" s="1397">
        <f>IF('QS Takeoff'!$B52="","",'QS Takeoff'!D52)</f>
        <v/>
      </c>
      <c r="H56" s="1472">
        <f>IF('QS Takeoff'!$B52="","",'QS Takeoff'!G52)</f>
        <v/>
      </c>
      <c r="I56" s="1472">
        <f>SUMIF('Resource Build-Up'!$B$7:$B$306,D56,'Resource Build-Up'!$Z$7:$Z$306)</f>
        <v/>
      </c>
      <c r="J56" s="1473">
        <f>IFERROR(_xlfn.MAXIFS('Resource Build-Up'!$M$7:$M$306,'Resource Build-Up'!$B$7:$B$306,D56),0)</f>
        <v/>
      </c>
      <c r="K56" s="1473">
        <f>IF(J56=0,"",ROUNDUP(J56/8,0))</f>
        <v/>
      </c>
      <c r="L56" s="1474" t="n"/>
      <c r="M56" s="1473">
        <f>IF(L56&lt;&gt;"",L56,K56)</f>
        <v/>
      </c>
      <c r="N56" s="1436">
        <f>IF(M56="","",TEXT(M56,"0")&amp;" days")</f>
        <v/>
      </c>
      <c r="O56" s="1397" t="n"/>
      <c r="P56" s="1397" t="n"/>
      <c r="Q56" s="1397" t="n"/>
      <c r="R56" s="1397" t="n"/>
      <c r="S56" s="1475" t="n"/>
      <c r="T56" s="1476">
        <f>IF($D56="","",I56-N(H56))</f>
        <v/>
      </c>
      <c r="U56" s="1397">
        <f>IF($D56="","",IF(ABS(T56)&lt;0.01,"OK","CHECK"))</f>
        <v/>
      </c>
      <c r="V56" s="1397" t="inlineStr">
        <is>
          <t>Auto Scheduled</t>
        </is>
      </c>
      <c r="W56" s="1397" t="inlineStr">
        <is>
          <t>Prorated</t>
        </is>
      </c>
      <c r="X56" s="1397" t="n"/>
      <c r="Y56" s="1397">
        <f>IF($D56="","",COUNTIF($D$7:$D56,"?*"))</f>
        <v/>
      </c>
    </row>
    <row r="57" ht="52.79999923706055" customFormat="1" customHeight="1" s="217">
      <c r="A57" s="1471" t="n">
        <v>51</v>
      </c>
      <c r="B57" s="1471" t="n">
        <v>53</v>
      </c>
      <c r="C57" s="1397">
        <f>IF('QS Takeoff'!$B53="","",'QS Takeoff'!A53)</f>
        <v/>
      </c>
      <c r="D57" s="1397">
        <f>IF('QS Takeoff'!$B53="","",'QS Takeoff'!B53)</f>
        <v/>
      </c>
      <c r="E57" s="1397">
        <f>IF('QS Takeoff'!$B53="","",'QS Takeoff'!C53)</f>
        <v/>
      </c>
      <c r="F57" s="1397">
        <f>IF('QS Takeoff'!$B53="","",'QS Takeoff'!E53)</f>
        <v/>
      </c>
      <c r="G57" s="1397">
        <f>IF('QS Takeoff'!$B53="","",'QS Takeoff'!D53)</f>
        <v/>
      </c>
      <c r="H57" s="1472">
        <f>IF('QS Takeoff'!$B53="","",'QS Takeoff'!G53)</f>
        <v/>
      </c>
      <c r="I57" s="1472">
        <f>SUMIF('Resource Build-Up'!$B$7:$B$306,D57,'Resource Build-Up'!$Z$7:$Z$306)</f>
        <v/>
      </c>
      <c r="J57" s="1473">
        <f>IFERROR(_xlfn.MAXIFS('Resource Build-Up'!$M$7:$M$306,'Resource Build-Up'!$B$7:$B$306,D57),0)</f>
        <v/>
      </c>
      <c r="K57" s="1473">
        <f>IF(J57=0,"",ROUNDUP(J57/8,0))</f>
        <v/>
      </c>
      <c r="L57" s="1474" t="n"/>
      <c r="M57" s="1473">
        <f>IF(L57&lt;&gt;"",L57,K57)</f>
        <v/>
      </c>
      <c r="N57" s="1436">
        <f>IF(M57="","",TEXT(M57,"0")&amp;" days")</f>
        <v/>
      </c>
      <c r="O57" s="1397" t="n"/>
      <c r="P57" s="1397" t="n"/>
      <c r="Q57" s="1397" t="n"/>
      <c r="R57" s="1397" t="n"/>
      <c r="S57" s="1475" t="n"/>
      <c r="T57" s="1476">
        <f>IF($D57="","",I57-N(H57))</f>
        <v/>
      </c>
      <c r="U57" s="1397">
        <f>IF($D57="","",IF(ABS(T57)&lt;0.01,"OK","CHECK"))</f>
        <v/>
      </c>
      <c r="V57" s="1397" t="inlineStr">
        <is>
          <t>Auto Scheduled</t>
        </is>
      </c>
      <c r="W57" s="1397" t="inlineStr">
        <is>
          <t>Prorated</t>
        </is>
      </c>
      <c r="X57" s="1397" t="n"/>
      <c r="Y57" s="1397">
        <f>IF($D57="","",COUNTIF($D$7:$D57,"?*"))</f>
        <v/>
      </c>
    </row>
    <row r="58" ht="52.79999923706055" customFormat="1" customHeight="1" s="217">
      <c r="A58" s="1471" t="n">
        <v>52</v>
      </c>
      <c r="B58" s="1471" t="n">
        <v>54</v>
      </c>
      <c r="C58" s="1397">
        <f>IF('QS Takeoff'!$B54="","",'QS Takeoff'!A54)</f>
        <v/>
      </c>
      <c r="D58" s="1397">
        <f>IF('QS Takeoff'!$B54="","",'QS Takeoff'!B54)</f>
        <v/>
      </c>
      <c r="E58" s="1397">
        <f>IF('QS Takeoff'!$B54="","",'QS Takeoff'!C54)</f>
        <v/>
      </c>
      <c r="F58" s="1397">
        <f>IF('QS Takeoff'!$B54="","",'QS Takeoff'!E54)</f>
        <v/>
      </c>
      <c r="G58" s="1397">
        <f>IF('QS Takeoff'!$B54="","",'QS Takeoff'!D54)</f>
        <v/>
      </c>
      <c r="H58" s="1472">
        <f>IF('QS Takeoff'!$B54="","",'QS Takeoff'!G54)</f>
        <v/>
      </c>
      <c r="I58" s="1472">
        <f>SUMIF('Resource Build-Up'!$B$7:$B$306,D58,'Resource Build-Up'!$Z$7:$Z$306)</f>
        <v/>
      </c>
      <c r="J58" s="1473">
        <f>IFERROR(_xlfn.MAXIFS('Resource Build-Up'!$M$7:$M$306,'Resource Build-Up'!$B$7:$B$306,D58),0)</f>
        <v/>
      </c>
      <c r="K58" s="1473">
        <f>IF(J58=0,"",ROUNDUP(J58/8,0))</f>
        <v/>
      </c>
      <c r="L58" s="1474" t="n"/>
      <c r="M58" s="1473">
        <f>IF(L58&lt;&gt;"",L58,K58)</f>
        <v/>
      </c>
      <c r="N58" s="1436">
        <f>IF(M58="","",TEXT(M58,"0")&amp;" days")</f>
        <v/>
      </c>
      <c r="O58" s="1397" t="n"/>
      <c r="P58" s="1397" t="n"/>
      <c r="Q58" s="1397" t="n"/>
      <c r="R58" s="1397" t="n"/>
      <c r="S58" s="1475" t="n"/>
      <c r="T58" s="1476">
        <f>IF($D58="","",I58-N(H58))</f>
        <v/>
      </c>
      <c r="U58" s="1397">
        <f>IF($D58="","",IF(ABS(T58)&lt;0.01,"OK","CHECK"))</f>
        <v/>
      </c>
      <c r="V58" s="1397" t="inlineStr">
        <is>
          <t>Auto Scheduled</t>
        </is>
      </c>
      <c r="W58" s="1397" t="inlineStr">
        <is>
          <t>Prorated</t>
        </is>
      </c>
      <c r="X58" s="1397" t="n"/>
      <c r="Y58" s="1397">
        <f>IF($D58="","",COUNTIF($D$7:$D58,"?*"))</f>
        <v/>
      </c>
    </row>
    <row r="59" ht="52.79999923706055" customFormat="1" customHeight="1" s="217">
      <c r="A59" s="1471" t="n">
        <v>53</v>
      </c>
      <c r="B59" s="1471" t="n">
        <v>55</v>
      </c>
      <c r="C59" s="1397">
        <f>IF('QS Takeoff'!$B55="","",'QS Takeoff'!A55)</f>
        <v/>
      </c>
      <c r="D59" s="1397">
        <f>IF('QS Takeoff'!$B55="","",'QS Takeoff'!B55)</f>
        <v/>
      </c>
      <c r="E59" s="1397">
        <f>IF('QS Takeoff'!$B55="","",'QS Takeoff'!C55)</f>
        <v/>
      </c>
      <c r="F59" s="1397">
        <f>IF('QS Takeoff'!$B55="","",'QS Takeoff'!E55)</f>
        <v/>
      </c>
      <c r="G59" s="1397">
        <f>IF('QS Takeoff'!$B55="","",'QS Takeoff'!D55)</f>
        <v/>
      </c>
      <c r="H59" s="1472">
        <f>IF('QS Takeoff'!$B55="","",'QS Takeoff'!G55)</f>
        <v/>
      </c>
      <c r="I59" s="1472">
        <f>SUMIF('Resource Build-Up'!$B$7:$B$306,D59,'Resource Build-Up'!$Z$7:$Z$306)</f>
        <v/>
      </c>
      <c r="J59" s="1473">
        <f>IFERROR(_xlfn.MAXIFS('Resource Build-Up'!$M$7:$M$306,'Resource Build-Up'!$B$7:$B$306,D59),0)</f>
        <v/>
      </c>
      <c r="K59" s="1473">
        <f>IF(J59=0,"",ROUNDUP(J59/8,0))</f>
        <v/>
      </c>
      <c r="L59" s="1474" t="n"/>
      <c r="M59" s="1473">
        <f>IF(L59&lt;&gt;"",L59,K59)</f>
        <v/>
      </c>
      <c r="N59" s="1436">
        <f>IF(M59="","",TEXT(M59,"0")&amp;" days")</f>
        <v/>
      </c>
      <c r="O59" s="1397" t="n"/>
      <c r="P59" s="1397" t="n"/>
      <c r="Q59" s="1397" t="n"/>
      <c r="R59" s="1397" t="n"/>
      <c r="S59" s="1475" t="n"/>
      <c r="T59" s="1476">
        <f>IF($D59="","",I59-N(H59))</f>
        <v/>
      </c>
      <c r="U59" s="1397">
        <f>IF($D59="","",IF(ABS(T59)&lt;0.01,"OK","CHECK"))</f>
        <v/>
      </c>
      <c r="V59" s="1397" t="inlineStr">
        <is>
          <t>Auto Scheduled</t>
        </is>
      </c>
      <c r="W59" s="1397" t="inlineStr">
        <is>
          <t>Prorated</t>
        </is>
      </c>
      <c r="X59" s="1397" t="n"/>
      <c r="Y59" s="1397">
        <f>IF($D59="","",COUNTIF($D$7:$D59,"?*"))</f>
        <v/>
      </c>
    </row>
    <row r="60" ht="52.79999923706055" customFormat="1" customHeight="1" s="217">
      <c r="A60" s="1471" t="n">
        <v>54</v>
      </c>
      <c r="B60" s="1471" t="n">
        <v>56</v>
      </c>
      <c r="C60" s="1397">
        <f>IF('QS Takeoff'!$B56="","",'QS Takeoff'!A56)</f>
        <v/>
      </c>
      <c r="D60" s="1397">
        <f>IF('QS Takeoff'!$B56="","",'QS Takeoff'!B56)</f>
        <v/>
      </c>
      <c r="E60" s="1397">
        <f>IF('QS Takeoff'!$B56="","",'QS Takeoff'!C56)</f>
        <v/>
      </c>
      <c r="F60" s="1397">
        <f>IF('QS Takeoff'!$B56="","",'QS Takeoff'!E56)</f>
        <v/>
      </c>
      <c r="G60" s="1397">
        <f>IF('QS Takeoff'!$B56="","",'QS Takeoff'!D56)</f>
        <v/>
      </c>
      <c r="H60" s="1472">
        <f>IF('QS Takeoff'!$B56="","",'QS Takeoff'!G56)</f>
        <v/>
      </c>
      <c r="I60" s="1472">
        <f>SUMIF('Resource Build-Up'!$B$7:$B$306,D60,'Resource Build-Up'!$Z$7:$Z$306)</f>
        <v/>
      </c>
      <c r="J60" s="1473">
        <f>IFERROR(_xlfn.MAXIFS('Resource Build-Up'!$M$7:$M$306,'Resource Build-Up'!$B$7:$B$306,D60),0)</f>
        <v/>
      </c>
      <c r="K60" s="1473">
        <f>IF(J60=0,"",ROUNDUP(J60/8,0))</f>
        <v/>
      </c>
      <c r="L60" s="1474" t="n"/>
      <c r="M60" s="1473">
        <f>IF(L60&lt;&gt;"",L60,K60)</f>
        <v/>
      </c>
      <c r="N60" s="1436">
        <f>IF(M60="","",TEXT(M60,"0")&amp;" days")</f>
        <v/>
      </c>
      <c r="O60" s="1397" t="n"/>
      <c r="P60" s="1397" t="n"/>
      <c r="Q60" s="1397" t="n"/>
      <c r="R60" s="1397" t="n"/>
      <c r="S60" s="1475" t="n"/>
      <c r="T60" s="1476">
        <f>IF($D60="","",I60-N(H60))</f>
        <v/>
      </c>
      <c r="U60" s="1397">
        <f>IF($D60="","",IF(ABS(T60)&lt;0.01,"OK","CHECK"))</f>
        <v/>
      </c>
      <c r="V60" s="1397" t="inlineStr">
        <is>
          <t>Auto Scheduled</t>
        </is>
      </c>
      <c r="W60" s="1397" t="inlineStr">
        <is>
          <t>Prorated</t>
        </is>
      </c>
      <c r="X60" s="1397" t="n"/>
      <c r="Y60" s="1397">
        <f>IF($D60="","",COUNTIF($D$7:$D60,"?*"))</f>
        <v/>
      </c>
    </row>
    <row r="61" ht="52.79999923706055" customFormat="1" customHeight="1" s="217">
      <c r="A61" s="1471" t="n">
        <v>55</v>
      </c>
      <c r="B61" s="1471" t="n">
        <v>57</v>
      </c>
      <c r="C61" s="1397">
        <f>IF('QS Takeoff'!$B57="","",'QS Takeoff'!A57)</f>
        <v/>
      </c>
      <c r="D61" s="1397">
        <f>IF('QS Takeoff'!$B57="","",'QS Takeoff'!B57)</f>
        <v/>
      </c>
      <c r="E61" s="1397">
        <f>IF('QS Takeoff'!$B57="","",'QS Takeoff'!C57)</f>
        <v/>
      </c>
      <c r="F61" s="1397">
        <f>IF('QS Takeoff'!$B57="","",'QS Takeoff'!E57)</f>
        <v/>
      </c>
      <c r="G61" s="1397">
        <f>IF('QS Takeoff'!$B57="","",'QS Takeoff'!D57)</f>
        <v/>
      </c>
      <c r="H61" s="1472">
        <f>IF('QS Takeoff'!$B57="","",'QS Takeoff'!G57)</f>
        <v/>
      </c>
      <c r="I61" s="1472">
        <f>SUMIF('Resource Build-Up'!$B$7:$B$306,D61,'Resource Build-Up'!$Z$7:$Z$306)</f>
        <v/>
      </c>
      <c r="J61" s="1473">
        <f>IFERROR(_xlfn.MAXIFS('Resource Build-Up'!$M$7:$M$306,'Resource Build-Up'!$B$7:$B$306,D61),0)</f>
        <v/>
      </c>
      <c r="K61" s="1473">
        <f>IF(J61=0,"",ROUNDUP(J61/8,0))</f>
        <v/>
      </c>
      <c r="L61" s="1474" t="n"/>
      <c r="M61" s="1473">
        <f>IF(L61&lt;&gt;"",L61,K61)</f>
        <v/>
      </c>
      <c r="N61" s="1436">
        <f>IF(M61="","",TEXT(M61,"0")&amp;" days")</f>
        <v/>
      </c>
      <c r="O61" s="1397" t="n"/>
      <c r="P61" s="1397" t="n"/>
      <c r="Q61" s="1397" t="n"/>
      <c r="R61" s="1397" t="n"/>
      <c r="S61" s="1475" t="n"/>
      <c r="T61" s="1476">
        <f>IF($D61="","",I61-N(H61))</f>
        <v/>
      </c>
      <c r="U61" s="1397">
        <f>IF($D61="","",IF(ABS(T61)&lt;0.01,"OK","CHECK"))</f>
        <v/>
      </c>
      <c r="V61" s="1397" t="inlineStr">
        <is>
          <t>Auto Scheduled</t>
        </is>
      </c>
      <c r="W61" s="1397" t="inlineStr">
        <is>
          <t>Prorated</t>
        </is>
      </c>
      <c r="X61" s="1397" t="n"/>
      <c r="Y61" s="1397">
        <f>IF($D61="","",COUNTIF($D$7:$D61,"?*"))</f>
        <v/>
      </c>
    </row>
    <row r="62" ht="52.79999923706055" customFormat="1" customHeight="1" s="217">
      <c r="A62" s="1471" t="n">
        <v>56</v>
      </c>
      <c r="B62" s="1471" t="n">
        <v>58</v>
      </c>
      <c r="C62" s="1397">
        <f>IF('QS Takeoff'!$B58="","",'QS Takeoff'!A58)</f>
        <v/>
      </c>
      <c r="D62" s="1397">
        <f>IF('QS Takeoff'!$B58="","",'QS Takeoff'!B58)</f>
        <v/>
      </c>
      <c r="E62" s="1397">
        <f>IF('QS Takeoff'!$B58="","",'QS Takeoff'!C58)</f>
        <v/>
      </c>
      <c r="F62" s="1397">
        <f>IF('QS Takeoff'!$B58="","",'QS Takeoff'!E58)</f>
        <v/>
      </c>
      <c r="G62" s="1397">
        <f>IF('QS Takeoff'!$B58="","",'QS Takeoff'!D58)</f>
        <v/>
      </c>
      <c r="H62" s="1472">
        <f>IF('QS Takeoff'!$B58="","",'QS Takeoff'!G58)</f>
        <v/>
      </c>
      <c r="I62" s="1472">
        <f>SUMIF('Resource Build-Up'!$B$7:$B$306,D62,'Resource Build-Up'!$Z$7:$Z$306)</f>
        <v/>
      </c>
      <c r="J62" s="1473">
        <f>IFERROR(_xlfn.MAXIFS('Resource Build-Up'!$M$7:$M$306,'Resource Build-Up'!$B$7:$B$306,D62),0)</f>
        <v/>
      </c>
      <c r="K62" s="1473">
        <f>IF(J62=0,"",ROUNDUP(J62/8,0))</f>
        <v/>
      </c>
      <c r="L62" s="1474" t="n"/>
      <c r="M62" s="1473">
        <f>IF(L62&lt;&gt;"",L62,K62)</f>
        <v/>
      </c>
      <c r="N62" s="1436">
        <f>IF(M62="","",TEXT(M62,"0")&amp;" days")</f>
        <v/>
      </c>
      <c r="O62" s="1397" t="n"/>
      <c r="P62" s="1397" t="n"/>
      <c r="Q62" s="1397" t="n"/>
      <c r="R62" s="1397" t="n"/>
      <c r="S62" s="1475" t="n"/>
      <c r="T62" s="1476">
        <f>IF($D62="","",I62-N(H62))</f>
        <v/>
      </c>
      <c r="U62" s="1397">
        <f>IF($D62="","",IF(ABS(T62)&lt;0.01,"OK","CHECK"))</f>
        <v/>
      </c>
      <c r="V62" s="1397" t="inlineStr">
        <is>
          <t>Auto Scheduled</t>
        </is>
      </c>
      <c r="W62" s="1397" t="inlineStr">
        <is>
          <t>Prorated</t>
        </is>
      </c>
      <c r="X62" s="1397" t="n"/>
      <c r="Y62" s="1397">
        <f>IF($D62="","",COUNTIF($D$7:$D62,"?*"))</f>
        <v/>
      </c>
    </row>
    <row r="63" ht="52.79999923706055" customFormat="1" customHeight="1" s="217">
      <c r="A63" s="1471" t="n">
        <v>57</v>
      </c>
      <c r="B63" s="1471" t="n">
        <v>59</v>
      </c>
      <c r="C63" s="1397">
        <f>IF('QS Takeoff'!$B59="","",'QS Takeoff'!A59)</f>
        <v/>
      </c>
      <c r="D63" s="1397">
        <f>IF('QS Takeoff'!$B59="","",'QS Takeoff'!B59)</f>
        <v/>
      </c>
      <c r="E63" s="1397">
        <f>IF('QS Takeoff'!$B59="","",'QS Takeoff'!C59)</f>
        <v/>
      </c>
      <c r="F63" s="1397">
        <f>IF('QS Takeoff'!$B59="","",'QS Takeoff'!E59)</f>
        <v/>
      </c>
      <c r="G63" s="1397">
        <f>IF('QS Takeoff'!$B59="","",'QS Takeoff'!D59)</f>
        <v/>
      </c>
      <c r="H63" s="1472">
        <f>IF('QS Takeoff'!$B59="","",'QS Takeoff'!G59)</f>
        <v/>
      </c>
      <c r="I63" s="1472">
        <f>SUMIF('Resource Build-Up'!$B$7:$B$306,D63,'Resource Build-Up'!$Z$7:$Z$306)</f>
        <v/>
      </c>
      <c r="J63" s="1473">
        <f>IFERROR(_xlfn.MAXIFS('Resource Build-Up'!$M$7:$M$306,'Resource Build-Up'!$B$7:$B$306,D63),0)</f>
        <v/>
      </c>
      <c r="K63" s="1473">
        <f>IF(J63=0,"",ROUNDUP(J63/8,0))</f>
        <v/>
      </c>
      <c r="L63" s="1474" t="n"/>
      <c r="M63" s="1473">
        <f>IF(L63&lt;&gt;"",L63,K63)</f>
        <v/>
      </c>
      <c r="N63" s="1436">
        <f>IF(M63="","",TEXT(M63,"0")&amp;" days")</f>
        <v/>
      </c>
      <c r="O63" s="1397" t="n"/>
      <c r="P63" s="1397" t="n"/>
      <c r="Q63" s="1397" t="n"/>
      <c r="R63" s="1397" t="n"/>
      <c r="S63" s="1475" t="n"/>
      <c r="T63" s="1476">
        <f>IF($D63="","",I63-N(H63))</f>
        <v/>
      </c>
      <c r="U63" s="1397">
        <f>IF($D63="","",IF(ABS(T63)&lt;0.01,"OK","CHECK"))</f>
        <v/>
      </c>
      <c r="V63" s="1397" t="inlineStr">
        <is>
          <t>Auto Scheduled</t>
        </is>
      </c>
      <c r="W63" s="1397" t="inlineStr">
        <is>
          <t>Prorated</t>
        </is>
      </c>
      <c r="X63" s="1397" t="n"/>
      <c r="Y63" s="1397">
        <f>IF($D63="","",COUNTIF($D$7:$D63,"?*"))</f>
        <v/>
      </c>
    </row>
    <row r="64" ht="52.79999923706055" customFormat="1" customHeight="1" s="217">
      <c r="A64" s="1471" t="n">
        <v>58</v>
      </c>
      <c r="B64" s="1471" t="n">
        <v>60</v>
      </c>
      <c r="C64" s="1397">
        <f>IF('QS Takeoff'!$B60="","",'QS Takeoff'!A60)</f>
        <v/>
      </c>
      <c r="D64" s="1397">
        <f>IF('QS Takeoff'!$B60="","",'QS Takeoff'!B60)</f>
        <v/>
      </c>
      <c r="E64" s="1397">
        <f>IF('QS Takeoff'!$B60="","",'QS Takeoff'!C60)</f>
        <v/>
      </c>
      <c r="F64" s="1397">
        <f>IF('QS Takeoff'!$B60="","",'QS Takeoff'!E60)</f>
        <v/>
      </c>
      <c r="G64" s="1397">
        <f>IF('QS Takeoff'!$B60="","",'QS Takeoff'!D60)</f>
        <v/>
      </c>
      <c r="H64" s="1472">
        <f>IF('QS Takeoff'!$B60="","",'QS Takeoff'!G60)</f>
        <v/>
      </c>
      <c r="I64" s="1472">
        <f>SUMIF('Resource Build-Up'!$B$7:$B$306,D64,'Resource Build-Up'!$Z$7:$Z$306)</f>
        <v/>
      </c>
      <c r="J64" s="1473">
        <f>IFERROR(_xlfn.MAXIFS('Resource Build-Up'!$M$7:$M$306,'Resource Build-Up'!$B$7:$B$306,D64),0)</f>
        <v/>
      </c>
      <c r="K64" s="1473">
        <f>IF(J64=0,"",ROUNDUP(J64/8,0))</f>
        <v/>
      </c>
      <c r="L64" s="1474" t="n"/>
      <c r="M64" s="1473">
        <f>IF(L64&lt;&gt;"",L64,K64)</f>
        <v/>
      </c>
      <c r="N64" s="1436">
        <f>IF(M64="","",TEXT(M64,"0")&amp;" days")</f>
        <v/>
      </c>
      <c r="O64" s="1397" t="n"/>
      <c r="P64" s="1397" t="n"/>
      <c r="Q64" s="1397" t="n"/>
      <c r="R64" s="1397" t="n"/>
      <c r="S64" s="1475" t="n"/>
      <c r="T64" s="1476">
        <f>IF($D64="","",I64-N(H64))</f>
        <v/>
      </c>
      <c r="U64" s="1397">
        <f>IF($D64="","",IF(ABS(T64)&lt;0.01,"OK","CHECK"))</f>
        <v/>
      </c>
      <c r="V64" s="1397" t="inlineStr">
        <is>
          <t>Auto Scheduled</t>
        </is>
      </c>
      <c r="W64" s="1397" t="inlineStr">
        <is>
          <t>Prorated</t>
        </is>
      </c>
      <c r="X64" s="1397" t="n"/>
      <c r="Y64" s="1397">
        <f>IF($D64="","",COUNTIF($D$7:$D64,"?*"))</f>
        <v/>
      </c>
    </row>
    <row r="65" ht="52.79999923706055" customFormat="1" customHeight="1" s="217">
      <c r="A65" s="1471" t="n">
        <v>59</v>
      </c>
      <c r="B65" s="1471" t="n">
        <v>61</v>
      </c>
      <c r="C65" s="1397">
        <f>IF('QS Takeoff'!$B61="","",'QS Takeoff'!A61)</f>
        <v/>
      </c>
      <c r="D65" s="1397">
        <f>IF('QS Takeoff'!$B61="","",'QS Takeoff'!B61)</f>
        <v/>
      </c>
      <c r="E65" s="1397">
        <f>IF('QS Takeoff'!$B61="","",'QS Takeoff'!C61)</f>
        <v/>
      </c>
      <c r="F65" s="1397">
        <f>IF('QS Takeoff'!$B61="","",'QS Takeoff'!E61)</f>
        <v/>
      </c>
      <c r="G65" s="1397">
        <f>IF('QS Takeoff'!$B61="","",'QS Takeoff'!D61)</f>
        <v/>
      </c>
      <c r="H65" s="1472">
        <f>IF('QS Takeoff'!$B61="","",'QS Takeoff'!G61)</f>
        <v/>
      </c>
      <c r="I65" s="1472">
        <f>SUMIF('Resource Build-Up'!$B$7:$B$306,D65,'Resource Build-Up'!$Z$7:$Z$306)</f>
        <v/>
      </c>
      <c r="J65" s="1473">
        <f>IFERROR(_xlfn.MAXIFS('Resource Build-Up'!$M$7:$M$306,'Resource Build-Up'!$B$7:$B$306,D65),0)</f>
        <v/>
      </c>
      <c r="K65" s="1473">
        <f>IF(J65=0,"",ROUNDUP(J65/8,0))</f>
        <v/>
      </c>
      <c r="L65" s="1474" t="n"/>
      <c r="M65" s="1473">
        <f>IF(L65&lt;&gt;"",L65,K65)</f>
        <v/>
      </c>
      <c r="N65" s="1436">
        <f>IF(M65="","",TEXT(M65,"0")&amp;" days")</f>
        <v/>
      </c>
      <c r="O65" s="1397" t="n"/>
      <c r="P65" s="1397" t="n"/>
      <c r="Q65" s="1397" t="n"/>
      <c r="R65" s="1397" t="n"/>
      <c r="S65" s="1475" t="n"/>
      <c r="T65" s="1476">
        <f>IF($D65="","",I65-N(H65))</f>
        <v/>
      </c>
      <c r="U65" s="1397">
        <f>IF($D65="","",IF(ABS(T65)&lt;0.01,"OK","CHECK"))</f>
        <v/>
      </c>
      <c r="V65" s="1397" t="inlineStr">
        <is>
          <t>Auto Scheduled</t>
        </is>
      </c>
      <c r="W65" s="1397" t="inlineStr">
        <is>
          <t>Prorated</t>
        </is>
      </c>
      <c r="X65" s="1397" t="n"/>
      <c r="Y65" s="1397">
        <f>IF($D65="","",COUNTIF($D$7:$D65,"?*"))</f>
        <v/>
      </c>
    </row>
    <row r="66" ht="52.79999923706055" customFormat="1" customHeight="1" s="217">
      <c r="A66" s="1471" t="n">
        <v>60</v>
      </c>
      <c r="B66" s="1471" t="n">
        <v>62</v>
      </c>
      <c r="C66" s="1397">
        <f>IF('QS Takeoff'!$B62="","",'QS Takeoff'!A62)</f>
        <v/>
      </c>
      <c r="D66" s="1397">
        <f>IF('QS Takeoff'!$B62="","",'QS Takeoff'!B62)</f>
        <v/>
      </c>
      <c r="E66" s="1397">
        <f>IF('QS Takeoff'!$B62="","",'QS Takeoff'!C62)</f>
        <v/>
      </c>
      <c r="F66" s="1397">
        <f>IF('QS Takeoff'!$B62="","",'QS Takeoff'!E62)</f>
        <v/>
      </c>
      <c r="G66" s="1397">
        <f>IF('QS Takeoff'!$B62="","",'QS Takeoff'!D62)</f>
        <v/>
      </c>
      <c r="H66" s="1472">
        <f>IF('QS Takeoff'!$B62="","",'QS Takeoff'!G62)</f>
        <v/>
      </c>
      <c r="I66" s="1472">
        <f>SUMIF('Resource Build-Up'!$B$7:$B$306,D66,'Resource Build-Up'!$Z$7:$Z$306)</f>
        <v/>
      </c>
      <c r="J66" s="1473">
        <f>IFERROR(_xlfn.MAXIFS('Resource Build-Up'!$M$7:$M$306,'Resource Build-Up'!$B$7:$B$306,D66),0)</f>
        <v/>
      </c>
      <c r="K66" s="1473">
        <f>IF(J66=0,"",ROUNDUP(J66/8,0))</f>
        <v/>
      </c>
      <c r="L66" s="1474" t="n"/>
      <c r="M66" s="1473">
        <f>IF(L66&lt;&gt;"",L66,K66)</f>
        <v/>
      </c>
      <c r="N66" s="1436">
        <f>IF(M66="","",TEXT(M66,"0")&amp;" days")</f>
        <v/>
      </c>
      <c r="O66" s="1397" t="n"/>
      <c r="P66" s="1397" t="n"/>
      <c r="Q66" s="1397" t="n"/>
      <c r="R66" s="1397" t="n"/>
      <c r="S66" s="1475" t="n"/>
      <c r="T66" s="1476">
        <f>IF($D66="","",I66-N(H66))</f>
        <v/>
      </c>
      <c r="U66" s="1397">
        <f>IF($D66="","",IF(ABS(T66)&lt;0.01,"OK","CHECK"))</f>
        <v/>
      </c>
      <c r="V66" s="1397" t="inlineStr">
        <is>
          <t>Auto Scheduled</t>
        </is>
      </c>
      <c r="W66" s="1397" t="inlineStr">
        <is>
          <t>Prorated</t>
        </is>
      </c>
      <c r="X66" s="1397" t="n"/>
      <c r="Y66" s="1397">
        <f>IF($D66="","",COUNTIF($D$7:$D66,"?*"))</f>
        <v/>
      </c>
    </row>
    <row r="67" ht="52.79999923706055" customFormat="1" customHeight="1" s="217">
      <c r="A67" s="1471" t="n">
        <v>61</v>
      </c>
      <c r="B67" s="1471" t="n">
        <v>63</v>
      </c>
      <c r="C67" s="1397">
        <f>IF('QS Takeoff'!$B63="","",'QS Takeoff'!A63)</f>
        <v/>
      </c>
      <c r="D67" s="1397">
        <f>IF('QS Takeoff'!$B63="","",'QS Takeoff'!B63)</f>
        <v/>
      </c>
      <c r="E67" s="1397">
        <f>IF('QS Takeoff'!$B63="","",'QS Takeoff'!C63)</f>
        <v/>
      </c>
      <c r="F67" s="1397">
        <f>IF('QS Takeoff'!$B63="","",'QS Takeoff'!E63)</f>
        <v/>
      </c>
      <c r="G67" s="1397">
        <f>IF('QS Takeoff'!$B63="","",'QS Takeoff'!D63)</f>
        <v/>
      </c>
      <c r="H67" s="1472">
        <f>IF('QS Takeoff'!$B63="","",'QS Takeoff'!G63)</f>
        <v/>
      </c>
      <c r="I67" s="1472">
        <f>SUMIF('Resource Build-Up'!$B$7:$B$306,D67,'Resource Build-Up'!$Z$7:$Z$306)</f>
        <v/>
      </c>
      <c r="J67" s="1473">
        <f>IFERROR(_xlfn.MAXIFS('Resource Build-Up'!$M$7:$M$306,'Resource Build-Up'!$B$7:$B$306,D67),0)</f>
        <v/>
      </c>
      <c r="K67" s="1473">
        <f>IF(J67=0,"",ROUNDUP(J67/8,0))</f>
        <v/>
      </c>
      <c r="L67" s="1474" t="n"/>
      <c r="M67" s="1473">
        <f>IF(L67&lt;&gt;"",L67,K67)</f>
        <v/>
      </c>
      <c r="N67" s="1436">
        <f>IF(M67="","",TEXT(M67,"0")&amp;" days")</f>
        <v/>
      </c>
      <c r="O67" s="1397" t="n"/>
      <c r="P67" s="1397" t="n"/>
      <c r="Q67" s="1397" t="n"/>
      <c r="R67" s="1397" t="n"/>
      <c r="S67" s="1475" t="n"/>
      <c r="T67" s="1476">
        <f>IF($D67="","",I67-N(H67))</f>
        <v/>
      </c>
      <c r="U67" s="1397">
        <f>IF($D67="","",IF(ABS(T67)&lt;0.01,"OK","CHECK"))</f>
        <v/>
      </c>
      <c r="V67" s="1397" t="inlineStr">
        <is>
          <t>Auto Scheduled</t>
        </is>
      </c>
      <c r="W67" s="1397" t="inlineStr">
        <is>
          <t>Prorated</t>
        </is>
      </c>
      <c r="X67" s="1397" t="n"/>
      <c r="Y67" s="1397">
        <f>IF($D67="","",COUNTIF($D$7:$D67,"?*"))</f>
        <v/>
      </c>
    </row>
    <row r="68" ht="52.79999923706055" customFormat="1" customHeight="1" s="217">
      <c r="A68" s="1471" t="n">
        <v>62</v>
      </c>
      <c r="B68" s="1471" t="n">
        <v>64</v>
      </c>
      <c r="C68" s="1397">
        <f>IF('QS Takeoff'!$B64="","",'QS Takeoff'!A64)</f>
        <v/>
      </c>
      <c r="D68" s="1397">
        <f>IF('QS Takeoff'!$B64="","",'QS Takeoff'!B64)</f>
        <v/>
      </c>
      <c r="E68" s="1397">
        <f>IF('QS Takeoff'!$B64="","",'QS Takeoff'!C64)</f>
        <v/>
      </c>
      <c r="F68" s="1397">
        <f>IF('QS Takeoff'!$B64="","",'QS Takeoff'!E64)</f>
        <v/>
      </c>
      <c r="G68" s="1397">
        <f>IF('QS Takeoff'!$B64="","",'QS Takeoff'!D64)</f>
        <v/>
      </c>
      <c r="H68" s="1472">
        <f>IF('QS Takeoff'!$B64="","",'QS Takeoff'!G64)</f>
        <v/>
      </c>
      <c r="I68" s="1472">
        <f>SUMIF('Resource Build-Up'!$B$7:$B$306,D68,'Resource Build-Up'!$Z$7:$Z$306)</f>
        <v/>
      </c>
      <c r="J68" s="1473">
        <f>IFERROR(_xlfn.MAXIFS('Resource Build-Up'!$M$7:$M$306,'Resource Build-Up'!$B$7:$B$306,D68),0)</f>
        <v/>
      </c>
      <c r="K68" s="1473">
        <f>IF(J68=0,"",ROUNDUP(J68/8,0))</f>
        <v/>
      </c>
      <c r="L68" s="1474" t="n"/>
      <c r="M68" s="1473">
        <f>IF(L68&lt;&gt;"",L68,K68)</f>
        <v/>
      </c>
      <c r="N68" s="1436">
        <f>IF(M68="","",TEXT(M68,"0")&amp;" days")</f>
        <v/>
      </c>
      <c r="O68" s="1397" t="n"/>
      <c r="P68" s="1397" t="n"/>
      <c r="Q68" s="1397" t="n"/>
      <c r="R68" s="1397" t="n"/>
      <c r="S68" s="1475" t="n"/>
      <c r="T68" s="1476">
        <f>IF($D68="","",I68-N(H68))</f>
        <v/>
      </c>
      <c r="U68" s="1397">
        <f>IF($D68="","",IF(ABS(T68)&lt;0.01,"OK","CHECK"))</f>
        <v/>
      </c>
      <c r="V68" s="1397" t="inlineStr">
        <is>
          <t>Auto Scheduled</t>
        </is>
      </c>
      <c r="W68" s="1397" t="inlineStr">
        <is>
          <t>Prorated</t>
        </is>
      </c>
      <c r="X68" s="1397" t="n"/>
      <c r="Y68" s="1397">
        <f>IF($D68="","",COUNTIF($D$7:$D68,"?*"))</f>
        <v/>
      </c>
    </row>
    <row r="69" ht="52.79999923706055" customFormat="1" customHeight="1" s="217">
      <c r="A69" s="1471" t="n">
        <v>63</v>
      </c>
      <c r="B69" s="1471" t="n">
        <v>65</v>
      </c>
      <c r="C69" s="1397">
        <f>IF('QS Takeoff'!$B65="","",'QS Takeoff'!A65)</f>
        <v/>
      </c>
      <c r="D69" s="1397">
        <f>IF('QS Takeoff'!$B65="","",'QS Takeoff'!B65)</f>
        <v/>
      </c>
      <c r="E69" s="1397">
        <f>IF('QS Takeoff'!$B65="","",'QS Takeoff'!C65)</f>
        <v/>
      </c>
      <c r="F69" s="1397">
        <f>IF('QS Takeoff'!$B65="","",'QS Takeoff'!E65)</f>
        <v/>
      </c>
      <c r="G69" s="1397">
        <f>IF('QS Takeoff'!$B65="","",'QS Takeoff'!D65)</f>
        <v/>
      </c>
      <c r="H69" s="1472">
        <f>IF('QS Takeoff'!$B65="","",'QS Takeoff'!G65)</f>
        <v/>
      </c>
      <c r="I69" s="1472">
        <f>SUMIF('Resource Build-Up'!$B$7:$B$306,D69,'Resource Build-Up'!$Z$7:$Z$306)</f>
        <v/>
      </c>
      <c r="J69" s="1473">
        <f>IFERROR(_xlfn.MAXIFS('Resource Build-Up'!$M$7:$M$306,'Resource Build-Up'!$B$7:$B$306,D69),0)</f>
        <v/>
      </c>
      <c r="K69" s="1473">
        <f>IF(J69=0,"",ROUNDUP(J69/8,0))</f>
        <v/>
      </c>
      <c r="L69" s="1474" t="n"/>
      <c r="M69" s="1473">
        <f>IF(L69&lt;&gt;"",L69,K69)</f>
        <v/>
      </c>
      <c r="N69" s="1436">
        <f>IF(M69="","",TEXT(M69,"0")&amp;" days")</f>
        <v/>
      </c>
      <c r="O69" s="1397" t="n"/>
      <c r="P69" s="1397" t="n"/>
      <c r="Q69" s="1397" t="n"/>
      <c r="R69" s="1397" t="n"/>
      <c r="S69" s="1475" t="n"/>
      <c r="T69" s="1476">
        <f>IF($D69="","",I69-N(H69))</f>
        <v/>
      </c>
      <c r="U69" s="1397">
        <f>IF($D69="","",IF(ABS(T69)&lt;0.01,"OK","CHECK"))</f>
        <v/>
      </c>
      <c r="V69" s="1397" t="inlineStr">
        <is>
          <t>Auto Scheduled</t>
        </is>
      </c>
      <c r="W69" s="1397" t="inlineStr">
        <is>
          <t>Prorated</t>
        </is>
      </c>
      <c r="X69" s="1397" t="n"/>
      <c r="Y69" s="1397">
        <f>IF($D69="","",COUNTIF($D$7:$D69,"?*"))</f>
        <v/>
      </c>
    </row>
    <row r="70" ht="52.79999923706055" customFormat="1" customHeight="1" s="217">
      <c r="A70" s="1471" t="n">
        <v>64</v>
      </c>
      <c r="B70" s="1471" t="n">
        <v>66</v>
      </c>
      <c r="C70" s="1397">
        <f>IF('QS Takeoff'!$B66="","",'QS Takeoff'!A66)</f>
        <v/>
      </c>
      <c r="D70" s="1397">
        <f>IF('QS Takeoff'!$B66="","",'QS Takeoff'!B66)</f>
        <v/>
      </c>
      <c r="E70" s="1397">
        <f>IF('QS Takeoff'!$B66="","",'QS Takeoff'!C66)</f>
        <v/>
      </c>
      <c r="F70" s="1397">
        <f>IF('QS Takeoff'!$B66="","",'QS Takeoff'!E66)</f>
        <v/>
      </c>
      <c r="G70" s="1397">
        <f>IF('QS Takeoff'!$B66="","",'QS Takeoff'!D66)</f>
        <v/>
      </c>
      <c r="H70" s="1472">
        <f>IF('QS Takeoff'!$B66="","",'QS Takeoff'!G66)</f>
        <v/>
      </c>
      <c r="I70" s="1472">
        <f>SUMIF('Resource Build-Up'!$B$7:$B$306,D70,'Resource Build-Up'!$Z$7:$Z$306)</f>
        <v/>
      </c>
      <c r="J70" s="1473">
        <f>IFERROR(_xlfn.MAXIFS('Resource Build-Up'!$M$7:$M$306,'Resource Build-Up'!$B$7:$B$306,D70),0)</f>
        <v/>
      </c>
      <c r="K70" s="1473">
        <f>IF(J70=0,"",ROUNDUP(J70/8,0))</f>
        <v/>
      </c>
      <c r="L70" s="1474" t="n"/>
      <c r="M70" s="1473">
        <f>IF(L70&lt;&gt;"",L70,K70)</f>
        <v/>
      </c>
      <c r="N70" s="1436">
        <f>IF(M70="","",TEXT(M70,"0")&amp;" days")</f>
        <v/>
      </c>
      <c r="O70" s="1397" t="n"/>
      <c r="P70" s="1397" t="n"/>
      <c r="Q70" s="1397" t="n"/>
      <c r="R70" s="1397" t="n"/>
      <c r="S70" s="1475" t="n"/>
      <c r="T70" s="1476">
        <f>IF($D70="","",I70-N(H70))</f>
        <v/>
      </c>
      <c r="U70" s="1397">
        <f>IF($D70="","",IF(ABS(T70)&lt;0.01,"OK","CHECK"))</f>
        <v/>
      </c>
      <c r="V70" s="1397" t="inlineStr">
        <is>
          <t>Auto Scheduled</t>
        </is>
      </c>
      <c r="W70" s="1397" t="inlineStr">
        <is>
          <t>Prorated</t>
        </is>
      </c>
      <c r="X70" s="1397" t="n"/>
      <c r="Y70" s="1397">
        <f>IF($D70="","",COUNTIF($D$7:$D70,"?*"))</f>
        <v/>
      </c>
    </row>
    <row r="71" ht="52.79999923706055" customFormat="1" customHeight="1" s="217">
      <c r="A71" s="1471" t="n">
        <v>65</v>
      </c>
      <c r="B71" s="1471" t="n">
        <v>67</v>
      </c>
      <c r="C71" s="1397">
        <f>IF('QS Takeoff'!$B67="","",'QS Takeoff'!A67)</f>
        <v/>
      </c>
      <c r="D71" s="1397">
        <f>IF('QS Takeoff'!$B67="","",'QS Takeoff'!B67)</f>
        <v/>
      </c>
      <c r="E71" s="1397">
        <f>IF('QS Takeoff'!$B67="","",'QS Takeoff'!C67)</f>
        <v/>
      </c>
      <c r="F71" s="1397">
        <f>IF('QS Takeoff'!$B67="","",'QS Takeoff'!E67)</f>
        <v/>
      </c>
      <c r="G71" s="1397">
        <f>IF('QS Takeoff'!$B67="","",'QS Takeoff'!D67)</f>
        <v/>
      </c>
      <c r="H71" s="1472">
        <f>IF('QS Takeoff'!$B67="","",'QS Takeoff'!G67)</f>
        <v/>
      </c>
      <c r="I71" s="1472">
        <f>SUMIF('Resource Build-Up'!$B$7:$B$306,D71,'Resource Build-Up'!$Z$7:$Z$306)</f>
        <v/>
      </c>
      <c r="J71" s="1473">
        <f>IFERROR(_xlfn.MAXIFS('Resource Build-Up'!$M$7:$M$306,'Resource Build-Up'!$B$7:$B$306,D71),0)</f>
        <v/>
      </c>
      <c r="K71" s="1473">
        <f>IF(J71=0,"",ROUNDUP(J71/8,0))</f>
        <v/>
      </c>
      <c r="L71" s="1474" t="n"/>
      <c r="M71" s="1473">
        <f>IF(L71&lt;&gt;"",L71,K71)</f>
        <v/>
      </c>
      <c r="N71" s="1436">
        <f>IF(M71="","",TEXT(M71,"0")&amp;" days")</f>
        <v/>
      </c>
      <c r="O71" s="1397" t="n"/>
      <c r="P71" s="1397" t="n"/>
      <c r="Q71" s="1397" t="n"/>
      <c r="R71" s="1397" t="n"/>
      <c r="S71" s="1475" t="n"/>
      <c r="T71" s="1476">
        <f>IF($D71="","",I71-N(H71))</f>
        <v/>
      </c>
      <c r="U71" s="1397">
        <f>IF($D71="","",IF(ABS(T71)&lt;0.01,"OK","CHECK"))</f>
        <v/>
      </c>
      <c r="V71" s="1397" t="inlineStr">
        <is>
          <t>Auto Scheduled</t>
        </is>
      </c>
      <c r="W71" s="1397" t="inlineStr">
        <is>
          <t>Prorated</t>
        </is>
      </c>
      <c r="X71" s="1397" t="n"/>
      <c r="Y71" s="1397">
        <f>IF($D71="","",COUNTIF($D$7:$D71,"?*"))</f>
        <v/>
      </c>
    </row>
    <row r="72" ht="52.79999923706055" customFormat="1" customHeight="1" s="217">
      <c r="A72" s="1471" t="n">
        <v>66</v>
      </c>
      <c r="B72" s="1471" t="n">
        <v>68</v>
      </c>
      <c r="C72" s="1397">
        <f>IF('QS Takeoff'!$B68="","",'QS Takeoff'!A68)</f>
        <v/>
      </c>
      <c r="D72" s="1397">
        <f>IF('QS Takeoff'!$B68="","",'QS Takeoff'!B68)</f>
        <v/>
      </c>
      <c r="E72" s="1397">
        <f>IF('QS Takeoff'!$B68="","",'QS Takeoff'!C68)</f>
        <v/>
      </c>
      <c r="F72" s="1397">
        <f>IF('QS Takeoff'!$B68="","",'QS Takeoff'!E68)</f>
        <v/>
      </c>
      <c r="G72" s="1397">
        <f>IF('QS Takeoff'!$B68="","",'QS Takeoff'!D68)</f>
        <v/>
      </c>
      <c r="H72" s="1472">
        <f>IF('QS Takeoff'!$B68="","",'QS Takeoff'!G68)</f>
        <v/>
      </c>
      <c r="I72" s="1472">
        <f>SUMIF('Resource Build-Up'!$B$7:$B$306,D72,'Resource Build-Up'!$Z$7:$Z$306)</f>
        <v/>
      </c>
      <c r="J72" s="1473">
        <f>IFERROR(_xlfn.MAXIFS('Resource Build-Up'!$M$7:$M$306,'Resource Build-Up'!$B$7:$B$306,D72),0)</f>
        <v/>
      </c>
      <c r="K72" s="1473">
        <f>IF(J72=0,"",ROUNDUP(J72/8,0))</f>
        <v/>
      </c>
      <c r="L72" s="1474" t="n"/>
      <c r="M72" s="1473">
        <f>IF(L72&lt;&gt;"",L72,K72)</f>
        <v/>
      </c>
      <c r="N72" s="1436">
        <f>IF(M72="","",TEXT(M72,"0")&amp;" days")</f>
        <v/>
      </c>
      <c r="O72" s="1397" t="n"/>
      <c r="P72" s="1397" t="n"/>
      <c r="Q72" s="1397" t="n"/>
      <c r="R72" s="1397" t="n"/>
      <c r="S72" s="1475" t="n"/>
      <c r="T72" s="1476">
        <f>IF($D72="","",I72-N(H72))</f>
        <v/>
      </c>
      <c r="U72" s="1397">
        <f>IF($D72="","",IF(ABS(T72)&lt;0.01,"OK","CHECK"))</f>
        <v/>
      </c>
      <c r="V72" s="1397" t="inlineStr">
        <is>
          <t>Auto Scheduled</t>
        </is>
      </c>
      <c r="W72" s="1397" t="inlineStr">
        <is>
          <t>Prorated</t>
        </is>
      </c>
      <c r="X72" s="1397" t="n"/>
      <c r="Y72" s="1397">
        <f>IF($D72="","",COUNTIF($D$7:$D72,"?*"))</f>
        <v/>
      </c>
    </row>
    <row r="73" ht="52.79999923706055" customFormat="1" customHeight="1" s="217">
      <c r="A73" s="1471" t="n">
        <v>67</v>
      </c>
      <c r="B73" s="1471" t="n">
        <v>69</v>
      </c>
      <c r="C73" s="1397">
        <f>IF('QS Takeoff'!$B69="","",'QS Takeoff'!A69)</f>
        <v/>
      </c>
      <c r="D73" s="1397">
        <f>IF('QS Takeoff'!$B69="","",'QS Takeoff'!B69)</f>
        <v/>
      </c>
      <c r="E73" s="1397">
        <f>IF('QS Takeoff'!$B69="","",'QS Takeoff'!C69)</f>
        <v/>
      </c>
      <c r="F73" s="1397">
        <f>IF('QS Takeoff'!$B69="","",'QS Takeoff'!E69)</f>
        <v/>
      </c>
      <c r="G73" s="1397">
        <f>IF('QS Takeoff'!$B69="","",'QS Takeoff'!D69)</f>
        <v/>
      </c>
      <c r="H73" s="1472">
        <f>IF('QS Takeoff'!$B69="","",'QS Takeoff'!G69)</f>
        <v/>
      </c>
      <c r="I73" s="1472">
        <f>SUMIF('Resource Build-Up'!$B$7:$B$306,D73,'Resource Build-Up'!$Z$7:$Z$306)</f>
        <v/>
      </c>
      <c r="J73" s="1473">
        <f>IFERROR(_xlfn.MAXIFS('Resource Build-Up'!$M$7:$M$306,'Resource Build-Up'!$B$7:$B$306,D73),0)</f>
        <v/>
      </c>
      <c r="K73" s="1473">
        <f>IF(J73=0,"",ROUNDUP(J73/8,0))</f>
        <v/>
      </c>
      <c r="L73" s="1474" t="n"/>
      <c r="M73" s="1473">
        <f>IF(L73&lt;&gt;"",L73,K73)</f>
        <v/>
      </c>
      <c r="N73" s="1436">
        <f>IF(M73="","",TEXT(M73,"0")&amp;" days")</f>
        <v/>
      </c>
      <c r="O73" s="1397" t="n"/>
      <c r="P73" s="1397" t="n"/>
      <c r="Q73" s="1397" t="n"/>
      <c r="R73" s="1397" t="n"/>
      <c r="S73" s="1475" t="n"/>
      <c r="T73" s="1476">
        <f>IF($D73="","",I73-N(H73))</f>
        <v/>
      </c>
      <c r="U73" s="1397">
        <f>IF($D73="","",IF(ABS(T73)&lt;0.01,"OK","CHECK"))</f>
        <v/>
      </c>
      <c r="V73" s="1397" t="inlineStr">
        <is>
          <t>Auto Scheduled</t>
        </is>
      </c>
      <c r="W73" s="1397" t="inlineStr">
        <is>
          <t>Prorated</t>
        </is>
      </c>
      <c r="X73" s="1397" t="n"/>
      <c r="Y73" s="1397">
        <f>IF($D73="","",COUNTIF($D$7:$D73,"?*"))</f>
        <v/>
      </c>
    </row>
    <row r="74" ht="52.79999923706055" customFormat="1" customHeight="1" s="217">
      <c r="A74" s="1471" t="n">
        <v>68</v>
      </c>
      <c r="B74" s="1471" t="n">
        <v>70</v>
      </c>
      <c r="C74" s="1397">
        <f>IF('QS Takeoff'!$B70="","",'QS Takeoff'!A70)</f>
        <v/>
      </c>
      <c r="D74" s="1397">
        <f>IF('QS Takeoff'!$B70="","",'QS Takeoff'!B70)</f>
        <v/>
      </c>
      <c r="E74" s="1397">
        <f>IF('QS Takeoff'!$B70="","",'QS Takeoff'!C70)</f>
        <v/>
      </c>
      <c r="F74" s="1397">
        <f>IF('QS Takeoff'!$B70="","",'QS Takeoff'!E70)</f>
        <v/>
      </c>
      <c r="G74" s="1397">
        <f>IF('QS Takeoff'!$B70="","",'QS Takeoff'!D70)</f>
        <v/>
      </c>
      <c r="H74" s="1472">
        <f>IF('QS Takeoff'!$B70="","",'QS Takeoff'!G70)</f>
        <v/>
      </c>
      <c r="I74" s="1472">
        <f>SUMIF('Resource Build-Up'!$B$7:$B$306,D74,'Resource Build-Up'!$Z$7:$Z$306)</f>
        <v/>
      </c>
      <c r="J74" s="1473">
        <f>IFERROR(_xlfn.MAXIFS('Resource Build-Up'!$M$7:$M$306,'Resource Build-Up'!$B$7:$B$306,D74),0)</f>
        <v/>
      </c>
      <c r="K74" s="1473">
        <f>IF(J74=0,"",ROUNDUP(J74/8,0))</f>
        <v/>
      </c>
      <c r="L74" s="1474" t="n"/>
      <c r="M74" s="1473">
        <f>IF(L74&lt;&gt;"",L74,K74)</f>
        <v/>
      </c>
      <c r="N74" s="1436">
        <f>IF(M74="","",TEXT(M74,"0")&amp;" days")</f>
        <v/>
      </c>
      <c r="O74" s="1397" t="n"/>
      <c r="P74" s="1397" t="n"/>
      <c r="Q74" s="1397" t="n"/>
      <c r="R74" s="1397" t="n"/>
      <c r="S74" s="1475" t="n"/>
      <c r="T74" s="1476">
        <f>IF($D74="","",I74-N(H74))</f>
        <v/>
      </c>
      <c r="U74" s="1397">
        <f>IF($D74="","",IF(ABS(T74)&lt;0.01,"OK","CHECK"))</f>
        <v/>
      </c>
      <c r="V74" s="1397" t="inlineStr">
        <is>
          <t>Auto Scheduled</t>
        </is>
      </c>
      <c r="W74" s="1397" t="inlineStr">
        <is>
          <t>Prorated</t>
        </is>
      </c>
      <c r="X74" s="1397" t="n"/>
      <c r="Y74" s="1397">
        <f>IF($D74="","",COUNTIF($D$7:$D74,"?*"))</f>
        <v/>
      </c>
    </row>
    <row r="75" ht="52.79999923706055" customFormat="1" customHeight="1" s="217">
      <c r="A75" s="1471" t="n">
        <v>69</v>
      </c>
      <c r="B75" s="1471" t="n">
        <v>71</v>
      </c>
      <c r="C75" s="1397">
        <f>IF('QS Takeoff'!$B71="","",'QS Takeoff'!A71)</f>
        <v/>
      </c>
      <c r="D75" s="1397">
        <f>IF('QS Takeoff'!$B71="","",'QS Takeoff'!B71)</f>
        <v/>
      </c>
      <c r="E75" s="1397">
        <f>IF('QS Takeoff'!$B71="","",'QS Takeoff'!C71)</f>
        <v/>
      </c>
      <c r="F75" s="1397">
        <f>IF('QS Takeoff'!$B71="","",'QS Takeoff'!E71)</f>
        <v/>
      </c>
      <c r="G75" s="1397">
        <f>IF('QS Takeoff'!$B71="","",'QS Takeoff'!D71)</f>
        <v/>
      </c>
      <c r="H75" s="1472">
        <f>IF('QS Takeoff'!$B71="","",'QS Takeoff'!G71)</f>
        <v/>
      </c>
      <c r="I75" s="1472">
        <f>SUMIF('Resource Build-Up'!$B$7:$B$306,D75,'Resource Build-Up'!$Z$7:$Z$306)</f>
        <v/>
      </c>
      <c r="J75" s="1473">
        <f>IFERROR(_xlfn.MAXIFS('Resource Build-Up'!$M$7:$M$306,'Resource Build-Up'!$B$7:$B$306,D75),0)</f>
        <v/>
      </c>
      <c r="K75" s="1473">
        <f>IF(J75=0,"",ROUNDUP(J75/8,0))</f>
        <v/>
      </c>
      <c r="L75" s="1474" t="n"/>
      <c r="M75" s="1473">
        <f>IF(L75&lt;&gt;"",L75,K75)</f>
        <v/>
      </c>
      <c r="N75" s="1436">
        <f>IF(M75="","",TEXT(M75,"0")&amp;" days")</f>
        <v/>
      </c>
      <c r="O75" s="1397" t="n"/>
      <c r="P75" s="1397" t="n"/>
      <c r="Q75" s="1397" t="n"/>
      <c r="R75" s="1397" t="n"/>
      <c r="S75" s="1475" t="n"/>
      <c r="T75" s="1476">
        <f>IF($D75="","",I75-N(H75))</f>
        <v/>
      </c>
      <c r="U75" s="1397">
        <f>IF($D75="","",IF(ABS(T75)&lt;0.01,"OK","CHECK"))</f>
        <v/>
      </c>
      <c r="V75" s="1397" t="inlineStr">
        <is>
          <t>Auto Scheduled</t>
        </is>
      </c>
      <c r="W75" s="1397" t="inlineStr">
        <is>
          <t>Prorated</t>
        </is>
      </c>
      <c r="X75" s="1397" t="n"/>
      <c r="Y75" s="1397">
        <f>IF($D75="","",COUNTIF($D$7:$D75,"?*"))</f>
        <v/>
      </c>
    </row>
    <row r="76" ht="52.79999923706055" customFormat="1" customHeight="1" s="217">
      <c r="A76" s="1471" t="n">
        <v>70</v>
      </c>
      <c r="B76" s="1471" t="n">
        <v>72</v>
      </c>
      <c r="C76" s="1397">
        <f>IF('QS Takeoff'!$B72="","",'QS Takeoff'!A72)</f>
        <v/>
      </c>
      <c r="D76" s="1397">
        <f>IF('QS Takeoff'!$B72="","",'QS Takeoff'!B72)</f>
        <v/>
      </c>
      <c r="E76" s="1397">
        <f>IF('QS Takeoff'!$B72="","",'QS Takeoff'!C72)</f>
        <v/>
      </c>
      <c r="F76" s="1397">
        <f>IF('QS Takeoff'!$B72="","",'QS Takeoff'!E72)</f>
        <v/>
      </c>
      <c r="G76" s="1397">
        <f>IF('QS Takeoff'!$B72="","",'QS Takeoff'!D72)</f>
        <v/>
      </c>
      <c r="H76" s="1472">
        <f>IF('QS Takeoff'!$B72="","",'QS Takeoff'!G72)</f>
        <v/>
      </c>
      <c r="I76" s="1472">
        <f>SUMIF('Resource Build-Up'!$B$7:$B$306,D76,'Resource Build-Up'!$Z$7:$Z$306)</f>
        <v/>
      </c>
      <c r="J76" s="1473">
        <f>IFERROR(_xlfn.MAXIFS('Resource Build-Up'!$M$7:$M$306,'Resource Build-Up'!$B$7:$B$306,D76),0)</f>
        <v/>
      </c>
      <c r="K76" s="1473">
        <f>IF(J76=0,"",ROUNDUP(J76/8,0))</f>
        <v/>
      </c>
      <c r="L76" s="1474" t="n"/>
      <c r="M76" s="1473">
        <f>IF(L76&lt;&gt;"",L76,K76)</f>
        <v/>
      </c>
      <c r="N76" s="1436">
        <f>IF(M76="","",TEXT(M76,"0")&amp;" days")</f>
        <v/>
      </c>
      <c r="O76" s="1397" t="n"/>
      <c r="P76" s="1397" t="n"/>
      <c r="Q76" s="1397" t="n"/>
      <c r="R76" s="1397" t="n"/>
      <c r="S76" s="1475" t="n"/>
      <c r="T76" s="1476">
        <f>IF($D76="","",I76-N(H76))</f>
        <v/>
      </c>
      <c r="U76" s="1397">
        <f>IF($D76="","",IF(ABS(T76)&lt;0.01,"OK","CHECK"))</f>
        <v/>
      </c>
      <c r="V76" s="1397" t="inlineStr">
        <is>
          <t>Auto Scheduled</t>
        </is>
      </c>
      <c r="W76" s="1397" t="inlineStr">
        <is>
          <t>Prorated</t>
        </is>
      </c>
      <c r="X76" s="1397" t="n"/>
      <c r="Y76" s="1397">
        <f>IF($D76="","",COUNTIF($D$7:$D76,"?*"))</f>
        <v/>
      </c>
    </row>
    <row r="77" ht="52.79999923706055" customFormat="1" customHeight="1" s="217">
      <c r="A77" s="1471" t="n">
        <v>71</v>
      </c>
      <c r="B77" s="1471" t="n">
        <v>73</v>
      </c>
      <c r="C77" s="1397">
        <f>IF('QS Takeoff'!$B73="","",'QS Takeoff'!A73)</f>
        <v/>
      </c>
      <c r="D77" s="1397">
        <f>IF('QS Takeoff'!$B73="","",'QS Takeoff'!B73)</f>
        <v/>
      </c>
      <c r="E77" s="1397">
        <f>IF('QS Takeoff'!$B73="","",'QS Takeoff'!C73)</f>
        <v/>
      </c>
      <c r="F77" s="1397">
        <f>IF('QS Takeoff'!$B73="","",'QS Takeoff'!E73)</f>
        <v/>
      </c>
      <c r="G77" s="1397">
        <f>IF('QS Takeoff'!$B73="","",'QS Takeoff'!D73)</f>
        <v/>
      </c>
      <c r="H77" s="1472">
        <f>IF('QS Takeoff'!$B73="","",'QS Takeoff'!G73)</f>
        <v/>
      </c>
      <c r="I77" s="1472">
        <f>SUMIF('Resource Build-Up'!$B$7:$B$306,D77,'Resource Build-Up'!$Z$7:$Z$306)</f>
        <v/>
      </c>
      <c r="J77" s="1473">
        <f>IFERROR(_xlfn.MAXIFS('Resource Build-Up'!$M$7:$M$306,'Resource Build-Up'!$B$7:$B$306,D77),0)</f>
        <v/>
      </c>
      <c r="K77" s="1473">
        <f>IF(J77=0,"",ROUNDUP(J77/8,0))</f>
        <v/>
      </c>
      <c r="L77" s="1474" t="n"/>
      <c r="M77" s="1473">
        <f>IF(L77&lt;&gt;"",L77,K77)</f>
        <v/>
      </c>
      <c r="N77" s="1436">
        <f>IF(M77="","",TEXT(M77,"0")&amp;" days")</f>
        <v/>
      </c>
      <c r="O77" s="1397" t="n"/>
      <c r="P77" s="1397" t="n"/>
      <c r="Q77" s="1397" t="n"/>
      <c r="R77" s="1397" t="n"/>
      <c r="S77" s="1475" t="n"/>
      <c r="T77" s="1476">
        <f>IF($D77="","",I77-N(H77))</f>
        <v/>
      </c>
      <c r="U77" s="1397">
        <f>IF($D77="","",IF(ABS(T77)&lt;0.01,"OK","CHECK"))</f>
        <v/>
      </c>
      <c r="V77" s="1397" t="inlineStr">
        <is>
          <t>Auto Scheduled</t>
        </is>
      </c>
      <c r="W77" s="1397" t="inlineStr">
        <is>
          <t>Prorated</t>
        </is>
      </c>
      <c r="X77" s="1397" t="n"/>
      <c r="Y77" s="1397">
        <f>IF($D77="","",COUNTIF($D$7:$D77,"?*"))</f>
        <v/>
      </c>
    </row>
    <row r="78">
      <c r="A78" s="1471" t="n">
        <v>72</v>
      </c>
      <c r="B78" s="1471" t="n">
        <v>74</v>
      </c>
      <c r="C78" s="1397">
        <f>IF('QS Takeoff'!$B74="","",'QS Takeoff'!A74)</f>
        <v/>
      </c>
      <c r="D78" s="1397">
        <f>IF('QS Takeoff'!$B74="","",'QS Takeoff'!B74)</f>
        <v/>
      </c>
      <c r="E78" s="1397">
        <f>IF('QS Takeoff'!$B74="","",'QS Takeoff'!C74)</f>
        <v/>
      </c>
      <c r="F78" s="1397">
        <f>IF('QS Takeoff'!$B74="","",'QS Takeoff'!E74)</f>
        <v/>
      </c>
      <c r="G78" s="1397">
        <f>IF('QS Takeoff'!$B74="","",'QS Takeoff'!D74)</f>
        <v/>
      </c>
      <c r="H78" s="1472">
        <f>IF('QS Takeoff'!$B74="","",'QS Takeoff'!G74)</f>
        <v/>
      </c>
      <c r="I78" s="1472">
        <f>SUMIF('Resource Build-Up'!$B$7:$B$306,D78,'Resource Build-Up'!$Z$7:$Z$306)</f>
        <v/>
      </c>
      <c r="J78" s="1473">
        <f>IFERROR(_xlfn.MAXIFS('Resource Build-Up'!$M$7:$M$306,'Resource Build-Up'!$B$7:$B$306,D78),0)</f>
        <v/>
      </c>
      <c r="K78" s="1473">
        <f>IF(J78=0,"",ROUNDUP(J78/8,0))</f>
        <v/>
      </c>
      <c r="L78" s="1474" t="n"/>
      <c r="M78" s="1473">
        <f>IF(L78&lt;&gt;"",L78,K78)</f>
        <v/>
      </c>
      <c r="N78" s="1436">
        <f>IF(M78="","",TEXT(M78,"0")&amp;" days")</f>
        <v/>
      </c>
      <c r="O78" s="1397" t="n"/>
      <c r="P78" s="1397" t="n"/>
      <c r="Q78" s="1397" t="n"/>
      <c r="R78" s="1397" t="n"/>
      <c r="S78" s="1475" t="n"/>
      <c r="T78" s="1476">
        <f>IF($D78="","",I78-N(H78))</f>
        <v/>
      </c>
      <c r="U78" s="1397">
        <f>IF($D78="","",IF(ABS(T78)&lt;0.01,"OK","CHECK"))</f>
        <v/>
      </c>
      <c r="V78" s="1397" t="inlineStr">
        <is>
          <t>Auto Scheduled</t>
        </is>
      </c>
      <c r="W78" s="1397" t="inlineStr">
        <is>
          <t>Prorated</t>
        </is>
      </c>
      <c r="X78" s="1397" t="n"/>
      <c r="Y78" s="1397">
        <f>IF($D78="","",COUNTIF($D$7:$D78,"?*"))</f>
        <v/>
      </c>
    </row>
    <row r="79">
      <c r="A79" s="1471" t="n">
        <v>73</v>
      </c>
      <c r="B79" s="1471" t="n">
        <v>75</v>
      </c>
      <c r="C79" s="1397">
        <f>IF('QS Takeoff'!$B75="","",'QS Takeoff'!A75)</f>
        <v/>
      </c>
      <c r="D79" s="1397">
        <f>IF('QS Takeoff'!$B75="","",'QS Takeoff'!B75)</f>
        <v/>
      </c>
      <c r="E79" s="1397">
        <f>IF('QS Takeoff'!$B75="","",'QS Takeoff'!C75)</f>
        <v/>
      </c>
      <c r="F79" s="1397">
        <f>IF('QS Takeoff'!$B75="","",'QS Takeoff'!E75)</f>
        <v/>
      </c>
      <c r="G79" s="1397">
        <f>IF('QS Takeoff'!$B75="","",'QS Takeoff'!D75)</f>
        <v/>
      </c>
      <c r="H79" s="1472">
        <f>IF('QS Takeoff'!$B75="","",'QS Takeoff'!G75)</f>
        <v/>
      </c>
      <c r="I79" s="1472">
        <f>SUMIF('Resource Build-Up'!$B$7:$B$306,D79,'Resource Build-Up'!$Z$7:$Z$306)</f>
        <v/>
      </c>
      <c r="J79" s="1473">
        <f>IFERROR(_xlfn.MAXIFS('Resource Build-Up'!$M$7:$M$306,'Resource Build-Up'!$B$7:$B$306,D79),0)</f>
        <v/>
      </c>
      <c r="K79" s="1473">
        <f>IF(J79=0,"",ROUNDUP(J79/8,0))</f>
        <v/>
      </c>
      <c r="L79" s="1474" t="n"/>
      <c r="M79" s="1473">
        <f>IF(L79&lt;&gt;"",L79,K79)</f>
        <v/>
      </c>
      <c r="N79" s="1436">
        <f>IF(M79="","",TEXT(M79,"0")&amp;" days")</f>
        <v/>
      </c>
      <c r="O79" s="1397" t="n"/>
      <c r="P79" s="1397" t="n"/>
      <c r="Q79" s="1397" t="n"/>
      <c r="R79" s="1397" t="n"/>
      <c r="S79" s="1475" t="n"/>
      <c r="T79" s="1476">
        <f>IF($D79="","",I79-N(H79))</f>
        <v/>
      </c>
      <c r="U79" s="1397">
        <f>IF($D79="","",IF(ABS(T79)&lt;0.01,"OK","CHECK"))</f>
        <v/>
      </c>
      <c r="V79" s="1397" t="inlineStr">
        <is>
          <t>Auto Scheduled</t>
        </is>
      </c>
      <c r="W79" s="1397" t="inlineStr">
        <is>
          <t>Prorated</t>
        </is>
      </c>
      <c r="X79" s="1397" t="n"/>
      <c r="Y79" s="1397">
        <f>IF($D79="","",COUNTIF($D$7:$D79,"?*"))</f>
        <v/>
      </c>
    </row>
    <row r="80">
      <c r="A80" s="1471" t="n">
        <v>74</v>
      </c>
      <c r="B80" s="1471" t="n">
        <v>76</v>
      </c>
      <c r="C80" s="1397">
        <f>IF('QS Takeoff'!$B76="","",'QS Takeoff'!A76)</f>
        <v/>
      </c>
      <c r="D80" s="1397">
        <f>IF('QS Takeoff'!$B76="","",'QS Takeoff'!B76)</f>
        <v/>
      </c>
      <c r="E80" s="1397">
        <f>IF('QS Takeoff'!$B76="","",'QS Takeoff'!C76)</f>
        <v/>
      </c>
      <c r="F80" s="1397">
        <f>IF('QS Takeoff'!$B76="","",'QS Takeoff'!E76)</f>
        <v/>
      </c>
      <c r="G80" s="1397">
        <f>IF('QS Takeoff'!$B76="","",'QS Takeoff'!D76)</f>
        <v/>
      </c>
      <c r="H80" s="1472">
        <f>IF('QS Takeoff'!$B76="","",'QS Takeoff'!G76)</f>
        <v/>
      </c>
      <c r="I80" s="1472">
        <f>SUMIF('Resource Build-Up'!$B$7:$B$306,D80,'Resource Build-Up'!$Z$7:$Z$306)</f>
        <v/>
      </c>
      <c r="J80" s="1473">
        <f>IFERROR(_xlfn.MAXIFS('Resource Build-Up'!$M$7:$M$306,'Resource Build-Up'!$B$7:$B$306,D80),0)</f>
        <v/>
      </c>
      <c r="K80" s="1473">
        <f>IF(J80=0,"",ROUNDUP(J80/8,0))</f>
        <v/>
      </c>
      <c r="L80" s="1474" t="n"/>
      <c r="M80" s="1473">
        <f>IF(L80&lt;&gt;"",L80,K80)</f>
        <v/>
      </c>
      <c r="N80" s="1436">
        <f>IF(M80="","",TEXT(M80,"0")&amp;" days")</f>
        <v/>
      </c>
      <c r="O80" s="1397" t="n"/>
      <c r="P80" s="1397" t="n"/>
      <c r="Q80" s="1397" t="n"/>
      <c r="R80" s="1397" t="n"/>
      <c r="S80" s="1475" t="n"/>
      <c r="T80" s="1476">
        <f>IF($D80="","",I80-N(H80))</f>
        <v/>
      </c>
      <c r="U80" s="1397">
        <f>IF($D80="","",IF(ABS(T80)&lt;0.01,"OK","CHECK"))</f>
        <v/>
      </c>
      <c r="V80" s="1397" t="inlineStr">
        <is>
          <t>Auto Scheduled</t>
        </is>
      </c>
      <c r="W80" s="1397" t="inlineStr">
        <is>
          <t>Prorated</t>
        </is>
      </c>
      <c r="X80" s="1397" t="n"/>
      <c r="Y80" s="1397">
        <f>IF($D80="","",COUNTIF($D$7:$D80,"?*"))</f>
        <v/>
      </c>
    </row>
    <row r="81">
      <c r="A81" s="1471" t="n">
        <v>75</v>
      </c>
      <c r="B81" s="1471" t="n">
        <v>77</v>
      </c>
      <c r="C81" s="1397">
        <f>IF('QS Takeoff'!$B77="","",'QS Takeoff'!A77)</f>
        <v/>
      </c>
      <c r="D81" s="1397">
        <f>IF('QS Takeoff'!$B77="","",'QS Takeoff'!B77)</f>
        <v/>
      </c>
      <c r="E81" s="1397">
        <f>IF('QS Takeoff'!$B77="","",'QS Takeoff'!C77)</f>
        <v/>
      </c>
      <c r="F81" s="1397">
        <f>IF('QS Takeoff'!$B77="","",'QS Takeoff'!E77)</f>
        <v/>
      </c>
      <c r="G81" s="1397">
        <f>IF('QS Takeoff'!$B77="","",'QS Takeoff'!D77)</f>
        <v/>
      </c>
      <c r="H81" s="1472">
        <f>IF('QS Takeoff'!$B77="","",'QS Takeoff'!G77)</f>
        <v/>
      </c>
      <c r="I81" s="1472">
        <f>SUMIF('Resource Build-Up'!$B$7:$B$306,D81,'Resource Build-Up'!$Z$7:$Z$306)</f>
        <v/>
      </c>
      <c r="J81" s="1473">
        <f>IFERROR(_xlfn.MAXIFS('Resource Build-Up'!$M$7:$M$306,'Resource Build-Up'!$B$7:$B$306,D81),0)</f>
        <v/>
      </c>
      <c r="K81" s="1473">
        <f>IF(J81=0,"",ROUNDUP(J81/8,0))</f>
        <v/>
      </c>
      <c r="L81" s="1474" t="n"/>
      <c r="M81" s="1473">
        <f>IF(L81&lt;&gt;"",L81,K81)</f>
        <v/>
      </c>
      <c r="N81" s="1436">
        <f>IF(M81="","",TEXT(M81,"0")&amp;" days")</f>
        <v/>
      </c>
      <c r="O81" s="1397" t="n"/>
      <c r="P81" s="1397" t="n"/>
      <c r="Q81" s="1397" t="n"/>
      <c r="R81" s="1397" t="n"/>
      <c r="S81" s="1475" t="n"/>
      <c r="T81" s="1476">
        <f>IF($D81="","",I81-N(H81))</f>
        <v/>
      </c>
      <c r="U81" s="1397">
        <f>IF($D81="","",IF(ABS(T81)&lt;0.01,"OK","CHECK"))</f>
        <v/>
      </c>
      <c r="V81" s="1397" t="inlineStr">
        <is>
          <t>Auto Scheduled</t>
        </is>
      </c>
      <c r="W81" s="1397" t="inlineStr">
        <is>
          <t>Prorated</t>
        </is>
      </c>
      <c r="X81" s="1397" t="n"/>
      <c r="Y81" s="1397">
        <f>IF($D81="","",COUNTIF($D$7:$D81,"?*"))</f>
        <v/>
      </c>
    </row>
    <row r="82">
      <c r="A82" s="1471" t="n">
        <v>76</v>
      </c>
      <c r="B82" s="1471" t="n">
        <v>78</v>
      </c>
      <c r="C82" s="1397">
        <f>IF('QS Takeoff'!$B78="","",'QS Takeoff'!A78)</f>
        <v/>
      </c>
      <c r="D82" s="1397">
        <f>IF('QS Takeoff'!$B78="","",'QS Takeoff'!B78)</f>
        <v/>
      </c>
      <c r="E82" s="1397">
        <f>IF('QS Takeoff'!$B78="","",'QS Takeoff'!C78)</f>
        <v/>
      </c>
      <c r="F82" s="1397">
        <f>IF('QS Takeoff'!$B78="","",'QS Takeoff'!E78)</f>
        <v/>
      </c>
      <c r="G82" s="1397">
        <f>IF('QS Takeoff'!$B78="","",'QS Takeoff'!D78)</f>
        <v/>
      </c>
      <c r="H82" s="1472">
        <f>IF('QS Takeoff'!$B78="","",'QS Takeoff'!G78)</f>
        <v/>
      </c>
      <c r="I82" s="1472">
        <f>SUMIF('Resource Build-Up'!$B$7:$B$306,D82,'Resource Build-Up'!$Z$7:$Z$306)</f>
        <v/>
      </c>
      <c r="J82" s="1473">
        <f>IFERROR(_xlfn.MAXIFS('Resource Build-Up'!$M$7:$M$306,'Resource Build-Up'!$B$7:$B$306,D82),0)</f>
        <v/>
      </c>
      <c r="K82" s="1473">
        <f>IF(J82=0,"",ROUNDUP(J82/8,0))</f>
        <v/>
      </c>
      <c r="L82" s="1474" t="n"/>
      <c r="M82" s="1473">
        <f>IF(L82&lt;&gt;"",L82,K82)</f>
        <v/>
      </c>
      <c r="N82" s="1436">
        <f>IF(M82="","",TEXT(M82,"0")&amp;" days")</f>
        <v/>
      </c>
      <c r="O82" s="1397" t="n"/>
      <c r="P82" s="1397" t="n"/>
      <c r="Q82" s="1397" t="n"/>
      <c r="R82" s="1397" t="n"/>
      <c r="S82" s="1475" t="n"/>
      <c r="T82" s="1476">
        <f>IF($D82="","",I82-N(H82))</f>
        <v/>
      </c>
      <c r="U82" s="1397">
        <f>IF($D82="","",IF(ABS(T82)&lt;0.01,"OK","CHECK"))</f>
        <v/>
      </c>
      <c r="V82" s="1397" t="inlineStr">
        <is>
          <t>Auto Scheduled</t>
        </is>
      </c>
      <c r="W82" s="1397" t="inlineStr">
        <is>
          <t>Prorated</t>
        </is>
      </c>
      <c r="X82" s="1397" t="n"/>
      <c r="Y82" s="1397">
        <f>IF($D82="","",COUNTIF($D$7:$D82,"?*"))</f>
        <v/>
      </c>
    </row>
    <row r="83">
      <c r="A83" s="1471" t="n">
        <v>77</v>
      </c>
      <c r="B83" s="1471" t="n">
        <v>79</v>
      </c>
      <c r="C83" s="1397">
        <f>IF('QS Takeoff'!$B79="","",'QS Takeoff'!A79)</f>
        <v/>
      </c>
      <c r="D83" s="1397">
        <f>IF('QS Takeoff'!$B79="","",'QS Takeoff'!B79)</f>
        <v/>
      </c>
      <c r="E83" s="1397">
        <f>IF('QS Takeoff'!$B79="","",'QS Takeoff'!C79)</f>
        <v/>
      </c>
      <c r="F83" s="1397">
        <f>IF('QS Takeoff'!$B79="","",'QS Takeoff'!E79)</f>
        <v/>
      </c>
      <c r="G83" s="1397">
        <f>IF('QS Takeoff'!$B79="","",'QS Takeoff'!D79)</f>
        <v/>
      </c>
      <c r="H83" s="1472">
        <f>IF('QS Takeoff'!$B79="","",'QS Takeoff'!G79)</f>
        <v/>
      </c>
      <c r="I83" s="1472">
        <f>SUMIF('Resource Build-Up'!$B$7:$B$306,D83,'Resource Build-Up'!$Z$7:$Z$306)</f>
        <v/>
      </c>
      <c r="J83" s="1473">
        <f>IFERROR(_xlfn.MAXIFS('Resource Build-Up'!$M$7:$M$306,'Resource Build-Up'!$B$7:$B$306,D83),0)</f>
        <v/>
      </c>
      <c r="K83" s="1473">
        <f>IF(J83=0,"",ROUNDUP(J83/8,0))</f>
        <v/>
      </c>
      <c r="L83" s="1474" t="n"/>
      <c r="M83" s="1473">
        <f>IF(L83&lt;&gt;"",L83,K83)</f>
        <v/>
      </c>
      <c r="N83" s="1436">
        <f>IF(M83="","",TEXT(M83,"0")&amp;" days")</f>
        <v/>
      </c>
      <c r="O83" s="1397" t="n"/>
      <c r="P83" s="1397" t="n"/>
      <c r="Q83" s="1397" t="n"/>
      <c r="R83" s="1397" t="n"/>
      <c r="S83" s="1475" t="n"/>
      <c r="T83" s="1476">
        <f>IF($D83="","",I83-N(H83))</f>
        <v/>
      </c>
      <c r="U83" s="1397">
        <f>IF($D83="","",IF(ABS(T83)&lt;0.01,"OK","CHECK"))</f>
        <v/>
      </c>
      <c r="V83" s="1397" t="inlineStr">
        <is>
          <t>Auto Scheduled</t>
        </is>
      </c>
      <c r="W83" s="1397" t="inlineStr">
        <is>
          <t>Prorated</t>
        </is>
      </c>
      <c r="X83" s="1397" t="n"/>
      <c r="Y83" s="1397">
        <f>IF($D83="","",COUNTIF($D$7:$D83,"?*"))</f>
        <v/>
      </c>
    </row>
    <row r="84">
      <c r="A84" s="1471" t="n">
        <v>78</v>
      </c>
      <c r="B84" s="1471" t="n">
        <v>80</v>
      </c>
      <c r="C84" s="1397">
        <f>IF('QS Takeoff'!$B80="","",'QS Takeoff'!A80)</f>
        <v/>
      </c>
      <c r="D84" s="1397">
        <f>IF('QS Takeoff'!$B80="","",'QS Takeoff'!B80)</f>
        <v/>
      </c>
      <c r="E84" s="1397">
        <f>IF('QS Takeoff'!$B80="","",'QS Takeoff'!C80)</f>
        <v/>
      </c>
      <c r="F84" s="1397">
        <f>IF('QS Takeoff'!$B80="","",'QS Takeoff'!E80)</f>
        <v/>
      </c>
      <c r="G84" s="1397">
        <f>IF('QS Takeoff'!$B80="","",'QS Takeoff'!D80)</f>
        <v/>
      </c>
      <c r="H84" s="1472">
        <f>IF('QS Takeoff'!$B80="","",'QS Takeoff'!G80)</f>
        <v/>
      </c>
      <c r="I84" s="1472">
        <f>SUMIF('Resource Build-Up'!$B$7:$B$306,D84,'Resource Build-Up'!$Z$7:$Z$306)</f>
        <v/>
      </c>
      <c r="J84" s="1473">
        <f>IFERROR(_xlfn.MAXIFS('Resource Build-Up'!$M$7:$M$306,'Resource Build-Up'!$B$7:$B$306,D84),0)</f>
        <v/>
      </c>
      <c r="K84" s="1473">
        <f>IF(J84=0,"",ROUNDUP(J84/8,0))</f>
        <v/>
      </c>
      <c r="L84" s="1474" t="n"/>
      <c r="M84" s="1473">
        <f>IF(L84&lt;&gt;"",L84,K84)</f>
        <v/>
      </c>
      <c r="N84" s="1436">
        <f>IF(M84="","",TEXT(M84,"0")&amp;" days")</f>
        <v/>
      </c>
      <c r="O84" s="1397" t="n"/>
      <c r="P84" s="1397" t="n"/>
      <c r="Q84" s="1397" t="n"/>
      <c r="R84" s="1397" t="n"/>
      <c r="S84" s="1475" t="n"/>
      <c r="T84" s="1476">
        <f>IF($D84="","",I84-N(H84))</f>
        <v/>
      </c>
      <c r="U84" s="1397">
        <f>IF($D84="","",IF(ABS(T84)&lt;0.01,"OK","CHECK"))</f>
        <v/>
      </c>
      <c r="V84" s="1397" t="inlineStr">
        <is>
          <t>Auto Scheduled</t>
        </is>
      </c>
      <c r="W84" s="1397" t="inlineStr">
        <is>
          <t>Prorated</t>
        </is>
      </c>
      <c r="X84" s="1397" t="n"/>
      <c r="Y84" s="1397">
        <f>IF($D84="","",COUNTIF($D$7:$D84,"?*"))</f>
        <v/>
      </c>
    </row>
    <row r="85">
      <c r="A85" s="1471" t="n">
        <v>79</v>
      </c>
      <c r="B85" s="1471" t="n">
        <v>81</v>
      </c>
      <c r="C85" s="1397">
        <f>IF('QS Takeoff'!$B81="","",'QS Takeoff'!A81)</f>
        <v/>
      </c>
      <c r="D85" s="1397">
        <f>IF('QS Takeoff'!$B81="","",'QS Takeoff'!B81)</f>
        <v/>
      </c>
      <c r="E85" s="1397">
        <f>IF('QS Takeoff'!$B81="","",'QS Takeoff'!C81)</f>
        <v/>
      </c>
      <c r="F85" s="1397">
        <f>IF('QS Takeoff'!$B81="","",'QS Takeoff'!E81)</f>
        <v/>
      </c>
      <c r="G85" s="1397">
        <f>IF('QS Takeoff'!$B81="","",'QS Takeoff'!D81)</f>
        <v/>
      </c>
      <c r="H85" s="1472">
        <f>IF('QS Takeoff'!$B81="","",'QS Takeoff'!G81)</f>
        <v/>
      </c>
      <c r="I85" s="1472">
        <f>SUMIF('Resource Build-Up'!$B$7:$B$306,D85,'Resource Build-Up'!$Z$7:$Z$306)</f>
        <v/>
      </c>
      <c r="J85" s="1473">
        <f>IFERROR(_xlfn.MAXIFS('Resource Build-Up'!$M$7:$M$306,'Resource Build-Up'!$B$7:$B$306,D85),0)</f>
        <v/>
      </c>
      <c r="K85" s="1473">
        <f>IF(J85=0,"",ROUNDUP(J85/8,0))</f>
        <v/>
      </c>
      <c r="L85" s="1474" t="n"/>
      <c r="M85" s="1473">
        <f>IF(L85&lt;&gt;"",L85,K85)</f>
        <v/>
      </c>
      <c r="N85" s="1436">
        <f>IF(M85="","",TEXT(M85,"0")&amp;" days")</f>
        <v/>
      </c>
      <c r="O85" s="1397" t="n"/>
      <c r="P85" s="1397" t="n"/>
      <c r="Q85" s="1397" t="n"/>
      <c r="R85" s="1397" t="n"/>
      <c r="S85" s="1475" t="n"/>
      <c r="T85" s="1476">
        <f>IF($D85="","",I85-N(H85))</f>
        <v/>
      </c>
      <c r="U85" s="1397">
        <f>IF($D85="","",IF(ABS(T85)&lt;0.01,"OK","CHECK"))</f>
        <v/>
      </c>
      <c r="V85" s="1397" t="inlineStr">
        <is>
          <t>Auto Scheduled</t>
        </is>
      </c>
      <c r="W85" s="1397" t="inlineStr">
        <is>
          <t>Prorated</t>
        </is>
      </c>
      <c r="X85" s="1397" t="n"/>
      <c r="Y85" s="1397">
        <f>IF($D85="","",COUNTIF($D$7:$D85,"?*"))</f>
        <v/>
      </c>
    </row>
    <row r="86">
      <c r="A86" s="1471" t="n">
        <v>80</v>
      </c>
      <c r="B86" s="1471" t="n">
        <v>82</v>
      </c>
      <c r="C86" s="1397">
        <f>IF('QS Takeoff'!$B82="","",'QS Takeoff'!A82)</f>
        <v/>
      </c>
      <c r="D86" s="1397">
        <f>IF('QS Takeoff'!$B82="","",'QS Takeoff'!B82)</f>
        <v/>
      </c>
      <c r="E86" s="1397">
        <f>IF('QS Takeoff'!$B82="","",'QS Takeoff'!C82)</f>
        <v/>
      </c>
      <c r="F86" s="1397">
        <f>IF('QS Takeoff'!$B82="","",'QS Takeoff'!E82)</f>
        <v/>
      </c>
      <c r="G86" s="1397">
        <f>IF('QS Takeoff'!$B82="","",'QS Takeoff'!D82)</f>
        <v/>
      </c>
      <c r="H86" s="1472">
        <f>IF('QS Takeoff'!$B82="","",'QS Takeoff'!G82)</f>
        <v/>
      </c>
      <c r="I86" s="1472">
        <f>SUMIF('Resource Build-Up'!$B$7:$B$306,D86,'Resource Build-Up'!$Z$7:$Z$306)</f>
        <v/>
      </c>
      <c r="J86" s="1473">
        <f>IFERROR(_xlfn.MAXIFS('Resource Build-Up'!$M$7:$M$306,'Resource Build-Up'!$B$7:$B$306,D86),0)</f>
        <v/>
      </c>
      <c r="K86" s="1473">
        <f>IF(J86=0,"",ROUNDUP(J86/8,0))</f>
        <v/>
      </c>
      <c r="L86" s="1474" t="n"/>
      <c r="M86" s="1473">
        <f>IF(L86&lt;&gt;"",L86,K86)</f>
        <v/>
      </c>
      <c r="N86" s="1436">
        <f>IF(M86="","",TEXT(M86,"0")&amp;" days")</f>
        <v/>
      </c>
      <c r="O86" s="1397" t="n"/>
      <c r="P86" s="1397" t="n"/>
      <c r="Q86" s="1397" t="n"/>
      <c r="R86" s="1397" t="n"/>
      <c r="S86" s="1475" t="n"/>
      <c r="T86" s="1476">
        <f>IF($D86="","",I86-N(H86))</f>
        <v/>
      </c>
      <c r="U86" s="1397">
        <f>IF($D86="","",IF(ABS(T86)&lt;0.01,"OK","CHECK"))</f>
        <v/>
      </c>
      <c r="V86" s="1397" t="inlineStr">
        <is>
          <t>Auto Scheduled</t>
        </is>
      </c>
      <c r="W86" s="1397" t="inlineStr">
        <is>
          <t>Prorated</t>
        </is>
      </c>
      <c r="X86" s="1397" t="n"/>
      <c r="Y86" s="1397">
        <f>IF($D86="","",COUNTIF($D$7:$D86,"?*"))</f>
        <v/>
      </c>
    </row>
    <row r="87">
      <c r="A87" s="1471" t="n">
        <v>81</v>
      </c>
      <c r="B87" s="1471" t="n">
        <v>83</v>
      </c>
      <c r="C87" s="1397">
        <f>IF('QS Takeoff'!$B83="","",'QS Takeoff'!A83)</f>
        <v/>
      </c>
      <c r="D87" s="1397">
        <f>IF('QS Takeoff'!$B83="","",'QS Takeoff'!B83)</f>
        <v/>
      </c>
      <c r="E87" s="1397">
        <f>IF('QS Takeoff'!$B83="","",'QS Takeoff'!C83)</f>
        <v/>
      </c>
      <c r="F87" s="1397">
        <f>IF('QS Takeoff'!$B83="","",'QS Takeoff'!E83)</f>
        <v/>
      </c>
      <c r="G87" s="1397">
        <f>IF('QS Takeoff'!$B83="","",'QS Takeoff'!D83)</f>
        <v/>
      </c>
      <c r="H87" s="1472">
        <f>IF('QS Takeoff'!$B83="","",'QS Takeoff'!G83)</f>
        <v/>
      </c>
      <c r="I87" s="1472">
        <f>SUMIF('Resource Build-Up'!$B$7:$B$306,D87,'Resource Build-Up'!$Z$7:$Z$306)</f>
        <v/>
      </c>
      <c r="J87" s="1473">
        <f>IFERROR(_xlfn.MAXIFS('Resource Build-Up'!$M$7:$M$306,'Resource Build-Up'!$B$7:$B$306,D87),0)</f>
        <v/>
      </c>
      <c r="K87" s="1473">
        <f>IF(J87=0,"",ROUNDUP(J87/8,0))</f>
        <v/>
      </c>
      <c r="L87" s="1474" t="n"/>
      <c r="M87" s="1473">
        <f>IF(L87&lt;&gt;"",L87,K87)</f>
        <v/>
      </c>
      <c r="N87" s="1436">
        <f>IF(M87="","",TEXT(M87,"0")&amp;" days")</f>
        <v/>
      </c>
      <c r="O87" s="1397" t="n"/>
      <c r="P87" s="1397" t="n"/>
      <c r="Q87" s="1397" t="n"/>
      <c r="R87" s="1397" t="n"/>
      <c r="S87" s="1475" t="n"/>
      <c r="T87" s="1476">
        <f>IF($D87="","",I87-N(H87))</f>
        <v/>
      </c>
      <c r="U87" s="1397">
        <f>IF($D87="","",IF(ABS(T87)&lt;0.01,"OK","CHECK"))</f>
        <v/>
      </c>
      <c r="V87" s="1397" t="inlineStr">
        <is>
          <t>Auto Scheduled</t>
        </is>
      </c>
      <c r="W87" s="1397" t="inlineStr">
        <is>
          <t>Prorated</t>
        </is>
      </c>
      <c r="X87" s="1397" t="n"/>
      <c r="Y87" s="1397">
        <f>IF($D87="","",COUNTIF($D$7:$D87,"?*"))</f>
        <v/>
      </c>
    </row>
    <row r="88">
      <c r="A88" s="1471" t="n">
        <v>82</v>
      </c>
      <c r="B88" s="1471" t="n">
        <v>84</v>
      </c>
      <c r="C88" s="1397">
        <f>IF('QS Takeoff'!$B84="","",'QS Takeoff'!A84)</f>
        <v/>
      </c>
      <c r="D88" s="1397">
        <f>IF('QS Takeoff'!$B84="","",'QS Takeoff'!B84)</f>
        <v/>
      </c>
      <c r="E88" s="1397">
        <f>IF('QS Takeoff'!$B84="","",'QS Takeoff'!C84)</f>
        <v/>
      </c>
      <c r="F88" s="1397">
        <f>IF('QS Takeoff'!$B84="","",'QS Takeoff'!E84)</f>
        <v/>
      </c>
      <c r="G88" s="1397">
        <f>IF('QS Takeoff'!$B84="","",'QS Takeoff'!D84)</f>
        <v/>
      </c>
      <c r="H88" s="1472">
        <f>IF('QS Takeoff'!$B84="","",'QS Takeoff'!G84)</f>
        <v/>
      </c>
      <c r="I88" s="1472">
        <f>SUMIF('Resource Build-Up'!$B$7:$B$306,D88,'Resource Build-Up'!$Z$7:$Z$306)</f>
        <v/>
      </c>
      <c r="J88" s="1473">
        <f>IFERROR(_xlfn.MAXIFS('Resource Build-Up'!$M$7:$M$306,'Resource Build-Up'!$B$7:$B$306,D88),0)</f>
        <v/>
      </c>
      <c r="K88" s="1473">
        <f>IF(J88=0,"",ROUNDUP(J88/8,0))</f>
        <v/>
      </c>
      <c r="L88" s="1474" t="n"/>
      <c r="M88" s="1473">
        <f>IF(L88&lt;&gt;"",L88,K88)</f>
        <v/>
      </c>
      <c r="N88" s="1436">
        <f>IF(M88="","",TEXT(M88,"0")&amp;" days")</f>
        <v/>
      </c>
      <c r="O88" s="1397" t="n"/>
      <c r="P88" s="1397" t="n"/>
      <c r="Q88" s="1397" t="n"/>
      <c r="R88" s="1397" t="n"/>
      <c r="S88" s="1475" t="n"/>
      <c r="T88" s="1476">
        <f>IF($D88="","",I88-N(H88))</f>
        <v/>
      </c>
      <c r="U88" s="1397">
        <f>IF($D88="","",IF(ABS(T88)&lt;0.01,"OK","CHECK"))</f>
        <v/>
      </c>
      <c r="V88" s="1397" t="inlineStr">
        <is>
          <t>Auto Scheduled</t>
        </is>
      </c>
      <c r="W88" s="1397" t="inlineStr">
        <is>
          <t>Prorated</t>
        </is>
      </c>
      <c r="X88" s="1397" t="n"/>
      <c r="Y88" s="1397">
        <f>IF($D88="","",COUNTIF($D$7:$D88,"?*"))</f>
        <v/>
      </c>
    </row>
    <row r="89">
      <c r="A89" s="1471" t="n">
        <v>83</v>
      </c>
      <c r="B89" s="1471" t="n">
        <v>85</v>
      </c>
      <c r="C89" s="1397">
        <f>IF('QS Takeoff'!$B85="","",'QS Takeoff'!A85)</f>
        <v/>
      </c>
      <c r="D89" s="1397">
        <f>IF('QS Takeoff'!$B85="","",'QS Takeoff'!B85)</f>
        <v/>
      </c>
      <c r="E89" s="1397">
        <f>IF('QS Takeoff'!$B85="","",'QS Takeoff'!C85)</f>
        <v/>
      </c>
      <c r="F89" s="1397">
        <f>IF('QS Takeoff'!$B85="","",'QS Takeoff'!E85)</f>
        <v/>
      </c>
      <c r="G89" s="1397">
        <f>IF('QS Takeoff'!$B85="","",'QS Takeoff'!D85)</f>
        <v/>
      </c>
      <c r="H89" s="1472">
        <f>IF('QS Takeoff'!$B85="","",'QS Takeoff'!G85)</f>
        <v/>
      </c>
      <c r="I89" s="1472">
        <f>SUMIF('Resource Build-Up'!$B$7:$B$306,D89,'Resource Build-Up'!$Z$7:$Z$306)</f>
        <v/>
      </c>
      <c r="J89" s="1473">
        <f>IFERROR(_xlfn.MAXIFS('Resource Build-Up'!$M$7:$M$306,'Resource Build-Up'!$B$7:$B$306,D89),0)</f>
        <v/>
      </c>
      <c r="K89" s="1473">
        <f>IF(J89=0,"",ROUNDUP(J89/8,0))</f>
        <v/>
      </c>
      <c r="L89" s="1474" t="n"/>
      <c r="M89" s="1473">
        <f>IF(L89&lt;&gt;"",L89,K89)</f>
        <v/>
      </c>
      <c r="N89" s="1436">
        <f>IF(M89="","",TEXT(M89,"0")&amp;" days")</f>
        <v/>
      </c>
      <c r="O89" s="1397" t="n"/>
      <c r="P89" s="1397" t="n"/>
      <c r="Q89" s="1397" t="n"/>
      <c r="R89" s="1397" t="n"/>
      <c r="S89" s="1475" t="n"/>
      <c r="T89" s="1476">
        <f>IF($D89="","",I89-N(H89))</f>
        <v/>
      </c>
      <c r="U89" s="1397">
        <f>IF($D89="","",IF(ABS(T89)&lt;0.01,"OK","CHECK"))</f>
        <v/>
      </c>
      <c r="V89" s="1397" t="inlineStr">
        <is>
          <t>Auto Scheduled</t>
        </is>
      </c>
      <c r="W89" s="1397" t="inlineStr">
        <is>
          <t>Prorated</t>
        </is>
      </c>
      <c r="X89" s="1397" t="n"/>
      <c r="Y89" s="1397">
        <f>IF($D89="","",COUNTIF($D$7:$D89,"?*"))</f>
        <v/>
      </c>
    </row>
    <row r="90">
      <c r="A90" s="1471" t="n">
        <v>84</v>
      </c>
      <c r="B90" s="1471" t="n">
        <v>86</v>
      </c>
      <c r="C90" s="1397">
        <f>IF('QS Takeoff'!$B86="","",'QS Takeoff'!A86)</f>
        <v/>
      </c>
      <c r="D90" s="1397">
        <f>IF('QS Takeoff'!$B86="","",'QS Takeoff'!B86)</f>
        <v/>
      </c>
      <c r="E90" s="1397">
        <f>IF('QS Takeoff'!$B86="","",'QS Takeoff'!C86)</f>
        <v/>
      </c>
      <c r="F90" s="1397">
        <f>IF('QS Takeoff'!$B86="","",'QS Takeoff'!E86)</f>
        <v/>
      </c>
      <c r="G90" s="1397">
        <f>IF('QS Takeoff'!$B86="","",'QS Takeoff'!D86)</f>
        <v/>
      </c>
      <c r="H90" s="1472">
        <f>IF('QS Takeoff'!$B86="","",'QS Takeoff'!G86)</f>
        <v/>
      </c>
      <c r="I90" s="1472">
        <f>SUMIF('Resource Build-Up'!$B$7:$B$306,D90,'Resource Build-Up'!$Z$7:$Z$306)</f>
        <v/>
      </c>
      <c r="J90" s="1473">
        <f>IFERROR(_xlfn.MAXIFS('Resource Build-Up'!$M$7:$M$306,'Resource Build-Up'!$B$7:$B$306,D90),0)</f>
        <v/>
      </c>
      <c r="K90" s="1473">
        <f>IF(J90=0,"",ROUNDUP(J90/8,0))</f>
        <v/>
      </c>
      <c r="L90" s="1474" t="n"/>
      <c r="M90" s="1473">
        <f>IF(L90&lt;&gt;"",L90,K90)</f>
        <v/>
      </c>
      <c r="N90" s="1436">
        <f>IF(M90="","",TEXT(M90,"0")&amp;" days")</f>
        <v/>
      </c>
      <c r="O90" s="1397" t="n"/>
      <c r="P90" s="1397" t="n"/>
      <c r="Q90" s="1397" t="n"/>
      <c r="R90" s="1397" t="n"/>
      <c r="S90" s="1475" t="n"/>
      <c r="T90" s="1476">
        <f>IF($D90="","",I90-N(H90))</f>
        <v/>
      </c>
      <c r="U90" s="1397">
        <f>IF($D90="","",IF(ABS(T90)&lt;0.01,"OK","CHECK"))</f>
        <v/>
      </c>
      <c r="V90" s="1397" t="inlineStr">
        <is>
          <t>Auto Scheduled</t>
        </is>
      </c>
      <c r="W90" s="1397" t="inlineStr">
        <is>
          <t>Prorated</t>
        </is>
      </c>
      <c r="X90" s="1397" t="n"/>
      <c r="Y90" s="1397">
        <f>IF($D90="","",COUNTIF($D$7:$D90,"?*"))</f>
        <v/>
      </c>
    </row>
    <row r="91">
      <c r="A91" s="1471" t="n">
        <v>85</v>
      </c>
      <c r="B91" s="1471" t="n">
        <v>87</v>
      </c>
      <c r="C91" s="1397">
        <f>IF('QS Takeoff'!$B87="","",'QS Takeoff'!A87)</f>
        <v/>
      </c>
      <c r="D91" s="1397">
        <f>IF('QS Takeoff'!$B87="","",'QS Takeoff'!B87)</f>
        <v/>
      </c>
      <c r="E91" s="1397">
        <f>IF('QS Takeoff'!$B87="","",'QS Takeoff'!C87)</f>
        <v/>
      </c>
      <c r="F91" s="1397">
        <f>IF('QS Takeoff'!$B87="","",'QS Takeoff'!E87)</f>
        <v/>
      </c>
      <c r="G91" s="1397">
        <f>IF('QS Takeoff'!$B87="","",'QS Takeoff'!D87)</f>
        <v/>
      </c>
      <c r="H91" s="1472">
        <f>IF('QS Takeoff'!$B87="","",'QS Takeoff'!G87)</f>
        <v/>
      </c>
      <c r="I91" s="1472">
        <f>SUMIF('Resource Build-Up'!$B$7:$B$306,D91,'Resource Build-Up'!$Z$7:$Z$306)</f>
        <v/>
      </c>
      <c r="J91" s="1473">
        <f>IFERROR(_xlfn.MAXIFS('Resource Build-Up'!$M$7:$M$306,'Resource Build-Up'!$B$7:$B$306,D91),0)</f>
        <v/>
      </c>
      <c r="K91" s="1473">
        <f>IF(J91=0,"",ROUNDUP(J91/8,0))</f>
        <v/>
      </c>
      <c r="L91" s="1474" t="n"/>
      <c r="M91" s="1473">
        <f>IF(L91&lt;&gt;"",L91,K91)</f>
        <v/>
      </c>
      <c r="N91" s="1436">
        <f>IF(M91="","",TEXT(M91,"0")&amp;" days")</f>
        <v/>
      </c>
      <c r="O91" s="1397" t="n"/>
      <c r="P91" s="1397" t="n"/>
      <c r="Q91" s="1397" t="n"/>
      <c r="R91" s="1397" t="n"/>
      <c r="S91" s="1475" t="n"/>
      <c r="T91" s="1476">
        <f>IF($D91="","",I91-N(H91))</f>
        <v/>
      </c>
      <c r="U91" s="1397">
        <f>IF($D91="","",IF(ABS(T91)&lt;0.01,"OK","CHECK"))</f>
        <v/>
      </c>
      <c r="V91" s="1397" t="inlineStr">
        <is>
          <t>Auto Scheduled</t>
        </is>
      </c>
      <c r="W91" s="1397" t="inlineStr">
        <is>
          <t>Prorated</t>
        </is>
      </c>
      <c r="X91" s="1397" t="n"/>
      <c r="Y91" s="1397">
        <f>IF($D91="","",COUNTIF($D$7:$D91,"?*"))</f>
        <v/>
      </c>
    </row>
    <row r="92">
      <c r="A92" s="1471" t="n">
        <v>86</v>
      </c>
      <c r="B92" s="1471" t="n">
        <v>88</v>
      </c>
      <c r="C92" s="1397">
        <f>IF('QS Takeoff'!$B88="","",'QS Takeoff'!A88)</f>
        <v/>
      </c>
      <c r="D92" s="1397">
        <f>IF('QS Takeoff'!$B88="","",'QS Takeoff'!B88)</f>
        <v/>
      </c>
      <c r="E92" s="1397">
        <f>IF('QS Takeoff'!$B88="","",'QS Takeoff'!C88)</f>
        <v/>
      </c>
      <c r="F92" s="1397">
        <f>IF('QS Takeoff'!$B88="","",'QS Takeoff'!E88)</f>
        <v/>
      </c>
      <c r="G92" s="1397">
        <f>IF('QS Takeoff'!$B88="","",'QS Takeoff'!D88)</f>
        <v/>
      </c>
      <c r="H92" s="1472">
        <f>IF('QS Takeoff'!$B88="","",'QS Takeoff'!G88)</f>
        <v/>
      </c>
      <c r="I92" s="1472">
        <f>SUMIF('Resource Build-Up'!$B$7:$B$306,D92,'Resource Build-Up'!$Z$7:$Z$306)</f>
        <v/>
      </c>
      <c r="J92" s="1473">
        <f>IFERROR(_xlfn.MAXIFS('Resource Build-Up'!$M$7:$M$306,'Resource Build-Up'!$B$7:$B$306,D92),0)</f>
        <v/>
      </c>
      <c r="K92" s="1473">
        <f>IF(J92=0,"",ROUNDUP(J92/8,0))</f>
        <v/>
      </c>
      <c r="L92" s="1474" t="n"/>
      <c r="M92" s="1473">
        <f>IF(L92&lt;&gt;"",L92,K92)</f>
        <v/>
      </c>
      <c r="N92" s="1436">
        <f>IF(M92="","",TEXT(M92,"0")&amp;" days")</f>
        <v/>
      </c>
      <c r="O92" s="1397" t="n"/>
      <c r="P92" s="1397" t="n"/>
      <c r="Q92" s="1397" t="n"/>
      <c r="R92" s="1397" t="n"/>
      <c r="S92" s="1475" t="n"/>
      <c r="T92" s="1476">
        <f>IF($D92="","",I92-N(H92))</f>
        <v/>
      </c>
      <c r="U92" s="1397">
        <f>IF($D92="","",IF(ABS(T92)&lt;0.01,"OK","CHECK"))</f>
        <v/>
      </c>
      <c r="V92" s="1397" t="inlineStr">
        <is>
          <t>Auto Scheduled</t>
        </is>
      </c>
      <c r="W92" s="1397" t="inlineStr">
        <is>
          <t>Prorated</t>
        </is>
      </c>
      <c r="X92" s="1397" t="n"/>
      <c r="Y92" s="1397">
        <f>IF($D92="","",COUNTIF($D$7:$D92,"?*"))</f>
        <v/>
      </c>
    </row>
    <row r="93">
      <c r="A93" s="1471" t="n">
        <v>87</v>
      </c>
      <c r="B93" s="1471" t="n">
        <v>89</v>
      </c>
      <c r="C93" s="1397">
        <f>IF('QS Takeoff'!$B89="","",'QS Takeoff'!A89)</f>
        <v/>
      </c>
      <c r="D93" s="1397">
        <f>IF('QS Takeoff'!$B89="","",'QS Takeoff'!B89)</f>
        <v/>
      </c>
      <c r="E93" s="1397">
        <f>IF('QS Takeoff'!$B89="","",'QS Takeoff'!C89)</f>
        <v/>
      </c>
      <c r="F93" s="1397">
        <f>IF('QS Takeoff'!$B89="","",'QS Takeoff'!E89)</f>
        <v/>
      </c>
      <c r="G93" s="1397">
        <f>IF('QS Takeoff'!$B89="","",'QS Takeoff'!D89)</f>
        <v/>
      </c>
      <c r="H93" s="1472">
        <f>IF('QS Takeoff'!$B89="","",'QS Takeoff'!G89)</f>
        <v/>
      </c>
      <c r="I93" s="1472">
        <f>SUMIF('Resource Build-Up'!$B$7:$B$306,D93,'Resource Build-Up'!$Z$7:$Z$306)</f>
        <v/>
      </c>
      <c r="J93" s="1473">
        <f>IFERROR(_xlfn.MAXIFS('Resource Build-Up'!$M$7:$M$306,'Resource Build-Up'!$B$7:$B$306,D93),0)</f>
        <v/>
      </c>
      <c r="K93" s="1473">
        <f>IF(J93=0,"",ROUNDUP(J93/8,0))</f>
        <v/>
      </c>
      <c r="L93" s="1474" t="n"/>
      <c r="M93" s="1473">
        <f>IF(L93&lt;&gt;"",L93,K93)</f>
        <v/>
      </c>
      <c r="N93" s="1436">
        <f>IF(M93="","",TEXT(M93,"0")&amp;" days")</f>
        <v/>
      </c>
      <c r="O93" s="1397" t="n"/>
      <c r="P93" s="1397" t="n"/>
      <c r="Q93" s="1397" t="n"/>
      <c r="R93" s="1397" t="n"/>
      <c r="S93" s="1475" t="n"/>
      <c r="T93" s="1476">
        <f>IF($D93="","",I93-N(H93))</f>
        <v/>
      </c>
      <c r="U93" s="1397">
        <f>IF($D93="","",IF(ABS(T93)&lt;0.01,"OK","CHECK"))</f>
        <v/>
      </c>
      <c r="V93" s="1397" t="inlineStr">
        <is>
          <t>Auto Scheduled</t>
        </is>
      </c>
      <c r="W93" s="1397" t="inlineStr">
        <is>
          <t>Prorated</t>
        </is>
      </c>
      <c r="X93" s="1397" t="n"/>
      <c r="Y93" s="1397">
        <f>IF($D93="","",COUNTIF($D$7:$D93,"?*"))</f>
        <v/>
      </c>
    </row>
    <row r="94">
      <c r="A94" s="1471" t="n">
        <v>88</v>
      </c>
      <c r="B94" s="1471" t="n">
        <v>90</v>
      </c>
      <c r="C94" s="1397">
        <f>IF('QS Takeoff'!$B90="","",'QS Takeoff'!A90)</f>
        <v/>
      </c>
      <c r="D94" s="1397">
        <f>IF('QS Takeoff'!$B90="","",'QS Takeoff'!B90)</f>
        <v/>
      </c>
      <c r="E94" s="1397">
        <f>IF('QS Takeoff'!$B90="","",'QS Takeoff'!C90)</f>
        <v/>
      </c>
      <c r="F94" s="1397">
        <f>IF('QS Takeoff'!$B90="","",'QS Takeoff'!E90)</f>
        <v/>
      </c>
      <c r="G94" s="1397">
        <f>IF('QS Takeoff'!$B90="","",'QS Takeoff'!D90)</f>
        <v/>
      </c>
      <c r="H94" s="1472">
        <f>IF('QS Takeoff'!$B90="","",'QS Takeoff'!G90)</f>
        <v/>
      </c>
      <c r="I94" s="1472">
        <f>SUMIF('Resource Build-Up'!$B$7:$B$306,D94,'Resource Build-Up'!$Z$7:$Z$306)</f>
        <v/>
      </c>
      <c r="J94" s="1473">
        <f>IFERROR(_xlfn.MAXIFS('Resource Build-Up'!$M$7:$M$306,'Resource Build-Up'!$B$7:$B$306,D94),0)</f>
        <v/>
      </c>
      <c r="K94" s="1473">
        <f>IF(J94=0,"",ROUNDUP(J94/8,0))</f>
        <v/>
      </c>
      <c r="L94" s="1474" t="n"/>
      <c r="M94" s="1473">
        <f>IF(L94&lt;&gt;"",L94,K94)</f>
        <v/>
      </c>
      <c r="N94" s="1436">
        <f>IF(M94="","",TEXT(M94,"0")&amp;" days")</f>
        <v/>
      </c>
      <c r="O94" s="1397" t="n"/>
      <c r="P94" s="1397" t="n"/>
      <c r="Q94" s="1397" t="n"/>
      <c r="R94" s="1397" t="n"/>
      <c r="S94" s="1475" t="n"/>
      <c r="T94" s="1476">
        <f>IF($D94="","",I94-N(H94))</f>
        <v/>
      </c>
      <c r="U94" s="1397">
        <f>IF($D94="","",IF(ABS(T94)&lt;0.01,"OK","CHECK"))</f>
        <v/>
      </c>
      <c r="V94" s="1397" t="inlineStr">
        <is>
          <t>Auto Scheduled</t>
        </is>
      </c>
      <c r="W94" s="1397" t="inlineStr">
        <is>
          <t>Prorated</t>
        </is>
      </c>
      <c r="X94" s="1397" t="n"/>
      <c r="Y94" s="1397">
        <f>IF($D94="","",COUNTIF($D$7:$D94,"?*"))</f>
        <v/>
      </c>
    </row>
    <row r="95">
      <c r="A95" s="1471" t="n">
        <v>89</v>
      </c>
      <c r="B95" s="1471" t="n">
        <v>91</v>
      </c>
      <c r="C95" s="1397">
        <f>IF('QS Takeoff'!$B91="","",'QS Takeoff'!A91)</f>
        <v/>
      </c>
      <c r="D95" s="1397">
        <f>IF('QS Takeoff'!$B91="","",'QS Takeoff'!B91)</f>
        <v/>
      </c>
      <c r="E95" s="1397">
        <f>IF('QS Takeoff'!$B91="","",'QS Takeoff'!C91)</f>
        <v/>
      </c>
      <c r="F95" s="1397">
        <f>IF('QS Takeoff'!$B91="","",'QS Takeoff'!E91)</f>
        <v/>
      </c>
      <c r="G95" s="1397">
        <f>IF('QS Takeoff'!$B91="","",'QS Takeoff'!D91)</f>
        <v/>
      </c>
      <c r="H95" s="1472">
        <f>IF('QS Takeoff'!$B91="","",'QS Takeoff'!G91)</f>
        <v/>
      </c>
      <c r="I95" s="1472">
        <f>SUMIF('Resource Build-Up'!$B$7:$B$306,D95,'Resource Build-Up'!$Z$7:$Z$306)</f>
        <v/>
      </c>
      <c r="J95" s="1473">
        <f>IFERROR(_xlfn.MAXIFS('Resource Build-Up'!$M$7:$M$306,'Resource Build-Up'!$B$7:$B$306,D95),0)</f>
        <v/>
      </c>
      <c r="K95" s="1473">
        <f>IF(J95=0,"",ROUNDUP(J95/8,0))</f>
        <v/>
      </c>
      <c r="L95" s="1474" t="n"/>
      <c r="M95" s="1473">
        <f>IF(L95&lt;&gt;"",L95,K95)</f>
        <v/>
      </c>
      <c r="N95" s="1436">
        <f>IF(M95="","",TEXT(M95,"0")&amp;" days")</f>
        <v/>
      </c>
      <c r="O95" s="1397" t="n"/>
      <c r="P95" s="1397" t="n"/>
      <c r="Q95" s="1397" t="n"/>
      <c r="R95" s="1397" t="n"/>
      <c r="S95" s="1475" t="n"/>
      <c r="T95" s="1476">
        <f>IF($D95="","",I95-N(H95))</f>
        <v/>
      </c>
      <c r="U95" s="1397">
        <f>IF($D95="","",IF(ABS(T95)&lt;0.01,"OK","CHECK"))</f>
        <v/>
      </c>
      <c r="V95" s="1397" t="inlineStr">
        <is>
          <t>Auto Scheduled</t>
        </is>
      </c>
      <c r="W95" s="1397" t="inlineStr">
        <is>
          <t>Prorated</t>
        </is>
      </c>
      <c r="X95" s="1397" t="n"/>
      <c r="Y95" s="1397">
        <f>IF($D95="","",COUNTIF($D$7:$D95,"?*"))</f>
        <v/>
      </c>
    </row>
    <row r="96">
      <c r="A96" s="1471" t="n">
        <v>90</v>
      </c>
      <c r="B96" s="1471" t="n">
        <v>92</v>
      </c>
      <c r="C96" s="1397">
        <f>IF('QS Takeoff'!$B92="","",'QS Takeoff'!A92)</f>
        <v/>
      </c>
      <c r="D96" s="1397">
        <f>IF('QS Takeoff'!$B92="","",'QS Takeoff'!B92)</f>
        <v/>
      </c>
      <c r="E96" s="1397">
        <f>IF('QS Takeoff'!$B92="","",'QS Takeoff'!C92)</f>
        <v/>
      </c>
      <c r="F96" s="1397">
        <f>IF('QS Takeoff'!$B92="","",'QS Takeoff'!E92)</f>
        <v/>
      </c>
      <c r="G96" s="1397">
        <f>IF('QS Takeoff'!$B92="","",'QS Takeoff'!D92)</f>
        <v/>
      </c>
      <c r="H96" s="1472">
        <f>IF('QS Takeoff'!$B92="","",'QS Takeoff'!G92)</f>
        <v/>
      </c>
      <c r="I96" s="1472">
        <f>SUMIF('Resource Build-Up'!$B$7:$B$306,D96,'Resource Build-Up'!$Z$7:$Z$306)</f>
        <v/>
      </c>
      <c r="J96" s="1473">
        <f>IFERROR(_xlfn.MAXIFS('Resource Build-Up'!$M$7:$M$306,'Resource Build-Up'!$B$7:$B$306,D96),0)</f>
        <v/>
      </c>
      <c r="K96" s="1473">
        <f>IF(J96=0,"",ROUNDUP(J96/8,0))</f>
        <v/>
      </c>
      <c r="L96" s="1474" t="n"/>
      <c r="M96" s="1473">
        <f>IF(L96&lt;&gt;"",L96,K96)</f>
        <v/>
      </c>
      <c r="N96" s="1436">
        <f>IF(M96="","",TEXT(M96,"0")&amp;" days")</f>
        <v/>
      </c>
      <c r="O96" s="1397" t="n"/>
      <c r="P96" s="1397" t="n"/>
      <c r="Q96" s="1397" t="n"/>
      <c r="R96" s="1397" t="n"/>
      <c r="S96" s="1475" t="n"/>
      <c r="T96" s="1476">
        <f>IF($D96="","",I96-N(H96))</f>
        <v/>
      </c>
      <c r="U96" s="1397">
        <f>IF($D96="","",IF(ABS(T96)&lt;0.01,"OK","CHECK"))</f>
        <v/>
      </c>
      <c r="V96" s="1397" t="inlineStr">
        <is>
          <t>Auto Scheduled</t>
        </is>
      </c>
      <c r="W96" s="1397" t="inlineStr">
        <is>
          <t>Prorated</t>
        </is>
      </c>
      <c r="X96" s="1397" t="n"/>
      <c r="Y96" s="1397">
        <f>IF($D96="","",COUNTIF($D$7:$D96,"?*"))</f>
        <v/>
      </c>
    </row>
    <row r="97">
      <c r="A97" s="1471" t="n">
        <v>91</v>
      </c>
      <c r="B97" s="1471" t="n">
        <v>93</v>
      </c>
      <c r="C97" s="1397">
        <f>IF('QS Takeoff'!$B93="","",'QS Takeoff'!A93)</f>
        <v/>
      </c>
      <c r="D97" s="1397">
        <f>IF('QS Takeoff'!$B93="","",'QS Takeoff'!B93)</f>
        <v/>
      </c>
      <c r="E97" s="1397">
        <f>IF('QS Takeoff'!$B93="","",'QS Takeoff'!C93)</f>
        <v/>
      </c>
      <c r="F97" s="1397">
        <f>IF('QS Takeoff'!$B93="","",'QS Takeoff'!E93)</f>
        <v/>
      </c>
      <c r="G97" s="1397">
        <f>IF('QS Takeoff'!$B93="","",'QS Takeoff'!D93)</f>
        <v/>
      </c>
      <c r="H97" s="1472">
        <f>IF('QS Takeoff'!$B93="","",'QS Takeoff'!G93)</f>
        <v/>
      </c>
      <c r="I97" s="1472">
        <f>SUMIF('Resource Build-Up'!$B$7:$B$306,D97,'Resource Build-Up'!$Z$7:$Z$306)</f>
        <v/>
      </c>
      <c r="J97" s="1473">
        <f>IFERROR(_xlfn.MAXIFS('Resource Build-Up'!$M$7:$M$306,'Resource Build-Up'!$B$7:$B$306,D97),0)</f>
        <v/>
      </c>
      <c r="K97" s="1473">
        <f>IF(J97=0,"",ROUNDUP(J97/8,0))</f>
        <v/>
      </c>
      <c r="L97" s="1474" t="n"/>
      <c r="M97" s="1473">
        <f>IF(L97&lt;&gt;"",L97,K97)</f>
        <v/>
      </c>
      <c r="N97" s="1436">
        <f>IF(M97="","",TEXT(M97,"0")&amp;" days")</f>
        <v/>
      </c>
      <c r="O97" s="1397" t="n"/>
      <c r="P97" s="1397" t="n"/>
      <c r="Q97" s="1397" t="n"/>
      <c r="R97" s="1397" t="n"/>
      <c r="S97" s="1475" t="n"/>
      <c r="T97" s="1476">
        <f>IF($D97="","",I97-N(H97))</f>
        <v/>
      </c>
      <c r="U97" s="1397">
        <f>IF($D97="","",IF(ABS(T97)&lt;0.01,"OK","CHECK"))</f>
        <v/>
      </c>
      <c r="V97" s="1397" t="inlineStr">
        <is>
          <t>Auto Scheduled</t>
        </is>
      </c>
      <c r="W97" s="1397" t="inlineStr">
        <is>
          <t>Prorated</t>
        </is>
      </c>
      <c r="X97" s="1397" t="n"/>
      <c r="Y97" s="1397">
        <f>IF($D97="","",COUNTIF($D$7:$D97,"?*"))</f>
        <v/>
      </c>
    </row>
    <row r="98">
      <c r="A98" s="1471" t="n">
        <v>92</v>
      </c>
      <c r="B98" s="1471" t="n">
        <v>94</v>
      </c>
      <c r="C98" s="1397">
        <f>IF('QS Takeoff'!$B94="","",'QS Takeoff'!A94)</f>
        <v/>
      </c>
      <c r="D98" s="1397">
        <f>IF('QS Takeoff'!$B94="","",'QS Takeoff'!B94)</f>
        <v/>
      </c>
      <c r="E98" s="1397">
        <f>IF('QS Takeoff'!$B94="","",'QS Takeoff'!C94)</f>
        <v/>
      </c>
      <c r="F98" s="1397">
        <f>IF('QS Takeoff'!$B94="","",'QS Takeoff'!E94)</f>
        <v/>
      </c>
      <c r="G98" s="1397">
        <f>IF('QS Takeoff'!$B94="","",'QS Takeoff'!D94)</f>
        <v/>
      </c>
      <c r="H98" s="1472">
        <f>IF('QS Takeoff'!$B94="","",'QS Takeoff'!G94)</f>
        <v/>
      </c>
      <c r="I98" s="1472">
        <f>SUMIF('Resource Build-Up'!$B$7:$B$306,D98,'Resource Build-Up'!$Z$7:$Z$306)</f>
        <v/>
      </c>
      <c r="J98" s="1473">
        <f>IFERROR(_xlfn.MAXIFS('Resource Build-Up'!$M$7:$M$306,'Resource Build-Up'!$B$7:$B$306,D98),0)</f>
        <v/>
      </c>
      <c r="K98" s="1473">
        <f>IF(J98=0,"",ROUNDUP(J98/8,0))</f>
        <v/>
      </c>
      <c r="L98" s="1474" t="n"/>
      <c r="M98" s="1473">
        <f>IF(L98&lt;&gt;"",L98,K98)</f>
        <v/>
      </c>
      <c r="N98" s="1436">
        <f>IF(M98="","",TEXT(M98,"0")&amp;" days")</f>
        <v/>
      </c>
      <c r="O98" s="1397" t="n"/>
      <c r="P98" s="1397" t="n"/>
      <c r="Q98" s="1397" t="n"/>
      <c r="R98" s="1397" t="n"/>
      <c r="S98" s="1475" t="n"/>
      <c r="T98" s="1476">
        <f>IF($D98="","",I98-N(H98))</f>
        <v/>
      </c>
      <c r="U98" s="1397">
        <f>IF($D98="","",IF(ABS(T98)&lt;0.01,"OK","CHECK"))</f>
        <v/>
      </c>
      <c r="V98" s="1397" t="inlineStr">
        <is>
          <t>Auto Scheduled</t>
        </is>
      </c>
      <c r="W98" s="1397" t="inlineStr">
        <is>
          <t>Prorated</t>
        </is>
      </c>
      <c r="X98" s="1397" t="n"/>
      <c r="Y98" s="1397">
        <f>IF($D98="","",COUNTIF($D$7:$D98,"?*"))</f>
        <v/>
      </c>
    </row>
    <row r="99">
      <c r="A99" s="1471" t="n">
        <v>93</v>
      </c>
      <c r="B99" s="1471" t="n">
        <v>95</v>
      </c>
      <c r="C99" s="1397">
        <f>IF('QS Takeoff'!$B95="","",'QS Takeoff'!A95)</f>
        <v/>
      </c>
      <c r="D99" s="1397">
        <f>IF('QS Takeoff'!$B95="","",'QS Takeoff'!B95)</f>
        <v/>
      </c>
      <c r="E99" s="1397">
        <f>IF('QS Takeoff'!$B95="","",'QS Takeoff'!C95)</f>
        <v/>
      </c>
      <c r="F99" s="1397">
        <f>IF('QS Takeoff'!$B95="","",'QS Takeoff'!E95)</f>
        <v/>
      </c>
      <c r="G99" s="1397">
        <f>IF('QS Takeoff'!$B95="","",'QS Takeoff'!D95)</f>
        <v/>
      </c>
      <c r="H99" s="1472">
        <f>IF('QS Takeoff'!$B95="","",'QS Takeoff'!G95)</f>
        <v/>
      </c>
      <c r="I99" s="1472">
        <f>SUMIF('Resource Build-Up'!$B$7:$B$306,D99,'Resource Build-Up'!$Z$7:$Z$306)</f>
        <v/>
      </c>
      <c r="J99" s="1473">
        <f>IFERROR(_xlfn.MAXIFS('Resource Build-Up'!$M$7:$M$306,'Resource Build-Up'!$B$7:$B$306,D99),0)</f>
        <v/>
      </c>
      <c r="K99" s="1473">
        <f>IF(J99=0,"",ROUNDUP(J99/8,0))</f>
        <v/>
      </c>
      <c r="L99" s="1474" t="n"/>
      <c r="M99" s="1473">
        <f>IF(L99&lt;&gt;"",L99,K99)</f>
        <v/>
      </c>
      <c r="N99" s="1436">
        <f>IF(M99="","",TEXT(M99,"0")&amp;" days")</f>
        <v/>
      </c>
      <c r="O99" s="1397" t="n"/>
      <c r="P99" s="1397" t="n"/>
      <c r="Q99" s="1397" t="n"/>
      <c r="R99" s="1397" t="n"/>
      <c r="S99" s="1475" t="n"/>
      <c r="T99" s="1476">
        <f>IF($D99="","",I99-N(H99))</f>
        <v/>
      </c>
      <c r="U99" s="1397">
        <f>IF($D99="","",IF(ABS(T99)&lt;0.01,"OK","CHECK"))</f>
        <v/>
      </c>
      <c r="V99" s="1397" t="inlineStr">
        <is>
          <t>Auto Scheduled</t>
        </is>
      </c>
      <c r="W99" s="1397" t="inlineStr">
        <is>
          <t>Prorated</t>
        </is>
      </c>
      <c r="X99" s="1397" t="n"/>
      <c r="Y99" s="1397">
        <f>IF($D99="","",COUNTIF($D$7:$D99,"?*"))</f>
        <v/>
      </c>
    </row>
    <row r="100">
      <c r="A100" s="1471" t="n">
        <v>94</v>
      </c>
      <c r="B100" s="1471" t="n">
        <v>96</v>
      </c>
      <c r="C100" s="1397">
        <f>IF('QS Takeoff'!$B96="","",'QS Takeoff'!A96)</f>
        <v/>
      </c>
      <c r="D100" s="1397">
        <f>IF('QS Takeoff'!$B96="","",'QS Takeoff'!B96)</f>
        <v/>
      </c>
      <c r="E100" s="1397">
        <f>IF('QS Takeoff'!$B96="","",'QS Takeoff'!C96)</f>
        <v/>
      </c>
      <c r="F100" s="1397">
        <f>IF('QS Takeoff'!$B96="","",'QS Takeoff'!E96)</f>
        <v/>
      </c>
      <c r="G100" s="1397">
        <f>IF('QS Takeoff'!$B96="","",'QS Takeoff'!D96)</f>
        <v/>
      </c>
      <c r="H100" s="1472">
        <f>IF('QS Takeoff'!$B96="","",'QS Takeoff'!G96)</f>
        <v/>
      </c>
      <c r="I100" s="1472">
        <f>SUMIF('Resource Build-Up'!$B$7:$B$306,D100,'Resource Build-Up'!$Z$7:$Z$306)</f>
        <v/>
      </c>
      <c r="J100" s="1473">
        <f>IFERROR(_xlfn.MAXIFS('Resource Build-Up'!$M$7:$M$306,'Resource Build-Up'!$B$7:$B$306,D100),0)</f>
        <v/>
      </c>
      <c r="K100" s="1473">
        <f>IF(J100=0,"",ROUNDUP(J100/8,0))</f>
        <v/>
      </c>
      <c r="L100" s="1474" t="n"/>
      <c r="M100" s="1473">
        <f>IF(L100&lt;&gt;"",L100,K100)</f>
        <v/>
      </c>
      <c r="N100" s="1436">
        <f>IF(M100="","",TEXT(M100,"0")&amp;" days")</f>
        <v/>
      </c>
      <c r="O100" s="1397" t="n"/>
      <c r="P100" s="1397" t="n"/>
      <c r="Q100" s="1397" t="n"/>
      <c r="R100" s="1397" t="n"/>
      <c r="S100" s="1475" t="n"/>
      <c r="T100" s="1476">
        <f>IF($D100="","",I100-N(H100))</f>
        <v/>
      </c>
      <c r="U100" s="1397">
        <f>IF($D100="","",IF(ABS(T100)&lt;0.01,"OK","CHECK"))</f>
        <v/>
      </c>
      <c r="V100" s="1397" t="inlineStr">
        <is>
          <t>Auto Scheduled</t>
        </is>
      </c>
      <c r="W100" s="1397" t="inlineStr">
        <is>
          <t>Prorated</t>
        </is>
      </c>
      <c r="X100" s="1397" t="n"/>
      <c r="Y100" s="1397">
        <f>IF($D100="","",COUNTIF($D$7:$D100,"?*"))</f>
        <v/>
      </c>
    </row>
    <row r="101">
      <c r="A101" s="1471" t="n">
        <v>95</v>
      </c>
      <c r="B101" s="1471" t="n">
        <v>97</v>
      </c>
      <c r="C101" s="1397">
        <f>IF('QS Takeoff'!$B97="","",'QS Takeoff'!A97)</f>
        <v/>
      </c>
      <c r="D101" s="1397">
        <f>IF('QS Takeoff'!$B97="","",'QS Takeoff'!B97)</f>
        <v/>
      </c>
      <c r="E101" s="1397">
        <f>IF('QS Takeoff'!$B97="","",'QS Takeoff'!C97)</f>
        <v/>
      </c>
      <c r="F101" s="1397">
        <f>IF('QS Takeoff'!$B97="","",'QS Takeoff'!E97)</f>
        <v/>
      </c>
      <c r="G101" s="1397">
        <f>IF('QS Takeoff'!$B97="","",'QS Takeoff'!D97)</f>
        <v/>
      </c>
      <c r="H101" s="1472">
        <f>IF('QS Takeoff'!$B97="","",'QS Takeoff'!G97)</f>
        <v/>
      </c>
      <c r="I101" s="1472">
        <f>SUMIF('Resource Build-Up'!$B$7:$B$306,D101,'Resource Build-Up'!$Z$7:$Z$306)</f>
        <v/>
      </c>
      <c r="J101" s="1473">
        <f>IFERROR(_xlfn.MAXIFS('Resource Build-Up'!$M$7:$M$306,'Resource Build-Up'!$B$7:$B$306,D101),0)</f>
        <v/>
      </c>
      <c r="K101" s="1473">
        <f>IF(J101=0,"",ROUNDUP(J101/8,0))</f>
        <v/>
      </c>
      <c r="L101" s="1474" t="n"/>
      <c r="M101" s="1473">
        <f>IF(L101&lt;&gt;"",L101,K101)</f>
        <v/>
      </c>
      <c r="N101" s="1436">
        <f>IF(M101="","",TEXT(M101,"0")&amp;" days")</f>
        <v/>
      </c>
      <c r="O101" s="1397" t="n"/>
      <c r="P101" s="1397" t="n"/>
      <c r="Q101" s="1397" t="n"/>
      <c r="R101" s="1397" t="n"/>
      <c r="S101" s="1475" t="n"/>
      <c r="T101" s="1476">
        <f>IF($D101="","",I101-N(H101))</f>
        <v/>
      </c>
      <c r="U101" s="1397">
        <f>IF($D101="","",IF(ABS(T101)&lt;0.01,"OK","CHECK"))</f>
        <v/>
      </c>
      <c r="V101" s="1397" t="inlineStr">
        <is>
          <t>Auto Scheduled</t>
        </is>
      </c>
      <c r="W101" s="1397" t="inlineStr">
        <is>
          <t>Prorated</t>
        </is>
      </c>
      <c r="X101" s="1397" t="n"/>
      <c r="Y101" s="1397">
        <f>IF($D101="","",COUNTIF($D$7:$D101,"?*"))</f>
        <v/>
      </c>
    </row>
    <row r="102">
      <c r="A102" s="1471" t="n">
        <v>96</v>
      </c>
      <c r="B102" s="1471" t="n">
        <v>98</v>
      </c>
      <c r="C102" s="1397">
        <f>IF('QS Takeoff'!$B98="","",'QS Takeoff'!A98)</f>
        <v/>
      </c>
      <c r="D102" s="1397">
        <f>IF('QS Takeoff'!$B98="","",'QS Takeoff'!B98)</f>
        <v/>
      </c>
      <c r="E102" s="1397">
        <f>IF('QS Takeoff'!$B98="","",'QS Takeoff'!C98)</f>
        <v/>
      </c>
      <c r="F102" s="1397">
        <f>IF('QS Takeoff'!$B98="","",'QS Takeoff'!E98)</f>
        <v/>
      </c>
      <c r="G102" s="1397">
        <f>IF('QS Takeoff'!$B98="","",'QS Takeoff'!D98)</f>
        <v/>
      </c>
      <c r="H102" s="1472">
        <f>IF('QS Takeoff'!$B98="","",'QS Takeoff'!G98)</f>
        <v/>
      </c>
      <c r="I102" s="1472">
        <f>SUMIF('Resource Build-Up'!$B$7:$B$306,D102,'Resource Build-Up'!$Z$7:$Z$306)</f>
        <v/>
      </c>
      <c r="J102" s="1473">
        <f>IFERROR(_xlfn.MAXIFS('Resource Build-Up'!$M$7:$M$306,'Resource Build-Up'!$B$7:$B$306,D102),0)</f>
        <v/>
      </c>
      <c r="K102" s="1473">
        <f>IF(J102=0,"",ROUNDUP(J102/8,0))</f>
        <v/>
      </c>
      <c r="L102" s="1474" t="n"/>
      <c r="M102" s="1473">
        <f>IF(L102&lt;&gt;"",L102,K102)</f>
        <v/>
      </c>
      <c r="N102" s="1436">
        <f>IF(M102="","",TEXT(M102,"0")&amp;" days")</f>
        <v/>
      </c>
      <c r="O102" s="1397" t="n"/>
      <c r="P102" s="1397" t="n"/>
      <c r="Q102" s="1397" t="n"/>
      <c r="R102" s="1397" t="n"/>
      <c r="S102" s="1475" t="n"/>
      <c r="T102" s="1476">
        <f>IF($D102="","",I102-N(H102))</f>
        <v/>
      </c>
      <c r="U102" s="1397">
        <f>IF($D102="","",IF(ABS(T102)&lt;0.01,"OK","CHECK"))</f>
        <v/>
      </c>
      <c r="V102" s="1397" t="inlineStr">
        <is>
          <t>Auto Scheduled</t>
        </is>
      </c>
      <c r="W102" s="1397" t="inlineStr">
        <is>
          <t>Prorated</t>
        </is>
      </c>
      <c r="X102" s="1397" t="n"/>
      <c r="Y102" s="1397">
        <f>IF($D102="","",COUNTIF($D$7:$D102,"?*"))</f>
        <v/>
      </c>
    </row>
    <row r="103">
      <c r="A103" s="1471" t="n">
        <v>97</v>
      </c>
      <c r="B103" s="1471" t="n">
        <v>99</v>
      </c>
      <c r="C103" s="1397">
        <f>IF('QS Takeoff'!$B99="","",'QS Takeoff'!A99)</f>
        <v/>
      </c>
      <c r="D103" s="1397">
        <f>IF('QS Takeoff'!$B99="","",'QS Takeoff'!B99)</f>
        <v/>
      </c>
      <c r="E103" s="1397">
        <f>IF('QS Takeoff'!$B99="","",'QS Takeoff'!C99)</f>
        <v/>
      </c>
      <c r="F103" s="1397">
        <f>IF('QS Takeoff'!$B99="","",'QS Takeoff'!E99)</f>
        <v/>
      </c>
      <c r="G103" s="1397">
        <f>IF('QS Takeoff'!$B99="","",'QS Takeoff'!D99)</f>
        <v/>
      </c>
      <c r="H103" s="1472">
        <f>IF('QS Takeoff'!$B99="","",'QS Takeoff'!G99)</f>
        <v/>
      </c>
      <c r="I103" s="1472">
        <f>SUMIF('Resource Build-Up'!$B$7:$B$306,D103,'Resource Build-Up'!$Z$7:$Z$306)</f>
        <v/>
      </c>
      <c r="J103" s="1473">
        <f>IFERROR(_xlfn.MAXIFS('Resource Build-Up'!$M$7:$M$306,'Resource Build-Up'!$B$7:$B$306,D103),0)</f>
        <v/>
      </c>
      <c r="K103" s="1473">
        <f>IF(J103=0,"",ROUNDUP(J103/8,0))</f>
        <v/>
      </c>
      <c r="L103" s="1474" t="n"/>
      <c r="M103" s="1473">
        <f>IF(L103&lt;&gt;"",L103,K103)</f>
        <v/>
      </c>
      <c r="N103" s="1436">
        <f>IF(M103="","",TEXT(M103,"0")&amp;" days")</f>
        <v/>
      </c>
      <c r="O103" s="1397" t="n"/>
      <c r="P103" s="1397" t="n"/>
      <c r="Q103" s="1397" t="n"/>
      <c r="R103" s="1397" t="n"/>
      <c r="S103" s="1475" t="n"/>
      <c r="T103" s="1476">
        <f>IF($D103="","",I103-N(H103))</f>
        <v/>
      </c>
      <c r="U103" s="1397">
        <f>IF($D103="","",IF(ABS(T103)&lt;0.01,"OK","CHECK"))</f>
        <v/>
      </c>
      <c r="V103" s="1397" t="inlineStr">
        <is>
          <t>Auto Scheduled</t>
        </is>
      </c>
      <c r="W103" s="1397" t="inlineStr">
        <is>
          <t>Prorated</t>
        </is>
      </c>
      <c r="X103" s="1397" t="n"/>
      <c r="Y103" s="1397">
        <f>IF($D103="","",COUNTIF($D$7:$D103,"?*"))</f>
        <v/>
      </c>
    </row>
    <row r="104">
      <c r="A104" s="1471" t="n">
        <v>98</v>
      </c>
      <c r="B104" s="1471" t="n">
        <v>100</v>
      </c>
      <c r="C104" s="1397">
        <f>IF('QS Takeoff'!$B100="","",'QS Takeoff'!A100)</f>
        <v/>
      </c>
      <c r="D104" s="1397">
        <f>IF('QS Takeoff'!$B100="","",'QS Takeoff'!B100)</f>
        <v/>
      </c>
      <c r="E104" s="1397">
        <f>IF('QS Takeoff'!$B100="","",'QS Takeoff'!C100)</f>
        <v/>
      </c>
      <c r="F104" s="1397">
        <f>IF('QS Takeoff'!$B100="","",'QS Takeoff'!E100)</f>
        <v/>
      </c>
      <c r="G104" s="1397">
        <f>IF('QS Takeoff'!$B100="","",'QS Takeoff'!D100)</f>
        <v/>
      </c>
      <c r="H104" s="1472">
        <f>IF('QS Takeoff'!$B100="","",'QS Takeoff'!G100)</f>
        <v/>
      </c>
      <c r="I104" s="1472">
        <f>SUMIF('Resource Build-Up'!$B$7:$B$306,D104,'Resource Build-Up'!$Z$7:$Z$306)</f>
        <v/>
      </c>
      <c r="J104" s="1473">
        <f>IFERROR(_xlfn.MAXIFS('Resource Build-Up'!$M$7:$M$306,'Resource Build-Up'!$B$7:$B$306,D104),0)</f>
        <v/>
      </c>
      <c r="K104" s="1473">
        <f>IF(J104=0,"",ROUNDUP(J104/8,0))</f>
        <v/>
      </c>
      <c r="L104" s="1474" t="n"/>
      <c r="M104" s="1473">
        <f>IF(L104&lt;&gt;"",L104,K104)</f>
        <v/>
      </c>
      <c r="N104" s="1436">
        <f>IF(M104="","",TEXT(M104,"0")&amp;" days")</f>
        <v/>
      </c>
      <c r="O104" s="1397" t="n"/>
      <c r="P104" s="1397" t="n"/>
      <c r="Q104" s="1397" t="n"/>
      <c r="R104" s="1397" t="n"/>
      <c r="S104" s="1475" t="n"/>
      <c r="T104" s="1476">
        <f>IF($D104="","",I104-N(H104))</f>
        <v/>
      </c>
      <c r="U104" s="1397">
        <f>IF($D104="","",IF(ABS(T104)&lt;0.01,"OK","CHECK"))</f>
        <v/>
      </c>
      <c r="V104" s="1397" t="inlineStr">
        <is>
          <t>Auto Scheduled</t>
        </is>
      </c>
      <c r="W104" s="1397" t="inlineStr">
        <is>
          <t>Prorated</t>
        </is>
      </c>
      <c r="X104" s="1397" t="n"/>
      <c r="Y104" s="1397">
        <f>IF($D104="","",COUNTIF($D$7:$D104,"?*"))</f>
        <v/>
      </c>
    </row>
    <row r="105">
      <c r="A105" s="1471" t="n">
        <v>99</v>
      </c>
      <c r="B105" s="1471" t="n">
        <v>101</v>
      </c>
      <c r="C105" s="1397">
        <f>IF('QS Takeoff'!$B101="","",'QS Takeoff'!A101)</f>
        <v/>
      </c>
      <c r="D105" s="1397">
        <f>IF('QS Takeoff'!$B101="","",'QS Takeoff'!B101)</f>
        <v/>
      </c>
      <c r="E105" s="1397">
        <f>IF('QS Takeoff'!$B101="","",'QS Takeoff'!C101)</f>
        <v/>
      </c>
      <c r="F105" s="1397">
        <f>IF('QS Takeoff'!$B101="","",'QS Takeoff'!E101)</f>
        <v/>
      </c>
      <c r="G105" s="1397">
        <f>IF('QS Takeoff'!$B101="","",'QS Takeoff'!D101)</f>
        <v/>
      </c>
      <c r="H105" s="1472">
        <f>IF('QS Takeoff'!$B101="","",'QS Takeoff'!G101)</f>
        <v/>
      </c>
      <c r="I105" s="1472">
        <f>SUMIF('Resource Build-Up'!$B$7:$B$306,D105,'Resource Build-Up'!$Z$7:$Z$306)</f>
        <v/>
      </c>
      <c r="J105" s="1473">
        <f>IFERROR(_xlfn.MAXIFS('Resource Build-Up'!$M$7:$M$306,'Resource Build-Up'!$B$7:$B$306,D105),0)</f>
        <v/>
      </c>
      <c r="K105" s="1473">
        <f>IF(J105=0,"",ROUNDUP(J105/8,0))</f>
        <v/>
      </c>
      <c r="L105" s="1474" t="n"/>
      <c r="M105" s="1473">
        <f>IF(L105&lt;&gt;"",L105,K105)</f>
        <v/>
      </c>
      <c r="N105" s="1436">
        <f>IF(M105="","",TEXT(M105,"0")&amp;" days")</f>
        <v/>
      </c>
      <c r="O105" s="1397" t="n"/>
      <c r="P105" s="1397" t="n"/>
      <c r="Q105" s="1397" t="n"/>
      <c r="R105" s="1397" t="n"/>
      <c r="S105" s="1475" t="n"/>
      <c r="T105" s="1476">
        <f>IF($D105="","",I105-N(H105))</f>
        <v/>
      </c>
      <c r="U105" s="1397">
        <f>IF($D105="","",IF(ABS(T105)&lt;0.01,"OK","CHECK"))</f>
        <v/>
      </c>
      <c r="V105" s="1397" t="inlineStr">
        <is>
          <t>Auto Scheduled</t>
        </is>
      </c>
      <c r="W105" s="1397" t="inlineStr">
        <is>
          <t>Prorated</t>
        </is>
      </c>
      <c r="X105" s="1397" t="n"/>
      <c r="Y105" s="1397">
        <f>IF($D105="","",COUNTIF($D$7:$D105,"?*"))</f>
        <v/>
      </c>
    </row>
    <row r="106">
      <c r="A106" s="1471" t="n">
        <v>100</v>
      </c>
      <c r="B106" s="1471" t="n">
        <v>102</v>
      </c>
      <c r="C106" s="1397">
        <f>IF('QS Takeoff'!$B102="","",'QS Takeoff'!A102)</f>
        <v/>
      </c>
      <c r="D106" s="1397">
        <f>IF('QS Takeoff'!$B102="","",'QS Takeoff'!B102)</f>
        <v/>
      </c>
      <c r="E106" s="1397">
        <f>IF('QS Takeoff'!$B102="","",'QS Takeoff'!C102)</f>
        <v/>
      </c>
      <c r="F106" s="1397">
        <f>IF('QS Takeoff'!$B102="","",'QS Takeoff'!E102)</f>
        <v/>
      </c>
      <c r="G106" s="1397">
        <f>IF('QS Takeoff'!$B102="","",'QS Takeoff'!D102)</f>
        <v/>
      </c>
      <c r="H106" s="1472">
        <f>IF('QS Takeoff'!$B102="","",'QS Takeoff'!G102)</f>
        <v/>
      </c>
      <c r="I106" s="1472">
        <f>SUMIF('Resource Build-Up'!$B$7:$B$306,D106,'Resource Build-Up'!$Z$7:$Z$306)</f>
        <v/>
      </c>
      <c r="J106" s="1473">
        <f>IFERROR(_xlfn.MAXIFS('Resource Build-Up'!$M$7:$M$306,'Resource Build-Up'!$B$7:$B$306,D106),0)</f>
        <v/>
      </c>
      <c r="K106" s="1473">
        <f>IF(J106=0,"",ROUNDUP(J106/8,0))</f>
        <v/>
      </c>
      <c r="L106" s="1474" t="n"/>
      <c r="M106" s="1473">
        <f>IF(L106&lt;&gt;"",L106,K106)</f>
        <v/>
      </c>
      <c r="N106" s="1436">
        <f>IF(M106="","",TEXT(M106,"0")&amp;" days")</f>
        <v/>
      </c>
      <c r="O106" s="1397" t="n"/>
      <c r="P106" s="1397" t="n"/>
      <c r="Q106" s="1397" t="n"/>
      <c r="R106" s="1397" t="n"/>
      <c r="S106" s="1475" t="n"/>
      <c r="T106" s="1476">
        <f>IF($D106="","",I106-N(H106))</f>
        <v/>
      </c>
      <c r="U106" s="1397">
        <f>IF($D106="","",IF(ABS(T106)&lt;0.01,"OK","CHECK"))</f>
        <v/>
      </c>
      <c r="V106" s="1397" t="inlineStr">
        <is>
          <t>Auto Scheduled</t>
        </is>
      </c>
      <c r="W106" s="1397" t="inlineStr">
        <is>
          <t>Prorated</t>
        </is>
      </c>
      <c r="X106" s="1397" t="n"/>
      <c r="Y106" s="1397">
        <f>IF($D106="","",COUNTIF($D$7:$D106,"?*"))</f>
        <v/>
      </c>
    </row>
    <row r="107">
      <c r="A107" s="1471" t="n">
        <v>101</v>
      </c>
      <c r="B107" s="1471" t="n">
        <v>103</v>
      </c>
      <c r="C107" s="1397">
        <f>IF('QS Takeoff'!$B103="","",'QS Takeoff'!A103)</f>
        <v/>
      </c>
      <c r="D107" s="1397">
        <f>IF('QS Takeoff'!$B103="","",'QS Takeoff'!B103)</f>
        <v/>
      </c>
      <c r="E107" s="1397">
        <f>IF('QS Takeoff'!$B103="","",'QS Takeoff'!C103)</f>
        <v/>
      </c>
      <c r="F107" s="1397">
        <f>IF('QS Takeoff'!$B103="","",'QS Takeoff'!E103)</f>
        <v/>
      </c>
      <c r="G107" s="1397">
        <f>IF('QS Takeoff'!$B103="","",'QS Takeoff'!D103)</f>
        <v/>
      </c>
      <c r="H107" s="1472">
        <f>IF('QS Takeoff'!$B103="","",'QS Takeoff'!G103)</f>
        <v/>
      </c>
      <c r="I107" s="1472">
        <f>SUMIF('Resource Build-Up'!$B$7:$B$306,D107,'Resource Build-Up'!$Z$7:$Z$306)</f>
        <v/>
      </c>
      <c r="J107" s="1473">
        <f>IFERROR(_xlfn.MAXIFS('Resource Build-Up'!$M$7:$M$306,'Resource Build-Up'!$B$7:$B$306,D107),0)</f>
        <v/>
      </c>
      <c r="K107" s="1473">
        <f>IF(J107=0,"",ROUNDUP(J107/8,0))</f>
        <v/>
      </c>
      <c r="L107" s="1474" t="n"/>
      <c r="M107" s="1473">
        <f>IF(L107&lt;&gt;"",L107,K107)</f>
        <v/>
      </c>
      <c r="N107" s="1436">
        <f>IF(M107="","",TEXT(M107,"0")&amp;" days")</f>
        <v/>
      </c>
      <c r="O107" s="1397" t="n"/>
      <c r="P107" s="1397" t="n"/>
      <c r="Q107" s="1397" t="n"/>
      <c r="R107" s="1397" t="n"/>
      <c r="S107" s="1475" t="n"/>
      <c r="T107" s="1476">
        <f>IF($D107="","",I107-N(H107))</f>
        <v/>
      </c>
      <c r="U107" s="1397">
        <f>IF($D107="","",IF(ABS(T107)&lt;0.01,"OK","CHECK"))</f>
        <v/>
      </c>
      <c r="V107" s="1397" t="inlineStr">
        <is>
          <t>Auto Scheduled</t>
        </is>
      </c>
      <c r="W107" s="1397" t="inlineStr">
        <is>
          <t>Prorated</t>
        </is>
      </c>
      <c r="X107" s="1397" t="n"/>
      <c r="Y107" s="1397">
        <f>IF($D107="","",COUNTIF($D$7:$D107,"?*"))</f>
        <v/>
      </c>
    </row>
    <row r="108">
      <c r="A108" s="1471" t="n">
        <v>102</v>
      </c>
      <c r="B108" s="1471" t="n">
        <v>104</v>
      </c>
      <c r="C108" s="1397">
        <f>IF('QS Takeoff'!$B104="","",'QS Takeoff'!A104)</f>
        <v/>
      </c>
      <c r="D108" s="1397">
        <f>IF('QS Takeoff'!$B104="","",'QS Takeoff'!B104)</f>
        <v/>
      </c>
      <c r="E108" s="1397">
        <f>IF('QS Takeoff'!$B104="","",'QS Takeoff'!C104)</f>
        <v/>
      </c>
      <c r="F108" s="1397">
        <f>IF('QS Takeoff'!$B104="","",'QS Takeoff'!E104)</f>
        <v/>
      </c>
      <c r="G108" s="1397">
        <f>IF('QS Takeoff'!$B104="","",'QS Takeoff'!D104)</f>
        <v/>
      </c>
      <c r="H108" s="1472">
        <f>IF('QS Takeoff'!$B104="","",'QS Takeoff'!G104)</f>
        <v/>
      </c>
      <c r="I108" s="1472">
        <f>SUMIF('Resource Build-Up'!$B$7:$B$306,D108,'Resource Build-Up'!$Z$7:$Z$306)</f>
        <v/>
      </c>
      <c r="J108" s="1473">
        <f>IFERROR(_xlfn.MAXIFS('Resource Build-Up'!$M$7:$M$306,'Resource Build-Up'!$B$7:$B$306,D108),0)</f>
        <v/>
      </c>
      <c r="K108" s="1473">
        <f>IF(J108=0,"",ROUNDUP(J108/8,0))</f>
        <v/>
      </c>
      <c r="L108" s="1474" t="n"/>
      <c r="M108" s="1473">
        <f>IF(L108&lt;&gt;"",L108,K108)</f>
        <v/>
      </c>
      <c r="N108" s="1436">
        <f>IF(M108="","",TEXT(M108,"0")&amp;" days")</f>
        <v/>
      </c>
      <c r="O108" s="1397" t="n"/>
      <c r="P108" s="1397" t="n"/>
      <c r="Q108" s="1397" t="n"/>
      <c r="R108" s="1397" t="n"/>
      <c r="S108" s="1475" t="n"/>
      <c r="T108" s="1476">
        <f>IF($D108="","",I108-N(H108))</f>
        <v/>
      </c>
      <c r="U108" s="1397">
        <f>IF($D108="","",IF(ABS(T108)&lt;0.01,"OK","CHECK"))</f>
        <v/>
      </c>
      <c r="V108" s="1397" t="inlineStr">
        <is>
          <t>Auto Scheduled</t>
        </is>
      </c>
      <c r="W108" s="1397" t="inlineStr">
        <is>
          <t>Prorated</t>
        </is>
      </c>
      <c r="X108" s="1397" t="n"/>
      <c r="Y108" s="1397">
        <f>IF($D108="","",COUNTIF($D$7:$D108,"?*"))</f>
        <v/>
      </c>
    </row>
    <row r="109">
      <c r="A109" s="1471" t="n">
        <v>103</v>
      </c>
      <c r="B109" s="1471" t="n">
        <v>105</v>
      </c>
      <c r="C109" s="1397">
        <f>IF('QS Takeoff'!$B105="","",'QS Takeoff'!A105)</f>
        <v/>
      </c>
      <c r="D109" s="1397">
        <f>IF('QS Takeoff'!$B105="","",'QS Takeoff'!B105)</f>
        <v/>
      </c>
      <c r="E109" s="1397">
        <f>IF('QS Takeoff'!$B105="","",'QS Takeoff'!C105)</f>
        <v/>
      </c>
      <c r="F109" s="1397">
        <f>IF('QS Takeoff'!$B105="","",'QS Takeoff'!E105)</f>
        <v/>
      </c>
      <c r="G109" s="1397">
        <f>IF('QS Takeoff'!$B105="","",'QS Takeoff'!D105)</f>
        <v/>
      </c>
      <c r="H109" s="1472">
        <f>IF('QS Takeoff'!$B105="","",'QS Takeoff'!G105)</f>
        <v/>
      </c>
      <c r="I109" s="1472">
        <f>SUMIF('Resource Build-Up'!$B$7:$B$306,D109,'Resource Build-Up'!$Z$7:$Z$306)</f>
        <v/>
      </c>
      <c r="J109" s="1473">
        <f>IFERROR(_xlfn.MAXIFS('Resource Build-Up'!$M$7:$M$306,'Resource Build-Up'!$B$7:$B$306,D109),0)</f>
        <v/>
      </c>
      <c r="K109" s="1473">
        <f>IF(J109=0,"",ROUNDUP(J109/8,0))</f>
        <v/>
      </c>
      <c r="L109" s="1474" t="n"/>
      <c r="M109" s="1473">
        <f>IF(L109&lt;&gt;"",L109,K109)</f>
        <v/>
      </c>
      <c r="N109" s="1436">
        <f>IF(M109="","",TEXT(M109,"0")&amp;" days")</f>
        <v/>
      </c>
      <c r="O109" s="1397" t="n"/>
      <c r="P109" s="1397" t="n"/>
      <c r="Q109" s="1397" t="n"/>
      <c r="R109" s="1397" t="n"/>
      <c r="S109" s="1475" t="n"/>
      <c r="T109" s="1476">
        <f>IF($D109="","",I109-N(H109))</f>
        <v/>
      </c>
      <c r="U109" s="1397">
        <f>IF($D109="","",IF(ABS(T109)&lt;0.01,"OK","CHECK"))</f>
        <v/>
      </c>
      <c r="V109" s="1397" t="inlineStr">
        <is>
          <t>Auto Scheduled</t>
        </is>
      </c>
      <c r="W109" s="1397" t="inlineStr">
        <is>
          <t>Prorated</t>
        </is>
      </c>
      <c r="X109" s="1397" t="n"/>
      <c r="Y109" s="1397">
        <f>IF($D109="","",COUNTIF($D$7:$D109,"?*"))</f>
        <v/>
      </c>
    </row>
    <row r="110">
      <c r="A110" s="1471" t="n">
        <v>104</v>
      </c>
      <c r="B110" s="1471" t="n">
        <v>106</v>
      </c>
      <c r="C110" s="1397">
        <f>IF('QS Takeoff'!$B106="","",'QS Takeoff'!A106)</f>
        <v/>
      </c>
      <c r="D110" s="1397">
        <f>IF('QS Takeoff'!$B106="","",'QS Takeoff'!B106)</f>
        <v/>
      </c>
      <c r="E110" s="1397">
        <f>IF('QS Takeoff'!$B106="","",'QS Takeoff'!C106)</f>
        <v/>
      </c>
      <c r="F110" s="1397">
        <f>IF('QS Takeoff'!$B106="","",'QS Takeoff'!E106)</f>
        <v/>
      </c>
      <c r="G110" s="1397">
        <f>IF('QS Takeoff'!$B106="","",'QS Takeoff'!D106)</f>
        <v/>
      </c>
      <c r="H110" s="1472">
        <f>IF('QS Takeoff'!$B106="","",'QS Takeoff'!G106)</f>
        <v/>
      </c>
      <c r="I110" s="1472">
        <f>SUMIF('Resource Build-Up'!$B$7:$B$306,D110,'Resource Build-Up'!$Z$7:$Z$306)</f>
        <v/>
      </c>
      <c r="J110" s="1473">
        <f>IFERROR(_xlfn.MAXIFS('Resource Build-Up'!$M$7:$M$306,'Resource Build-Up'!$B$7:$B$306,D110),0)</f>
        <v/>
      </c>
      <c r="K110" s="1473">
        <f>IF(J110=0,"",ROUNDUP(J110/8,0))</f>
        <v/>
      </c>
      <c r="L110" s="1474" t="n"/>
      <c r="M110" s="1473">
        <f>IF(L110&lt;&gt;"",L110,K110)</f>
        <v/>
      </c>
      <c r="N110" s="1436">
        <f>IF(M110="","",TEXT(M110,"0")&amp;" days")</f>
        <v/>
      </c>
      <c r="O110" s="1397" t="n"/>
      <c r="P110" s="1397" t="n"/>
      <c r="Q110" s="1397" t="n"/>
      <c r="R110" s="1397" t="n"/>
      <c r="S110" s="1475" t="n"/>
      <c r="T110" s="1476">
        <f>IF($D110="","",I110-N(H110))</f>
        <v/>
      </c>
      <c r="U110" s="1397">
        <f>IF($D110="","",IF(ABS(T110)&lt;0.01,"OK","CHECK"))</f>
        <v/>
      </c>
      <c r="V110" s="1397" t="inlineStr">
        <is>
          <t>Auto Scheduled</t>
        </is>
      </c>
      <c r="W110" s="1397" t="inlineStr">
        <is>
          <t>Prorated</t>
        </is>
      </c>
      <c r="X110" s="1397" t="n"/>
      <c r="Y110" s="1397">
        <f>IF($D110="","",COUNTIF($D$7:$D110,"?*"))</f>
        <v/>
      </c>
    </row>
    <row r="111">
      <c r="A111" s="1471" t="n">
        <v>105</v>
      </c>
      <c r="B111" s="1471" t="n">
        <v>107</v>
      </c>
      <c r="C111" s="1397">
        <f>IF('QS Takeoff'!$B107="","",'QS Takeoff'!A107)</f>
        <v/>
      </c>
      <c r="D111" s="1397">
        <f>IF('QS Takeoff'!$B107="","",'QS Takeoff'!B107)</f>
        <v/>
      </c>
      <c r="E111" s="1397">
        <f>IF('QS Takeoff'!$B107="","",'QS Takeoff'!C107)</f>
        <v/>
      </c>
      <c r="F111" s="1397">
        <f>IF('QS Takeoff'!$B107="","",'QS Takeoff'!E107)</f>
        <v/>
      </c>
      <c r="G111" s="1397">
        <f>IF('QS Takeoff'!$B107="","",'QS Takeoff'!D107)</f>
        <v/>
      </c>
      <c r="H111" s="1472">
        <f>IF('QS Takeoff'!$B107="","",'QS Takeoff'!G107)</f>
        <v/>
      </c>
      <c r="I111" s="1472">
        <f>SUMIF('Resource Build-Up'!$B$7:$B$306,D111,'Resource Build-Up'!$Z$7:$Z$306)</f>
        <v/>
      </c>
      <c r="J111" s="1473">
        <f>IFERROR(_xlfn.MAXIFS('Resource Build-Up'!$M$7:$M$306,'Resource Build-Up'!$B$7:$B$306,D111),0)</f>
        <v/>
      </c>
      <c r="K111" s="1473">
        <f>IF(J111=0,"",ROUNDUP(J111/8,0))</f>
        <v/>
      </c>
      <c r="L111" s="1474" t="n"/>
      <c r="M111" s="1473">
        <f>IF(L111&lt;&gt;"",L111,K111)</f>
        <v/>
      </c>
      <c r="N111" s="1436">
        <f>IF(M111="","",TEXT(M111,"0")&amp;" days")</f>
        <v/>
      </c>
      <c r="O111" s="1397" t="n"/>
      <c r="P111" s="1397" t="n"/>
      <c r="Q111" s="1397" t="n"/>
      <c r="R111" s="1397" t="n"/>
      <c r="S111" s="1475" t="n"/>
      <c r="T111" s="1476">
        <f>IF($D111="","",I111-N(H111))</f>
        <v/>
      </c>
      <c r="U111" s="1397">
        <f>IF($D111="","",IF(ABS(T111)&lt;0.01,"OK","CHECK"))</f>
        <v/>
      </c>
      <c r="V111" s="1397" t="inlineStr">
        <is>
          <t>Auto Scheduled</t>
        </is>
      </c>
      <c r="W111" s="1397" t="inlineStr">
        <is>
          <t>Prorated</t>
        </is>
      </c>
      <c r="X111" s="1397" t="n"/>
      <c r="Y111" s="1397">
        <f>IF($D111="","",COUNTIF($D$7:$D111,"?*"))</f>
        <v/>
      </c>
    </row>
    <row r="112">
      <c r="A112" s="1471" t="n">
        <v>106</v>
      </c>
      <c r="B112" s="1471" t="n">
        <v>108</v>
      </c>
      <c r="C112" s="1397">
        <f>IF('QS Takeoff'!$B108="","",'QS Takeoff'!A108)</f>
        <v/>
      </c>
      <c r="D112" s="1397">
        <f>IF('QS Takeoff'!$B108="","",'QS Takeoff'!B108)</f>
        <v/>
      </c>
      <c r="E112" s="1397">
        <f>IF('QS Takeoff'!$B108="","",'QS Takeoff'!C108)</f>
        <v/>
      </c>
      <c r="F112" s="1397">
        <f>IF('QS Takeoff'!$B108="","",'QS Takeoff'!E108)</f>
        <v/>
      </c>
      <c r="G112" s="1397">
        <f>IF('QS Takeoff'!$B108="","",'QS Takeoff'!D108)</f>
        <v/>
      </c>
      <c r="H112" s="1472">
        <f>IF('QS Takeoff'!$B108="","",'QS Takeoff'!G108)</f>
        <v/>
      </c>
      <c r="I112" s="1472">
        <f>SUMIF('Resource Build-Up'!$B$7:$B$306,D112,'Resource Build-Up'!$Z$7:$Z$306)</f>
        <v/>
      </c>
      <c r="J112" s="1473">
        <f>IFERROR(_xlfn.MAXIFS('Resource Build-Up'!$M$7:$M$306,'Resource Build-Up'!$B$7:$B$306,D112),0)</f>
        <v/>
      </c>
      <c r="K112" s="1473">
        <f>IF(J112=0,"",ROUNDUP(J112/8,0))</f>
        <v/>
      </c>
      <c r="L112" s="1474" t="n"/>
      <c r="M112" s="1473">
        <f>IF(L112&lt;&gt;"",L112,K112)</f>
        <v/>
      </c>
      <c r="N112" s="1436">
        <f>IF(M112="","",TEXT(M112,"0")&amp;" days")</f>
        <v/>
      </c>
      <c r="O112" s="1397" t="n"/>
      <c r="P112" s="1397" t="n"/>
      <c r="Q112" s="1397" t="n"/>
      <c r="R112" s="1397" t="n"/>
      <c r="S112" s="1475" t="n"/>
      <c r="T112" s="1476">
        <f>IF($D112="","",I112-N(H112))</f>
        <v/>
      </c>
      <c r="U112" s="1397">
        <f>IF($D112="","",IF(ABS(T112)&lt;0.01,"OK","CHECK"))</f>
        <v/>
      </c>
      <c r="V112" s="1397" t="inlineStr">
        <is>
          <t>Auto Scheduled</t>
        </is>
      </c>
      <c r="W112" s="1397" t="inlineStr">
        <is>
          <t>Prorated</t>
        </is>
      </c>
      <c r="X112" s="1397" t="n"/>
      <c r="Y112" s="1397">
        <f>IF($D112="","",COUNTIF($D$7:$D112,"?*"))</f>
        <v/>
      </c>
    </row>
    <row r="113">
      <c r="A113" s="1471" t="n">
        <v>107</v>
      </c>
      <c r="B113" s="1471" t="n">
        <v>109</v>
      </c>
      <c r="C113" s="1397">
        <f>IF('QS Takeoff'!$B109="","",'QS Takeoff'!A109)</f>
        <v/>
      </c>
      <c r="D113" s="1397">
        <f>IF('QS Takeoff'!$B109="","",'QS Takeoff'!B109)</f>
        <v/>
      </c>
      <c r="E113" s="1397">
        <f>IF('QS Takeoff'!$B109="","",'QS Takeoff'!C109)</f>
        <v/>
      </c>
      <c r="F113" s="1397">
        <f>IF('QS Takeoff'!$B109="","",'QS Takeoff'!E109)</f>
        <v/>
      </c>
      <c r="G113" s="1397">
        <f>IF('QS Takeoff'!$B109="","",'QS Takeoff'!D109)</f>
        <v/>
      </c>
      <c r="H113" s="1472">
        <f>IF('QS Takeoff'!$B109="","",'QS Takeoff'!G109)</f>
        <v/>
      </c>
      <c r="I113" s="1472">
        <f>SUMIF('Resource Build-Up'!$B$7:$B$306,D113,'Resource Build-Up'!$Z$7:$Z$306)</f>
        <v/>
      </c>
      <c r="J113" s="1473">
        <f>IFERROR(_xlfn.MAXIFS('Resource Build-Up'!$M$7:$M$306,'Resource Build-Up'!$B$7:$B$306,D113),0)</f>
        <v/>
      </c>
      <c r="K113" s="1473">
        <f>IF(J113=0,"",ROUNDUP(J113/8,0))</f>
        <v/>
      </c>
      <c r="L113" s="1474" t="n"/>
      <c r="M113" s="1473">
        <f>IF(L113&lt;&gt;"",L113,K113)</f>
        <v/>
      </c>
      <c r="N113" s="1436">
        <f>IF(M113="","",TEXT(M113,"0")&amp;" days")</f>
        <v/>
      </c>
      <c r="O113" s="1397" t="n"/>
      <c r="P113" s="1397" t="n"/>
      <c r="Q113" s="1397" t="n"/>
      <c r="R113" s="1397" t="n"/>
      <c r="S113" s="1475" t="n"/>
      <c r="T113" s="1476">
        <f>IF($D113="","",I113-N(H113))</f>
        <v/>
      </c>
      <c r="U113" s="1397">
        <f>IF($D113="","",IF(ABS(T113)&lt;0.01,"OK","CHECK"))</f>
        <v/>
      </c>
      <c r="V113" s="1397" t="inlineStr">
        <is>
          <t>Auto Scheduled</t>
        </is>
      </c>
      <c r="W113" s="1397" t="inlineStr">
        <is>
          <t>Prorated</t>
        </is>
      </c>
      <c r="X113" s="1397" t="n"/>
      <c r="Y113" s="1397">
        <f>IF($D113="","",COUNTIF($D$7:$D113,"?*"))</f>
        <v/>
      </c>
    </row>
    <row r="114">
      <c r="A114" s="1471" t="n">
        <v>108</v>
      </c>
      <c r="B114" s="1471" t="n">
        <v>110</v>
      </c>
      <c r="C114" s="1397">
        <f>IF('QS Takeoff'!$B110="","",'QS Takeoff'!A110)</f>
        <v/>
      </c>
      <c r="D114" s="1397">
        <f>IF('QS Takeoff'!$B110="","",'QS Takeoff'!B110)</f>
        <v/>
      </c>
      <c r="E114" s="1397">
        <f>IF('QS Takeoff'!$B110="","",'QS Takeoff'!C110)</f>
        <v/>
      </c>
      <c r="F114" s="1397">
        <f>IF('QS Takeoff'!$B110="","",'QS Takeoff'!E110)</f>
        <v/>
      </c>
      <c r="G114" s="1397">
        <f>IF('QS Takeoff'!$B110="","",'QS Takeoff'!D110)</f>
        <v/>
      </c>
      <c r="H114" s="1472">
        <f>IF('QS Takeoff'!$B110="","",'QS Takeoff'!G110)</f>
        <v/>
      </c>
      <c r="I114" s="1472">
        <f>SUMIF('Resource Build-Up'!$B$7:$B$306,D114,'Resource Build-Up'!$Z$7:$Z$306)</f>
        <v/>
      </c>
      <c r="J114" s="1473">
        <f>IFERROR(_xlfn.MAXIFS('Resource Build-Up'!$M$7:$M$306,'Resource Build-Up'!$B$7:$B$306,D114),0)</f>
        <v/>
      </c>
      <c r="K114" s="1473">
        <f>IF(J114=0,"",ROUNDUP(J114/8,0))</f>
        <v/>
      </c>
      <c r="L114" s="1474" t="n"/>
      <c r="M114" s="1473">
        <f>IF(L114&lt;&gt;"",L114,K114)</f>
        <v/>
      </c>
      <c r="N114" s="1436">
        <f>IF(M114="","",TEXT(M114,"0")&amp;" days")</f>
        <v/>
      </c>
      <c r="O114" s="1397" t="n"/>
      <c r="P114" s="1397" t="n"/>
      <c r="Q114" s="1397" t="n"/>
      <c r="R114" s="1397" t="n"/>
      <c r="S114" s="1475" t="n"/>
      <c r="T114" s="1476">
        <f>IF($D114="","",I114-N(H114))</f>
        <v/>
      </c>
      <c r="U114" s="1397">
        <f>IF($D114="","",IF(ABS(T114)&lt;0.01,"OK","CHECK"))</f>
        <v/>
      </c>
      <c r="V114" s="1397" t="inlineStr">
        <is>
          <t>Auto Scheduled</t>
        </is>
      </c>
      <c r="W114" s="1397" t="inlineStr">
        <is>
          <t>Prorated</t>
        </is>
      </c>
      <c r="X114" s="1397" t="n"/>
      <c r="Y114" s="1397">
        <f>IF($D114="","",COUNTIF($D$7:$D114,"?*"))</f>
        <v/>
      </c>
    </row>
    <row r="115">
      <c r="A115" s="1471" t="n">
        <v>109</v>
      </c>
      <c r="B115" s="1471" t="n">
        <v>111</v>
      </c>
      <c r="C115" s="1397">
        <f>IF('QS Takeoff'!$B111="","",'QS Takeoff'!A111)</f>
        <v/>
      </c>
      <c r="D115" s="1397">
        <f>IF('QS Takeoff'!$B111="","",'QS Takeoff'!B111)</f>
        <v/>
      </c>
      <c r="E115" s="1397">
        <f>IF('QS Takeoff'!$B111="","",'QS Takeoff'!C111)</f>
        <v/>
      </c>
      <c r="F115" s="1397">
        <f>IF('QS Takeoff'!$B111="","",'QS Takeoff'!E111)</f>
        <v/>
      </c>
      <c r="G115" s="1397">
        <f>IF('QS Takeoff'!$B111="","",'QS Takeoff'!D111)</f>
        <v/>
      </c>
      <c r="H115" s="1472">
        <f>IF('QS Takeoff'!$B111="","",'QS Takeoff'!G111)</f>
        <v/>
      </c>
      <c r="I115" s="1472">
        <f>SUMIF('Resource Build-Up'!$B$7:$B$306,D115,'Resource Build-Up'!$Z$7:$Z$306)</f>
        <v/>
      </c>
      <c r="J115" s="1473">
        <f>IFERROR(_xlfn.MAXIFS('Resource Build-Up'!$M$7:$M$306,'Resource Build-Up'!$B$7:$B$306,D115),0)</f>
        <v/>
      </c>
      <c r="K115" s="1473">
        <f>IF(J115=0,"",ROUNDUP(J115/8,0))</f>
        <v/>
      </c>
      <c r="L115" s="1474" t="n"/>
      <c r="M115" s="1473">
        <f>IF(L115&lt;&gt;"",L115,K115)</f>
        <v/>
      </c>
      <c r="N115" s="1436">
        <f>IF(M115="","",TEXT(M115,"0")&amp;" days")</f>
        <v/>
      </c>
      <c r="O115" s="1397" t="n"/>
      <c r="P115" s="1397" t="n"/>
      <c r="Q115" s="1397" t="n"/>
      <c r="R115" s="1397" t="n"/>
      <c r="S115" s="1475" t="n"/>
      <c r="T115" s="1476">
        <f>IF($D115="","",I115-N(H115))</f>
        <v/>
      </c>
      <c r="U115" s="1397">
        <f>IF($D115="","",IF(ABS(T115)&lt;0.01,"OK","CHECK"))</f>
        <v/>
      </c>
      <c r="V115" s="1397" t="inlineStr">
        <is>
          <t>Auto Scheduled</t>
        </is>
      </c>
      <c r="W115" s="1397" t="inlineStr">
        <is>
          <t>Prorated</t>
        </is>
      </c>
      <c r="X115" s="1397" t="n"/>
      <c r="Y115" s="1397">
        <f>IF($D115="","",COUNTIF($D$7:$D115,"?*"))</f>
        <v/>
      </c>
    </row>
    <row r="116">
      <c r="A116" s="1471" t="n">
        <v>110</v>
      </c>
      <c r="B116" s="1471" t="n">
        <v>112</v>
      </c>
      <c r="C116" s="1397">
        <f>IF('QS Takeoff'!$B112="","",'QS Takeoff'!A112)</f>
        <v/>
      </c>
      <c r="D116" s="1397">
        <f>IF('QS Takeoff'!$B112="","",'QS Takeoff'!B112)</f>
        <v/>
      </c>
      <c r="E116" s="1397">
        <f>IF('QS Takeoff'!$B112="","",'QS Takeoff'!C112)</f>
        <v/>
      </c>
      <c r="F116" s="1397">
        <f>IF('QS Takeoff'!$B112="","",'QS Takeoff'!E112)</f>
        <v/>
      </c>
      <c r="G116" s="1397">
        <f>IF('QS Takeoff'!$B112="","",'QS Takeoff'!D112)</f>
        <v/>
      </c>
      <c r="H116" s="1472">
        <f>IF('QS Takeoff'!$B112="","",'QS Takeoff'!G112)</f>
        <v/>
      </c>
      <c r="I116" s="1472">
        <f>SUMIF('Resource Build-Up'!$B$7:$B$306,D116,'Resource Build-Up'!$Z$7:$Z$306)</f>
        <v/>
      </c>
      <c r="J116" s="1473">
        <f>IFERROR(_xlfn.MAXIFS('Resource Build-Up'!$M$7:$M$306,'Resource Build-Up'!$B$7:$B$306,D116),0)</f>
        <v/>
      </c>
      <c r="K116" s="1473">
        <f>IF(J116=0,"",ROUNDUP(J116/8,0))</f>
        <v/>
      </c>
      <c r="L116" s="1474" t="n"/>
      <c r="M116" s="1473">
        <f>IF(L116&lt;&gt;"",L116,K116)</f>
        <v/>
      </c>
      <c r="N116" s="1436">
        <f>IF(M116="","",TEXT(M116,"0")&amp;" days")</f>
        <v/>
      </c>
      <c r="O116" s="1397" t="n"/>
      <c r="P116" s="1397" t="n"/>
      <c r="Q116" s="1397" t="n"/>
      <c r="R116" s="1397" t="n"/>
      <c r="S116" s="1475" t="n"/>
      <c r="T116" s="1476">
        <f>IF($D116="","",I116-N(H116))</f>
        <v/>
      </c>
      <c r="U116" s="1397">
        <f>IF($D116="","",IF(ABS(T116)&lt;0.01,"OK","CHECK"))</f>
        <v/>
      </c>
      <c r="V116" s="1397" t="inlineStr">
        <is>
          <t>Auto Scheduled</t>
        </is>
      </c>
      <c r="W116" s="1397" t="inlineStr">
        <is>
          <t>Prorated</t>
        </is>
      </c>
      <c r="X116" s="1397" t="n"/>
      <c r="Y116" s="1397">
        <f>IF($D116="","",COUNTIF($D$7:$D116,"?*"))</f>
        <v/>
      </c>
    </row>
    <row r="117">
      <c r="A117" s="1471" t="n">
        <v>111</v>
      </c>
      <c r="B117" s="1471" t="n">
        <v>113</v>
      </c>
      <c r="C117" s="1397">
        <f>IF('QS Takeoff'!$B113="","",'QS Takeoff'!A113)</f>
        <v/>
      </c>
      <c r="D117" s="1397">
        <f>IF('QS Takeoff'!$B113="","",'QS Takeoff'!B113)</f>
        <v/>
      </c>
      <c r="E117" s="1397">
        <f>IF('QS Takeoff'!$B113="","",'QS Takeoff'!C113)</f>
        <v/>
      </c>
      <c r="F117" s="1397">
        <f>IF('QS Takeoff'!$B113="","",'QS Takeoff'!E113)</f>
        <v/>
      </c>
      <c r="G117" s="1397">
        <f>IF('QS Takeoff'!$B113="","",'QS Takeoff'!D113)</f>
        <v/>
      </c>
      <c r="H117" s="1472">
        <f>IF('QS Takeoff'!$B113="","",'QS Takeoff'!G113)</f>
        <v/>
      </c>
      <c r="I117" s="1472">
        <f>SUMIF('Resource Build-Up'!$B$7:$B$306,D117,'Resource Build-Up'!$Z$7:$Z$306)</f>
        <v/>
      </c>
      <c r="J117" s="1473">
        <f>IFERROR(_xlfn.MAXIFS('Resource Build-Up'!$M$7:$M$306,'Resource Build-Up'!$B$7:$B$306,D117),0)</f>
        <v/>
      </c>
      <c r="K117" s="1473">
        <f>IF(J117=0,"",ROUNDUP(J117/8,0))</f>
        <v/>
      </c>
      <c r="L117" s="1474" t="n"/>
      <c r="M117" s="1473">
        <f>IF(L117&lt;&gt;"",L117,K117)</f>
        <v/>
      </c>
      <c r="N117" s="1436">
        <f>IF(M117="","",TEXT(M117,"0")&amp;" days")</f>
        <v/>
      </c>
      <c r="O117" s="1397" t="n"/>
      <c r="P117" s="1397" t="n"/>
      <c r="Q117" s="1397" t="n"/>
      <c r="R117" s="1397" t="n"/>
      <c r="S117" s="1475" t="n"/>
      <c r="T117" s="1476">
        <f>IF($D117="","",I117-N(H117))</f>
        <v/>
      </c>
      <c r="U117" s="1397">
        <f>IF($D117="","",IF(ABS(T117)&lt;0.01,"OK","CHECK"))</f>
        <v/>
      </c>
      <c r="V117" s="1397" t="inlineStr">
        <is>
          <t>Auto Scheduled</t>
        </is>
      </c>
      <c r="W117" s="1397" t="inlineStr">
        <is>
          <t>Prorated</t>
        </is>
      </c>
      <c r="X117" s="1397" t="n"/>
      <c r="Y117" s="1397">
        <f>IF($D117="","",COUNTIF($D$7:$D117,"?*"))</f>
        <v/>
      </c>
    </row>
    <row r="118">
      <c r="A118" s="1471" t="n">
        <v>112</v>
      </c>
      <c r="B118" s="1471" t="n">
        <v>114</v>
      </c>
      <c r="C118" s="1397">
        <f>IF('QS Takeoff'!$B114="","",'QS Takeoff'!A114)</f>
        <v/>
      </c>
      <c r="D118" s="1397">
        <f>IF('QS Takeoff'!$B114="","",'QS Takeoff'!B114)</f>
        <v/>
      </c>
      <c r="E118" s="1397">
        <f>IF('QS Takeoff'!$B114="","",'QS Takeoff'!C114)</f>
        <v/>
      </c>
      <c r="F118" s="1397">
        <f>IF('QS Takeoff'!$B114="","",'QS Takeoff'!E114)</f>
        <v/>
      </c>
      <c r="G118" s="1397">
        <f>IF('QS Takeoff'!$B114="","",'QS Takeoff'!D114)</f>
        <v/>
      </c>
      <c r="H118" s="1472">
        <f>IF('QS Takeoff'!$B114="","",'QS Takeoff'!G114)</f>
        <v/>
      </c>
      <c r="I118" s="1472">
        <f>SUMIF('Resource Build-Up'!$B$7:$B$306,D118,'Resource Build-Up'!$Z$7:$Z$306)</f>
        <v/>
      </c>
      <c r="J118" s="1473">
        <f>IFERROR(_xlfn.MAXIFS('Resource Build-Up'!$M$7:$M$306,'Resource Build-Up'!$B$7:$B$306,D118),0)</f>
        <v/>
      </c>
      <c r="K118" s="1473">
        <f>IF(J118=0,"",ROUNDUP(J118/8,0))</f>
        <v/>
      </c>
      <c r="L118" s="1474" t="n"/>
      <c r="M118" s="1473">
        <f>IF(L118&lt;&gt;"",L118,K118)</f>
        <v/>
      </c>
      <c r="N118" s="1436">
        <f>IF(M118="","",TEXT(M118,"0")&amp;" days")</f>
        <v/>
      </c>
      <c r="O118" s="1397" t="n"/>
      <c r="P118" s="1397" t="n"/>
      <c r="Q118" s="1397" t="n"/>
      <c r="R118" s="1397" t="n"/>
      <c r="S118" s="1475" t="n"/>
      <c r="T118" s="1476">
        <f>IF($D118="","",I118-N(H118))</f>
        <v/>
      </c>
      <c r="U118" s="1397">
        <f>IF($D118="","",IF(ABS(T118)&lt;0.01,"OK","CHECK"))</f>
        <v/>
      </c>
      <c r="V118" s="1397" t="inlineStr">
        <is>
          <t>Auto Scheduled</t>
        </is>
      </c>
      <c r="W118" s="1397" t="inlineStr">
        <is>
          <t>Prorated</t>
        </is>
      </c>
      <c r="X118" s="1397" t="n"/>
      <c r="Y118" s="1397">
        <f>IF($D118="","",COUNTIF($D$7:$D118,"?*"))</f>
        <v/>
      </c>
    </row>
    <row r="119">
      <c r="A119" s="1471" t="n">
        <v>113</v>
      </c>
      <c r="B119" s="1471" t="n">
        <v>115</v>
      </c>
      <c r="C119" s="1397">
        <f>IF('QS Takeoff'!$B115="","",'QS Takeoff'!A115)</f>
        <v/>
      </c>
      <c r="D119" s="1397">
        <f>IF('QS Takeoff'!$B115="","",'QS Takeoff'!B115)</f>
        <v/>
      </c>
      <c r="E119" s="1397">
        <f>IF('QS Takeoff'!$B115="","",'QS Takeoff'!C115)</f>
        <v/>
      </c>
      <c r="F119" s="1397">
        <f>IF('QS Takeoff'!$B115="","",'QS Takeoff'!E115)</f>
        <v/>
      </c>
      <c r="G119" s="1397">
        <f>IF('QS Takeoff'!$B115="","",'QS Takeoff'!D115)</f>
        <v/>
      </c>
      <c r="H119" s="1472">
        <f>IF('QS Takeoff'!$B115="","",'QS Takeoff'!G115)</f>
        <v/>
      </c>
      <c r="I119" s="1472">
        <f>SUMIF('Resource Build-Up'!$B$7:$B$306,D119,'Resource Build-Up'!$Z$7:$Z$306)</f>
        <v/>
      </c>
      <c r="J119" s="1473">
        <f>IFERROR(_xlfn.MAXIFS('Resource Build-Up'!$M$7:$M$306,'Resource Build-Up'!$B$7:$B$306,D119),0)</f>
        <v/>
      </c>
      <c r="K119" s="1473">
        <f>IF(J119=0,"",ROUNDUP(J119/8,0))</f>
        <v/>
      </c>
      <c r="L119" s="1474" t="n"/>
      <c r="M119" s="1473">
        <f>IF(L119&lt;&gt;"",L119,K119)</f>
        <v/>
      </c>
      <c r="N119" s="1436">
        <f>IF(M119="","",TEXT(M119,"0")&amp;" days")</f>
        <v/>
      </c>
      <c r="O119" s="1397" t="n"/>
      <c r="P119" s="1397" t="n"/>
      <c r="Q119" s="1397" t="n"/>
      <c r="R119" s="1397" t="n"/>
      <c r="S119" s="1475" t="n"/>
      <c r="T119" s="1476">
        <f>IF($D119="","",I119-N(H119))</f>
        <v/>
      </c>
      <c r="U119" s="1397">
        <f>IF($D119="","",IF(ABS(T119)&lt;0.01,"OK","CHECK"))</f>
        <v/>
      </c>
      <c r="V119" s="1397" t="inlineStr">
        <is>
          <t>Auto Scheduled</t>
        </is>
      </c>
      <c r="W119" s="1397" t="inlineStr">
        <is>
          <t>Prorated</t>
        </is>
      </c>
      <c r="X119" s="1397" t="n"/>
      <c r="Y119" s="1397">
        <f>IF($D119="","",COUNTIF($D$7:$D119,"?*"))</f>
        <v/>
      </c>
    </row>
    <row r="120">
      <c r="A120" s="1471" t="n">
        <v>114</v>
      </c>
      <c r="B120" s="1471" t="n">
        <v>116</v>
      </c>
      <c r="C120" s="1397">
        <f>IF('QS Takeoff'!$B116="","",'QS Takeoff'!A116)</f>
        <v/>
      </c>
      <c r="D120" s="1397">
        <f>IF('QS Takeoff'!$B116="","",'QS Takeoff'!B116)</f>
        <v/>
      </c>
      <c r="E120" s="1397">
        <f>IF('QS Takeoff'!$B116="","",'QS Takeoff'!C116)</f>
        <v/>
      </c>
      <c r="F120" s="1397">
        <f>IF('QS Takeoff'!$B116="","",'QS Takeoff'!E116)</f>
        <v/>
      </c>
      <c r="G120" s="1397">
        <f>IF('QS Takeoff'!$B116="","",'QS Takeoff'!D116)</f>
        <v/>
      </c>
      <c r="H120" s="1472">
        <f>IF('QS Takeoff'!$B116="","",'QS Takeoff'!G116)</f>
        <v/>
      </c>
      <c r="I120" s="1472">
        <f>SUMIF('Resource Build-Up'!$B$7:$B$306,D120,'Resource Build-Up'!$Z$7:$Z$306)</f>
        <v/>
      </c>
      <c r="J120" s="1473">
        <f>IFERROR(_xlfn.MAXIFS('Resource Build-Up'!$M$7:$M$306,'Resource Build-Up'!$B$7:$B$306,D120),0)</f>
        <v/>
      </c>
      <c r="K120" s="1473">
        <f>IF(J120=0,"",ROUNDUP(J120/8,0))</f>
        <v/>
      </c>
      <c r="L120" s="1474" t="n"/>
      <c r="M120" s="1473">
        <f>IF(L120&lt;&gt;"",L120,K120)</f>
        <v/>
      </c>
      <c r="N120" s="1436">
        <f>IF(M120="","",TEXT(M120,"0")&amp;" days")</f>
        <v/>
      </c>
      <c r="O120" s="1397" t="n"/>
      <c r="P120" s="1397" t="n"/>
      <c r="Q120" s="1397" t="n"/>
      <c r="R120" s="1397" t="n"/>
      <c r="S120" s="1475" t="n"/>
      <c r="T120" s="1476">
        <f>IF($D120="","",I120-N(H120))</f>
        <v/>
      </c>
      <c r="U120" s="1397">
        <f>IF($D120="","",IF(ABS(T120)&lt;0.01,"OK","CHECK"))</f>
        <v/>
      </c>
      <c r="V120" s="1397" t="inlineStr">
        <is>
          <t>Auto Scheduled</t>
        </is>
      </c>
      <c r="W120" s="1397" t="inlineStr">
        <is>
          <t>Prorated</t>
        </is>
      </c>
      <c r="X120" s="1397" t="n"/>
      <c r="Y120" s="1397">
        <f>IF($D120="","",COUNTIF($D$7:$D120,"?*"))</f>
        <v/>
      </c>
    </row>
    <row r="121">
      <c r="A121" s="1471" t="n">
        <v>115</v>
      </c>
      <c r="B121" s="1471" t="n">
        <v>117</v>
      </c>
      <c r="C121" s="1397">
        <f>IF('QS Takeoff'!$B117="","",'QS Takeoff'!A117)</f>
        <v/>
      </c>
      <c r="D121" s="1397">
        <f>IF('QS Takeoff'!$B117="","",'QS Takeoff'!B117)</f>
        <v/>
      </c>
      <c r="E121" s="1397">
        <f>IF('QS Takeoff'!$B117="","",'QS Takeoff'!C117)</f>
        <v/>
      </c>
      <c r="F121" s="1397">
        <f>IF('QS Takeoff'!$B117="","",'QS Takeoff'!E117)</f>
        <v/>
      </c>
      <c r="G121" s="1397">
        <f>IF('QS Takeoff'!$B117="","",'QS Takeoff'!D117)</f>
        <v/>
      </c>
      <c r="H121" s="1472">
        <f>IF('QS Takeoff'!$B117="","",'QS Takeoff'!G117)</f>
        <v/>
      </c>
      <c r="I121" s="1472">
        <f>SUMIF('Resource Build-Up'!$B$7:$B$306,D121,'Resource Build-Up'!$Z$7:$Z$306)</f>
        <v/>
      </c>
      <c r="J121" s="1473">
        <f>IFERROR(_xlfn.MAXIFS('Resource Build-Up'!$M$7:$M$306,'Resource Build-Up'!$B$7:$B$306,D121),0)</f>
        <v/>
      </c>
      <c r="K121" s="1473">
        <f>IF(J121=0,"",ROUNDUP(J121/8,0))</f>
        <v/>
      </c>
      <c r="L121" s="1474" t="n"/>
      <c r="M121" s="1473">
        <f>IF(L121&lt;&gt;"",L121,K121)</f>
        <v/>
      </c>
      <c r="N121" s="1436">
        <f>IF(M121="","",TEXT(M121,"0")&amp;" days")</f>
        <v/>
      </c>
      <c r="O121" s="1397" t="n"/>
      <c r="P121" s="1397" t="n"/>
      <c r="Q121" s="1397" t="n"/>
      <c r="R121" s="1397" t="n"/>
      <c r="S121" s="1475" t="n"/>
      <c r="T121" s="1476">
        <f>IF($D121="","",I121-N(H121))</f>
        <v/>
      </c>
      <c r="U121" s="1397">
        <f>IF($D121="","",IF(ABS(T121)&lt;0.01,"OK","CHECK"))</f>
        <v/>
      </c>
      <c r="V121" s="1397" t="inlineStr">
        <is>
          <t>Auto Scheduled</t>
        </is>
      </c>
      <c r="W121" s="1397" t="inlineStr">
        <is>
          <t>Prorated</t>
        </is>
      </c>
      <c r="X121" s="1397" t="n"/>
      <c r="Y121" s="1397">
        <f>IF($D121="","",COUNTIF($D$7:$D121,"?*"))</f>
        <v/>
      </c>
    </row>
    <row r="122">
      <c r="A122" s="1471" t="n">
        <v>116</v>
      </c>
      <c r="B122" s="1471" t="n">
        <v>118</v>
      </c>
      <c r="C122" s="1397">
        <f>IF('QS Takeoff'!$B118="","",'QS Takeoff'!A118)</f>
        <v/>
      </c>
      <c r="D122" s="1397">
        <f>IF('QS Takeoff'!$B118="","",'QS Takeoff'!B118)</f>
        <v/>
      </c>
      <c r="E122" s="1397">
        <f>IF('QS Takeoff'!$B118="","",'QS Takeoff'!C118)</f>
        <v/>
      </c>
      <c r="F122" s="1397">
        <f>IF('QS Takeoff'!$B118="","",'QS Takeoff'!E118)</f>
        <v/>
      </c>
      <c r="G122" s="1397">
        <f>IF('QS Takeoff'!$B118="","",'QS Takeoff'!D118)</f>
        <v/>
      </c>
      <c r="H122" s="1472">
        <f>IF('QS Takeoff'!$B118="","",'QS Takeoff'!G118)</f>
        <v/>
      </c>
      <c r="I122" s="1472">
        <f>SUMIF('Resource Build-Up'!$B$7:$B$306,D122,'Resource Build-Up'!$Z$7:$Z$306)</f>
        <v/>
      </c>
      <c r="J122" s="1473">
        <f>IFERROR(_xlfn.MAXIFS('Resource Build-Up'!$M$7:$M$306,'Resource Build-Up'!$B$7:$B$306,D122),0)</f>
        <v/>
      </c>
      <c r="K122" s="1473">
        <f>IF(J122=0,"",ROUNDUP(J122/8,0))</f>
        <v/>
      </c>
      <c r="L122" s="1474" t="n"/>
      <c r="M122" s="1473">
        <f>IF(L122&lt;&gt;"",L122,K122)</f>
        <v/>
      </c>
      <c r="N122" s="1436">
        <f>IF(M122="","",TEXT(M122,"0")&amp;" days")</f>
        <v/>
      </c>
      <c r="O122" s="1397" t="n"/>
      <c r="P122" s="1397" t="n"/>
      <c r="Q122" s="1397" t="n"/>
      <c r="R122" s="1397" t="n"/>
      <c r="S122" s="1475" t="n"/>
      <c r="T122" s="1476">
        <f>IF($D122="","",I122-N(H122))</f>
        <v/>
      </c>
      <c r="U122" s="1397">
        <f>IF($D122="","",IF(ABS(T122)&lt;0.01,"OK","CHECK"))</f>
        <v/>
      </c>
      <c r="V122" s="1397" t="inlineStr">
        <is>
          <t>Auto Scheduled</t>
        </is>
      </c>
      <c r="W122" s="1397" t="inlineStr">
        <is>
          <t>Prorated</t>
        </is>
      </c>
      <c r="X122" s="1397" t="n"/>
      <c r="Y122" s="1397">
        <f>IF($D122="","",COUNTIF($D$7:$D122,"?*"))</f>
        <v/>
      </c>
    </row>
    <row r="123">
      <c r="A123" s="1471" t="n">
        <v>117</v>
      </c>
      <c r="B123" s="1471" t="n">
        <v>119</v>
      </c>
      <c r="C123" s="1397">
        <f>IF('QS Takeoff'!$B119="","",'QS Takeoff'!A119)</f>
        <v/>
      </c>
      <c r="D123" s="1397">
        <f>IF('QS Takeoff'!$B119="","",'QS Takeoff'!B119)</f>
        <v/>
      </c>
      <c r="E123" s="1397">
        <f>IF('QS Takeoff'!$B119="","",'QS Takeoff'!C119)</f>
        <v/>
      </c>
      <c r="F123" s="1397">
        <f>IF('QS Takeoff'!$B119="","",'QS Takeoff'!E119)</f>
        <v/>
      </c>
      <c r="G123" s="1397">
        <f>IF('QS Takeoff'!$B119="","",'QS Takeoff'!D119)</f>
        <v/>
      </c>
      <c r="H123" s="1472">
        <f>IF('QS Takeoff'!$B119="","",'QS Takeoff'!G119)</f>
        <v/>
      </c>
      <c r="I123" s="1472">
        <f>SUMIF('Resource Build-Up'!$B$7:$B$306,D123,'Resource Build-Up'!$Z$7:$Z$306)</f>
        <v/>
      </c>
      <c r="J123" s="1473">
        <f>IFERROR(_xlfn.MAXIFS('Resource Build-Up'!$M$7:$M$306,'Resource Build-Up'!$B$7:$B$306,D123),0)</f>
        <v/>
      </c>
      <c r="K123" s="1473">
        <f>IF(J123=0,"",ROUNDUP(J123/8,0))</f>
        <v/>
      </c>
      <c r="L123" s="1474" t="n"/>
      <c r="M123" s="1473">
        <f>IF(L123&lt;&gt;"",L123,K123)</f>
        <v/>
      </c>
      <c r="N123" s="1436">
        <f>IF(M123="","",TEXT(M123,"0")&amp;" days")</f>
        <v/>
      </c>
      <c r="O123" s="1397" t="n"/>
      <c r="P123" s="1397" t="n"/>
      <c r="Q123" s="1397" t="n"/>
      <c r="R123" s="1397" t="n"/>
      <c r="S123" s="1475" t="n"/>
      <c r="T123" s="1476">
        <f>IF($D123="","",I123-N(H123))</f>
        <v/>
      </c>
      <c r="U123" s="1397">
        <f>IF($D123="","",IF(ABS(T123)&lt;0.01,"OK","CHECK"))</f>
        <v/>
      </c>
      <c r="V123" s="1397" t="inlineStr">
        <is>
          <t>Auto Scheduled</t>
        </is>
      </c>
      <c r="W123" s="1397" t="inlineStr">
        <is>
          <t>Prorated</t>
        </is>
      </c>
      <c r="X123" s="1397" t="n"/>
      <c r="Y123" s="1397">
        <f>IF($D123="","",COUNTIF($D$7:$D123,"?*"))</f>
        <v/>
      </c>
    </row>
    <row r="124">
      <c r="A124" s="1471" t="n">
        <v>118</v>
      </c>
      <c r="B124" s="1471" t="n">
        <v>120</v>
      </c>
      <c r="C124" s="1397">
        <f>IF('QS Takeoff'!$B120="","",'QS Takeoff'!A120)</f>
        <v/>
      </c>
      <c r="D124" s="1397">
        <f>IF('QS Takeoff'!$B120="","",'QS Takeoff'!B120)</f>
        <v/>
      </c>
      <c r="E124" s="1397">
        <f>IF('QS Takeoff'!$B120="","",'QS Takeoff'!C120)</f>
        <v/>
      </c>
      <c r="F124" s="1397">
        <f>IF('QS Takeoff'!$B120="","",'QS Takeoff'!E120)</f>
        <v/>
      </c>
      <c r="G124" s="1397">
        <f>IF('QS Takeoff'!$B120="","",'QS Takeoff'!D120)</f>
        <v/>
      </c>
      <c r="H124" s="1472">
        <f>IF('QS Takeoff'!$B120="","",'QS Takeoff'!G120)</f>
        <v/>
      </c>
      <c r="I124" s="1472">
        <f>SUMIF('Resource Build-Up'!$B$7:$B$306,D124,'Resource Build-Up'!$Z$7:$Z$306)</f>
        <v/>
      </c>
      <c r="J124" s="1473">
        <f>IFERROR(_xlfn.MAXIFS('Resource Build-Up'!$M$7:$M$306,'Resource Build-Up'!$B$7:$B$306,D124),0)</f>
        <v/>
      </c>
      <c r="K124" s="1473">
        <f>IF(J124=0,"",ROUNDUP(J124/8,0))</f>
        <v/>
      </c>
      <c r="L124" s="1474" t="n"/>
      <c r="M124" s="1473">
        <f>IF(L124&lt;&gt;"",L124,K124)</f>
        <v/>
      </c>
      <c r="N124" s="1436">
        <f>IF(M124="","",TEXT(M124,"0")&amp;" days")</f>
        <v/>
      </c>
      <c r="O124" s="1397" t="n"/>
      <c r="P124" s="1397" t="n"/>
      <c r="Q124" s="1397" t="n"/>
      <c r="R124" s="1397" t="n"/>
      <c r="S124" s="1475" t="n"/>
      <c r="T124" s="1476">
        <f>IF($D124="","",I124-N(H124))</f>
        <v/>
      </c>
      <c r="U124" s="1397">
        <f>IF($D124="","",IF(ABS(T124)&lt;0.01,"OK","CHECK"))</f>
        <v/>
      </c>
      <c r="V124" s="1397" t="inlineStr">
        <is>
          <t>Auto Scheduled</t>
        </is>
      </c>
      <c r="W124" s="1397" t="inlineStr">
        <is>
          <t>Prorated</t>
        </is>
      </c>
      <c r="X124" s="1397" t="n"/>
      <c r="Y124" s="1397">
        <f>IF($D124="","",COUNTIF($D$7:$D124,"?*"))</f>
        <v/>
      </c>
    </row>
    <row r="125">
      <c r="A125" s="1471" t="n">
        <v>119</v>
      </c>
      <c r="B125" s="1471" t="n">
        <v>121</v>
      </c>
      <c r="C125" s="1397">
        <f>IF('QS Takeoff'!$B121="","",'QS Takeoff'!A121)</f>
        <v/>
      </c>
      <c r="D125" s="1397">
        <f>IF('QS Takeoff'!$B121="","",'QS Takeoff'!B121)</f>
        <v/>
      </c>
      <c r="E125" s="1397">
        <f>IF('QS Takeoff'!$B121="","",'QS Takeoff'!C121)</f>
        <v/>
      </c>
      <c r="F125" s="1397">
        <f>IF('QS Takeoff'!$B121="","",'QS Takeoff'!E121)</f>
        <v/>
      </c>
      <c r="G125" s="1397">
        <f>IF('QS Takeoff'!$B121="","",'QS Takeoff'!D121)</f>
        <v/>
      </c>
      <c r="H125" s="1472">
        <f>IF('QS Takeoff'!$B121="","",'QS Takeoff'!G121)</f>
        <v/>
      </c>
      <c r="I125" s="1472">
        <f>SUMIF('Resource Build-Up'!$B$7:$B$306,D125,'Resource Build-Up'!$Z$7:$Z$306)</f>
        <v/>
      </c>
      <c r="J125" s="1473">
        <f>IFERROR(_xlfn.MAXIFS('Resource Build-Up'!$M$7:$M$306,'Resource Build-Up'!$B$7:$B$306,D125),0)</f>
        <v/>
      </c>
      <c r="K125" s="1473">
        <f>IF(J125=0,"",ROUNDUP(J125/8,0))</f>
        <v/>
      </c>
      <c r="L125" s="1474" t="n"/>
      <c r="M125" s="1473">
        <f>IF(L125&lt;&gt;"",L125,K125)</f>
        <v/>
      </c>
      <c r="N125" s="1436">
        <f>IF(M125="","",TEXT(M125,"0")&amp;" days")</f>
        <v/>
      </c>
      <c r="O125" s="1397" t="n"/>
      <c r="P125" s="1397" t="n"/>
      <c r="Q125" s="1397" t="n"/>
      <c r="R125" s="1397" t="n"/>
      <c r="S125" s="1475" t="n"/>
      <c r="T125" s="1476">
        <f>IF($D125="","",I125-N(H125))</f>
        <v/>
      </c>
      <c r="U125" s="1397">
        <f>IF($D125="","",IF(ABS(T125)&lt;0.01,"OK","CHECK"))</f>
        <v/>
      </c>
      <c r="V125" s="1397" t="inlineStr">
        <is>
          <t>Auto Scheduled</t>
        </is>
      </c>
      <c r="W125" s="1397" t="inlineStr">
        <is>
          <t>Prorated</t>
        </is>
      </c>
      <c r="X125" s="1397" t="n"/>
      <c r="Y125" s="1397">
        <f>IF($D125="","",COUNTIF($D$7:$D125,"?*"))</f>
        <v/>
      </c>
    </row>
    <row r="126">
      <c r="A126" s="1471" t="n">
        <v>120</v>
      </c>
      <c r="B126" s="1471" t="n">
        <v>122</v>
      </c>
      <c r="C126" s="1397">
        <f>IF('QS Takeoff'!$B122="","",'QS Takeoff'!A122)</f>
        <v/>
      </c>
      <c r="D126" s="1397">
        <f>IF('QS Takeoff'!$B122="","",'QS Takeoff'!B122)</f>
        <v/>
      </c>
      <c r="E126" s="1397">
        <f>IF('QS Takeoff'!$B122="","",'QS Takeoff'!C122)</f>
        <v/>
      </c>
      <c r="F126" s="1397">
        <f>IF('QS Takeoff'!$B122="","",'QS Takeoff'!E122)</f>
        <v/>
      </c>
      <c r="G126" s="1397">
        <f>IF('QS Takeoff'!$B122="","",'QS Takeoff'!D122)</f>
        <v/>
      </c>
      <c r="H126" s="1472">
        <f>IF('QS Takeoff'!$B122="","",'QS Takeoff'!G122)</f>
        <v/>
      </c>
      <c r="I126" s="1472">
        <f>SUMIF('Resource Build-Up'!$B$7:$B$306,D126,'Resource Build-Up'!$Z$7:$Z$306)</f>
        <v/>
      </c>
      <c r="J126" s="1473">
        <f>IFERROR(_xlfn.MAXIFS('Resource Build-Up'!$M$7:$M$306,'Resource Build-Up'!$B$7:$B$306,D126),0)</f>
        <v/>
      </c>
      <c r="K126" s="1473">
        <f>IF(J126=0,"",ROUNDUP(J126/8,0))</f>
        <v/>
      </c>
      <c r="L126" s="1474" t="n"/>
      <c r="M126" s="1473">
        <f>IF(L126&lt;&gt;"",L126,K126)</f>
        <v/>
      </c>
      <c r="N126" s="1436">
        <f>IF(M126="","",TEXT(M126,"0")&amp;" days")</f>
        <v/>
      </c>
      <c r="O126" s="1397" t="n"/>
      <c r="P126" s="1397" t="n"/>
      <c r="Q126" s="1397" t="n"/>
      <c r="R126" s="1397" t="n"/>
      <c r="S126" s="1475" t="n"/>
      <c r="T126" s="1476">
        <f>IF($D126="","",I126-N(H126))</f>
        <v/>
      </c>
      <c r="U126" s="1397">
        <f>IF($D126="","",IF(ABS(T126)&lt;0.01,"OK","CHECK"))</f>
        <v/>
      </c>
      <c r="V126" s="1397" t="inlineStr">
        <is>
          <t>Auto Scheduled</t>
        </is>
      </c>
      <c r="W126" s="1397" t="inlineStr">
        <is>
          <t>Prorated</t>
        </is>
      </c>
      <c r="X126" s="1397" t="n"/>
      <c r="Y126" s="1397">
        <f>IF($D126="","",COUNTIF($D$7:$D126,"?*"))</f>
        <v/>
      </c>
    </row>
    <row r="127">
      <c r="A127" s="1471" t="n">
        <v>121</v>
      </c>
      <c r="B127" s="1471" t="n">
        <v>123</v>
      </c>
      <c r="C127" s="1397">
        <f>IF('QS Takeoff'!$B123="","",'QS Takeoff'!A123)</f>
        <v/>
      </c>
      <c r="D127" s="1397">
        <f>IF('QS Takeoff'!$B123="","",'QS Takeoff'!B123)</f>
        <v/>
      </c>
      <c r="E127" s="1397">
        <f>IF('QS Takeoff'!$B123="","",'QS Takeoff'!C123)</f>
        <v/>
      </c>
      <c r="F127" s="1397">
        <f>IF('QS Takeoff'!$B123="","",'QS Takeoff'!E123)</f>
        <v/>
      </c>
      <c r="G127" s="1397">
        <f>IF('QS Takeoff'!$B123="","",'QS Takeoff'!D123)</f>
        <v/>
      </c>
      <c r="H127" s="1472">
        <f>IF('QS Takeoff'!$B123="","",'QS Takeoff'!G123)</f>
        <v/>
      </c>
      <c r="I127" s="1472">
        <f>SUMIF('Resource Build-Up'!$B$7:$B$306,D127,'Resource Build-Up'!$Z$7:$Z$306)</f>
        <v/>
      </c>
      <c r="J127" s="1473">
        <f>IFERROR(_xlfn.MAXIFS('Resource Build-Up'!$M$7:$M$306,'Resource Build-Up'!$B$7:$B$306,D127),0)</f>
        <v/>
      </c>
      <c r="K127" s="1473">
        <f>IF(J127=0,"",ROUNDUP(J127/8,0))</f>
        <v/>
      </c>
      <c r="L127" s="1474" t="n"/>
      <c r="M127" s="1473">
        <f>IF(L127&lt;&gt;"",L127,K127)</f>
        <v/>
      </c>
      <c r="N127" s="1436">
        <f>IF(M127="","",TEXT(M127,"0")&amp;" days")</f>
        <v/>
      </c>
      <c r="O127" s="1397" t="n"/>
      <c r="P127" s="1397" t="n"/>
      <c r="Q127" s="1397" t="n"/>
      <c r="R127" s="1397" t="n"/>
      <c r="S127" s="1475" t="n"/>
      <c r="T127" s="1476">
        <f>IF($D127="","",I127-N(H127))</f>
        <v/>
      </c>
      <c r="U127" s="1397">
        <f>IF($D127="","",IF(ABS(T127)&lt;0.01,"OK","CHECK"))</f>
        <v/>
      </c>
      <c r="V127" s="1397" t="inlineStr">
        <is>
          <t>Auto Scheduled</t>
        </is>
      </c>
      <c r="W127" s="1397" t="inlineStr">
        <is>
          <t>Prorated</t>
        </is>
      </c>
      <c r="X127" s="1397" t="n"/>
      <c r="Y127" s="1397">
        <f>IF($D127="","",COUNTIF($D$7:$D127,"?*"))</f>
        <v/>
      </c>
    </row>
    <row r="128">
      <c r="A128" s="1471" t="n">
        <v>122</v>
      </c>
      <c r="B128" s="1471" t="n">
        <v>124</v>
      </c>
      <c r="C128" s="1397">
        <f>IF('QS Takeoff'!$B124="","",'QS Takeoff'!A124)</f>
        <v/>
      </c>
      <c r="D128" s="1397">
        <f>IF('QS Takeoff'!$B124="","",'QS Takeoff'!B124)</f>
        <v/>
      </c>
      <c r="E128" s="1397">
        <f>IF('QS Takeoff'!$B124="","",'QS Takeoff'!C124)</f>
        <v/>
      </c>
      <c r="F128" s="1397">
        <f>IF('QS Takeoff'!$B124="","",'QS Takeoff'!E124)</f>
        <v/>
      </c>
      <c r="G128" s="1397">
        <f>IF('QS Takeoff'!$B124="","",'QS Takeoff'!D124)</f>
        <v/>
      </c>
      <c r="H128" s="1472">
        <f>IF('QS Takeoff'!$B124="","",'QS Takeoff'!G124)</f>
        <v/>
      </c>
      <c r="I128" s="1472">
        <f>SUMIF('Resource Build-Up'!$B$7:$B$306,D128,'Resource Build-Up'!$Z$7:$Z$306)</f>
        <v/>
      </c>
      <c r="J128" s="1473">
        <f>IFERROR(_xlfn.MAXIFS('Resource Build-Up'!$M$7:$M$306,'Resource Build-Up'!$B$7:$B$306,D128),0)</f>
        <v/>
      </c>
      <c r="K128" s="1473">
        <f>IF(J128=0,"",ROUNDUP(J128/8,0))</f>
        <v/>
      </c>
      <c r="L128" s="1474" t="n"/>
      <c r="M128" s="1473">
        <f>IF(L128&lt;&gt;"",L128,K128)</f>
        <v/>
      </c>
      <c r="N128" s="1436">
        <f>IF(M128="","",TEXT(M128,"0")&amp;" days")</f>
        <v/>
      </c>
      <c r="O128" s="1397" t="n"/>
      <c r="P128" s="1397" t="n"/>
      <c r="Q128" s="1397" t="n"/>
      <c r="R128" s="1397" t="n"/>
      <c r="S128" s="1475" t="n"/>
      <c r="T128" s="1476">
        <f>IF($D128="","",I128-N(H128))</f>
        <v/>
      </c>
      <c r="U128" s="1397">
        <f>IF($D128="","",IF(ABS(T128)&lt;0.01,"OK","CHECK"))</f>
        <v/>
      </c>
      <c r="V128" s="1397" t="inlineStr">
        <is>
          <t>Auto Scheduled</t>
        </is>
      </c>
      <c r="W128" s="1397" t="inlineStr">
        <is>
          <t>Prorated</t>
        </is>
      </c>
      <c r="X128" s="1397" t="n"/>
      <c r="Y128" s="1397">
        <f>IF($D128="","",COUNTIF($D$7:$D128,"?*"))</f>
        <v/>
      </c>
    </row>
    <row r="129">
      <c r="A129" s="1471" t="n">
        <v>123</v>
      </c>
      <c r="B129" s="1471" t="n">
        <v>125</v>
      </c>
      <c r="C129" s="1397">
        <f>IF('QS Takeoff'!$B125="","",'QS Takeoff'!A125)</f>
        <v/>
      </c>
      <c r="D129" s="1397">
        <f>IF('QS Takeoff'!$B125="","",'QS Takeoff'!B125)</f>
        <v/>
      </c>
      <c r="E129" s="1397">
        <f>IF('QS Takeoff'!$B125="","",'QS Takeoff'!C125)</f>
        <v/>
      </c>
      <c r="F129" s="1397">
        <f>IF('QS Takeoff'!$B125="","",'QS Takeoff'!E125)</f>
        <v/>
      </c>
      <c r="G129" s="1397">
        <f>IF('QS Takeoff'!$B125="","",'QS Takeoff'!D125)</f>
        <v/>
      </c>
      <c r="H129" s="1472">
        <f>IF('QS Takeoff'!$B125="","",'QS Takeoff'!G125)</f>
        <v/>
      </c>
      <c r="I129" s="1472">
        <f>SUMIF('Resource Build-Up'!$B$7:$B$306,D129,'Resource Build-Up'!$Z$7:$Z$306)</f>
        <v/>
      </c>
      <c r="J129" s="1473">
        <f>IFERROR(_xlfn.MAXIFS('Resource Build-Up'!$M$7:$M$306,'Resource Build-Up'!$B$7:$B$306,D129),0)</f>
        <v/>
      </c>
      <c r="K129" s="1473">
        <f>IF(J129=0,"",ROUNDUP(J129/8,0))</f>
        <v/>
      </c>
      <c r="L129" s="1474" t="n"/>
      <c r="M129" s="1473">
        <f>IF(L129&lt;&gt;"",L129,K129)</f>
        <v/>
      </c>
      <c r="N129" s="1436">
        <f>IF(M129="","",TEXT(M129,"0")&amp;" days")</f>
        <v/>
      </c>
      <c r="O129" s="1397" t="n"/>
      <c r="P129" s="1397" t="n"/>
      <c r="Q129" s="1397" t="n"/>
      <c r="R129" s="1397" t="n"/>
      <c r="S129" s="1475" t="n"/>
      <c r="T129" s="1476">
        <f>IF($D129="","",I129-N(H129))</f>
        <v/>
      </c>
      <c r="U129" s="1397">
        <f>IF($D129="","",IF(ABS(T129)&lt;0.01,"OK","CHECK"))</f>
        <v/>
      </c>
      <c r="V129" s="1397" t="inlineStr">
        <is>
          <t>Auto Scheduled</t>
        </is>
      </c>
      <c r="W129" s="1397" t="inlineStr">
        <is>
          <t>Prorated</t>
        </is>
      </c>
      <c r="X129" s="1397" t="n"/>
      <c r="Y129" s="1397">
        <f>IF($D129="","",COUNTIF($D$7:$D129,"?*"))</f>
        <v/>
      </c>
    </row>
    <row r="130">
      <c r="A130" s="1471" t="n">
        <v>124</v>
      </c>
      <c r="B130" s="1471" t="n">
        <v>126</v>
      </c>
      <c r="C130" s="1397">
        <f>IF('QS Takeoff'!$B126="","",'QS Takeoff'!A126)</f>
        <v/>
      </c>
      <c r="D130" s="1397">
        <f>IF('QS Takeoff'!$B126="","",'QS Takeoff'!B126)</f>
        <v/>
      </c>
      <c r="E130" s="1397">
        <f>IF('QS Takeoff'!$B126="","",'QS Takeoff'!C126)</f>
        <v/>
      </c>
      <c r="F130" s="1397">
        <f>IF('QS Takeoff'!$B126="","",'QS Takeoff'!E126)</f>
        <v/>
      </c>
      <c r="G130" s="1397">
        <f>IF('QS Takeoff'!$B126="","",'QS Takeoff'!D126)</f>
        <v/>
      </c>
      <c r="H130" s="1472">
        <f>IF('QS Takeoff'!$B126="","",'QS Takeoff'!G126)</f>
        <v/>
      </c>
      <c r="I130" s="1472">
        <f>SUMIF('Resource Build-Up'!$B$7:$B$306,D130,'Resource Build-Up'!$Z$7:$Z$306)</f>
        <v/>
      </c>
      <c r="J130" s="1473">
        <f>IFERROR(_xlfn.MAXIFS('Resource Build-Up'!$M$7:$M$306,'Resource Build-Up'!$B$7:$B$306,D130),0)</f>
        <v/>
      </c>
      <c r="K130" s="1473">
        <f>IF(J130=0,"",ROUNDUP(J130/8,0))</f>
        <v/>
      </c>
      <c r="L130" s="1474" t="n"/>
      <c r="M130" s="1473">
        <f>IF(L130&lt;&gt;"",L130,K130)</f>
        <v/>
      </c>
      <c r="N130" s="1436">
        <f>IF(M130="","",TEXT(M130,"0")&amp;" days")</f>
        <v/>
      </c>
      <c r="O130" s="1397" t="n"/>
      <c r="P130" s="1397" t="n"/>
      <c r="Q130" s="1397" t="n"/>
      <c r="R130" s="1397" t="n"/>
      <c r="S130" s="1475" t="n"/>
      <c r="T130" s="1476">
        <f>IF($D130="","",I130-N(H130))</f>
        <v/>
      </c>
      <c r="U130" s="1397">
        <f>IF($D130="","",IF(ABS(T130)&lt;0.01,"OK","CHECK"))</f>
        <v/>
      </c>
      <c r="V130" s="1397" t="inlineStr">
        <is>
          <t>Auto Scheduled</t>
        </is>
      </c>
      <c r="W130" s="1397" t="inlineStr">
        <is>
          <t>Prorated</t>
        </is>
      </c>
      <c r="X130" s="1397" t="n"/>
      <c r="Y130" s="1397">
        <f>IF($D130="","",COUNTIF($D$7:$D130,"?*"))</f>
        <v/>
      </c>
    </row>
    <row r="131">
      <c r="A131" s="1471" t="n">
        <v>125</v>
      </c>
      <c r="B131" s="1471" t="n">
        <v>127</v>
      </c>
      <c r="C131" s="1397">
        <f>IF('QS Takeoff'!$B127="","",'QS Takeoff'!A127)</f>
        <v/>
      </c>
      <c r="D131" s="1397">
        <f>IF('QS Takeoff'!$B127="","",'QS Takeoff'!B127)</f>
        <v/>
      </c>
      <c r="E131" s="1397">
        <f>IF('QS Takeoff'!$B127="","",'QS Takeoff'!C127)</f>
        <v/>
      </c>
      <c r="F131" s="1397">
        <f>IF('QS Takeoff'!$B127="","",'QS Takeoff'!E127)</f>
        <v/>
      </c>
      <c r="G131" s="1397">
        <f>IF('QS Takeoff'!$B127="","",'QS Takeoff'!D127)</f>
        <v/>
      </c>
      <c r="H131" s="1472">
        <f>IF('QS Takeoff'!$B127="","",'QS Takeoff'!G127)</f>
        <v/>
      </c>
      <c r="I131" s="1472">
        <f>SUMIF('Resource Build-Up'!$B$7:$B$306,D131,'Resource Build-Up'!$Z$7:$Z$306)</f>
        <v/>
      </c>
      <c r="J131" s="1473">
        <f>IFERROR(_xlfn.MAXIFS('Resource Build-Up'!$M$7:$M$306,'Resource Build-Up'!$B$7:$B$306,D131),0)</f>
        <v/>
      </c>
      <c r="K131" s="1473">
        <f>IF(J131=0,"",ROUNDUP(J131/8,0))</f>
        <v/>
      </c>
      <c r="L131" s="1474" t="n"/>
      <c r="M131" s="1473">
        <f>IF(L131&lt;&gt;"",L131,K131)</f>
        <v/>
      </c>
      <c r="N131" s="1436">
        <f>IF(M131="","",TEXT(M131,"0")&amp;" days")</f>
        <v/>
      </c>
      <c r="O131" s="1397" t="n"/>
      <c r="P131" s="1397" t="n"/>
      <c r="Q131" s="1397" t="n"/>
      <c r="R131" s="1397" t="n"/>
      <c r="S131" s="1475" t="n"/>
      <c r="T131" s="1476">
        <f>IF($D131="","",I131-N(H131))</f>
        <v/>
      </c>
      <c r="U131" s="1397">
        <f>IF($D131="","",IF(ABS(T131)&lt;0.01,"OK","CHECK"))</f>
        <v/>
      </c>
      <c r="V131" s="1397" t="inlineStr">
        <is>
          <t>Auto Scheduled</t>
        </is>
      </c>
      <c r="W131" s="1397" t="inlineStr">
        <is>
          <t>Prorated</t>
        </is>
      </c>
      <c r="X131" s="1397" t="n"/>
      <c r="Y131" s="1397">
        <f>IF($D131="","",COUNTIF($D$7:$D131,"?*"))</f>
        <v/>
      </c>
    </row>
    <row r="132">
      <c r="A132" s="1471" t="n">
        <v>126</v>
      </c>
      <c r="B132" s="1471" t="n">
        <v>128</v>
      </c>
      <c r="C132" s="1397">
        <f>IF('QS Takeoff'!$B128="","",'QS Takeoff'!A128)</f>
        <v/>
      </c>
      <c r="D132" s="1397">
        <f>IF('QS Takeoff'!$B128="","",'QS Takeoff'!B128)</f>
        <v/>
      </c>
      <c r="E132" s="1397">
        <f>IF('QS Takeoff'!$B128="","",'QS Takeoff'!C128)</f>
        <v/>
      </c>
      <c r="F132" s="1397">
        <f>IF('QS Takeoff'!$B128="","",'QS Takeoff'!E128)</f>
        <v/>
      </c>
      <c r="G132" s="1397">
        <f>IF('QS Takeoff'!$B128="","",'QS Takeoff'!D128)</f>
        <v/>
      </c>
      <c r="H132" s="1472">
        <f>IF('QS Takeoff'!$B128="","",'QS Takeoff'!G128)</f>
        <v/>
      </c>
      <c r="I132" s="1472">
        <f>SUMIF('Resource Build-Up'!$B$7:$B$306,D132,'Resource Build-Up'!$Z$7:$Z$306)</f>
        <v/>
      </c>
      <c r="J132" s="1473">
        <f>IFERROR(_xlfn.MAXIFS('Resource Build-Up'!$M$7:$M$306,'Resource Build-Up'!$B$7:$B$306,D132),0)</f>
        <v/>
      </c>
      <c r="K132" s="1473">
        <f>IF(J132=0,"",ROUNDUP(J132/8,0))</f>
        <v/>
      </c>
      <c r="L132" s="1474" t="n"/>
      <c r="M132" s="1473">
        <f>IF(L132&lt;&gt;"",L132,K132)</f>
        <v/>
      </c>
      <c r="N132" s="1436">
        <f>IF(M132="","",TEXT(M132,"0")&amp;" days")</f>
        <v/>
      </c>
      <c r="O132" s="1397" t="n"/>
      <c r="P132" s="1397" t="n"/>
      <c r="Q132" s="1397" t="n"/>
      <c r="R132" s="1397" t="n"/>
      <c r="S132" s="1475" t="n"/>
      <c r="T132" s="1476">
        <f>IF($D132="","",I132-N(H132))</f>
        <v/>
      </c>
      <c r="U132" s="1397">
        <f>IF($D132="","",IF(ABS(T132)&lt;0.01,"OK","CHECK"))</f>
        <v/>
      </c>
      <c r="V132" s="1397" t="inlineStr">
        <is>
          <t>Auto Scheduled</t>
        </is>
      </c>
      <c r="W132" s="1397" t="inlineStr">
        <is>
          <t>Prorated</t>
        </is>
      </c>
      <c r="X132" s="1397" t="n"/>
      <c r="Y132" s="1397">
        <f>IF($D132="","",COUNTIF($D$7:$D132,"?*"))</f>
        <v/>
      </c>
    </row>
    <row r="133">
      <c r="A133" s="1471" t="n">
        <v>127</v>
      </c>
      <c r="B133" s="1471" t="n">
        <v>129</v>
      </c>
      <c r="C133" s="1397">
        <f>IF('QS Takeoff'!$B129="","",'QS Takeoff'!A129)</f>
        <v/>
      </c>
      <c r="D133" s="1397">
        <f>IF('QS Takeoff'!$B129="","",'QS Takeoff'!B129)</f>
        <v/>
      </c>
      <c r="E133" s="1397">
        <f>IF('QS Takeoff'!$B129="","",'QS Takeoff'!C129)</f>
        <v/>
      </c>
      <c r="F133" s="1397">
        <f>IF('QS Takeoff'!$B129="","",'QS Takeoff'!E129)</f>
        <v/>
      </c>
      <c r="G133" s="1397">
        <f>IF('QS Takeoff'!$B129="","",'QS Takeoff'!D129)</f>
        <v/>
      </c>
      <c r="H133" s="1472">
        <f>IF('QS Takeoff'!$B129="","",'QS Takeoff'!G129)</f>
        <v/>
      </c>
      <c r="I133" s="1472">
        <f>SUMIF('Resource Build-Up'!$B$7:$B$306,D133,'Resource Build-Up'!$Z$7:$Z$306)</f>
        <v/>
      </c>
      <c r="J133" s="1473">
        <f>IFERROR(_xlfn.MAXIFS('Resource Build-Up'!$M$7:$M$306,'Resource Build-Up'!$B$7:$B$306,D133),0)</f>
        <v/>
      </c>
      <c r="K133" s="1473">
        <f>IF(J133=0,"",ROUNDUP(J133/8,0))</f>
        <v/>
      </c>
      <c r="L133" s="1474" t="n"/>
      <c r="M133" s="1473">
        <f>IF(L133&lt;&gt;"",L133,K133)</f>
        <v/>
      </c>
      <c r="N133" s="1436">
        <f>IF(M133="","",TEXT(M133,"0")&amp;" days")</f>
        <v/>
      </c>
      <c r="O133" s="1397" t="n"/>
      <c r="P133" s="1397" t="n"/>
      <c r="Q133" s="1397" t="n"/>
      <c r="R133" s="1397" t="n"/>
      <c r="S133" s="1475" t="n"/>
      <c r="T133" s="1476">
        <f>IF($D133="","",I133-N(H133))</f>
        <v/>
      </c>
      <c r="U133" s="1397">
        <f>IF($D133="","",IF(ABS(T133)&lt;0.01,"OK","CHECK"))</f>
        <v/>
      </c>
      <c r="V133" s="1397" t="inlineStr">
        <is>
          <t>Auto Scheduled</t>
        </is>
      </c>
      <c r="W133" s="1397" t="inlineStr">
        <is>
          <t>Prorated</t>
        </is>
      </c>
      <c r="X133" s="1397" t="n"/>
      <c r="Y133" s="1397">
        <f>IF($D133="","",COUNTIF($D$7:$D133,"?*"))</f>
        <v/>
      </c>
    </row>
    <row r="134">
      <c r="A134" s="1471" t="n">
        <v>128</v>
      </c>
      <c r="B134" s="1471" t="n">
        <v>130</v>
      </c>
      <c r="C134" s="1397">
        <f>IF('QS Takeoff'!$B130="","",'QS Takeoff'!A130)</f>
        <v/>
      </c>
      <c r="D134" s="1397">
        <f>IF('QS Takeoff'!$B130="","",'QS Takeoff'!B130)</f>
        <v/>
      </c>
      <c r="E134" s="1397">
        <f>IF('QS Takeoff'!$B130="","",'QS Takeoff'!C130)</f>
        <v/>
      </c>
      <c r="F134" s="1397">
        <f>IF('QS Takeoff'!$B130="","",'QS Takeoff'!E130)</f>
        <v/>
      </c>
      <c r="G134" s="1397">
        <f>IF('QS Takeoff'!$B130="","",'QS Takeoff'!D130)</f>
        <v/>
      </c>
      <c r="H134" s="1472">
        <f>IF('QS Takeoff'!$B130="","",'QS Takeoff'!G130)</f>
        <v/>
      </c>
      <c r="I134" s="1472">
        <f>SUMIF('Resource Build-Up'!$B$7:$B$306,D134,'Resource Build-Up'!$Z$7:$Z$306)</f>
        <v/>
      </c>
      <c r="J134" s="1473">
        <f>IFERROR(_xlfn.MAXIFS('Resource Build-Up'!$M$7:$M$306,'Resource Build-Up'!$B$7:$B$306,D134),0)</f>
        <v/>
      </c>
      <c r="K134" s="1473">
        <f>IF(J134=0,"",ROUNDUP(J134/8,0))</f>
        <v/>
      </c>
      <c r="L134" s="1474" t="n"/>
      <c r="M134" s="1473">
        <f>IF(L134&lt;&gt;"",L134,K134)</f>
        <v/>
      </c>
      <c r="N134" s="1436">
        <f>IF(M134="","",TEXT(M134,"0")&amp;" days")</f>
        <v/>
      </c>
      <c r="O134" s="1397" t="n"/>
      <c r="P134" s="1397" t="n"/>
      <c r="Q134" s="1397" t="n"/>
      <c r="R134" s="1397" t="n"/>
      <c r="S134" s="1475" t="n"/>
      <c r="T134" s="1476">
        <f>IF($D134="","",I134-N(H134))</f>
        <v/>
      </c>
      <c r="U134" s="1397">
        <f>IF($D134="","",IF(ABS(T134)&lt;0.01,"OK","CHECK"))</f>
        <v/>
      </c>
      <c r="V134" s="1397" t="inlineStr">
        <is>
          <t>Auto Scheduled</t>
        </is>
      </c>
      <c r="W134" s="1397" t="inlineStr">
        <is>
          <t>Prorated</t>
        </is>
      </c>
      <c r="X134" s="1397" t="n"/>
      <c r="Y134" s="1397">
        <f>IF($D134="","",COUNTIF($D$7:$D134,"?*"))</f>
        <v/>
      </c>
    </row>
    <row r="135">
      <c r="A135" s="1471" t="n">
        <v>129</v>
      </c>
      <c r="B135" s="1471" t="n">
        <v>131</v>
      </c>
      <c r="C135" s="1397">
        <f>IF('QS Takeoff'!$B131="","",'QS Takeoff'!A131)</f>
        <v/>
      </c>
      <c r="D135" s="1397">
        <f>IF('QS Takeoff'!$B131="","",'QS Takeoff'!B131)</f>
        <v/>
      </c>
      <c r="E135" s="1397">
        <f>IF('QS Takeoff'!$B131="","",'QS Takeoff'!C131)</f>
        <v/>
      </c>
      <c r="F135" s="1397">
        <f>IF('QS Takeoff'!$B131="","",'QS Takeoff'!E131)</f>
        <v/>
      </c>
      <c r="G135" s="1397">
        <f>IF('QS Takeoff'!$B131="","",'QS Takeoff'!D131)</f>
        <v/>
      </c>
      <c r="H135" s="1472">
        <f>IF('QS Takeoff'!$B131="","",'QS Takeoff'!G131)</f>
        <v/>
      </c>
      <c r="I135" s="1472">
        <f>SUMIF('Resource Build-Up'!$B$7:$B$306,D135,'Resource Build-Up'!$Z$7:$Z$306)</f>
        <v/>
      </c>
      <c r="J135" s="1473">
        <f>IFERROR(_xlfn.MAXIFS('Resource Build-Up'!$M$7:$M$306,'Resource Build-Up'!$B$7:$B$306,D135),0)</f>
        <v/>
      </c>
      <c r="K135" s="1473">
        <f>IF(J135=0,"",ROUNDUP(J135/8,0))</f>
        <v/>
      </c>
      <c r="L135" s="1474" t="n"/>
      <c r="M135" s="1473">
        <f>IF(L135&lt;&gt;"",L135,K135)</f>
        <v/>
      </c>
      <c r="N135" s="1436">
        <f>IF(M135="","",TEXT(M135,"0")&amp;" days")</f>
        <v/>
      </c>
      <c r="O135" s="1397" t="n"/>
      <c r="P135" s="1397" t="n"/>
      <c r="Q135" s="1397" t="n"/>
      <c r="R135" s="1397" t="n"/>
      <c r="S135" s="1475" t="n"/>
      <c r="T135" s="1476">
        <f>IF($D135="","",I135-N(H135))</f>
        <v/>
      </c>
      <c r="U135" s="1397">
        <f>IF($D135="","",IF(ABS(T135)&lt;0.01,"OK","CHECK"))</f>
        <v/>
      </c>
      <c r="V135" s="1397" t="inlineStr">
        <is>
          <t>Auto Scheduled</t>
        </is>
      </c>
      <c r="W135" s="1397" t="inlineStr">
        <is>
          <t>Prorated</t>
        </is>
      </c>
      <c r="X135" s="1397" t="n"/>
      <c r="Y135" s="1397">
        <f>IF($D135="","",COUNTIF($D$7:$D135,"?*"))</f>
        <v/>
      </c>
    </row>
    <row r="136">
      <c r="A136" s="1471" t="n">
        <v>130</v>
      </c>
      <c r="B136" s="1471" t="n">
        <v>132</v>
      </c>
      <c r="C136" s="1397">
        <f>IF('QS Takeoff'!$B132="","",'QS Takeoff'!A132)</f>
        <v/>
      </c>
      <c r="D136" s="1397">
        <f>IF('QS Takeoff'!$B132="","",'QS Takeoff'!B132)</f>
        <v/>
      </c>
      <c r="E136" s="1397">
        <f>IF('QS Takeoff'!$B132="","",'QS Takeoff'!C132)</f>
        <v/>
      </c>
      <c r="F136" s="1397">
        <f>IF('QS Takeoff'!$B132="","",'QS Takeoff'!E132)</f>
        <v/>
      </c>
      <c r="G136" s="1397">
        <f>IF('QS Takeoff'!$B132="","",'QS Takeoff'!D132)</f>
        <v/>
      </c>
      <c r="H136" s="1472">
        <f>IF('QS Takeoff'!$B132="","",'QS Takeoff'!G132)</f>
        <v/>
      </c>
      <c r="I136" s="1472">
        <f>SUMIF('Resource Build-Up'!$B$7:$B$306,D136,'Resource Build-Up'!$Z$7:$Z$306)</f>
        <v/>
      </c>
      <c r="J136" s="1473">
        <f>IFERROR(_xlfn.MAXIFS('Resource Build-Up'!$M$7:$M$306,'Resource Build-Up'!$B$7:$B$306,D136),0)</f>
        <v/>
      </c>
      <c r="K136" s="1473">
        <f>IF(J136=0,"",ROUNDUP(J136/8,0))</f>
        <v/>
      </c>
      <c r="L136" s="1474" t="n"/>
      <c r="M136" s="1473">
        <f>IF(L136&lt;&gt;"",L136,K136)</f>
        <v/>
      </c>
      <c r="N136" s="1436">
        <f>IF(M136="","",TEXT(M136,"0")&amp;" days")</f>
        <v/>
      </c>
      <c r="O136" s="1397" t="n"/>
      <c r="P136" s="1397" t="n"/>
      <c r="Q136" s="1397" t="n"/>
      <c r="R136" s="1397" t="n"/>
      <c r="S136" s="1475" t="n"/>
      <c r="T136" s="1476">
        <f>IF($D136="","",I136-N(H136))</f>
        <v/>
      </c>
      <c r="U136" s="1397">
        <f>IF($D136="","",IF(ABS(T136)&lt;0.01,"OK","CHECK"))</f>
        <v/>
      </c>
      <c r="V136" s="1397" t="inlineStr">
        <is>
          <t>Auto Scheduled</t>
        </is>
      </c>
      <c r="W136" s="1397" t="inlineStr">
        <is>
          <t>Prorated</t>
        </is>
      </c>
      <c r="X136" s="1397" t="n"/>
      <c r="Y136" s="1397">
        <f>IF($D136="","",COUNTIF($D$7:$D136,"?*"))</f>
        <v/>
      </c>
    </row>
    <row r="137">
      <c r="A137" s="1471" t="n">
        <v>131</v>
      </c>
      <c r="B137" s="1471" t="n">
        <v>133</v>
      </c>
      <c r="C137" s="1397">
        <f>IF('QS Takeoff'!$B133="","",'QS Takeoff'!A133)</f>
        <v/>
      </c>
      <c r="D137" s="1397">
        <f>IF('QS Takeoff'!$B133="","",'QS Takeoff'!B133)</f>
        <v/>
      </c>
      <c r="E137" s="1397">
        <f>IF('QS Takeoff'!$B133="","",'QS Takeoff'!C133)</f>
        <v/>
      </c>
      <c r="F137" s="1397">
        <f>IF('QS Takeoff'!$B133="","",'QS Takeoff'!E133)</f>
        <v/>
      </c>
      <c r="G137" s="1397">
        <f>IF('QS Takeoff'!$B133="","",'QS Takeoff'!D133)</f>
        <v/>
      </c>
      <c r="H137" s="1472">
        <f>IF('QS Takeoff'!$B133="","",'QS Takeoff'!G133)</f>
        <v/>
      </c>
      <c r="I137" s="1472">
        <f>SUMIF('Resource Build-Up'!$B$7:$B$306,D137,'Resource Build-Up'!$Z$7:$Z$306)</f>
        <v/>
      </c>
      <c r="J137" s="1473">
        <f>IFERROR(_xlfn.MAXIFS('Resource Build-Up'!$M$7:$M$306,'Resource Build-Up'!$B$7:$B$306,D137),0)</f>
        <v/>
      </c>
      <c r="K137" s="1473">
        <f>IF(J137=0,"",ROUNDUP(J137/8,0))</f>
        <v/>
      </c>
      <c r="L137" s="1474" t="n"/>
      <c r="M137" s="1473">
        <f>IF(L137&lt;&gt;"",L137,K137)</f>
        <v/>
      </c>
      <c r="N137" s="1436">
        <f>IF(M137="","",TEXT(M137,"0")&amp;" days")</f>
        <v/>
      </c>
      <c r="O137" s="1397" t="n"/>
      <c r="P137" s="1397" t="n"/>
      <c r="Q137" s="1397" t="n"/>
      <c r="R137" s="1397" t="n"/>
      <c r="S137" s="1475" t="n"/>
      <c r="T137" s="1476">
        <f>IF($D137="","",I137-N(H137))</f>
        <v/>
      </c>
      <c r="U137" s="1397">
        <f>IF($D137="","",IF(ABS(T137)&lt;0.01,"OK","CHECK"))</f>
        <v/>
      </c>
      <c r="V137" s="1397" t="inlineStr">
        <is>
          <t>Auto Scheduled</t>
        </is>
      </c>
      <c r="W137" s="1397" t="inlineStr">
        <is>
          <t>Prorated</t>
        </is>
      </c>
      <c r="X137" s="1397" t="n"/>
      <c r="Y137" s="1397">
        <f>IF($D137="","",COUNTIF($D$7:$D137,"?*"))</f>
        <v/>
      </c>
    </row>
    <row r="138">
      <c r="A138" s="1471" t="n">
        <v>132</v>
      </c>
      <c r="B138" s="1471" t="n">
        <v>134</v>
      </c>
      <c r="C138" s="1397">
        <f>IF('QS Takeoff'!$B134="","",'QS Takeoff'!A134)</f>
        <v/>
      </c>
      <c r="D138" s="1397">
        <f>IF('QS Takeoff'!$B134="","",'QS Takeoff'!B134)</f>
        <v/>
      </c>
      <c r="E138" s="1397">
        <f>IF('QS Takeoff'!$B134="","",'QS Takeoff'!C134)</f>
        <v/>
      </c>
      <c r="F138" s="1397">
        <f>IF('QS Takeoff'!$B134="","",'QS Takeoff'!E134)</f>
        <v/>
      </c>
      <c r="G138" s="1397">
        <f>IF('QS Takeoff'!$B134="","",'QS Takeoff'!D134)</f>
        <v/>
      </c>
      <c r="H138" s="1472">
        <f>IF('QS Takeoff'!$B134="","",'QS Takeoff'!G134)</f>
        <v/>
      </c>
      <c r="I138" s="1472">
        <f>SUMIF('Resource Build-Up'!$B$7:$B$306,D138,'Resource Build-Up'!$Z$7:$Z$306)</f>
        <v/>
      </c>
      <c r="J138" s="1473">
        <f>IFERROR(_xlfn.MAXIFS('Resource Build-Up'!$M$7:$M$306,'Resource Build-Up'!$B$7:$B$306,D138),0)</f>
        <v/>
      </c>
      <c r="K138" s="1473">
        <f>IF(J138=0,"",ROUNDUP(J138/8,0))</f>
        <v/>
      </c>
      <c r="L138" s="1474" t="n"/>
      <c r="M138" s="1473">
        <f>IF(L138&lt;&gt;"",L138,K138)</f>
        <v/>
      </c>
      <c r="N138" s="1436">
        <f>IF(M138="","",TEXT(M138,"0")&amp;" days")</f>
        <v/>
      </c>
      <c r="O138" s="1397" t="n"/>
      <c r="P138" s="1397" t="n"/>
      <c r="Q138" s="1397" t="n"/>
      <c r="R138" s="1397" t="n"/>
      <c r="S138" s="1475" t="n"/>
      <c r="T138" s="1476">
        <f>IF($D138="","",I138-N(H138))</f>
        <v/>
      </c>
      <c r="U138" s="1397">
        <f>IF($D138="","",IF(ABS(T138)&lt;0.01,"OK","CHECK"))</f>
        <v/>
      </c>
      <c r="V138" s="1397" t="inlineStr">
        <is>
          <t>Auto Scheduled</t>
        </is>
      </c>
      <c r="W138" s="1397" t="inlineStr">
        <is>
          <t>Prorated</t>
        </is>
      </c>
      <c r="X138" s="1397" t="n"/>
      <c r="Y138" s="1397">
        <f>IF($D138="","",COUNTIF($D$7:$D138,"?*"))</f>
        <v/>
      </c>
    </row>
    <row r="139">
      <c r="A139" s="1471" t="n">
        <v>133</v>
      </c>
      <c r="B139" s="1471" t="n">
        <v>135</v>
      </c>
      <c r="C139" s="1397">
        <f>IF('QS Takeoff'!$B135="","",'QS Takeoff'!A135)</f>
        <v/>
      </c>
      <c r="D139" s="1397">
        <f>IF('QS Takeoff'!$B135="","",'QS Takeoff'!B135)</f>
        <v/>
      </c>
      <c r="E139" s="1397">
        <f>IF('QS Takeoff'!$B135="","",'QS Takeoff'!C135)</f>
        <v/>
      </c>
      <c r="F139" s="1397">
        <f>IF('QS Takeoff'!$B135="","",'QS Takeoff'!E135)</f>
        <v/>
      </c>
      <c r="G139" s="1397">
        <f>IF('QS Takeoff'!$B135="","",'QS Takeoff'!D135)</f>
        <v/>
      </c>
      <c r="H139" s="1472">
        <f>IF('QS Takeoff'!$B135="","",'QS Takeoff'!G135)</f>
        <v/>
      </c>
      <c r="I139" s="1472">
        <f>SUMIF('Resource Build-Up'!$B$7:$B$306,D139,'Resource Build-Up'!$Z$7:$Z$306)</f>
        <v/>
      </c>
      <c r="J139" s="1473">
        <f>IFERROR(_xlfn.MAXIFS('Resource Build-Up'!$M$7:$M$306,'Resource Build-Up'!$B$7:$B$306,D139),0)</f>
        <v/>
      </c>
      <c r="K139" s="1473">
        <f>IF(J139=0,"",ROUNDUP(J139/8,0))</f>
        <v/>
      </c>
      <c r="L139" s="1474" t="n"/>
      <c r="M139" s="1473">
        <f>IF(L139&lt;&gt;"",L139,K139)</f>
        <v/>
      </c>
      <c r="N139" s="1436">
        <f>IF(M139="","",TEXT(M139,"0")&amp;" days")</f>
        <v/>
      </c>
      <c r="O139" s="1397" t="n"/>
      <c r="P139" s="1397" t="n"/>
      <c r="Q139" s="1397" t="n"/>
      <c r="R139" s="1397" t="n"/>
      <c r="S139" s="1475" t="n"/>
      <c r="T139" s="1476">
        <f>IF($D139="","",I139-N(H139))</f>
        <v/>
      </c>
      <c r="U139" s="1397">
        <f>IF($D139="","",IF(ABS(T139)&lt;0.01,"OK","CHECK"))</f>
        <v/>
      </c>
      <c r="V139" s="1397" t="inlineStr">
        <is>
          <t>Auto Scheduled</t>
        </is>
      </c>
      <c r="W139" s="1397" t="inlineStr">
        <is>
          <t>Prorated</t>
        </is>
      </c>
      <c r="X139" s="1397" t="n"/>
      <c r="Y139" s="1397">
        <f>IF($D139="","",COUNTIF($D$7:$D139,"?*"))</f>
        <v/>
      </c>
    </row>
    <row r="140">
      <c r="A140" s="1471" t="n">
        <v>134</v>
      </c>
      <c r="B140" s="1471" t="n">
        <v>136</v>
      </c>
      <c r="C140" s="1397">
        <f>IF('QS Takeoff'!$B136="","",'QS Takeoff'!A136)</f>
        <v/>
      </c>
      <c r="D140" s="1397">
        <f>IF('QS Takeoff'!$B136="","",'QS Takeoff'!B136)</f>
        <v/>
      </c>
      <c r="E140" s="1397">
        <f>IF('QS Takeoff'!$B136="","",'QS Takeoff'!C136)</f>
        <v/>
      </c>
      <c r="F140" s="1397">
        <f>IF('QS Takeoff'!$B136="","",'QS Takeoff'!E136)</f>
        <v/>
      </c>
      <c r="G140" s="1397">
        <f>IF('QS Takeoff'!$B136="","",'QS Takeoff'!D136)</f>
        <v/>
      </c>
      <c r="H140" s="1472">
        <f>IF('QS Takeoff'!$B136="","",'QS Takeoff'!G136)</f>
        <v/>
      </c>
      <c r="I140" s="1472">
        <f>SUMIF('Resource Build-Up'!$B$7:$B$306,D140,'Resource Build-Up'!$Z$7:$Z$306)</f>
        <v/>
      </c>
      <c r="J140" s="1473">
        <f>IFERROR(_xlfn.MAXIFS('Resource Build-Up'!$M$7:$M$306,'Resource Build-Up'!$B$7:$B$306,D140),0)</f>
        <v/>
      </c>
      <c r="K140" s="1473">
        <f>IF(J140=0,"",ROUNDUP(J140/8,0))</f>
        <v/>
      </c>
      <c r="L140" s="1474" t="n"/>
      <c r="M140" s="1473">
        <f>IF(L140&lt;&gt;"",L140,K140)</f>
        <v/>
      </c>
      <c r="N140" s="1436">
        <f>IF(M140="","",TEXT(M140,"0")&amp;" days")</f>
        <v/>
      </c>
      <c r="O140" s="1397" t="n"/>
      <c r="P140" s="1397" t="n"/>
      <c r="Q140" s="1397" t="n"/>
      <c r="R140" s="1397" t="n"/>
      <c r="S140" s="1475" t="n"/>
      <c r="T140" s="1476">
        <f>IF($D140="","",I140-N(H140))</f>
        <v/>
      </c>
      <c r="U140" s="1397">
        <f>IF($D140="","",IF(ABS(T140)&lt;0.01,"OK","CHECK"))</f>
        <v/>
      </c>
      <c r="V140" s="1397" t="inlineStr">
        <is>
          <t>Auto Scheduled</t>
        </is>
      </c>
      <c r="W140" s="1397" t="inlineStr">
        <is>
          <t>Prorated</t>
        </is>
      </c>
      <c r="X140" s="1397" t="n"/>
      <c r="Y140" s="1397">
        <f>IF($D140="","",COUNTIF($D$7:$D140,"?*"))</f>
        <v/>
      </c>
    </row>
    <row r="141">
      <c r="A141" s="1471" t="n">
        <v>135</v>
      </c>
      <c r="B141" s="1471" t="n">
        <v>137</v>
      </c>
      <c r="C141" s="1397">
        <f>IF('QS Takeoff'!$B137="","",'QS Takeoff'!A137)</f>
        <v/>
      </c>
      <c r="D141" s="1397">
        <f>IF('QS Takeoff'!$B137="","",'QS Takeoff'!B137)</f>
        <v/>
      </c>
      <c r="E141" s="1397">
        <f>IF('QS Takeoff'!$B137="","",'QS Takeoff'!C137)</f>
        <v/>
      </c>
      <c r="F141" s="1397">
        <f>IF('QS Takeoff'!$B137="","",'QS Takeoff'!E137)</f>
        <v/>
      </c>
      <c r="G141" s="1397">
        <f>IF('QS Takeoff'!$B137="","",'QS Takeoff'!D137)</f>
        <v/>
      </c>
      <c r="H141" s="1472">
        <f>IF('QS Takeoff'!$B137="","",'QS Takeoff'!G137)</f>
        <v/>
      </c>
      <c r="I141" s="1472">
        <f>SUMIF('Resource Build-Up'!$B$7:$B$306,D141,'Resource Build-Up'!$Z$7:$Z$306)</f>
        <v/>
      </c>
      <c r="J141" s="1473">
        <f>IFERROR(_xlfn.MAXIFS('Resource Build-Up'!$M$7:$M$306,'Resource Build-Up'!$B$7:$B$306,D141),0)</f>
        <v/>
      </c>
      <c r="K141" s="1473">
        <f>IF(J141=0,"",ROUNDUP(J141/8,0))</f>
        <v/>
      </c>
      <c r="L141" s="1474" t="n"/>
      <c r="M141" s="1473">
        <f>IF(L141&lt;&gt;"",L141,K141)</f>
        <v/>
      </c>
      <c r="N141" s="1436">
        <f>IF(M141="","",TEXT(M141,"0")&amp;" days")</f>
        <v/>
      </c>
      <c r="O141" s="1397" t="n"/>
      <c r="P141" s="1397" t="n"/>
      <c r="Q141" s="1397" t="n"/>
      <c r="R141" s="1397" t="n"/>
      <c r="S141" s="1475" t="n"/>
      <c r="T141" s="1476">
        <f>IF($D141="","",I141-N(H141))</f>
        <v/>
      </c>
      <c r="U141" s="1397">
        <f>IF($D141="","",IF(ABS(T141)&lt;0.01,"OK","CHECK"))</f>
        <v/>
      </c>
      <c r="V141" s="1397" t="inlineStr">
        <is>
          <t>Auto Scheduled</t>
        </is>
      </c>
      <c r="W141" s="1397" t="inlineStr">
        <is>
          <t>Prorated</t>
        </is>
      </c>
      <c r="X141" s="1397" t="n"/>
      <c r="Y141" s="1397">
        <f>IF($D141="","",COUNTIF($D$7:$D141,"?*"))</f>
        <v/>
      </c>
    </row>
    <row r="142">
      <c r="A142" s="1471" t="n">
        <v>136</v>
      </c>
      <c r="B142" s="1471" t="n">
        <v>138</v>
      </c>
      <c r="C142" s="1397">
        <f>IF('QS Takeoff'!$B138="","",'QS Takeoff'!A138)</f>
        <v/>
      </c>
      <c r="D142" s="1397">
        <f>IF('QS Takeoff'!$B138="","",'QS Takeoff'!B138)</f>
        <v/>
      </c>
      <c r="E142" s="1397">
        <f>IF('QS Takeoff'!$B138="","",'QS Takeoff'!C138)</f>
        <v/>
      </c>
      <c r="F142" s="1397">
        <f>IF('QS Takeoff'!$B138="","",'QS Takeoff'!E138)</f>
        <v/>
      </c>
      <c r="G142" s="1397">
        <f>IF('QS Takeoff'!$B138="","",'QS Takeoff'!D138)</f>
        <v/>
      </c>
      <c r="H142" s="1472">
        <f>IF('QS Takeoff'!$B138="","",'QS Takeoff'!G138)</f>
        <v/>
      </c>
      <c r="I142" s="1472">
        <f>SUMIF('Resource Build-Up'!$B$7:$B$306,D142,'Resource Build-Up'!$Z$7:$Z$306)</f>
        <v/>
      </c>
      <c r="J142" s="1473">
        <f>IFERROR(_xlfn.MAXIFS('Resource Build-Up'!$M$7:$M$306,'Resource Build-Up'!$B$7:$B$306,D142),0)</f>
        <v/>
      </c>
      <c r="K142" s="1473">
        <f>IF(J142=0,"",ROUNDUP(J142/8,0))</f>
        <v/>
      </c>
      <c r="L142" s="1474" t="n"/>
      <c r="M142" s="1473">
        <f>IF(L142&lt;&gt;"",L142,K142)</f>
        <v/>
      </c>
      <c r="N142" s="1436">
        <f>IF(M142="","",TEXT(M142,"0")&amp;" days")</f>
        <v/>
      </c>
      <c r="O142" s="1397" t="n"/>
      <c r="P142" s="1397" t="n"/>
      <c r="Q142" s="1397" t="n"/>
      <c r="R142" s="1397" t="n"/>
      <c r="S142" s="1475" t="n"/>
      <c r="T142" s="1476">
        <f>IF($D142="","",I142-N(H142))</f>
        <v/>
      </c>
      <c r="U142" s="1397">
        <f>IF($D142="","",IF(ABS(T142)&lt;0.01,"OK","CHECK"))</f>
        <v/>
      </c>
      <c r="V142" s="1397" t="inlineStr">
        <is>
          <t>Auto Scheduled</t>
        </is>
      </c>
      <c r="W142" s="1397" t="inlineStr">
        <is>
          <t>Prorated</t>
        </is>
      </c>
      <c r="X142" s="1397" t="n"/>
      <c r="Y142" s="1397">
        <f>IF($D142="","",COUNTIF($D$7:$D142,"?*"))</f>
        <v/>
      </c>
    </row>
    <row r="143">
      <c r="A143" s="1471" t="n">
        <v>137</v>
      </c>
      <c r="B143" s="1471" t="n">
        <v>139</v>
      </c>
      <c r="C143" s="1397">
        <f>IF('QS Takeoff'!$B139="","",'QS Takeoff'!A139)</f>
        <v/>
      </c>
      <c r="D143" s="1397">
        <f>IF('QS Takeoff'!$B139="","",'QS Takeoff'!B139)</f>
        <v/>
      </c>
      <c r="E143" s="1397">
        <f>IF('QS Takeoff'!$B139="","",'QS Takeoff'!C139)</f>
        <v/>
      </c>
      <c r="F143" s="1397">
        <f>IF('QS Takeoff'!$B139="","",'QS Takeoff'!E139)</f>
        <v/>
      </c>
      <c r="G143" s="1397">
        <f>IF('QS Takeoff'!$B139="","",'QS Takeoff'!D139)</f>
        <v/>
      </c>
      <c r="H143" s="1472">
        <f>IF('QS Takeoff'!$B139="","",'QS Takeoff'!G139)</f>
        <v/>
      </c>
      <c r="I143" s="1472">
        <f>SUMIF('Resource Build-Up'!$B$7:$B$306,D143,'Resource Build-Up'!$Z$7:$Z$306)</f>
        <v/>
      </c>
      <c r="J143" s="1473">
        <f>IFERROR(_xlfn.MAXIFS('Resource Build-Up'!$M$7:$M$306,'Resource Build-Up'!$B$7:$B$306,D143),0)</f>
        <v/>
      </c>
      <c r="K143" s="1473">
        <f>IF(J143=0,"",ROUNDUP(J143/8,0))</f>
        <v/>
      </c>
      <c r="L143" s="1474" t="n"/>
      <c r="M143" s="1473">
        <f>IF(L143&lt;&gt;"",L143,K143)</f>
        <v/>
      </c>
      <c r="N143" s="1436">
        <f>IF(M143="","",TEXT(M143,"0")&amp;" days")</f>
        <v/>
      </c>
      <c r="O143" s="1397" t="n"/>
      <c r="P143" s="1397" t="n"/>
      <c r="Q143" s="1397" t="n"/>
      <c r="R143" s="1397" t="n"/>
      <c r="S143" s="1475" t="n"/>
      <c r="T143" s="1476">
        <f>IF($D143="","",I143-N(H143))</f>
        <v/>
      </c>
      <c r="U143" s="1397">
        <f>IF($D143="","",IF(ABS(T143)&lt;0.01,"OK","CHECK"))</f>
        <v/>
      </c>
      <c r="V143" s="1397" t="inlineStr">
        <is>
          <t>Auto Scheduled</t>
        </is>
      </c>
      <c r="W143" s="1397" t="inlineStr">
        <is>
          <t>Prorated</t>
        </is>
      </c>
      <c r="X143" s="1397" t="n"/>
      <c r="Y143" s="1397">
        <f>IF($D143="","",COUNTIF($D$7:$D143,"?*"))</f>
        <v/>
      </c>
    </row>
    <row r="144">
      <c r="A144" s="1471" t="n">
        <v>138</v>
      </c>
      <c r="B144" s="1471" t="n">
        <v>140</v>
      </c>
      <c r="C144" s="1397">
        <f>IF('QS Takeoff'!$B140="","",'QS Takeoff'!A140)</f>
        <v/>
      </c>
      <c r="D144" s="1397">
        <f>IF('QS Takeoff'!$B140="","",'QS Takeoff'!B140)</f>
        <v/>
      </c>
      <c r="E144" s="1397">
        <f>IF('QS Takeoff'!$B140="","",'QS Takeoff'!C140)</f>
        <v/>
      </c>
      <c r="F144" s="1397">
        <f>IF('QS Takeoff'!$B140="","",'QS Takeoff'!E140)</f>
        <v/>
      </c>
      <c r="G144" s="1397">
        <f>IF('QS Takeoff'!$B140="","",'QS Takeoff'!D140)</f>
        <v/>
      </c>
      <c r="H144" s="1472">
        <f>IF('QS Takeoff'!$B140="","",'QS Takeoff'!G140)</f>
        <v/>
      </c>
      <c r="I144" s="1472">
        <f>SUMIF('Resource Build-Up'!$B$7:$B$306,D144,'Resource Build-Up'!$Z$7:$Z$306)</f>
        <v/>
      </c>
      <c r="J144" s="1473">
        <f>IFERROR(_xlfn.MAXIFS('Resource Build-Up'!$M$7:$M$306,'Resource Build-Up'!$B$7:$B$306,D144),0)</f>
        <v/>
      </c>
      <c r="K144" s="1473">
        <f>IF(J144=0,"",ROUNDUP(J144/8,0))</f>
        <v/>
      </c>
      <c r="L144" s="1474" t="n"/>
      <c r="M144" s="1473">
        <f>IF(L144&lt;&gt;"",L144,K144)</f>
        <v/>
      </c>
      <c r="N144" s="1436">
        <f>IF(M144="","",TEXT(M144,"0")&amp;" days")</f>
        <v/>
      </c>
      <c r="O144" s="1397" t="n"/>
      <c r="P144" s="1397" t="n"/>
      <c r="Q144" s="1397" t="n"/>
      <c r="R144" s="1397" t="n"/>
      <c r="S144" s="1475" t="n"/>
      <c r="T144" s="1476">
        <f>IF($D144="","",I144-N(H144))</f>
        <v/>
      </c>
      <c r="U144" s="1397">
        <f>IF($D144="","",IF(ABS(T144)&lt;0.01,"OK","CHECK"))</f>
        <v/>
      </c>
      <c r="V144" s="1397" t="inlineStr">
        <is>
          <t>Auto Scheduled</t>
        </is>
      </c>
      <c r="W144" s="1397" t="inlineStr">
        <is>
          <t>Prorated</t>
        </is>
      </c>
      <c r="X144" s="1397" t="n"/>
      <c r="Y144" s="1397">
        <f>IF($D144="","",COUNTIF($D$7:$D144,"?*"))</f>
        <v/>
      </c>
    </row>
    <row r="145">
      <c r="A145" s="1471" t="n">
        <v>139</v>
      </c>
      <c r="B145" s="1471" t="n">
        <v>141</v>
      </c>
      <c r="C145" s="1397">
        <f>IF('QS Takeoff'!$B141="","",'QS Takeoff'!A141)</f>
        <v/>
      </c>
      <c r="D145" s="1397">
        <f>IF('QS Takeoff'!$B141="","",'QS Takeoff'!B141)</f>
        <v/>
      </c>
      <c r="E145" s="1397">
        <f>IF('QS Takeoff'!$B141="","",'QS Takeoff'!C141)</f>
        <v/>
      </c>
      <c r="F145" s="1397">
        <f>IF('QS Takeoff'!$B141="","",'QS Takeoff'!E141)</f>
        <v/>
      </c>
      <c r="G145" s="1397">
        <f>IF('QS Takeoff'!$B141="","",'QS Takeoff'!D141)</f>
        <v/>
      </c>
      <c r="H145" s="1472">
        <f>IF('QS Takeoff'!$B141="","",'QS Takeoff'!G141)</f>
        <v/>
      </c>
      <c r="I145" s="1472">
        <f>SUMIF('Resource Build-Up'!$B$7:$B$306,D145,'Resource Build-Up'!$Z$7:$Z$306)</f>
        <v/>
      </c>
      <c r="J145" s="1473">
        <f>IFERROR(_xlfn.MAXIFS('Resource Build-Up'!$M$7:$M$306,'Resource Build-Up'!$B$7:$B$306,D145),0)</f>
        <v/>
      </c>
      <c r="K145" s="1473">
        <f>IF(J145=0,"",ROUNDUP(J145/8,0))</f>
        <v/>
      </c>
      <c r="L145" s="1474" t="n"/>
      <c r="M145" s="1473">
        <f>IF(L145&lt;&gt;"",L145,K145)</f>
        <v/>
      </c>
      <c r="N145" s="1436">
        <f>IF(M145="","",TEXT(M145,"0")&amp;" days")</f>
        <v/>
      </c>
      <c r="O145" s="1397" t="n"/>
      <c r="P145" s="1397" t="n"/>
      <c r="Q145" s="1397" t="n"/>
      <c r="R145" s="1397" t="n"/>
      <c r="S145" s="1475" t="n"/>
      <c r="T145" s="1476">
        <f>IF($D145="","",I145-N(H145))</f>
        <v/>
      </c>
      <c r="U145" s="1397">
        <f>IF($D145="","",IF(ABS(T145)&lt;0.01,"OK","CHECK"))</f>
        <v/>
      </c>
      <c r="V145" s="1397" t="inlineStr">
        <is>
          <t>Auto Scheduled</t>
        </is>
      </c>
      <c r="W145" s="1397" t="inlineStr">
        <is>
          <t>Prorated</t>
        </is>
      </c>
      <c r="X145" s="1397" t="n"/>
      <c r="Y145" s="1397">
        <f>IF($D145="","",COUNTIF($D$7:$D145,"?*"))</f>
        <v/>
      </c>
    </row>
    <row r="146">
      <c r="A146" s="1471" t="n">
        <v>140</v>
      </c>
      <c r="B146" s="1471" t="n">
        <v>142</v>
      </c>
      <c r="C146" s="1397">
        <f>IF('QS Takeoff'!$B142="","",'QS Takeoff'!A142)</f>
        <v/>
      </c>
      <c r="D146" s="1397">
        <f>IF('QS Takeoff'!$B142="","",'QS Takeoff'!B142)</f>
        <v/>
      </c>
      <c r="E146" s="1397">
        <f>IF('QS Takeoff'!$B142="","",'QS Takeoff'!C142)</f>
        <v/>
      </c>
      <c r="F146" s="1397">
        <f>IF('QS Takeoff'!$B142="","",'QS Takeoff'!E142)</f>
        <v/>
      </c>
      <c r="G146" s="1397">
        <f>IF('QS Takeoff'!$B142="","",'QS Takeoff'!D142)</f>
        <v/>
      </c>
      <c r="H146" s="1472">
        <f>IF('QS Takeoff'!$B142="","",'QS Takeoff'!G142)</f>
        <v/>
      </c>
      <c r="I146" s="1472">
        <f>SUMIF('Resource Build-Up'!$B$7:$B$306,D146,'Resource Build-Up'!$Z$7:$Z$306)</f>
        <v/>
      </c>
      <c r="J146" s="1473">
        <f>IFERROR(_xlfn.MAXIFS('Resource Build-Up'!$M$7:$M$306,'Resource Build-Up'!$B$7:$B$306,D146),0)</f>
        <v/>
      </c>
      <c r="K146" s="1473">
        <f>IF(J146=0,"",ROUNDUP(J146/8,0))</f>
        <v/>
      </c>
      <c r="L146" s="1474" t="n"/>
      <c r="M146" s="1473">
        <f>IF(L146&lt;&gt;"",L146,K146)</f>
        <v/>
      </c>
      <c r="N146" s="1436">
        <f>IF(M146="","",TEXT(M146,"0")&amp;" days")</f>
        <v/>
      </c>
      <c r="O146" s="1397" t="n"/>
      <c r="P146" s="1397" t="n"/>
      <c r="Q146" s="1397" t="n"/>
      <c r="R146" s="1397" t="n"/>
      <c r="S146" s="1475" t="n"/>
      <c r="T146" s="1476">
        <f>IF($D146="","",I146-N(H146))</f>
        <v/>
      </c>
      <c r="U146" s="1397">
        <f>IF($D146="","",IF(ABS(T146)&lt;0.01,"OK","CHECK"))</f>
        <v/>
      </c>
      <c r="V146" s="1397" t="inlineStr">
        <is>
          <t>Auto Scheduled</t>
        </is>
      </c>
      <c r="W146" s="1397" t="inlineStr">
        <is>
          <t>Prorated</t>
        </is>
      </c>
      <c r="X146" s="1397" t="n"/>
      <c r="Y146" s="1397">
        <f>IF($D146="","",COUNTIF($D$7:$D146,"?*"))</f>
        <v/>
      </c>
    </row>
    <row r="147">
      <c r="A147" s="1471" t="n">
        <v>141</v>
      </c>
      <c r="B147" s="1471" t="n">
        <v>143</v>
      </c>
      <c r="C147" s="1397">
        <f>IF('QS Takeoff'!$B143="","",'QS Takeoff'!A143)</f>
        <v/>
      </c>
      <c r="D147" s="1397">
        <f>IF('QS Takeoff'!$B143="","",'QS Takeoff'!B143)</f>
        <v/>
      </c>
      <c r="E147" s="1397">
        <f>IF('QS Takeoff'!$B143="","",'QS Takeoff'!C143)</f>
        <v/>
      </c>
      <c r="F147" s="1397">
        <f>IF('QS Takeoff'!$B143="","",'QS Takeoff'!E143)</f>
        <v/>
      </c>
      <c r="G147" s="1397">
        <f>IF('QS Takeoff'!$B143="","",'QS Takeoff'!D143)</f>
        <v/>
      </c>
      <c r="H147" s="1472">
        <f>IF('QS Takeoff'!$B143="","",'QS Takeoff'!G143)</f>
        <v/>
      </c>
      <c r="I147" s="1472">
        <f>SUMIF('Resource Build-Up'!$B$7:$B$306,D147,'Resource Build-Up'!$Z$7:$Z$306)</f>
        <v/>
      </c>
      <c r="J147" s="1473">
        <f>IFERROR(_xlfn.MAXIFS('Resource Build-Up'!$M$7:$M$306,'Resource Build-Up'!$B$7:$B$306,D147),0)</f>
        <v/>
      </c>
      <c r="K147" s="1473">
        <f>IF(J147=0,"",ROUNDUP(J147/8,0))</f>
        <v/>
      </c>
      <c r="L147" s="1474" t="n"/>
      <c r="M147" s="1473">
        <f>IF(L147&lt;&gt;"",L147,K147)</f>
        <v/>
      </c>
      <c r="N147" s="1436">
        <f>IF(M147="","",TEXT(M147,"0")&amp;" days")</f>
        <v/>
      </c>
      <c r="O147" s="1397" t="n"/>
      <c r="P147" s="1397" t="n"/>
      <c r="Q147" s="1397" t="n"/>
      <c r="R147" s="1397" t="n"/>
      <c r="S147" s="1475" t="n"/>
      <c r="T147" s="1476">
        <f>IF($D147="","",I147-N(H147))</f>
        <v/>
      </c>
      <c r="U147" s="1397">
        <f>IF($D147="","",IF(ABS(T147)&lt;0.01,"OK","CHECK"))</f>
        <v/>
      </c>
      <c r="V147" s="1397" t="inlineStr">
        <is>
          <t>Auto Scheduled</t>
        </is>
      </c>
      <c r="W147" s="1397" t="inlineStr">
        <is>
          <t>Prorated</t>
        </is>
      </c>
      <c r="X147" s="1397" t="n"/>
      <c r="Y147" s="1397">
        <f>IF($D147="","",COUNTIF($D$7:$D147,"?*"))</f>
        <v/>
      </c>
    </row>
    <row r="148">
      <c r="A148" s="1471" t="n">
        <v>142</v>
      </c>
      <c r="B148" s="1471" t="n">
        <v>144</v>
      </c>
      <c r="C148" s="1397">
        <f>IF('QS Takeoff'!$B144="","",'QS Takeoff'!A144)</f>
        <v/>
      </c>
      <c r="D148" s="1397">
        <f>IF('QS Takeoff'!$B144="","",'QS Takeoff'!B144)</f>
        <v/>
      </c>
      <c r="E148" s="1397">
        <f>IF('QS Takeoff'!$B144="","",'QS Takeoff'!C144)</f>
        <v/>
      </c>
      <c r="F148" s="1397">
        <f>IF('QS Takeoff'!$B144="","",'QS Takeoff'!E144)</f>
        <v/>
      </c>
      <c r="G148" s="1397">
        <f>IF('QS Takeoff'!$B144="","",'QS Takeoff'!D144)</f>
        <v/>
      </c>
      <c r="H148" s="1472">
        <f>IF('QS Takeoff'!$B144="","",'QS Takeoff'!G144)</f>
        <v/>
      </c>
      <c r="I148" s="1472">
        <f>SUMIF('Resource Build-Up'!$B$7:$B$306,D148,'Resource Build-Up'!$Z$7:$Z$306)</f>
        <v/>
      </c>
      <c r="J148" s="1473">
        <f>IFERROR(_xlfn.MAXIFS('Resource Build-Up'!$M$7:$M$306,'Resource Build-Up'!$B$7:$B$306,D148),0)</f>
        <v/>
      </c>
      <c r="K148" s="1473">
        <f>IF(J148=0,"",ROUNDUP(J148/8,0))</f>
        <v/>
      </c>
      <c r="L148" s="1474" t="n"/>
      <c r="M148" s="1473">
        <f>IF(L148&lt;&gt;"",L148,K148)</f>
        <v/>
      </c>
      <c r="N148" s="1436">
        <f>IF(M148="","",TEXT(M148,"0")&amp;" days")</f>
        <v/>
      </c>
      <c r="O148" s="1397" t="n"/>
      <c r="P148" s="1397" t="n"/>
      <c r="Q148" s="1397" t="n"/>
      <c r="R148" s="1397" t="n"/>
      <c r="S148" s="1475" t="n"/>
      <c r="T148" s="1476">
        <f>IF($D148="","",I148-N(H148))</f>
        <v/>
      </c>
      <c r="U148" s="1397">
        <f>IF($D148="","",IF(ABS(T148)&lt;0.01,"OK","CHECK"))</f>
        <v/>
      </c>
      <c r="V148" s="1397" t="inlineStr">
        <is>
          <t>Auto Scheduled</t>
        </is>
      </c>
      <c r="W148" s="1397" t="inlineStr">
        <is>
          <t>Prorated</t>
        </is>
      </c>
      <c r="X148" s="1397" t="n"/>
      <c r="Y148" s="1397">
        <f>IF($D148="","",COUNTIF($D$7:$D148,"?*"))</f>
        <v/>
      </c>
    </row>
    <row r="149">
      <c r="A149" s="1471" t="n">
        <v>143</v>
      </c>
      <c r="B149" s="1471" t="n">
        <v>145</v>
      </c>
      <c r="C149" s="1397">
        <f>IF('QS Takeoff'!$B145="","",'QS Takeoff'!A145)</f>
        <v/>
      </c>
      <c r="D149" s="1397">
        <f>IF('QS Takeoff'!$B145="","",'QS Takeoff'!B145)</f>
        <v/>
      </c>
      <c r="E149" s="1397">
        <f>IF('QS Takeoff'!$B145="","",'QS Takeoff'!C145)</f>
        <v/>
      </c>
      <c r="F149" s="1397">
        <f>IF('QS Takeoff'!$B145="","",'QS Takeoff'!E145)</f>
        <v/>
      </c>
      <c r="G149" s="1397">
        <f>IF('QS Takeoff'!$B145="","",'QS Takeoff'!D145)</f>
        <v/>
      </c>
      <c r="H149" s="1472">
        <f>IF('QS Takeoff'!$B145="","",'QS Takeoff'!G145)</f>
        <v/>
      </c>
      <c r="I149" s="1472">
        <f>SUMIF('Resource Build-Up'!$B$7:$B$306,D149,'Resource Build-Up'!$Z$7:$Z$306)</f>
        <v/>
      </c>
      <c r="J149" s="1473">
        <f>IFERROR(_xlfn.MAXIFS('Resource Build-Up'!$M$7:$M$306,'Resource Build-Up'!$B$7:$B$306,D149),0)</f>
        <v/>
      </c>
      <c r="K149" s="1473">
        <f>IF(J149=0,"",ROUNDUP(J149/8,0))</f>
        <v/>
      </c>
      <c r="L149" s="1474" t="n"/>
      <c r="M149" s="1473">
        <f>IF(L149&lt;&gt;"",L149,K149)</f>
        <v/>
      </c>
      <c r="N149" s="1436">
        <f>IF(M149="","",TEXT(M149,"0")&amp;" days")</f>
        <v/>
      </c>
      <c r="O149" s="1397" t="n"/>
      <c r="P149" s="1397" t="n"/>
      <c r="Q149" s="1397" t="n"/>
      <c r="R149" s="1397" t="n"/>
      <c r="S149" s="1475" t="n"/>
      <c r="T149" s="1476">
        <f>IF($D149="","",I149-N(H149))</f>
        <v/>
      </c>
      <c r="U149" s="1397">
        <f>IF($D149="","",IF(ABS(T149)&lt;0.01,"OK","CHECK"))</f>
        <v/>
      </c>
      <c r="V149" s="1397" t="inlineStr">
        <is>
          <t>Auto Scheduled</t>
        </is>
      </c>
      <c r="W149" s="1397" t="inlineStr">
        <is>
          <t>Prorated</t>
        </is>
      </c>
      <c r="X149" s="1397" t="n"/>
      <c r="Y149" s="1397">
        <f>IF($D149="","",COUNTIF($D$7:$D149,"?*"))</f>
        <v/>
      </c>
    </row>
    <row r="150">
      <c r="A150" s="1471" t="n">
        <v>144</v>
      </c>
      <c r="B150" s="1471" t="n">
        <v>146</v>
      </c>
      <c r="C150" s="1397">
        <f>IF('QS Takeoff'!$B146="","",'QS Takeoff'!A146)</f>
        <v/>
      </c>
      <c r="D150" s="1397">
        <f>IF('QS Takeoff'!$B146="","",'QS Takeoff'!B146)</f>
        <v/>
      </c>
      <c r="E150" s="1397">
        <f>IF('QS Takeoff'!$B146="","",'QS Takeoff'!C146)</f>
        <v/>
      </c>
      <c r="F150" s="1397">
        <f>IF('QS Takeoff'!$B146="","",'QS Takeoff'!E146)</f>
        <v/>
      </c>
      <c r="G150" s="1397">
        <f>IF('QS Takeoff'!$B146="","",'QS Takeoff'!D146)</f>
        <v/>
      </c>
      <c r="H150" s="1472">
        <f>IF('QS Takeoff'!$B146="","",'QS Takeoff'!G146)</f>
        <v/>
      </c>
      <c r="I150" s="1472">
        <f>SUMIF('Resource Build-Up'!$B$7:$B$306,D150,'Resource Build-Up'!$Z$7:$Z$306)</f>
        <v/>
      </c>
      <c r="J150" s="1473">
        <f>IFERROR(_xlfn.MAXIFS('Resource Build-Up'!$M$7:$M$306,'Resource Build-Up'!$B$7:$B$306,D150),0)</f>
        <v/>
      </c>
      <c r="K150" s="1473">
        <f>IF(J150=0,"",ROUNDUP(J150/8,0))</f>
        <v/>
      </c>
      <c r="L150" s="1474" t="n"/>
      <c r="M150" s="1473">
        <f>IF(L150&lt;&gt;"",L150,K150)</f>
        <v/>
      </c>
      <c r="N150" s="1436">
        <f>IF(M150="","",TEXT(M150,"0")&amp;" days")</f>
        <v/>
      </c>
      <c r="O150" s="1397" t="n"/>
      <c r="P150" s="1397" t="n"/>
      <c r="Q150" s="1397" t="n"/>
      <c r="R150" s="1397" t="n"/>
      <c r="S150" s="1475" t="n"/>
      <c r="T150" s="1476">
        <f>IF($D150="","",I150-N(H150))</f>
        <v/>
      </c>
      <c r="U150" s="1397">
        <f>IF($D150="","",IF(ABS(T150)&lt;0.01,"OK","CHECK"))</f>
        <v/>
      </c>
      <c r="V150" s="1397" t="inlineStr">
        <is>
          <t>Auto Scheduled</t>
        </is>
      </c>
      <c r="W150" s="1397" t="inlineStr">
        <is>
          <t>Prorated</t>
        </is>
      </c>
      <c r="X150" s="1397" t="n"/>
      <c r="Y150" s="1397">
        <f>IF($D150="","",COUNTIF($D$7:$D150,"?*"))</f>
        <v/>
      </c>
    </row>
    <row r="151">
      <c r="A151" s="1471" t="n">
        <v>145</v>
      </c>
      <c r="B151" s="1471" t="n">
        <v>147</v>
      </c>
      <c r="C151" s="1397">
        <f>IF('QS Takeoff'!$B147="","",'QS Takeoff'!A147)</f>
        <v/>
      </c>
      <c r="D151" s="1397">
        <f>IF('QS Takeoff'!$B147="","",'QS Takeoff'!B147)</f>
        <v/>
      </c>
      <c r="E151" s="1397">
        <f>IF('QS Takeoff'!$B147="","",'QS Takeoff'!C147)</f>
        <v/>
      </c>
      <c r="F151" s="1397">
        <f>IF('QS Takeoff'!$B147="","",'QS Takeoff'!E147)</f>
        <v/>
      </c>
      <c r="G151" s="1397">
        <f>IF('QS Takeoff'!$B147="","",'QS Takeoff'!D147)</f>
        <v/>
      </c>
      <c r="H151" s="1472">
        <f>IF('QS Takeoff'!$B147="","",'QS Takeoff'!G147)</f>
        <v/>
      </c>
      <c r="I151" s="1472">
        <f>SUMIF('Resource Build-Up'!$B$7:$B$306,D151,'Resource Build-Up'!$Z$7:$Z$306)</f>
        <v/>
      </c>
      <c r="J151" s="1473">
        <f>IFERROR(_xlfn.MAXIFS('Resource Build-Up'!$M$7:$M$306,'Resource Build-Up'!$B$7:$B$306,D151),0)</f>
        <v/>
      </c>
      <c r="K151" s="1473">
        <f>IF(J151=0,"",ROUNDUP(J151/8,0))</f>
        <v/>
      </c>
      <c r="L151" s="1474" t="n"/>
      <c r="M151" s="1473">
        <f>IF(L151&lt;&gt;"",L151,K151)</f>
        <v/>
      </c>
      <c r="N151" s="1436">
        <f>IF(M151="","",TEXT(M151,"0")&amp;" days")</f>
        <v/>
      </c>
      <c r="O151" s="1397" t="n"/>
      <c r="P151" s="1397" t="n"/>
      <c r="Q151" s="1397" t="n"/>
      <c r="R151" s="1397" t="n"/>
      <c r="S151" s="1475" t="n"/>
      <c r="T151" s="1476">
        <f>IF($D151="","",I151-N(H151))</f>
        <v/>
      </c>
      <c r="U151" s="1397">
        <f>IF($D151="","",IF(ABS(T151)&lt;0.01,"OK","CHECK"))</f>
        <v/>
      </c>
      <c r="V151" s="1397" t="inlineStr">
        <is>
          <t>Auto Scheduled</t>
        </is>
      </c>
      <c r="W151" s="1397" t="inlineStr">
        <is>
          <t>Prorated</t>
        </is>
      </c>
      <c r="X151" s="1397" t="n"/>
      <c r="Y151" s="1397">
        <f>IF($D151="","",COUNTIF($D$7:$D151,"?*"))</f>
        <v/>
      </c>
    </row>
    <row r="152">
      <c r="A152" s="1471" t="n">
        <v>146</v>
      </c>
      <c r="B152" s="1471" t="n">
        <v>148</v>
      </c>
      <c r="C152" s="1397">
        <f>IF('QS Takeoff'!$B148="","",'QS Takeoff'!A148)</f>
        <v/>
      </c>
      <c r="D152" s="1397">
        <f>IF('QS Takeoff'!$B148="","",'QS Takeoff'!B148)</f>
        <v/>
      </c>
      <c r="E152" s="1397">
        <f>IF('QS Takeoff'!$B148="","",'QS Takeoff'!C148)</f>
        <v/>
      </c>
      <c r="F152" s="1397">
        <f>IF('QS Takeoff'!$B148="","",'QS Takeoff'!E148)</f>
        <v/>
      </c>
      <c r="G152" s="1397">
        <f>IF('QS Takeoff'!$B148="","",'QS Takeoff'!D148)</f>
        <v/>
      </c>
      <c r="H152" s="1472">
        <f>IF('QS Takeoff'!$B148="","",'QS Takeoff'!G148)</f>
        <v/>
      </c>
      <c r="I152" s="1472">
        <f>SUMIF('Resource Build-Up'!$B$7:$B$306,D152,'Resource Build-Up'!$Z$7:$Z$306)</f>
        <v/>
      </c>
      <c r="J152" s="1473">
        <f>IFERROR(_xlfn.MAXIFS('Resource Build-Up'!$M$7:$M$306,'Resource Build-Up'!$B$7:$B$306,D152),0)</f>
        <v/>
      </c>
      <c r="K152" s="1473">
        <f>IF(J152=0,"",ROUNDUP(J152/8,0))</f>
        <v/>
      </c>
      <c r="L152" s="1474" t="n"/>
      <c r="M152" s="1473">
        <f>IF(L152&lt;&gt;"",L152,K152)</f>
        <v/>
      </c>
      <c r="N152" s="1436">
        <f>IF(M152="","",TEXT(M152,"0")&amp;" days")</f>
        <v/>
      </c>
      <c r="O152" s="1397" t="n"/>
      <c r="P152" s="1397" t="n"/>
      <c r="Q152" s="1397" t="n"/>
      <c r="R152" s="1397" t="n"/>
      <c r="S152" s="1475" t="n"/>
      <c r="T152" s="1476">
        <f>IF($D152="","",I152-N(H152))</f>
        <v/>
      </c>
      <c r="U152" s="1397">
        <f>IF($D152="","",IF(ABS(T152)&lt;0.01,"OK","CHECK"))</f>
        <v/>
      </c>
      <c r="V152" s="1397" t="inlineStr">
        <is>
          <t>Auto Scheduled</t>
        </is>
      </c>
      <c r="W152" s="1397" t="inlineStr">
        <is>
          <t>Prorated</t>
        </is>
      </c>
      <c r="X152" s="1397" t="n"/>
      <c r="Y152" s="1397">
        <f>IF($D152="","",COUNTIF($D$7:$D152,"?*"))</f>
        <v/>
      </c>
    </row>
    <row r="153">
      <c r="A153" s="1471" t="n">
        <v>147</v>
      </c>
      <c r="B153" s="1471" t="n">
        <v>149</v>
      </c>
      <c r="C153" s="1397">
        <f>IF('QS Takeoff'!$B149="","",'QS Takeoff'!A149)</f>
        <v/>
      </c>
      <c r="D153" s="1397">
        <f>IF('QS Takeoff'!$B149="","",'QS Takeoff'!B149)</f>
        <v/>
      </c>
      <c r="E153" s="1397">
        <f>IF('QS Takeoff'!$B149="","",'QS Takeoff'!C149)</f>
        <v/>
      </c>
      <c r="F153" s="1397">
        <f>IF('QS Takeoff'!$B149="","",'QS Takeoff'!E149)</f>
        <v/>
      </c>
      <c r="G153" s="1397">
        <f>IF('QS Takeoff'!$B149="","",'QS Takeoff'!D149)</f>
        <v/>
      </c>
      <c r="H153" s="1472">
        <f>IF('QS Takeoff'!$B149="","",'QS Takeoff'!G149)</f>
        <v/>
      </c>
      <c r="I153" s="1472">
        <f>SUMIF('Resource Build-Up'!$B$7:$B$306,D153,'Resource Build-Up'!$Z$7:$Z$306)</f>
        <v/>
      </c>
      <c r="J153" s="1473">
        <f>IFERROR(_xlfn.MAXIFS('Resource Build-Up'!$M$7:$M$306,'Resource Build-Up'!$B$7:$B$306,D153),0)</f>
        <v/>
      </c>
      <c r="K153" s="1473">
        <f>IF(J153=0,"",ROUNDUP(J153/8,0))</f>
        <v/>
      </c>
      <c r="L153" s="1474" t="n"/>
      <c r="M153" s="1473">
        <f>IF(L153&lt;&gt;"",L153,K153)</f>
        <v/>
      </c>
      <c r="N153" s="1436">
        <f>IF(M153="","",TEXT(M153,"0")&amp;" days")</f>
        <v/>
      </c>
      <c r="O153" s="1397" t="n"/>
      <c r="P153" s="1397" t="n"/>
      <c r="Q153" s="1397" t="n"/>
      <c r="R153" s="1397" t="n"/>
      <c r="S153" s="1475" t="n"/>
      <c r="T153" s="1476">
        <f>IF($D153="","",I153-N(H153))</f>
        <v/>
      </c>
      <c r="U153" s="1397">
        <f>IF($D153="","",IF(ABS(T153)&lt;0.01,"OK","CHECK"))</f>
        <v/>
      </c>
      <c r="V153" s="1397" t="inlineStr">
        <is>
          <t>Auto Scheduled</t>
        </is>
      </c>
      <c r="W153" s="1397" t="inlineStr">
        <is>
          <t>Prorated</t>
        </is>
      </c>
      <c r="X153" s="1397" t="n"/>
      <c r="Y153" s="1397">
        <f>IF($D153="","",COUNTIF($D$7:$D153,"?*"))</f>
        <v/>
      </c>
    </row>
    <row r="154">
      <c r="A154" s="1471" t="n">
        <v>148</v>
      </c>
      <c r="B154" s="1471" t="n">
        <v>150</v>
      </c>
      <c r="C154" s="1397">
        <f>IF('QS Takeoff'!$B150="","",'QS Takeoff'!A150)</f>
        <v/>
      </c>
      <c r="D154" s="1397">
        <f>IF('QS Takeoff'!$B150="","",'QS Takeoff'!B150)</f>
        <v/>
      </c>
      <c r="E154" s="1397">
        <f>IF('QS Takeoff'!$B150="","",'QS Takeoff'!C150)</f>
        <v/>
      </c>
      <c r="F154" s="1397">
        <f>IF('QS Takeoff'!$B150="","",'QS Takeoff'!E150)</f>
        <v/>
      </c>
      <c r="G154" s="1397">
        <f>IF('QS Takeoff'!$B150="","",'QS Takeoff'!D150)</f>
        <v/>
      </c>
      <c r="H154" s="1472">
        <f>IF('QS Takeoff'!$B150="","",'QS Takeoff'!G150)</f>
        <v/>
      </c>
      <c r="I154" s="1472">
        <f>SUMIF('Resource Build-Up'!$B$7:$B$306,D154,'Resource Build-Up'!$Z$7:$Z$306)</f>
        <v/>
      </c>
      <c r="J154" s="1473">
        <f>IFERROR(_xlfn.MAXIFS('Resource Build-Up'!$M$7:$M$306,'Resource Build-Up'!$B$7:$B$306,D154),0)</f>
        <v/>
      </c>
      <c r="K154" s="1473">
        <f>IF(J154=0,"",ROUNDUP(J154/8,0))</f>
        <v/>
      </c>
      <c r="L154" s="1474" t="n"/>
      <c r="M154" s="1473">
        <f>IF(L154&lt;&gt;"",L154,K154)</f>
        <v/>
      </c>
      <c r="N154" s="1436">
        <f>IF(M154="","",TEXT(M154,"0")&amp;" days")</f>
        <v/>
      </c>
      <c r="O154" s="1397" t="n"/>
      <c r="P154" s="1397" t="n"/>
      <c r="Q154" s="1397" t="n"/>
      <c r="R154" s="1397" t="n"/>
      <c r="S154" s="1475" t="n"/>
      <c r="T154" s="1476">
        <f>IF($D154="","",I154-N(H154))</f>
        <v/>
      </c>
      <c r="U154" s="1397">
        <f>IF($D154="","",IF(ABS(T154)&lt;0.01,"OK","CHECK"))</f>
        <v/>
      </c>
      <c r="V154" s="1397" t="inlineStr">
        <is>
          <t>Auto Scheduled</t>
        </is>
      </c>
      <c r="W154" s="1397" t="inlineStr">
        <is>
          <t>Prorated</t>
        </is>
      </c>
      <c r="X154" s="1397" t="n"/>
      <c r="Y154" s="1397">
        <f>IF($D154="","",COUNTIF($D$7:$D154,"?*"))</f>
        <v/>
      </c>
    </row>
    <row r="155">
      <c r="A155" s="1471" t="n">
        <v>149</v>
      </c>
      <c r="B155" s="1471" t="n">
        <v>151</v>
      </c>
      <c r="C155" s="1397">
        <f>IF('QS Takeoff'!$B151="","",'QS Takeoff'!A151)</f>
        <v/>
      </c>
      <c r="D155" s="1397">
        <f>IF('QS Takeoff'!$B151="","",'QS Takeoff'!B151)</f>
        <v/>
      </c>
      <c r="E155" s="1397">
        <f>IF('QS Takeoff'!$B151="","",'QS Takeoff'!C151)</f>
        <v/>
      </c>
      <c r="F155" s="1397">
        <f>IF('QS Takeoff'!$B151="","",'QS Takeoff'!E151)</f>
        <v/>
      </c>
      <c r="G155" s="1397">
        <f>IF('QS Takeoff'!$B151="","",'QS Takeoff'!D151)</f>
        <v/>
      </c>
      <c r="H155" s="1472">
        <f>IF('QS Takeoff'!$B151="","",'QS Takeoff'!G151)</f>
        <v/>
      </c>
      <c r="I155" s="1472">
        <f>SUMIF('Resource Build-Up'!$B$7:$B$306,D155,'Resource Build-Up'!$Z$7:$Z$306)</f>
        <v/>
      </c>
      <c r="J155" s="1473">
        <f>IFERROR(_xlfn.MAXIFS('Resource Build-Up'!$M$7:$M$306,'Resource Build-Up'!$B$7:$B$306,D155),0)</f>
        <v/>
      </c>
      <c r="K155" s="1473">
        <f>IF(J155=0,"",ROUNDUP(J155/8,0))</f>
        <v/>
      </c>
      <c r="L155" s="1474" t="n"/>
      <c r="M155" s="1473">
        <f>IF(L155&lt;&gt;"",L155,K155)</f>
        <v/>
      </c>
      <c r="N155" s="1436">
        <f>IF(M155="","",TEXT(M155,"0")&amp;" days")</f>
        <v/>
      </c>
      <c r="O155" s="1397" t="n"/>
      <c r="P155" s="1397" t="n"/>
      <c r="Q155" s="1397" t="n"/>
      <c r="R155" s="1397" t="n"/>
      <c r="S155" s="1475" t="n"/>
      <c r="T155" s="1476">
        <f>IF($D155="","",I155-N(H155))</f>
        <v/>
      </c>
      <c r="U155" s="1397">
        <f>IF($D155="","",IF(ABS(T155)&lt;0.01,"OK","CHECK"))</f>
        <v/>
      </c>
      <c r="V155" s="1397" t="inlineStr">
        <is>
          <t>Auto Scheduled</t>
        </is>
      </c>
      <c r="W155" s="1397" t="inlineStr">
        <is>
          <t>Prorated</t>
        </is>
      </c>
      <c r="X155" s="1397" t="n"/>
      <c r="Y155" s="1397">
        <f>IF($D155="","",COUNTIF($D$7:$D155,"?*"))</f>
        <v/>
      </c>
    </row>
    <row r="156">
      <c r="A156" s="1471" t="n">
        <v>150</v>
      </c>
      <c r="B156" s="1471" t="n">
        <v>152</v>
      </c>
      <c r="C156" s="1397">
        <f>IF('QS Takeoff'!$B152="","",'QS Takeoff'!A152)</f>
        <v/>
      </c>
      <c r="D156" s="1397">
        <f>IF('QS Takeoff'!$B152="","",'QS Takeoff'!B152)</f>
        <v/>
      </c>
      <c r="E156" s="1397">
        <f>IF('QS Takeoff'!$B152="","",'QS Takeoff'!C152)</f>
        <v/>
      </c>
      <c r="F156" s="1397">
        <f>IF('QS Takeoff'!$B152="","",'QS Takeoff'!E152)</f>
        <v/>
      </c>
      <c r="G156" s="1397">
        <f>IF('QS Takeoff'!$B152="","",'QS Takeoff'!D152)</f>
        <v/>
      </c>
      <c r="H156" s="1472">
        <f>IF('QS Takeoff'!$B152="","",'QS Takeoff'!G152)</f>
        <v/>
      </c>
      <c r="I156" s="1472">
        <f>SUMIF('Resource Build-Up'!$B$7:$B$306,D156,'Resource Build-Up'!$Z$7:$Z$306)</f>
        <v/>
      </c>
      <c r="J156" s="1473">
        <f>IFERROR(_xlfn.MAXIFS('Resource Build-Up'!$M$7:$M$306,'Resource Build-Up'!$B$7:$B$306,D156),0)</f>
        <v/>
      </c>
      <c r="K156" s="1473">
        <f>IF(J156=0,"",ROUNDUP(J156/8,0))</f>
        <v/>
      </c>
      <c r="L156" s="1474" t="n"/>
      <c r="M156" s="1473">
        <f>IF(L156&lt;&gt;"",L156,K156)</f>
        <v/>
      </c>
      <c r="N156" s="1436">
        <f>IF(M156="","",TEXT(M156,"0")&amp;" days")</f>
        <v/>
      </c>
      <c r="O156" s="1397" t="n"/>
      <c r="P156" s="1397" t="n"/>
      <c r="Q156" s="1397" t="n"/>
      <c r="R156" s="1397" t="n"/>
      <c r="S156" s="1475" t="n"/>
      <c r="T156" s="1476">
        <f>IF($D156="","",I156-N(H156))</f>
        <v/>
      </c>
      <c r="U156" s="1397">
        <f>IF($D156="","",IF(ABS(T156)&lt;0.01,"OK","CHECK"))</f>
        <v/>
      </c>
      <c r="V156" s="1397" t="inlineStr">
        <is>
          <t>Auto Scheduled</t>
        </is>
      </c>
      <c r="W156" s="1397" t="inlineStr">
        <is>
          <t>Prorated</t>
        </is>
      </c>
      <c r="X156" s="1397" t="n"/>
      <c r="Y156" s="1397">
        <f>IF($D156="","",COUNTIF($D$7:$D156,"?*"))</f>
        <v/>
      </c>
    </row>
    <row r="157">
      <c r="A157" s="1471" t="n">
        <v>151</v>
      </c>
      <c r="B157" s="1471" t="n">
        <v>153</v>
      </c>
      <c r="C157" s="1397">
        <f>IF('QS Takeoff'!$B153="","",'QS Takeoff'!A153)</f>
        <v/>
      </c>
      <c r="D157" s="1397">
        <f>IF('QS Takeoff'!$B153="","",'QS Takeoff'!B153)</f>
        <v/>
      </c>
      <c r="E157" s="1397">
        <f>IF('QS Takeoff'!$B153="","",'QS Takeoff'!C153)</f>
        <v/>
      </c>
      <c r="F157" s="1397">
        <f>IF('QS Takeoff'!$B153="","",'QS Takeoff'!E153)</f>
        <v/>
      </c>
      <c r="G157" s="1397">
        <f>IF('QS Takeoff'!$B153="","",'QS Takeoff'!D153)</f>
        <v/>
      </c>
      <c r="H157" s="1472">
        <f>IF('QS Takeoff'!$B153="","",'QS Takeoff'!G153)</f>
        <v/>
      </c>
      <c r="I157" s="1472">
        <f>SUMIF('Resource Build-Up'!$B$7:$B$306,D157,'Resource Build-Up'!$Z$7:$Z$306)</f>
        <v/>
      </c>
      <c r="J157" s="1473">
        <f>IFERROR(_xlfn.MAXIFS('Resource Build-Up'!$M$7:$M$306,'Resource Build-Up'!$B$7:$B$306,D157),0)</f>
        <v/>
      </c>
      <c r="K157" s="1473">
        <f>IF(J157=0,"",ROUNDUP(J157/8,0))</f>
        <v/>
      </c>
      <c r="L157" s="1474" t="n"/>
      <c r="M157" s="1473">
        <f>IF(L157&lt;&gt;"",L157,K157)</f>
        <v/>
      </c>
      <c r="N157" s="1436">
        <f>IF(M157="","",TEXT(M157,"0")&amp;" days")</f>
        <v/>
      </c>
      <c r="O157" s="1397" t="n"/>
      <c r="P157" s="1397" t="n"/>
      <c r="Q157" s="1397" t="n"/>
      <c r="R157" s="1397" t="n"/>
      <c r="S157" s="1475" t="n"/>
      <c r="T157" s="1476">
        <f>IF($D157="","",I157-N(H157))</f>
        <v/>
      </c>
      <c r="U157" s="1397">
        <f>IF($D157="","",IF(ABS(T157)&lt;0.01,"OK","CHECK"))</f>
        <v/>
      </c>
      <c r="V157" s="1397" t="inlineStr">
        <is>
          <t>Auto Scheduled</t>
        </is>
      </c>
      <c r="W157" s="1397" t="inlineStr">
        <is>
          <t>Prorated</t>
        </is>
      </c>
      <c r="X157" s="1397" t="n"/>
      <c r="Y157" s="1397">
        <f>IF($D157="","",COUNTIF($D$7:$D157,"?*"))</f>
        <v/>
      </c>
    </row>
    <row r="158">
      <c r="A158" s="1471" t="n">
        <v>152</v>
      </c>
      <c r="B158" s="1471" t="n">
        <v>154</v>
      </c>
      <c r="C158" s="1397">
        <f>IF('QS Takeoff'!$B154="","",'QS Takeoff'!A154)</f>
        <v/>
      </c>
      <c r="D158" s="1397">
        <f>IF('QS Takeoff'!$B154="","",'QS Takeoff'!B154)</f>
        <v/>
      </c>
      <c r="E158" s="1397">
        <f>IF('QS Takeoff'!$B154="","",'QS Takeoff'!C154)</f>
        <v/>
      </c>
      <c r="F158" s="1397">
        <f>IF('QS Takeoff'!$B154="","",'QS Takeoff'!E154)</f>
        <v/>
      </c>
      <c r="G158" s="1397">
        <f>IF('QS Takeoff'!$B154="","",'QS Takeoff'!D154)</f>
        <v/>
      </c>
      <c r="H158" s="1472">
        <f>IF('QS Takeoff'!$B154="","",'QS Takeoff'!G154)</f>
        <v/>
      </c>
      <c r="I158" s="1472">
        <f>SUMIF('Resource Build-Up'!$B$7:$B$306,D158,'Resource Build-Up'!$Z$7:$Z$306)</f>
        <v/>
      </c>
      <c r="J158" s="1473">
        <f>IFERROR(_xlfn.MAXIFS('Resource Build-Up'!$M$7:$M$306,'Resource Build-Up'!$B$7:$B$306,D158),0)</f>
        <v/>
      </c>
      <c r="K158" s="1473">
        <f>IF(J158=0,"",ROUNDUP(J158/8,0))</f>
        <v/>
      </c>
      <c r="L158" s="1474" t="n"/>
      <c r="M158" s="1473">
        <f>IF(L158&lt;&gt;"",L158,K158)</f>
        <v/>
      </c>
      <c r="N158" s="1436">
        <f>IF(M158="","",TEXT(M158,"0")&amp;" days")</f>
        <v/>
      </c>
      <c r="O158" s="1397" t="n"/>
      <c r="P158" s="1397" t="n"/>
      <c r="Q158" s="1397" t="n"/>
      <c r="R158" s="1397" t="n"/>
      <c r="S158" s="1475" t="n"/>
      <c r="T158" s="1476">
        <f>IF($D158="","",I158-N(H158))</f>
        <v/>
      </c>
      <c r="U158" s="1397">
        <f>IF($D158="","",IF(ABS(T158)&lt;0.01,"OK","CHECK"))</f>
        <v/>
      </c>
      <c r="V158" s="1397" t="inlineStr">
        <is>
          <t>Auto Scheduled</t>
        </is>
      </c>
      <c r="W158" s="1397" t="inlineStr">
        <is>
          <t>Prorated</t>
        </is>
      </c>
      <c r="X158" s="1397" t="n"/>
      <c r="Y158" s="1397">
        <f>IF($D158="","",COUNTIF($D$7:$D158,"?*"))</f>
        <v/>
      </c>
    </row>
    <row r="159">
      <c r="A159" s="1471" t="n">
        <v>153</v>
      </c>
      <c r="B159" s="1471" t="n">
        <v>155</v>
      </c>
      <c r="C159" s="1397">
        <f>IF('QS Takeoff'!$B155="","",'QS Takeoff'!A155)</f>
        <v/>
      </c>
      <c r="D159" s="1397">
        <f>IF('QS Takeoff'!$B155="","",'QS Takeoff'!B155)</f>
        <v/>
      </c>
      <c r="E159" s="1397">
        <f>IF('QS Takeoff'!$B155="","",'QS Takeoff'!C155)</f>
        <v/>
      </c>
      <c r="F159" s="1397">
        <f>IF('QS Takeoff'!$B155="","",'QS Takeoff'!E155)</f>
        <v/>
      </c>
      <c r="G159" s="1397">
        <f>IF('QS Takeoff'!$B155="","",'QS Takeoff'!D155)</f>
        <v/>
      </c>
      <c r="H159" s="1472">
        <f>IF('QS Takeoff'!$B155="","",'QS Takeoff'!G155)</f>
        <v/>
      </c>
      <c r="I159" s="1472">
        <f>SUMIF('Resource Build-Up'!$B$7:$B$306,D159,'Resource Build-Up'!$Z$7:$Z$306)</f>
        <v/>
      </c>
      <c r="J159" s="1473">
        <f>IFERROR(_xlfn.MAXIFS('Resource Build-Up'!$M$7:$M$306,'Resource Build-Up'!$B$7:$B$306,D159),0)</f>
        <v/>
      </c>
      <c r="K159" s="1473">
        <f>IF(J159=0,"",ROUNDUP(J159/8,0))</f>
        <v/>
      </c>
      <c r="L159" s="1474" t="n"/>
      <c r="M159" s="1473">
        <f>IF(L159&lt;&gt;"",L159,K159)</f>
        <v/>
      </c>
      <c r="N159" s="1436">
        <f>IF(M159="","",TEXT(M159,"0")&amp;" days")</f>
        <v/>
      </c>
      <c r="O159" s="1397" t="n"/>
      <c r="P159" s="1397" t="n"/>
      <c r="Q159" s="1397" t="n"/>
      <c r="R159" s="1397" t="n"/>
      <c r="S159" s="1475" t="n"/>
      <c r="T159" s="1476">
        <f>IF($D159="","",I159-N(H159))</f>
        <v/>
      </c>
      <c r="U159" s="1397">
        <f>IF($D159="","",IF(ABS(T159)&lt;0.01,"OK","CHECK"))</f>
        <v/>
      </c>
      <c r="V159" s="1397" t="inlineStr">
        <is>
          <t>Auto Scheduled</t>
        </is>
      </c>
      <c r="W159" s="1397" t="inlineStr">
        <is>
          <t>Prorated</t>
        </is>
      </c>
      <c r="X159" s="1397" t="n"/>
      <c r="Y159" s="1397">
        <f>IF($D159="","",COUNTIF($D$7:$D159,"?*"))</f>
        <v/>
      </c>
    </row>
    <row r="160">
      <c r="A160" s="1471" t="n">
        <v>154</v>
      </c>
      <c r="B160" s="1471" t="n">
        <v>156</v>
      </c>
      <c r="C160" s="1397">
        <f>IF('QS Takeoff'!$B156="","",'QS Takeoff'!A156)</f>
        <v/>
      </c>
      <c r="D160" s="1397">
        <f>IF('QS Takeoff'!$B156="","",'QS Takeoff'!B156)</f>
        <v/>
      </c>
      <c r="E160" s="1397">
        <f>IF('QS Takeoff'!$B156="","",'QS Takeoff'!C156)</f>
        <v/>
      </c>
      <c r="F160" s="1397">
        <f>IF('QS Takeoff'!$B156="","",'QS Takeoff'!E156)</f>
        <v/>
      </c>
      <c r="G160" s="1397">
        <f>IF('QS Takeoff'!$B156="","",'QS Takeoff'!D156)</f>
        <v/>
      </c>
      <c r="H160" s="1472">
        <f>IF('QS Takeoff'!$B156="","",'QS Takeoff'!G156)</f>
        <v/>
      </c>
      <c r="I160" s="1472">
        <f>SUMIF('Resource Build-Up'!$B$7:$B$306,D160,'Resource Build-Up'!$Z$7:$Z$306)</f>
        <v/>
      </c>
      <c r="J160" s="1473">
        <f>IFERROR(_xlfn.MAXIFS('Resource Build-Up'!$M$7:$M$306,'Resource Build-Up'!$B$7:$B$306,D160),0)</f>
        <v/>
      </c>
      <c r="K160" s="1473">
        <f>IF(J160=0,"",ROUNDUP(J160/8,0))</f>
        <v/>
      </c>
      <c r="L160" s="1474" t="n"/>
      <c r="M160" s="1473">
        <f>IF(L160&lt;&gt;"",L160,K160)</f>
        <v/>
      </c>
      <c r="N160" s="1436">
        <f>IF(M160="","",TEXT(M160,"0")&amp;" days")</f>
        <v/>
      </c>
      <c r="O160" s="1397" t="n"/>
      <c r="P160" s="1397" t="n"/>
      <c r="Q160" s="1397" t="n"/>
      <c r="R160" s="1397" t="n"/>
      <c r="S160" s="1475" t="n"/>
      <c r="T160" s="1476">
        <f>IF($D160="","",I160-N(H160))</f>
        <v/>
      </c>
      <c r="U160" s="1397">
        <f>IF($D160="","",IF(ABS(T160)&lt;0.01,"OK","CHECK"))</f>
        <v/>
      </c>
      <c r="V160" s="1397" t="inlineStr">
        <is>
          <t>Auto Scheduled</t>
        </is>
      </c>
      <c r="W160" s="1397" t="inlineStr">
        <is>
          <t>Prorated</t>
        </is>
      </c>
      <c r="X160" s="1397" t="n"/>
      <c r="Y160" s="1397">
        <f>IF($D160="","",COUNTIF($D$7:$D160,"?*"))</f>
        <v/>
      </c>
    </row>
    <row r="161">
      <c r="A161" s="1471" t="n">
        <v>155</v>
      </c>
      <c r="B161" s="1471" t="n">
        <v>157</v>
      </c>
      <c r="C161" s="1397">
        <f>IF('QS Takeoff'!$B157="","",'QS Takeoff'!A157)</f>
        <v/>
      </c>
      <c r="D161" s="1397">
        <f>IF('QS Takeoff'!$B157="","",'QS Takeoff'!B157)</f>
        <v/>
      </c>
      <c r="E161" s="1397">
        <f>IF('QS Takeoff'!$B157="","",'QS Takeoff'!C157)</f>
        <v/>
      </c>
      <c r="F161" s="1397">
        <f>IF('QS Takeoff'!$B157="","",'QS Takeoff'!E157)</f>
        <v/>
      </c>
      <c r="G161" s="1397">
        <f>IF('QS Takeoff'!$B157="","",'QS Takeoff'!D157)</f>
        <v/>
      </c>
      <c r="H161" s="1472">
        <f>IF('QS Takeoff'!$B157="","",'QS Takeoff'!G157)</f>
        <v/>
      </c>
      <c r="I161" s="1472">
        <f>SUMIF('Resource Build-Up'!$B$7:$B$306,D161,'Resource Build-Up'!$Z$7:$Z$306)</f>
        <v/>
      </c>
      <c r="J161" s="1473">
        <f>IFERROR(_xlfn.MAXIFS('Resource Build-Up'!$M$7:$M$306,'Resource Build-Up'!$B$7:$B$306,D161),0)</f>
        <v/>
      </c>
      <c r="K161" s="1473">
        <f>IF(J161=0,"",ROUNDUP(J161/8,0))</f>
        <v/>
      </c>
      <c r="L161" s="1474" t="n"/>
      <c r="M161" s="1473">
        <f>IF(L161&lt;&gt;"",L161,K161)</f>
        <v/>
      </c>
      <c r="N161" s="1436">
        <f>IF(M161="","",TEXT(M161,"0")&amp;" days")</f>
        <v/>
      </c>
      <c r="O161" s="1397" t="n"/>
      <c r="P161" s="1397" t="n"/>
      <c r="Q161" s="1397" t="n"/>
      <c r="R161" s="1397" t="n"/>
      <c r="S161" s="1475" t="n"/>
      <c r="T161" s="1476">
        <f>IF($D161="","",I161-N(H161))</f>
        <v/>
      </c>
      <c r="U161" s="1397">
        <f>IF($D161="","",IF(ABS(T161)&lt;0.01,"OK","CHECK"))</f>
        <v/>
      </c>
      <c r="V161" s="1397" t="inlineStr">
        <is>
          <t>Auto Scheduled</t>
        </is>
      </c>
      <c r="W161" s="1397" t="inlineStr">
        <is>
          <t>Prorated</t>
        </is>
      </c>
      <c r="X161" s="1397" t="n"/>
      <c r="Y161" s="1397">
        <f>IF($D161="","",COUNTIF($D$7:$D161,"?*"))</f>
        <v/>
      </c>
    </row>
    <row r="162">
      <c r="A162" s="1471" t="n">
        <v>156</v>
      </c>
      <c r="B162" s="1471" t="n">
        <v>158</v>
      </c>
      <c r="C162" s="1397">
        <f>IF('QS Takeoff'!$B158="","",'QS Takeoff'!A158)</f>
        <v/>
      </c>
      <c r="D162" s="1397">
        <f>IF('QS Takeoff'!$B158="","",'QS Takeoff'!B158)</f>
        <v/>
      </c>
      <c r="E162" s="1397">
        <f>IF('QS Takeoff'!$B158="","",'QS Takeoff'!C158)</f>
        <v/>
      </c>
      <c r="F162" s="1397">
        <f>IF('QS Takeoff'!$B158="","",'QS Takeoff'!E158)</f>
        <v/>
      </c>
      <c r="G162" s="1397">
        <f>IF('QS Takeoff'!$B158="","",'QS Takeoff'!D158)</f>
        <v/>
      </c>
      <c r="H162" s="1472">
        <f>IF('QS Takeoff'!$B158="","",'QS Takeoff'!G158)</f>
        <v/>
      </c>
      <c r="I162" s="1472">
        <f>SUMIF('Resource Build-Up'!$B$7:$B$306,D162,'Resource Build-Up'!$Z$7:$Z$306)</f>
        <v/>
      </c>
      <c r="J162" s="1473">
        <f>IFERROR(_xlfn.MAXIFS('Resource Build-Up'!$M$7:$M$306,'Resource Build-Up'!$B$7:$B$306,D162),0)</f>
        <v/>
      </c>
      <c r="K162" s="1473">
        <f>IF(J162=0,"",ROUNDUP(J162/8,0))</f>
        <v/>
      </c>
      <c r="L162" s="1474" t="n"/>
      <c r="M162" s="1473">
        <f>IF(L162&lt;&gt;"",L162,K162)</f>
        <v/>
      </c>
      <c r="N162" s="1436">
        <f>IF(M162="","",TEXT(M162,"0")&amp;" days")</f>
        <v/>
      </c>
      <c r="O162" s="1397" t="n"/>
      <c r="P162" s="1397" t="n"/>
      <c r="Q162" s="1397" t="n"/>
      <c r="R162" s="1397" t="n"/>
      <c r="S162" s="1475" t="n"/>
      <c r="T162" s="1476">
        <f>IF($D162="","",I162-N(H162))</f>
        <v/>
      </c>
      <c r="U162" s="1397">
        <f>IF($D162="","",IF(ABS(T162)&lt;0.01,"OK","CHECK"))</f>
        <v/>
      </c>
      <c r="V162" s="1397" t="inlineStr">
        <is>
          <t>Auto Scheduled</t>
        </is>
      </c>
      <c r="W162" s="1397" t="inlineStr">
        <is>
          <t>Prorated</t>
        </is>
      </c>
      <c r="X162" s="1397" t="n"/>
      <c r="Y162" s="1397">
        <f>IF($D162="","",COUNTIF($D$7:$D162,"?*"))</f>
        <v/>
      </c>
    </row>
    <row r="163">
      <c r="A163" s="1471" t="n">
        <v>157</v>
      </c>
      <c r="B163" s="1471" t="n">
        <v>159</v>
      </c>
      <c r="C163" s="1397">
        <f>IF('QS Takeoff'!$B159="","",'QS Takeoff'!A159)</f>
        <v/>
      </c>
      <c r="D163" s="1397">
        <f>IF('QS Takeoff'!$B159="","",'QS Takeoff'!B159)</f>
        <v/>
      </c>
      <c r="E163" s="1397">
        <f>IF('QS Takeoff'!$B159="","",'QS Takeoff'!C159)</f>
        <v/>
      </c>
      <c r="F163" s="1397">
        <f>IF('QS Takeoff'!$B159="","",'QS Takeoff'!E159)</f>
        <v/>
      </c>
      <c r="G163" s="1397">
        <f>IF('QS Takeoff'!$B159="","",'QS Takeoff'!D159)</f>
        <v/>
      </c>
      <c r="H163" s="1472">
        <f>IF('QS Takeoff'!$B159="","",'QS Takeoff'!G159)</f>
        <v/>
      </c>
      <c r="I163" s="1472">
        <f>SUMIF('Resource Build-Up'!$B$7:$B$306,D163,'Resource Build-Up'!$Z$7:$Z$306)</f>
        <v/>
      </c>
      <c r="J163" s="1473">
        <f>IFERROR(_xlfn.MAXIFS('Resource Build-Up'!$M$7:$M$306,'Resource Build-Up'!$B$7:$B$306,D163),0)</f>
        <v/>
      </c>
      <c r="K163" s="1473">
        <f>IF(J163=0,"",ROUNDUP(J163/8,0))</f>
        <v/>
      </c>
      <c r="L163" s="1474" t="n"/>
      <c r="M163" s="1473">
        <f>IF(L163&lt;&gt;"",L163,K163)</f>
        <v/>
      </c>
      <c r="N163" s="1436">
        <f>IF(M163="","",TEXT(M163,"0")&amp;" days")</f>
        <v/>
      </c>
      <c r="O163" s="1397" t="n"/>
      <c r="P163" s="1397" t="n"/>
      <c r="Q163" s="1397" t="n"/>
      <c r="R163" s="1397" t="n"/>
      <c r="S163" s="1475" t="n"/>
      <c r="T163" s="1476">
        <f>IF($D163="","",I163-N(H163))</f>
        <v/>
      </c>
      <c r="U163" s="1397">
        <f>IF($D163="","",IF(ABS(T163)&lt;0.01,"OK","CHECK"))</f>
        <v/>
      </c>
      <c r="V163" s="1397" t="inlineStr">
        <is>
          <t>Auto Scheduled</t>
        </is>
      </c>
      <c r="W163" s="1397" t="inlineStr">
        <is>
          <t>Prorated</t>
        </is>
      </c>
      <c r="X163" s="1397" t="n"/>
      <c r="Y163" s="1397">
        <f>IF($D163="","",COUNTIF($D$7:$D163,"?*"))</f>
        <v/>
      </c>
    </row>
    <row r="164">
      <c r="A164" s="1471" t="n">
        <v>158</v>
      </c>
      <c r="B164" s="1471" t="n">
        <v>160</v>
      </c>
      <c r="C164" s="1397">
        <f>IF('QS Takeoff'!$B160="","",'QS Takeoff'!A160)</f>
        <v/>
      </c>
      <c r="D164" s="1397">
        <f>IF('QS Takeoff'!$B160="","",'QS Takeoff'!B160)</f>
        <v/>
      </c>
      <c r="E164" s="1397">
        <f>IF('QS Takeoff'!$B160="","",'QS Takeoff'!C160)</f>
        <v/>
      </c>
      <c r="F164" s="1397">
        <f>IF('QS Takeoff'!$B160="","",'QS Takeoff'!E160)</f>
        <v/>
      </c>
      <c r="G164" s="1397">
        <f>IF('QS Takeoff'!$B160="","",'QS Takeoff'!D160)</f>
        <v/>
      </c>
      <c r="H164" s="1472">
        <f>IF('QS Takeoff'!$B160="","",'QS Takeoff'!G160)</f>
        <v/>
      </c>
      <c r="I164" s="1472">
        <f>SUMIF('Resource Build-Up'!$B$7:$B$306,D164,'Resource Build-Up'!$Z$7:$Z$306)</f>
        <v/>
      </c>
      <c r="J164" s="1473">
        <f>IFERROR(_xlfn.MAXIFS('Resource Build-Up'!$M$7:$M$306,'Resource Build-Up'!$B$7:$B$306,D164),0)</f>
        <v/>
      </c>
      <c r="K164" s="1473">
        <f>IF(J164=0,"",ROUNDUP(J164/8,0))</f>
        <v/>
      </c>
      <c r="L164" s="1474" t="n"/>
      <c r="M164" s="1473">
        <f>IF(L164&lt;&gt;"",L164,K164)</f>
        <v/>
      </c>
      <c r="N164" s="1436">
        <f>IF(M164="","",TEXT(M164,"0")&amp;" days")</f>
        <v/>
      </c>
      <c r="O164" s="1397" t="n"/>
      <c r="P164" s="1397" t="n"/>
      <c r="Q164" s="1397" t="n"/>
      <c r="R164" s="1397" t="n"/>
      <c r="S164" s="1475" t="n"/>
      <c r="T164" s="1476">
        <f>IF($D164="","",I164-N(H164))</f>
        <v/>
      </c>
      <c r="U164" s="1397">
        <f>IF($D164="","",IF(ABS(T164)&lt;0.01,"OK","CHECK"))</f>
        <v/>
      </c>
      <c r="V164" s="1397" t="inlineStr">
        <is>
          <t>Auto Scheduled</t>
        </is>
      </c>
      <c r="W164" s="1397" t="inlineStr">
        <is>
          <t>Prorated</t>
        </is>
      </c>
      <c r="X164" s="1397" t="n"/>
      <c r="Y164" s="1397">
        <f>IF($D164="","",COUNTIF($D$7:$D164,"?*"))</f>
        <v/>
      </c>
    </row>
    <row r="165">
      <c r="A165" s="1471" t="n">
        <v>159</v>
      </c>
      <c r="B165" s="1471" t="n">
        <v>161</v>
      </c>
      <c r="C165" s="1397">
        <f>IF('QS Takeoff'!$B161="","",'QS Takeoff'!A161)</f>
        <v/>
      </c>
      <c r="D165" s="1397">
        <f>IF('QS Takeoff'!$B161="","",'QS Takeoff'!B161)</f>
        <v/>
      </c>
      <c r="E165" s="1397">
        <f>IF('QS Takeoff'!$B161="","",'QS Takeoff'!C161)</f>
        <v/>
      </c>
      <c r="F165" s="1397">
        <f>IF('QS Takeoff'!$B161="","",'QS Takeoff'!E161)</f>
        <v/>
      </c>
      <c r="G165" s="1397">
        <f>IF('QS Takeoff'!$B161="","",'QS Takeoff'!D161)</f>
        <v/>
      </c>
      <c r="H165" s="1472">
        <f>IF('QS Takeoff'!$B161="","",'QS Takeoff'!G161)</f>
        <v/>
      </c>
      <c r="I165" s="1472">
        <f>SUMIF('Resource Build-Up'!$B$7:$B$306,D165,'Resource Build-Up'!$Z$7:$Z$306)</f>
        <v/>
      </c>
      <c r="J165" s="1473">
        <f>IFERROR(_xlfn.MAXIFS('Resource Build-Up'!$M$7:$M$306,'Resource Build-Up'!$B$7:$B$306,D165),0)</f>
        <v/>
      </c>
      <c r="K165" s="1473">
        <f>IF(J165=0,"",ROUNDUP(J165/8,0))</f>
        <v/>
      </c>
      <c r="L165" s="1474" t="n"/>
      <c r="M165" s="1473">
        <f>IF(L165&lt;&gt;"",L165,K165)</f>
        <v/>
      </c>
      <c r="N165" s="1436">
        <f>IF(M165="","",TEXT(M165,"0")&amp;" days")</f>
        <v/>
      </c>
      <c r="O165" s="1397" t="n"/>
      <c r="P165" s="1397" t="n"/>
      <c r="Q165" s="1397" t="n"/>
      <c r="R165" s="1397" t="n"/>
      <c r="S165" s="1475" t="n"/>
      <c r="T165" s="1476">
        <f>IF($D165="","",I165-N(H165))</f>
        <v/>
      </c>
      <c r="U165" s="1397">
        <f>IF($D165="","",IF(ABS(T165)&lt;0.01,"OK","CHECK"))</f>
        <v/>
      </c>
      <c r="V165" s="1397" t="inlineStr">
        <is>
          <t>Auto Scheduled</t>
        </is>
      </c>
      <c r="W165" s="1397" t="inlineStr">
        <is>
          <t>Prorated</t>
        </is>
      </c>
      <c r="X165" s="1397" t="n"/>
      <c r="Y165" s="1397">
        <f>IF($D165="","",COUNTIF($D$7:$D165,"?*"))</f>
        <v/>
      </c>
    </row>
    <row r="166">
      <c r="A166" s="1471" t="n">
        <v>160</v>
      </c>
      <c r="B166" s="1471" t="n">
        <v>162</v>
      </c>
      <c r="C166" s="1397">
        <f>IF('QS Takeoff'!$B162="","",'QS Takeoff'!A162)</f>
        <v/>
      </c>
      <c r="D166" s="1397">
        <f>IF('QS Takeoff'!$B162="","",'QS Takeoff'!B162)</f>
        <v/>
      </c>
      <c r="E166" s="1397">
        <f>IF('QS Takeoff'!$B162="","",'QS Takeoff'!C162)</f>
        <v/>
      </c>
      <c r="F166" s="1397">
        <f>IF('QS Takeoff'!$B162="","",'QS Takeoff'!E162)</f>
        <v/>
      </c>
      <c r="G166" s="1397">
        <f>IF('QS Takeoff'!$B162="","",'QS Takeoff'!D162)</f>
        <v/>
      </c>
      <c r="H166" s="1472">
        <f>IF('QS Takeoff'!$B162="","",'QS Takeoff'!G162)</f>
        <v/>
      </c>
      <c r="I166" s="1472">
        <f>SUMIF('Resource Build-Up'!$B$7:$B$306,D166,'Resource Build-Up'!$Z$7:$Z$306)</f>
        <v/>
      </c>
      <c r="J166" s="1473">
        <f>IFERROR(_xlfn.MAXIFS('Resource Build-Up'!$M$7:$M$306,'Resource Build-Up'!$B$7:$B$306,D166),0)</f>
        <v/>
      </c>
      <c r="K166" s="1473">
        <f>IF(J166=0,"",ROUNDUP(J166/8,0))</f>
        <v/>
      </c>
      <c r="L166" s="1474" t="n"/>
      <c r="M166" s="1473">
        <f>IF(L166&lt;&gt;"",L166,K166)</f>
        <v/>
      </c>
      <c r="N166" s="1436">
        <f>IF(M166="","",TEXT(M166,"0")&amp;" days")</f>
        <v/>
      </c>
      <c r="O166" s="1397" t="n"/>
      <c r="P166" s="1397" t="n"/>
      <c r="Q166" s="1397" t="n"/>
      <c r="R166" s="1397" t="n"/>
      <c r="S166" s="1475" t="n"/>
      <c r="T166" s="1476">
        <f>IF($D166="","",I166-N(H166))</f>
        <v/>
      </c>
      <c r="U166" s="1397">
        <f>IF($D166="","",IF(ABS(T166)&lt;0.01,"OK","CHECK"))</f>
        <v/>
      </c>
      <c r="V166" s="1397" t="inlineStr">
        <is>
          <t>Auto Scheduled</t>
        </is>
      </c>
      <c r="W166" s="1397" t="inlineStr">
        <is>
          <t>Prorated</t>
        </is>
      </c>
      <c r="X166" s="1397" t="n"/>
      <c r="Y166" s="1397">
        <f>IF($D166="","",COUNTIF($D$7:$D166,"?*"))</f>
        <v/>
      </c>
    </row>
    <row r="167">
      <c r="A167" s="1471" t="n">
        <v>161</v>
      </c>
      <c r="B167" s="1471" t="n">
        <v>163</v>
      </c>
      <c r="C167" s="1397">
        <f>IF('QS Takeoff'!$B163="","",'QS Takeoff'!A163)</f>
        <v/>
      </c>
      <c r="D167" s="1397">
        <f>IF('QS Takeoff'!$B163="","",'QS Takeoff'!B163)</f>
        <v/>
      </c>
      <c r="E167" s="1397">
        <f>IF('QS Takeoff'!$B163="","",'QS Takeoff'!C163)</f>
        <v/>
      </c>
      <c r="F167" s="1397">
        <f>IF('QS Takeoff'!$B163="","",'QS Takeoff'!E163)</f>
        <v/>
      </c>
      <c r="G167" s="1397">
        <f>IF('QS Takeoff'!$B163="","",'QS Takeoff'!D163)</f>
        <v/>
      </c>
      <c r="H167" s="1472">
        <f>IF('QS Takeoff'!$B163="","",'QS Takeoff'!G163)</f>
        <v/>
      </c>
      <c r="I167" s="1472">
        <f>SUMIF('Resource Build-Up'!$B$7:$B$306,D167,'Resource Build-Up'!$Z$7:$Z$306)</f>
        <v/>
      </c>
      <c r="J167" s="1473">
        <f>IFERROR(_xlfn.MAXIFS('Resource Build-Up'!$M$7:$M$306,'Resource Build-Up'!$B$7:$B$306,D167),0)</f>
        <v/>
      </c>
      <c r="K167" s="1473">
        <f>IF(J167=0,"",ROUNDUP(J167/8,0))</f>
        <v/>
      </c>
      <c r="L167" s="1474" t="n"/>
      <c r="M167" s="1473">
        <f>IF(L167&lt;&gt;"",L167,K167)</f>
        <v/>
      </c>
      <c r="N167" s="1436">
        <f>IF(M167="","",TEXT(M167,"0")&amp;" days")</f>
        <v/>
      </c>
      <c r="O167" s="1397" t="n"/>
      <c r="P167" s="1397" t="n"/>
      <c r="Q167" s="1397" t="n"/>
      <c r="R167" s="1397" t="n"/>
      <c r="S167" s="1475" t="n"/>
      <c r="T167" s="1476">
        <f>IF($D167="","",I167-N(H167))</f>
        <v/>
      </c>
      <c r="U167" s="1397">
        <f>IF($D167="","",IF(ABS(T167)&lt;0.01,"OK","CHECK"))</f>
        <v/>
      </c>
      <c r="V167" s="1397" t="inlineStr">
        <is>
          <t>Auto Scheduled</t>
        </is>
      </c>
      <c r="W167" s="1397" t="inlineStr">
        <is>
          <t>Prorated</t>
        </is>
      </c>
      <c r="X167" s="1397" t="n"/>
      <c r="Y167" s="1397">
        <f>IF($D167="","",COUNTIF($D$7:$D167,"?*"))</f>
        <v/>
      </c>
    </row>
    <row r="168">
      <c r="A168" s="1471" t="n">
        <v>162</v>
      </c>
      <c r="B168" s="1471" t="n">
        <v>164</v>
      </c>
      <c r="C168" s="1397">
        <f>IF('QS Takeoff'!$B164="","",'QS Takeoff'!A164)</f>
        <v/>
      </c>
      <c r="D168" s="1397">
        <f>IF('QS Takeoff'!$B164="","",'QS Takeoff'!B164)</f>
        <v/>
      </c>
      <c r="E168" s="1397">
        <f>IF('QS Takeoff'!$B164="","",'QS Takeoff'!C164)</f>
        <v/>
      </c>
      <c r="F168" s="1397">
        <f>IF('QS Takeoff'!$B164="","",'QS Takeoff'!E164)</f>
        <v/>
      </c>
      <c r="G168" s="1397">
        <f>IF('QS Takeoff'!$B164="","",'QS Takeoff'!D164)</f>
        <v/>
      </c>
      <c r="H168" s="1472">
        <f>IF('QS Takeoff'!$B164="","",'QS Takeoff'!G164)</f>
        <v/>
      </c>
      <c r="I168" s="1472">
        <f>SUMIF('Resource Build-Up'!$B$7:$B$306,D168,'Resource Build-Up'!$Z$7:$Z$306)</f>
        <v/>
      </c>
      <c r="J168" s="1473">
        <f>IFERROR(_xlfn.MAXIFS('Resource Build-Up'!$M$7:$M$306,'Resource Build-Up'!$B$7:$B$306,D168),0)</f>
        <v/>
      </c>
      <c r="K168" s="1473">
        <f>IF(J168=0,"",ROUNDUP(J168/8,0))</f>
        <v/>
      </c>
      <c r="L168" s="1474" t="n"/>
      <c r="M168" s="1473">
        <f>IF(L168&lt;&gt;"",L168,K168)</f>
        <v/>
      </c>
      <c r="N168" s="1436">
        <f>IF(M168="","",TEXT(M168,"0")&amp;" days")</f>
        <v/>
      </c>
      <c r="O168" s="1397" t="n"/>
      <c r="P168" s="1397" t="n"/>
      <c r="Q168" s="1397" t="n"/>
      <c r="R168" s="1397" t="n"/>
      <c r="S168" s="1475" t="n"/>
      <c r="T168" s="1476">
        <f>IF($D168="","",I168-N(H168))</f>
        <v/>
      </c>
      <c r="U168" s="1397">
        <f>IF($D168="","",IF(ABS(T168)&lt;0.01,"OK","CHECK"))</f>
        <v/>
      </c>
      <c r="V168" s="1397" t="inlineStr">
        <is>
          <t>Auto Scheduled</t>
        </is>
      </c>
      <c r="W168" s="1397" t="inlineStr">
        <is>
          <t>Prorated</t>
        </is>
      </c>
      <c r="X168" s="1397" t="n"/>
      <c r="Y168" s="1397">
        <f>IF($D168="","",COUNTIF($D$7:$D168,"?*"))</f>
        <v/>
      </c>
    </row>
    <row r="169">
      <c r="A169" s="1471" t="n">
        <v>163</v>
      </c>
      <c r="B169" s="1471" t="n">
        <v>165</v>
      </c>
      <c r="C169" s="1397">
        <f>IF('QS Takeoff'!$B165="","",'QS Takeoff'!A165)</f>
        <v/>
      </c>
      <c r="D169" s="1397">
        <f>IF('QS Takeoff'!$B165="","",'QS Takeoff'!B165)</f>
        <v/>
      </c>
      <c r="E169" s="1397">
        <f>IF('QS Takeoff'!$B165="","",'QS Takeoff'!C165)</f>
        <v/>
      </c>
      <c r="F169" s="1397">
        <f>IF('QS Takeoff'!$B165="","",'QS Takeoff'!E165)</f>
        <v/>
      </c>
      <c r="G169" s="1397">
        <f>IF('QS Takeoff'!$B165="","",'QS Takeoff'!D165)</f>
        <v/>
      </c>
      <c r="H169" s="1472">
        <f>IF('QS Takeoff'!$B165="","",'QS Takeoff'!G165)</f>
        <v/>
      </c>
      <c r="I169" s="1472">
        <f>SUMIF('Resource Build-Up'!$B$7:$B$306,D169,'Resource Build-Up'!$Z$7:$Z$306)</f>
        <v/>
      </c>
      <c r="J169" s="1473">
        <f>IFERROR(_xlfn.MAXIFS('Resource Build-Up'!$M$7:$M$306,'Resource Build-Up'!$B$7:$B$306,D169),0)</f>
        <v/>
      </c>
      <c r="K169" s="1473">
        <f>IF(J169=0,"",ROUNDUP(J169/8,0))</f>
        <v/>
      </c>
      <c r="L169" s="1474" t="n"/>
      <c r="M169" s="1473">
        <f>IF(L169&lt;&gt;"",L169,K169)</f>
        <v/>
      </c>
      <c r="N169" s="1436">
        <f>IF(M169="","",TEXT(M169,"0")&amp;" days")</f>
        <v/>
      </c>
      <c r="O169" s="1397" t="n"/>
      <c r="P169" s="1397" t="n"/>
      <c r="Q169" s="1397" t="n"/>
      <c r="R169" s="1397" t="n"/>
      <c r="S169" s="1475" t="n"/>
      <c r="T169" s="1476">
        <f>IF($D169="","",I169-N(H169))</f>
        <v/>
      </c>
      <c r="U169" s="1397">
        <f>IF($D169="","",IF(ABS(T169)&lt;0.01,"OK","CHECK"))</f>
        <v/>
      </c>
      <c r="V169" s="1397" t="inlineStr">
        <is>
          <t>Auto Scheduled</t>
        </is>
      </c>
      <c r="W169" s="1397" t="inlineStr">
        <is>
          <t>Prorated</t>
        </is>
      </c>
      <c r="X169" s="1397" t="n"/>
      <c r="Y169" s="1397">
        <f>IF($D169="","",COUNTIF($D$7:$D169,"?*"))</f>
        <v/>
      </c>
    </row>
    <row r="170">
      <c r="A170" s="1471" t="n">
        <v>164</v>
      </c>
      <c r="B170" s="1471" t="n">
        <v>166</v>
      </c>
      <c r="C170" s="1397">
        <f>IF('QS Takeoff'!$B166="","",'QS Takeoff'!A166)</f>
        <v/>
      </c>
      <c r="D170" s="1397">
        <f>IF('QS Takeoff'!$B166="","",'QS Takeoff'!B166)</f>
        <v/>
      </c>
      <c r="E170" s="1397">
        <f>IF('QS Takeoff'!$B166="","",'QS Takeoff'!C166)</f>
        <v/>
      </c>
      <c r="F170" s="1397">
        <f>IF('QS Takeoff'!$B166="","",'QS Takeoff'!E166)</f>
        <v/>
      </c>
      <c r="G170" s="1397">
        <f>IF('QS Takeoff'!$B166="","",'QS Takeoff'!D166)</f>
        <v/>
      </c>
      <c r="H170" s="1472">
        <f>IF('QS Takeoff'!$B166="","",'QS Takeoff'!G166)</f>
        <v/>
      </c>
      <c r="I170" s="1472">
        <f>SUMIF('Resource Build-Up'!$B$7:$B$306,D170,'Resource Build-Up'!$Z$7:$Z$306)</f>
        <v/>
      </c>
      <c r="J170" s="1473">
        <f>IFERROR(_xlfn.MAXIFS('Resource Build-Up'!$M$7:$M$306,'Resource Build-Up'!$B$7:$B$306,D170),0)</f>
        <v/>
      </c>
      <c r="K170" s="1473">
        <f>IF(J170=0,"",ROUNDUP(J170/8,0))</f>
        <v/>
      </c>
      <c r="L170" s="1474" t="n"/>
      <c r="M170" s="1473">
        <f>IF(L170&lt;&gt;"",L170,K170)</f>
        <v/>
      </c>
      <c r="N170" s="1436">
        <f>IF(M170="","",TEXT(M170,"0")&amp;" days")</f>
        <v/>
      </c>
      <c r="O170" s="1397" t="n"/>
      <c r="P170" s="1397" t="n"/>
      <c r="Q170" s="1397" t="n"/>
      <c r="R170" s="1397" t="n"/>
      <c r="S170" s="1475" t="n"/>
      <c r="T170" s="1476">
        <f>IF($D170="","",I170-N(H170))</f>
        <v/>
      </c>
      <c r="U170" s="1397">
        <f>IF($D170="","",IF(ABS(T170)&lt;0.01,"OK","CHECK"))</f>
        <v/>
      </c>
      <c r="V170" s="1397" t="inlineStr">
        <is>
          <t>Auto Scheduled</t>
        </is>
      </c>
      <c r="W170" s="1397" t="inlineStr">
        <is>
          <t>Prorated</t>
        </is>
      </c>
      <c r="X170" s="1397" t="n"/>
      <c r="Y170" s="1397">
        <f>IF($D170="","",COUNTIF($D$7:$D170,"?*"))</f>
        <v/>
      </c>
    </row>
    <row r="171">
      <c r="A171" s="1471" t="n">
        <v>165</v>
      </c>
      <c r="B171" s="1471" t="n">
        <v>167</v>
      </c>
      <c r="C171" s="1397">
        <f>IF('QS Takeoff'!$B167="","",'QS Takeoff'!A167)</f>
        <v/>
      </c>
      <c r="D171" s="1397">
        <f>IF('QS Takeoff'!$B167="","",'QS Takeoff'!B167)</f>
        <v/>
      </c>
      <c r="E171" s="1397">
        <f>IF('QS Takeoff'!$B167="","",'QS Takeoff'!C167)</f>
        <v/>
      </c>
      <c r="F171" s="1397">
        <f>IF('QS Takeoff'!$B167="","",'QS Takeoff'!E167)</f>
        <v/>
      </c>
      <c r="G171" s="1397">
        <f>IF('QS Takeoff'!$B167="","",'QS Takeoff'!D167)</f>
        <v/>
      </c>
      <c r="H171" s="1472">
        <f>IF('QS Takeoff'!$B167="","",'QS Takeoff'!G167)</f>
        <v/>
      </c>
      <c r="I171" s="1472">
        <f>SUMIF('Resource Build-Up'!$B$7:$B$306,D171,'Resource Build-Up'!$Z$7:$Z$306)</f>
        <v/>
      </c>
      <c r="J171" s="1473">
        <f>IFERROR(_xlfn.MAXIFS('Resource Build-Up'!$M$7:$M$306,'Resource Build-Up'!$B$7:$B$306,D171),0)</f>
        <v/>
      </c>
      <c r="K171" s="1473">
        <f>IF(J171=0,"",ROUNDUP(J171/8,0))</f>
        <v/>
      </c>
      <c r="L171" s="1474" t="n"/>
      <c r="M171" s="1473">
        <f>IF(L171&lt;&gt;"",L171,K171)</f>
        <v/>
      </c>
      <c r="N171" s="1436">
        <f>IF(M171="","",TEXT(M171,"0")&amp;" days")</f>
        <v/>
      </c>
      <c r="O171" s="1397" t="n"/>
      <c r="P171" s="1397" t="n"/>
      <c r="Q171" s="1397" t="n"/>
      <c r="R171" s="1397" t="n"/>
      <c r="S171" s="1475" t="n"/>
      <c r="T171" s="1476">
        <f>IF($D171="","",I171-N(H171))</f>
        <v/>
      </c>
      <c r="U171" s="1397">
        <f>IF($D171="","",IF(ABS(T171)&lt;0.01,"OK","CHECK"))</f>
        <v/>
      </c>
      <c r="V171" s="1397" t="inlineStr">
        <is>
          <t>Auto Scheduled</t>
        </is>
      </c>
      <c r="W171" s="1397" t="inlineStr">
        <is>
          <t>Prorated</t>
        </is>
      </c>
      <c r="X171" s="1397" t="n"/>
      <c r="Y171" s="1397">
        <f>IF($D171="","",COUNTIF($D$7:$D171,"?*"))</f>
        <v/>
      </c>
    </row>
    <row r="172">
      <c r="A172" s="1471" t="n">
        <v>166</v>
      </c>
      <c r="B172" s="1471" t="n">
        <v>168</v>
      </c>
      <c r="C172" s="1397">
        <f>IF('QS Takeoff'!$B168="","",'QS Takeoff'!A168)</f>
        <v/>
      </c>
      <c r="D172" s="1397">
        <f>IF('QS Takeoff'!$B168="","",'QS Takeoff'!B168)</f>
        <v/>
      </c>
      <c r="E172" s="1397">
        <f>IF('QS Takeoff'!$B168="","",'QS Takeoff'!C168)</f>
        <v/>
      </c>
      <c r="F172" s="1397">
        <f>IF('QS Takeoff'!$B168="","",'QS Takeoff'!E168)</f>
        <v/>
      </c>
      <c r="G172" s="1397">
        <f>IF('QS Takeoff'!$B168="","",'QS Takeoff'!D168)</f>
        <v/>
      </c>
      <c r="H172" s="1472">
        <f>IF('QS Takeoff'!$B168="","",'QS Takeoff'!G168)</f>
        <v/>
      </c>
      <c r="I172" s="1472">
        <f>SUMIF('Resource Build-Up'!$B$7:$B$306,D172,'Resource Build-Up'!$Z$7:$Z$306)</f>
        <v/>
      </c>
      <c r="J172" s="1473">
        <f>IFERROR(_xlfn.MAXIFS('Resource Build-Up'!$M$7:$M$306,'Resource Build-Up'!$B$7:$B$306,D172),0)</f>
        <v/>
      </c>
      <c r="K172" s="1473">
        <f>IF(J172=0,"",ROUNDUP(J172/8,0))</f>
        <v/>
      </c>
      <c r="L172" s="1474" t="n"/>
      <c r="M172" s="1473">
        <f>IF(L172&lt;&gt;"",L172,K172)</f>
        <v/>
      </c>
      <c r="N172" s="1436">
        <f>IF(M172="","",TEXT(M172,"0")&amp;" days")</f>
        <v/>
      </c>
      <c r="O172" s="1397" t="n"/>
      <c r="P172" s="1397" t="n"/>
      <c r="Q172" s="1397" t="n"/>
      <c r="R172" s="1397" t="n"/>
      <c r="S172" s="1475" t="n"/>
      <c r="T172" s="1476">
        <f>IF($D172="","",I172-N(H172))</f>
        <v/>
      </c>
      <c r="U172" s="1397">
        <f>IF($D172="","",IF(ABS(T172)&lt;0.01,"OK","CHECK"))</f>
        <v/>
      </c>
      <c r="V172" s="1397" t="inlineStr">
        <is>
          <t>Auto Scheduled</t>
        </is>
      </c>
      <c r="W172" s="1397" t="inlineStr">
        <is>
          <t>Prorated</t>
        </is>
      </c>
      <c r="X172" s="1397" t="n"/>
      <c r="Y172" s="1397">
        <f>IF($D172="","",COUNTIF($D$7:$D172,"?*"))</f>
        <v/>
      </c>
    </row>
    <row r="173">
      <c r="A173" s="1471" t="n">
        <v>167</v>
      </c>
      <c r="B173" s="1471" t="n">
        <v>169</v>
      </c>
      <c r="C173" s="1397">
        <f>IF('QS Takeoff'!$B169="","",'QS Takeoff'!A169)</f>
        <v/>
      </c>
      <c r="D173" s="1397">
        <f>IF('QS Takeoff'!$B169="","",'QS Takeoff'!B169)</f>
        <v/>
      </c>
      <c r="E173" s="1397">
        <f>IF('QS Takeoff'!$B169="","",'QS Takeoff'!C169)</f>
        <v/>
      </c>
      <c r="F173" s="1397">
        <f>IF('QS Takeoff'!$B169="","",'QS Takeoff'!E169)</f>
        <v/>
      </c>
      <c r="G173" s="1397">
        <f>IF('QS Takeoff'!$B169="","",'QS Takeoff'!D169)</f>
        <v/>
      </c>
      <c r="H173" s="1472">
        <f>IF('QS Takeoff'!$B169="","",'QS Takeoff'!G169)</f>
        <v/>
      </c>
      <c r="I173" s="1472">
        <f>SUMIF('Resource Build-Up'!$B$7:$B$306,D173,'Resource Build-Up'!$Z$7:$Z$306)</f>
        <v/>
      </c>
      <c r="J173" s="1473">
        <f>IFERROR(_xlfn.MAXIFS('Resource Build-Up'!$M$7:$M$306,'Resource Build-Up'!$B$7:$B$306,D173),0)</f>
        <v/>
      </c>
      <c r="K173" s="1473">
        <f>IF(J173=0,"",ROUNDUP(J173/8,0))</f>
        <v/>
      </c>
      <c r="L173" s="1474" t="n"/>
      <c r="M173" s="1473">
        <f>IF(L173&lt;&gt;"",L173,K173)</f>
        <v/>
      </c>
      <c r="N173" s="1436">
        <f>IF(M173="","",TEXT(M173,"0")&amp;" days")</f>
        <v/>
      </c>
      <c r="O173" s="1397" t="n"/>
      <c r="P173" s="1397" t="n"/>
      <c r="Q173" s="1397" t="n"/>
      <c r="R173" s="1397" t="n"/>
      <c r="S173" s="1475" t="n"/>
      <c r="T173" s="1476">
        <f>IF($D173="","",I173-N(H173))</f>
        <v/>
      </c>
      <c r="U173" s="1397">
        <f>IF($D173="","",IF(ABS(T173)&lt;0.01,"OK","CHECK"))</f>
        <v/>
      </c>
      <c r="V173" s="1397" t="inlineStr">
        <is>
          <t>Auto Scheduled</t>
        </is>
      </c>
      <c r="W173" s="1397" t="inlineStr">
        <is>
          <t>Prorated</t>
        </is>
      </c>
      <c r="X173" s="1397" t="n"/>
      <c r="Y173" s="1397">
        <f>IF($D173="","",COUNTIF($D$7:$D173,"?*"))</f>
        <v/>
      </c>
    </row>
    <row r="174">
      <c r="A174" s="1471" t="n">
        <v>168</v>
      </c>
      <c r="B174" s="1471" t="n">
        <v>170</v>
      </c>
      <c r="C174" s="1397">
        <f>IF('QS Takeoff'!$B170="","",'QS Takeoff'!A170)</f>
        <v/>
      </c>
      <c r="D174" s="1397">
        <f>IF('QS Takeoff'!$B170="","",'QS Takeoff'!B170)</f>
        <v/>
      </c>
      <c r="E174" s="1397">
        <f>IF('QS Takeoff'!$B170="","",'QS Takeoff'!C170)</f>
        <v/>
      </c>
      <c r="F174" s="1397">
        <f>IF('QS Takeoff'!$B170="","",'QS Takeoff'!E170)</f>
        <v/>
      </c>
      <c r="G174" s="1397">
        <f>IF('QS Takeoff'!$B170="","",'QS Takeoff'!D170)</f>
        <v/>
      </c>
      <c r="H174" s="1472">
        <f>IF('QS Takeoff'!$B170="","",'QS Takeoff'!G170)</f>
        <v/>
      </c>
      <c r="I174" s="1472">
        <f>SUMIF('Resource Build-Up'!$B$7:$B$306,D174,'Resource Build-Up'!$Z$7:$Z$306)</f>
        <v/>
      </c>
      <c r="J174" s="1473">
        <f>IFERROR(_xlfn.MAXIFS('Resource Build-Up'!$M$7:$M$306,'Resource Build-Up'!$B$7:$B$306,D174),0)</f>
        <v/>
      </c>
      <c r="K174" s="1473">
        <f>IF(J174=0,"",ROUNDUP(J174/8,0))</f>
        <v/>
      </c>
      <c r="L174" s="1474" t="n"/>
      <c r="M174" s="1473">
        <f>IF(L174&lt;&gt;"",L174,K174)</f>
        <v/>
      </c>
      <c r="N174" s="1436">
        <f>IF(M174="","",TEXT(M174,"0")&amp;" days")</f>
        <v/>
      </c>
      <c r="O174" s="1397" t="n"/>
      <c r="P174" s="1397" t="n"/>
      <c r="Q174" s="1397" t="n"/>
      <c r="R174" s="1397" t="n"/>
      <c r="S174" s="1475" t="n"/>
      <c r="T174" s="1476">
        <f>IF($D174="","",I174-N(H174))</f>
        <v/>
      </c>
      <c r="U174" s="1397">
        <f>IF($D174="","",IF(ABS(T174)&lt;0.01,"OK","CHECK"))</f>
        <v/>
      </c>
      <c r="V174" s="1397" t="inlineStr">
        <is>
          <t>Auto Scheduled</t>
        </is>
      </c>
      <c r="W174" s="1397" t="inlineStr">
        <is>
          <t>Prorated</t>
        </is>
      </c>
      <c r="X174" s="1397" t="n"/>
      <c r="Y174" s="1397">
        <f>IF($D174="","",COUNTIF($D$7:$D174,"?*"))</f>
        <v/>
      </c>
    </row>
    <row r="175">
      <c r="A175" s="1471" t="n">
        <v>169</v>
      </c>
      <c r="B175" s="1471" t="n">
        <v>171</v>
      </c>
      <c r="C175" s="1397">
        <f>IF('QS Takeoff'!$B171="","",'QS Takeoff'!A171)</f>
        <v/>
      </c>
      <c r="D175" s="1397">
        <f>IF('QS Takeoff'!$B171="","",'QS Takeoff'!B171)</f>
        <v/>
      </c>
      <c r="E175" s="1397">
        <f>IF('QS Takeoff'!$B171="","",'QS Takeoff'!C171)</f>
        <v/>
      </c>
      <c r="F175" s="1397">
        <f>IF('QS Takeoff'!$B171="","",'QS Takeoff'!E171)</f>
        <v/>
      </c>
      <c r="G175" s="1397">
        <f>IF('QS Takeoff'!$B171="","",'QS Takeoff'!D171)</f>
        <v/>
      </c>
      <c r="H175" s="1472">
        <f>IF('QS Takeoff'!$B171="","",'QS Takeoff'!G171)</f>
        <v/>
      </c>
      <c r="I175" s="1472">
        <f>SUMIF('Resource Build-Up'!$B$7:$B$306,D175,'Resource Build-Up'!$Z$7:$Z$306)</f>
        <v/>
      </c>
      <c r="J175" s="1473">
        <f>IFERROR(_xlfn.MAXIFS('Resource Build-Up'!$M$7:$M$306,'Resource Build-Up'!$B$7:$B$306,D175),0)</f>
        <v/>
      </c>
      <c r="K175" s="1473">
        <f>IF(J175=0,"",ROUNDUP(J175/8,0))</f>
        <v/>
      </c>
      <c r="L175" s="1474" t="n"/>
      <c r="M175" s="1473">
        <f>IF(L175&lt;&gt;"",L175,K175)</f>
        <v/>
      </c>
      <c r="N175" s="1436">
        <f>IF(M175="","",TEXT(M175,"0")&amp;" days")</f>
        <v/>
      </c>
      <c r="O175" s="1397" t="n"/>
      <c r="P175" s="1397" t="n"/>
      <c r="Q175" s="1397" t="n"/>
      <c r="R175" s="1397" t="n"/>
      <c r="S175" s="1475" t="n"/>
      <c r="T175" s="1476">
        <f>IF($D175="","",I175-N(H175))</f>
        <v/>
      </c>
      <c r="U175" s="1397">
        <f>IF($D175="","",IF(ABS(T175)&lt;0.01,"OK","CHECK"))</f>
        <v/>
      </c>
      <c r="V175" s="1397" t="inlineStr">
        <is>
          <t>Auto Scheduled</t>
        </is>
      </c>
      <c r="W175" s="1397" t="inlineStr">
        <is>
          <t>Prorated</t>
        </is>
      </c>
      <c r="X175" s="1397" t="n"/>
      <c r="Y175" s="1397">
        <f>IF($D175="","",COUNTIF($D$7:$D175,"?*"))</f>
        <v/>
      </c>
    </row>
    <row r="176">
      <c r="A176" s="1471" t="n">
        <v>170</v>
      </c>
      <c r="B176" s="1471" t="n">
        <v>172</v>
      </c>
      <c r="C176" s="1397">
        <f>IF('QS Takeoff'!$B172="","",'QS Takeoff'!A172)</f>
        <v/>
      </c>
      <c r="D176" s="1397">
        <f>IF('QS Takeoff'!$B172="","",'QS Takeoff'!B172)</f>
        <v/>
      </c>
      <c r="E176" s="1397">
        <f>IF('QS Takeoff'!$B172="","",'QS Takeoff'!C172)</f>
        <v/>
      </c>
      <c r="F176" s="1397">
        <f>IF('QS Takeoff'!$B172="","",'QS Takeoff'!E172)</f>
        <v/>
      </c>
      <c r="G176" s="1397">
        <f>IF('QS Takeoff'!$B172="","",'QS Takeoff'!D172)</f>
        <v/>
      </c>
      <c r="H176" s="1472">
        <f>IF('QS Takeoff'!$B172="","",'QS Takeoff'!G172)</f>
        <v/>
      </c>
      <c r="I176" s="1472">
        <f>SUMIF('Resource Build-Up'!$B$7:$B$306,D176,'Resource Build-Up'!$Z$7:$Z$306)</f>
        <v/>
      </c>
      <c r="J176" s="1473">
        <f>IFERROR(_xlfn.MAXIFS('Resource Build-Up'!$M$7:$M$306,'Resource Build-Up'!$B$7:$B$306,D176),0)</f>
        <v/>
      </c>
      <c r="K176" s="1473">
        <f>IF(J176=0,"",ROUNDUP(J176/8,0))</f>
        <v/>
      </c>
      <c r="L176" s="1474" t="n"/>
      <c r="M176" s="1473">
        <f>IF(L176&lt;&gt;"",L176,K176)</f>
        <v/>
      </c>
      <c r="N176" s="1436">
        <f>IF(M176="","",TEXT(M176,"0")&amp;" days")</f>
        <v/>
      </c>
      <c r="O176" s="1397" t="n"/>
      <c r="P176" s="1397" t="n"/>
      <c r="Q176" s="1397" t="n"/>
      <c r="R176" s="1397" t="n"/>
      <c r="S176" s="1475" t="n"/>
      <c r="T176" s="1476">
        <f>IF($D176="","",I176-N(H176))</f>
        <v/>
      </c>
      <c r="U176" s="1397">
        <f>IF($D176="","",IF(ABS(T176)&lt;0.01,"OK","CHECK"))</f>
        <v/>
      </c>
      <c r="V176" s="1397" t="inlineStr">
        <is>
          <t>Auto Scheduled</t>
        </is>
      </c>
      <c r="W176" s="1397" t="inlineStr">
        <is>
          <t>Prorated</t>
        </is>
      </c>
      <c r="X176" s="1397" t="n"/>
      <c r="Y176" s="1397">
        <f>IF($D176="","",COUNTIF($D$7:$D176,"?*"))</f>
        <v/>
      </c>
    </row>
    <row r="177">
      <c r="A177" s="1471" t="n">
        <v>171</v>
      </c>
      <c r="B177" s="1471" t="n">
        <v>173</v>
      </c>
      <c r="C177" s="1397">
        <f>IF('QS Takeoff'!$B173="","",'QS Takeoff'!A173)</f>
        <v/>
      </c>
      <c r="D177" s="1397">
        <f>IF('QS Takeoff'!$B173="","",'QS Takeoff'!B173)</f>
        <v/>
      </c>
      <c r="E177" s="1397">
        <f>IF('QS Takeoff'!$B173="","",'QS Takeoff'!C173)</f>
        <v/>
      </c>
      <c r="F177" s="1397">
        <f>IF('QS Takeoff'!$B173="","",'QS Takeoff'!E173)</f>
        <v/>
      </c>
      <c r="G177" s="1397">
        <f>IF('QS Takeoff'!$B173="","",'QS Takeoff'!D173)</f>
        <v/>
      </c>
      <c r="H177" s="1472">
        <f>IF('QS Takeoff'!$B173="","",'QS Takeoff'!G173)</f>
        <v/>
      </c>
      <c r="I177" s="1472">
        <f>SUMIF('Resource Build-Up'!$B$7:$B$306,D177,'Resource Build-Up'!$Z$7:$Z$306)</f>
        <v/>
      </c>
      <c r="J177" s="1473">
        <f>IFERROR(_xlfn.MAXIFS('Resource Build-Up'!$M$7:$M$306,'Resource Build-Up'!$B$7:$B$306,D177),0)</f>
        <v/>
      </c>
      <c r="K177" s="1473">
        <f>IF(J177=0,"",ROUNDUP(J177/8,0))</f>
        <v/>
      </c>
      <c r="L177" s="1474" t="n"/>
      <c r="M177" s="1473">
        <f>IF(L177&lt;&gt;"",L177,K177)</f>
        <v/>
      </c>
      <c r="N177" s="1436">
        <f>IF(M177="","",TEXT(M177,"0")&amp;" days")</f>
        <v/>
      </c>
      <c r="O177" s="1397" t="n"/>
      <c r="P177" s="1397" t="n"/>
      <c r="Q177" s="1397" t="n"/>
      <c r="R177" s="1397" t="n"/>
      <c r="S177" s="1475" t="n"/>
      <c r="T177" s="1476">
        <f>IF($D177="","",I177-N(H177))</f>
        <v/>
      </c>
      <c r="U177" s="1397">
        <f>IF($D177="","",IF(ABS(T177)&lt;0.01,"OK","CHECK"))</f>
        <v/>
      </c>
      <c r="V177" s="1397" t="inlineStr">
        <is>
          <t>Auto Scheduled</t>
        </is>
      </c>
      <c r="W177" s="1397" t="inlineStr">
        <is>
          <t>Prorated</t>
        </is>
      </c>
      <c r="X177" s="1397" t="n"/>
      <c r="Y177" s="1397">
        <f>IF($D177="","",COUNTIF($D$7:$D177,"?*"))</f>
        <v/>
      </c>
    </row>
    <row r="178">
      <c r="A178" s="1471" t="n">
        <v>172</v>
      </c>
      <c r="B178" s="1471" t="n">
        <v>174</v>
      </c>
      <c r="C178" s="1397">
        <f>IF('QS Takeoff'!$B174="","",'QS Takeoff'!A174)</f>
        <v/>
      </c>
      <c r="D178" s="1397">
        <f>IF('QS Takeoff'!$B174="","",'QS Takeoff'!B174)</f>
        <v/>
      </c>
      <c r="E178" s="1397">
        <f>IF('QS Takeoff'!$B174="","",'QS Takeoff'!C174)</f>
        <v/>
      </c>
      <c r="F178" s="1397">
        <f>IF('QS Takeoff'!$B174="","",'QS Takeoff'!E174)</f>
        <v/>
      </c>
      <c r="G178" s="1397">
        <f>IF('QS Takeoff'!$B174="","",'QS Takeoff'!D174)</f>
        <v/>
      </c>
      <c r="H178" s="1472">
        <f>IF('QS Takeoff'!$B174="","",'QS Takeoff'!G174)</f>
        <v/>
      </c>
      <c r="I178" s="1472">
        <f>SUMIF('Resource Build-Up'!$B$7:$B$306,D178,'Resource Build-Up'!$Z$7:$Z$306)</f>
        <v/>
      </c>
      <c r="J178" s="1473">
        <f>IFERROR(_xlfn.MAXIFS('Resource Build-Up'!$M$7:$M$306,'Resource Build-Up'!$B$7:$B$306,D178),0)</f>
        <v/>
      </c>
      <c r="K178" s="1473">
        <f>IF(J178=0,"",ROUNDUP(J178/8,0))</f>
        <v/>
      </c>
      <c r="L178" s="1474" t="n"/>
      <c r="M178" s="1473">
        <f>IF(L178&lt;&gt;"",L178,K178)</f>
        <v/>
      </c>
      <c r="N178" s="1436">
        <f>IF(M178="","",TEXT(M178,"0")&amp;" days")</f>
        <v/>
      </c>
      <c r="O178" s="1397" t="n"/>
      <c r="P178" s="1397" t="n"/>
      <c r="Q178" s="1397" t="n"/>
      <c r="R178" s="1397" t="n"/>
      <c r="S178" s="1475" t="n"/>
      <c r="T178" s="1476">
        <f>IF($D178="","",I178-N(H178))</f>
        <v/>
      </c>
      <c r="U178" s="1397">
        <f>IF($D178="","",IF(ABS(T178)&lt;0.01,"OK","CHECK"))</f>
        <v/>
      </c>
      <c r="V178" s="1397" t="inlineStr">
        <is>
          <t>Auto Scheduled</t>
        </is>
      </c>
      <c r="W178" s="1397" t="inlineStr">
        <is>
          <t>Prorated</t>
        </is>
      </c>
      <c r="X178" s="1397" t="n"/>
      <c r="Y178" s="1397">
        <f>IF($D178="","",COUNTIF($D$7:$D178,"?*"))</f>
        <v/>
      </c>
    </row>
    <row r="179">
      <c r="A179" s="1471" t="n">
        <v>173</v>
      </c>
      <c r="B179" s="1471" t="n">
        <v>175</v>
      </c>
      <c r="C179" s="1397">
        <f>IF('QS Takeoff'!$B175="","",'QS Takeoff'!A175)</f>
        <v/>
      </c>
      <c r="D179" s="1397">
        <f>IF('QS Takeoff'!$B175="","",'QS Takeoff'!B175)</f>
        <v/>
      </c>
      <c r="E179" s="1397">
        <f>IF('QS Takeoff'!$B175="","",'QS Takeoff'!C175)</f>
        <v/>
      </c>
      <c r="F179" s="1397">
        <f>IF('QS Takeoff'!$B175="","",'QS Takeoff'!E175)</f>
        <v/>
      </c>
      <c r="G179" s="1397">
        <f>IF('QS Takeoff'!$B175="","",'QS Takeoff'!D175)</f>
        <v/>
      </c>
      <c r="H179" s="1472">
        <f>IF('QS Takeoff'!$B175="","",'QS Takeoff'!G175)</f>
        <v/>
      </c>
      <c r="I179" s="1472">
        <f>SUMIF('Resource Build-Up'!$B$7:$B$306,D179,'Resource Build-Up'!$Z$7:$Z$306)</f>
        <v/>
      </c>
      <c r="J179" s="1473">
        <f>IFERROR(_xlfn.MAXIFS('Resource Build-Up'!$M$7:$M$306,'Resource Build-Up'!$B$7:$B$306,D179),0)</f>
        <v/>
      </c>
      <c r="K179" s="1473">
        <f>IF(J179=0,"",ROUNDUP(J179/8,0))</f>
        <v/>
      </c>
      <c r="L179" s="1474" t="n"/>
      <c r="M179" s="1473">
        <f>IF(L179&lt;&gt;"",L179,K179)</f>
        <v/>
      </c>
      <c r="N179" s="1436">
        <f>IF(M179="","",TEXT(M179,"0")&amp;" days")</f>
        <v/>
      </c>
      <c r="O179" s="1397" t="n"/>
      <c r="P179" s="1397" t="n"/>
      <c r="Q179" s="1397" t="n"/>
      <c r="R179" s="1397" t="n"/>
      <c r="S179" s="1475" t="n"/>
      <c r="T179" s="1476">
        <f>IF($D179="","",I179-N(H179))</f>
        <v/>
      </c>
      <c r="U179" s="1397">
        <f>IF($D179="","",IF(ABS(T179)&lt;0.01,"OK","CHECK"))</f>
        <v/>
      </c>
      <c r="V179" s="1397" t="inlineStr">
        <is>
          <t>Auto Scheduled</t>
        </is>
      </c>
      <c r="W179" s="1397" t="inlineStr">
        <is>
          <t>Prorated</t>
        </is>
      </c>
      <c r="X179" s="1397" t="n"/>
      <c r="Y179" s="1397">
        <f>IF($D179="","",COUNTIF($D$7:$D179,"?*"))</f>
        <v/>
      </c>
    </row>
    <row r="180">
      <c r="A180" s="1471" t="n">
        <v>174</v>
      </c>
      <c r="B180" s="1471" t="n">
        <v>176</v>
      </c>
      <c r="C180" s="1397">
        <f>IF('QS Takeoff'!$B176="","",'QS Takeoff'!A176)</f>
        <v/>
      </c>
      <c r="D180" s="1397">
        <f>IF('QS Takeoff'!$B176="","",'QS Takeoff'!B176)</f>
        <v/>
      </c>
      <c r="E180" s="1397">
        <f>IF('QS Takeoff'!$B176="","",'QS Takeoff'!C176)</f>
        <v/>
      </c>
      <c r="F180" s="1397">
        <f>IF('QS Takeoff'!$B176="","",'QS Takeoff'!E176)</f>
        <v/>
      </c>
      <c r="G180" s="1397">
        <f>IF('QS Takeoff'!$B176="","",'QS Takeoff'!D176)</f>
        <v/>
      </c>
      <c r="H180" s="1472">
        <f>IF('QS Takeoff'!$B176="","",'QS Takeoff'!G176)</f>
        <v/>
      </c>
      <c r="I180" s="1472">
        <f>SUMIF('Resource Build-Up'!$B$7:$B$306,D180,'Resource Build-Up'!$Z$7:$Z$306)</f>
        <v/>
      </c>
      <c r="J180" s="1473">
        <f>IFERROR(_xlfn.MAXIFS('Resource Build-Up'!$M$7:$M$306,'Resource Build-Up'!$B$7:$B$306,D180),0)</f>
        <v/>
      </c>
      <c r="K180" s="1473">
        <f>IF(J180=0,"",ROUNDUP(J180/8,0))</f>
        <v/>
      </c>
      <c r="L180" s="1474" t="n"/>
      <c r="M180" s="1473">
        <f>IF(L180&lt;&gt;"",L180,K180)</f>
        <v/>
      </c>
      <c r="N180" s="1436">
        <f>IF(M180="","",TEXT(M180,"0")&amp;" days")</f>
        <v/>
      </c>
      <c r="O180" s="1397" t="n"/>
      <c r="P180" s="1397" t="n"/>
      <c r="Q180" s="1397" t="n"/>
      <c r="R180" s="1397" t="n"/>
      <c r="S180" s="1475" t="n"/>
      <c r="T180" s="1476">
        <f>IF($D180="","",I180-N(H180))</f>
        <v/>
      </c>
      <c r="U180" s="1397">
        <f>IF($D180="","",IF(ABS(T180)&lt;0.01,"OK","CHECK"))</f>
        <v/>
      </c>
      <c r="V180" s="1397" t="inlineStr">
        <is>
          <t>Auto Scheduled</t>
        </is>
      </c>
      <c r="W180" s="1397" t="inlineStr">
        <is>
          <t>Prorated</t>
        </is>
      </c>
      <c r="X180" s="1397" t="n"/>
      <c r="Y180" s="1397">
        <f>IF($D180="","",COUNTIF($D$7:$D180,"?*"))</f>
        <v/>
      </c>
    </row>
    <row r="181">
      <c r="A181" s="1471" t="n">
        <v>175</v>
      </c>
      <c r="B181" s="1471" t="n">
        <v>177</v>
      </c>
      <c r="C181" s="1397">
        <f>IF('QS Takeoff'!$B177="","",'QS Takeoff'!A177)</f>
        <v/>
      </c>
      <c r="D181" s="1397">
        <f>IF('QS Takeoff'!$B177="","",'QS Takeoff'!B177)</f>
        <v/>
      </c>
      <c r="E181" s="1397">
        <f>IF('QS Takeoff'!$B177="","",'QS Takeoff'!C177)</f>
        <v/>
      </c>
      <c r="F181" s="1397">
        <f>IF('QS Takeoff'!$B177="","",'QS Takeoff'!E177)</f>
        <v/>
      </c>
      <c r="G181" s="1397">
        <f>IF('QS Takeoff'!$B177="","",'QS Takeoff'!D177)</f>
        <v/>
      </c>
      <c r="H181" s="1472">
        <f>IF('QS Takeoff'!$B177="","",'QS Takeoff'!G177)</f>
        <v/>
      </c>
      <c r="I181" s="1472">
        <f>SUMIF('Resource Build-Up'!$B$7:$B$306,D181,'Resource Build-Up'!$Z$7:$Z$306)</f>
        <v/>
      </c>
      <c r="J181" s="1473">
        <f>IFERROR(_xlfn.MAXIFS('Resource Build-Up'!$M$7:$M$306,'Resource Build-Up'!$B$7:$B$306,D181),0)</f>
        <v/>
      </c>
      <c r="K181" s="1473">
        <f>IF(J181=0,"",ROUNDUP(J181/8,0))</f>
        <v/>
      </c>
      <c r="L181" s="1474" t="n"/>
      <c r="M181" s="1473">
        <f>IF(L181&lt;&gt;"",L181,K181)</f>
        <v/>
      </c>
      <c r="N181" s="1436">
        <f>IF(M181="","",TEXT(M181,"0")&amp;" days")</f>
        <v/>
      </c>
      <c r="O181" s="1397" t="n"/>
      <c r="P181" s="1397" t="n"/>
      <c r="Q181" s="1397" t="n"/>
      <c r="R181" s="1397" t="n"/>
      <c r="S181" s="1475" t="n"/>
      <c r="T181" s="1476">
        <f>IF($D181="","",I181-N(H181))</f>
        <v/>
      </c>
      <c r="U181" s="1397">
        <f>IF($D181="","",IF(ABS(T181)&lt;0.01,"OK","CHECK"))</f>
        <v/>
      </c>
      <c r="V181" s="1397" t="inlineStr">
        <is>
          <t>Auto Scheduled</t>
        </is>
      </c>
      <c r="W181" s="1397" t="inlineStr">
        <is>
          <t>Prorated</t>
        </is>
      </c>
      <c r="X181" s="1397" t="n"/>
      <c r="Y181" s="1397">
        <f>IF($D181="","",COUNTIF($D$7:$D181,"?*"))</f>
        <v/>
      </c>
    </row>
    <row r="182">
      <c r="A182" s="1471" t="n">
        <v>176</v>
      </c>
      <c r="B182" s="1471" t="n">
        <v>178</v>
      </c>
      <c r="C182" s="1397">
        <f>IF('QS Takeoff'!$B178="","",'QS Takeoff'!A178)</f>
        <v/>
      </c>
      <c r="D182" s="1397">
        <f>IF('QS Takeoff'!$B178="","",'QS Takeoff'!B178)</f>
        <v/>
      </c>
      <c r="E182" s="1397">
        <f>IF('QS Takeoff'!$B178="","",'QS Takeoff'!C178)</f>
        <v/>
      </c>
      <c r="F182" s="1397">
        <f>IF('QS Takeoff'!$B178="","",'QS Takeoff'!E178)</f>
        <v/>
      </c>
      <c r="G182" s="1397">
        <f>IF('QS Takeoff'!$B178="","",'QS Takeoff'!D178)</f>
        <v/>
      </c>
      <c r="H182" s="1472">
        <f>IF('QS Takeoff'!$B178="","",'QS Takeoff'!G178)</f>
        <v/>
      </c>
      <c r="I182" s="1472">
        <f>SUMIF('Resource Build-Up'!$B$7:$B$306,D182,'Resource Build-Up'!$Z$7:$Z$306)</f>
        <v/>
      </c>
      <c r="J182" s="1473">
        <f>IFERROR(_xlfn.MAXIFS('Resource Build-Up'!$M$7:$M$306,'Resource Build-Up'!$B$7:$B$306,D182),0)</f>
        <v/>
      </c>
      <c r="K182" s="1473">
        <f>IF(J182=0,"",ROUNDUP(J182/8,0))</f>
        <v/>
      </c>
      <c r="L182" s="1474" t="n"/>
      <c r="M182" s="1473">
        <f>IF(L182&lt;&gt;"",L182,K182)</f>
        <v/>
      </c>
      <c r="N182" s="1436">
        <f>IF(M182="","",TEXT(M182,"0")&amp;" days")</f>
        <v/>
      </c>
      <c r="O182" s="1397" t="n"/>
      <c r="P182" s="1397" t="n"/>
      <c r="Q182" s="1397" t="n"/>
      <c r="R182" s="1397" t="n"/>
      <c r="S182" s="1475" t="n"/>
      <c r="T182" s="1476">
        <f>IF($D182="","",I182-N(H182))</f>
        <v/>
      </c>
      <c r="U182" s="1397">
        <f>IF($D182="","",IF(ABS(T182)&lt;0.01,"OK","CHECK"))</f>
        <v/>
      </c>
      <c r="V182" s="1397" t="inlineStr">
        <is>
          <t>Auto Scheduled</t>
        </is>
      </c>
      <c r="W182" s="1397" t="inlineStr">
        <is>
          <t>Prorated</t>
        </is>
      </c>
      <c r="X182" s="1397" t="n"/>
      <c r="Y182" s="1397">
        <f>IF($D182="","",COUNTIF($D$7:$D182,"?*"))</f>
        <v/>
      </c>
    </row>
    <row r="183">
      <c r="A183" s="1471" t="n">
        <v>177</v>
      </c>
      <c r="B183" s="1471" t="n">
        <v>179</v>
      </c>
      <c r="C183" s="1397">
        <f>IF('QS Takeoff'!$B179="","",'QS Takeoff'!A179)</f>
        <v/>
      </c>
      <c r="D183" s="1397">
        <f>IF('QS Takeoff'!$B179="","",'QS Takeoff'!B179)</f>
        <v/>
      </c>
      <c r="E183" s="1397">
        <f>IF('QS Takeoff'!$B179="","",'QS Takeoff'!C179)</f>
        <v/>
      </c>
      <c r="F183" s="1397">
        <f>IF('QS Takeoff'!$B179="","",'QS Takeoff'!E179)</f>
        <v/>
      </c>
      <c r="G183" s="1397">
        <f>IF('QS Takeoff'!$B179="","",'QS Takeoff'!D179)</f>
        <v/>
      </c>
      <c r="H183" s="1472">
        <f>IF('QS Takeoff'!$B179="","",'QS Takeoff'!G179)</f>
        <v/>
      </c>
      <c r="I183" s="1472">
        <f>SUMIF('Resource Build-Up'!$B$7:$B$306,D183,'Resource Build-Up'!$Z$7:$Z$306)</f>
        <v/>
      </c>
      <c r="J183" s="1473">
        <f>IFERROR(_xlfn.MAXIFS('Resource Build-Up'!$M$7:$M$306,'Resource Build-Up'!$B$7:$B$306,D183),0)</f>
        <v/>
      </c>
      <c r="K183" s="1473">
        <f>IF(J183=0,"",ROUNDUP(J183/8,0))</f>
        <v/>
      </c>
      <c r="L183" s="1474" t="n"/>
      <c r="M183" s="1473">
        <f>IF(L183&lt;&gt;"",L183,K183)</f>
        <v/>
      </c>
      <c r="N183" s="1436">
        <f>IF(M183="","",TEXT(M183,"0")&amp;" days")</f>
        <v/>
      </c>
      <c r="O183" s="1397" t="n"/>
      <c r="P183" s="1397" t="n"/>
      <c r="Q183" s="1397" t="n"/>
      <c r="R183" s="1397" t="n"/>
      <c r="S183" s="1475" t="n"/>
      <c r="T183" s="1476">
        <f>IF($D183="","",I183-N(H183))</f>
        <v/>
      </c>
      <c r="U183" s="1397">
        <f>IF($D183="","",IF(ABS(T183)&lt;0.01,"OK","CHECK"))</f>
        <v/>
      </c>
      <c r="V183" s="1397" t="inlineStr">
        <is>
          <t>Auto Scheduled</t>
        </is>
      </c>
      <c r="W183" s="1397" t="inlineStr">
        <is>
          <t>Prorated</t>
        </is>
      </c>
      <c r="X183" s="1397" t="n"/>
      <c r="Y183" s="1397">
        <f>IF($D183="","",COUNTIF($D$7:$D183,"?*"))</f>
        <v/>
      </c>
    </row>
    <row r="184">
      <c r="A184" s="1471" t="n">
        <v>178</v>
      </c>
      <c r="B184" s="1471" t="n">
        <v>180</v>
      </c>
      <c r="C184" s="1397">
        <f>IF('QS Takeoff'!$B180="","",'QS Takeoff'!A180)</f>
        <v/>
      </c>
      <c r="D184" s="1397">
        <f>IF('QS Takeoff'!$B180="","",'QS Takeoff'!B180)</f>
        <v/>
      </c>
      <c r="E184" s="1397">
        <f>IF('QS Takeoff'!$B180="","",'QS Takeoff'!C180)</f>
        <v/>
      </c>
      <c r="F184" s="1397">
        <f>IF('QS Takeoff'!$B180="","",'QS Takeoff'!E180)</f>
        <v/>
      </c>
      <c r="G184" s="1397">
        <f>IF('QS Takeoff'!$B180="","",'QS Takeoff'!D180)</f>
        <v/>
      </c>
      <c r="H184" s="1472">
        <f>IF('QS Takeoff'!$B180="","",'QS Takeoff'!G180)</f>
        <v/>
      </c>
      <c r="I184" s="1472">
        <f>SUMIF('Resource Build-Up'!$B$7:$B$306,D184,'Resource Build-Up'!$Z$7:$Z$306)</f>
        <v/>
      </c>
      <c r="J184" s="1473">
        <f>IFERROR(_xlfn.MAXIFS('Resource Build-Up'!$M$7:$M$306,'Resource Build-Up'!$B$7:$B$306,D184),0)</f>
        <v/>
      </c>
      <c r="K184" s="1473">
        <f>IF(J184=0,"",ROUNDUP(J184/8,0))</f>
        <v/>
      </c>
      <c r="L184" s="1474" t="n"/>
      <c r="M184" s="1473">
        <f>IF(L184&lt;&gt;"",L184,K184)</f>
        <v/>
      </c>
      <c r="N184" s="1436">
        <f>IF(M184="","",TEXT(M184,"0")&amp;" days")</f>
        <v/>
      </c>
      <c r="O184" s="1397" t="n"/>
      <c r="P184" s="1397" t="n"/>
      <c r="Q184" s="1397" t="n"/>
      <c r="R184" s="1397" t="n"/>
      <c r="S184" s="1475" t="n"/>
      <c r="T184" s="1476">
        <f>IF($D184="","",I184-N(H184))</f>
        <v/>
      </c>
      <c r="U184" s="1397">
        <f>IF($D184="","",IF(ABS(T184)&lt;0.01,"OK","CHECK"))</f>
        <v/>
      </c>
      <c r="V184" s="1397" t="inlineStr">
        <is>
          <t>Auto Scheduled</t>
        </is>
      </c>
      <c r="W184" s="1397" t="inlineStr">
        <is>
          <t>Prorated</t>
        </is>
      </c>
      <c r="X184" s="1397" t="n"/>
      <c r="Y184" s="1397">
        <f>IF($D184="","",COUNTIF($D$7:$D184,"?*"))</f>
        <v/>
      </c>
    </row>
    <row r="185">
      <c r="A185" s="1471" t="n">
        <v>179</v>
      </c>
      <c r="B185" s="1471" t="n">
        <v>181</v>
      </c>
      <c r="C185" s="1397">
        <f>IF('QS Takeoff'!$B181="","",'QS Takeoff'!A181)</f>
        <v/>
      </c>
      <c r="D185" s="1397">
        <f>IF('QS Takeoff'!$B181="","",'QS Takeoff'!B181)</f>
        <v/>
      </c>
      <c r="E185" s="1397">
        <f>IF('QS Takeoff'!$B181="","",'QS Takeoff'!C181)</f>
        <v/>
      </c>
      <c r="F185" s="1397">
        <f>IF('QS Takeoff'!$B181="","",'QS Takeoff'!E181)</f>
        <v/>
      </c>
      <c r="G185" s="1397">
        <f>IF('QS Takeoff'!$B181="","",'QS Takeoff'!D181)</f>
        <v/>
      </c>
      <c r="H185" s="1472">
        <f>IF('QS Takeoff'!$B181="","",'QS Takeoff'!G181)</f>
        <v/>
      </c>
      <c r="I185" s="1472">
        <f>SUMIF('Resource Build-Up'!$B$7:$B$306,D185,'Resource Build-Up'!$Z$7:$Z$306)</f>
        <v/>
      </c>
      <c r="J185" s="1473">
        <f>IFERROR(_xlfn.MAXIFS('Resource Build-Up'!$M$7:$M$306,'Resource Build-Up'!$B$7:$B$306,D185),0)</f>
        <v/>
      </c>
      <c r="K185" s="1473">
        <f>IF(J185=0,"",ROUNDUP(J185/8,0))</f>
        <v/>
      </c>
      <c r="L185" s="1474" t="n"/>
      <c r="M185" s="1473">
        <f>IF(L185&lt;&gt;"",L185,K185)</f>
        <v/>
      </c>
      <c r="N185" s="1436">
        <f>IF(M185="","",TEXT(M185,"0")&amp;" days")</f>
        <v/>
      </c>
      <c r="O185" s="1397" t="n"/>
      <c r="P185" s="1397" t="n"/>
      <c r="Q185" s="1397" t="n"/>
      <c r="R185" s="1397" t="n"/>
      <c r="S185" s="1475" t="n"/>
      <c r="T185" s="1476">
        <f>IF($D185="","",I185-N(H185))</f>
        <v/>
      </c>
      <c r="U185" s="1397">
        <f>IF($D185="","",IF(ABS(T185)&lt;0.01,"OK","CHECK"))</f>
        <v/>
      </c>
      <c r="V185" s="1397" t="inlineStr">
        <is>
          <t>Auto Scheduled</t>
        </is>
      </c>
      <c r="W185" s="1397" t="inlineStr">
        <is>
          <t>Prorated</t>
        </is>
      </c>
      <c r="X185" s="1397" t="n"/>
      <c r="Y185" s="1397">
        <f>IF($D185="","",COUNTIF($D$7:$D185,"?*"))</f>
        <v/>
      </c>
    </row>
    <row r="186">
      <c r="A186" s="1471" t="n">
        <v>180</v>
      </c>
      <c r="B186" s="1471" t="n">
        <v>182</v>
      </c>
      <c r="C186" s="1397">
        <f>IF('QS Takeoff'!$B182="","",'QS Takeoff'!A182)</f>
        <v/>
      </c>
      <c r="D186" s="1397">
        <f>IF('QS Takeoff'!$B182="","",'QS Takeoff'!B182)</f>
        <v/>
      </c>
      <c r="E186" s="1397">
        <f>IF('QS Takeoff'!$B182="","",'QS Takeoff'!C182)</f>
        <v/>
      </c>
      <c r="F186" s="1397">
        <f>IF('QS Takeoff'!$B182="","",'QS Takeoff'!E182)</f>
        <v/>
      </c>
      <c r="G186" s="1397">
        <f>IF('QS Takeoff'!$B182="","",'QS Takeoff'!D182)</f>
        <v/>
      </c>
      <c r="H186" s="1472">
        <f>IF('QS Takeoff'!$B182="","",'QS Takeoff'!G182)</f>
        <v/>
      </c>
      <c r="I186" s="1472">
        <f>SUMIF('Resource Build-Up'!$B$7:$B$306,D186,'Resource Build-Up'!$Z$7:$Z$306)</f>
        <v/>
      </c>
      <c r="J186" s="1473">
        <f>IFERROR(_xlfn.MAXIFS('Resource Build-Up'!$M$7:$M$306,'Resource Build-Up'!$B$7:$B$306,D186),0)</f>
        <v/>
      </c>
      <c r="K186" s="1473">
        <f>IF(J186=0,"",ROUNDUP(J186/8,0))</f>
        <v/>
      </c>
      <c r="L186" s="1474" t="n"/>
      <c r="M186" s="1473">
        <f>IF(L186&lt;&gt;"",L186,K186)</f>
        <v/>
      </c>
      <c r="N186" s="1436">
        <f>IF(M186="","",TEXT(M186,"0")&amp;" days")</f>
        <v/>
      </c>
      <c r="O186" s="1397" t="n"/>
      <c r="P186" s="1397" t="n"/>
      <c r="Q186" s="1397" t="n"/>
      <c r="R186" s="1397" t="n"/>
      <c r="S186" s="1475" t="n"/>
      <c r="T186" s="1476">
        <f>IF($D186="","",I186-N(H186))</f>
        <v/>
      </c>
      <c r="U186" s="1397">
        <f>IF($D186="","",IF(ABS(T186)&lt;0.01,"OK","CHECK"))</f>
        <v/>
      </c>
      <c r="V186" s="1397" t="inlineStr">
        <is>
          <t>Auto Scheduled</t>
        </is>
      </c>
      <c r="W186" s="1397" t="inlineStr">
        <is>
          <t>Prorated</t>
        </is>
      </c>
      <c r="X186" s="1397" t="n"/>
      <c r="Y186" s="1397">
        <f>IF($D186="","",COUNTIF($D$7:$D186,"?*"))</f>
        <v/>
      </c>
    </row>
    <row r="187">
      <c r="A187" s="1471" t="n">
        <v>181</v>
      </c>
      <c r="B187" s="1471" t="n">
        <v>183</v>
      </c>
      <c r="C187" s="1397">
        <f>IF('QS Takeoff'!$B183="","",'QS Takeoff'!A183)</f>
        <v/>
      </c>
      <c r="D187" s="1397">
        <f>IF('QS Takeoff'!$B183="","",'QS Takeoff'!B183)</f>
        <v/>
      </c>
      <c r="E187" s="1397">
        <f>IF('QS Takeoff'!$B183="","",'QS Takeoff'!C183)</f>
        <v/>
      </c>
      <c r="F187" s="1397">
        <f>IF('QS Takeoff'!$B183="","",'QS Takeoff'!E183)</f>
        <v/>
      </c>
      <c r="G187" s="1397">
        <f>IF('QS Takeoff'!$B183="","",'QS Takeoff'!D183)</f>
        <v/>
      </c>
      <c r="H187" s="1472">
        <f>IF('QS Takeoff'!$B183="","",'QS Takeoff'!G183)</f>
        <v/>
      </c>
      <c r="I187" s="1472">
        <f>SUMIF('Resource Build-Up'!$B$7:$B$306,D187,'Resource Build-Up'!$Z$7:$Z$306)</f>
        <v/>
      </c>
      <c r="J187" s="1473">
        <f>IFERROR(_xlfn.MAXIFS('Resource Build-Up'!$M$7:$M$306,'Resource Build-Up'!$B$7:$B$306,D187),0)</f>
        <v/>
      </c>
      <c r="K187" s="1473">
        <f>IF(J187=0,"",ROUNDUP(J187/8,0))</f>
        <v/>
      </c>
      <c r="L187" s="1474" t="n"/>
      <c r="M187" s="1473">
        <f>IF(L187&lt;&gt;"",L187,K187)</f>
        <v/>
      </c>
      <c r="N187" s="1436">
        <f>IF(M187="","",TEXT(M187,"0")&amp;" days")</f>
        <v/>
      </c>
      <c r="O187" s="1397" t="n"/>
      <c r="P187" s="1397" t="n"/>
      <c r="Q187" s="1397" t="n"/>
      <c r="R187" s="1397" t="n"/>
      <c r="S187" s="1475" t="n"/>
      <c r="T187" s="1476">
        <f>IF($D187="","",I187-N(H187))</f>
        <v/>
      </c>
      <c r="U187" s="1397">
        <f>IF($D187="","",IF(ABS(T187)&lt;0.01,"OK","CHECK"))</f>
        <v/>
      </c>
      <c r="V187" s="1397" t="inlineStr">
        <is>
          <t>Auto Scheduled</t>
        </is>
      </c>
      <c r="W187" s="1397" t="inlineStr">
        <is>
          <t>Prorated</t>
        </is>
      </c>
      <c r="X187" s="1397" t="n"/>
      <c r="Y187" s="1397">
        <f>IF($D187="","",COUNTIF($D$7:$D187,"?*"))</f>
        <v/>
      </c>
    </row>
    <row r="188">
      <c r="A188" s="1471" t="n">
        <v>182</v>
      </c>
      <c r="B188" s="1471" t="n">
        <v>184</v>
      </c>
      <c r="C188" s="1397">
        <f>IF('QS Takeoff'!$B184="","",'QS Takeoff'!A184)</f>
        <v/>
      </c>
      <c r="D188" s="1397">
        <f>IF('QS Takeoff'!$B184="","",'QS Takeoff'!B184)</f>
        <v/>
      </c>
      <c r="E188" s="1397">
        <f>IF('QS Takeoff'!$B184="","",'QS Takeoff'!C184)</f>
        <v/>
      </c>
      <c r="F188" s="1397">
        <f>IF('QS Takeoff'!$B184="","",'QS Takeoff'!E184)</f>
        <v/>
      </c>
      <c r="G188" s="1397">
        <f>IF('QS Takeoff'!$B184="","",'QS Takeoff'!D184)</f>
        <v/>
      </c>
      <c r="H188" s="1472">
        <f>IF('QS Takeoff'!$B184="","",'QS Takeoff'!G184)</f>
        <v/>
      </c>
      <c r="I188" s="1472">
        <f>SUMIF('Resource Build-Up'!$B$7:$B$306,D188,'Resource Build-Up'!$Z$7:$Z$306)</f>
        <v/>
      </c>
      <c r="J188" s="1473">
        <f>IFERROR(_xlfn.MAXIFS('Resource Build-Up'!$M$7:$M$306,'Resource Build-Up'!$B$7:$B$306,D188),0)</f>
        <v/>
      </c>
      <c r="K188" s="1473">
        <f>IF(J188=0,"",ROUNDUP(J188/8,0))</f>
        <v/>
      </c>
      <c r="L188" s="1474" t="n"/>
      <c r="M188" s="1473">
        <f>IF(L188&lt;&gt;"",L188,K188)</f>
        <v/>
      </c>
      <c r="N188" s="1436">
        <f>IF(M188="","",TEXT(M188,"0")&amp;" days")</f>
        <v/>
      </c>
      <c r="O188" s="1397" t="n"/>
      <c r="P188" s="1397" t="n"/>
      <c r="Q188" s="1397" t="n"/>
      <c r="R188" s="1397" t="n"/>
      <c r="S188" s="1475" t="n"/>
      <c r="T188" s="1476">
        <f>IF($D188="","",I188-N(H188))</f>
        <v/>
      </c>
      <c r="U188" s="1397">
        <f>IF($D188="","",IF(ABS(T188)&lt;0.01,"OK","CHECK"))</f>
        <v/>
      </c>
      <c r="V188" s="1397" t="inlineStr">
        <is>
          <t>Auto Scheduled</t>
        </is>
      </c>
      <c r="W188" s="1397" t="inlineStr">
        <is>
          <t>Prorated</t>
        </is>
      </c>
      <c r="X188" s="1397" t="n"/>
      <c r="Y188" s="1397">
        <f>IF($D188="","",COUNTIF($D$7:$D188,"?*"))</f>
        <v/>
      </c>
    </row>
    <row r="189">
      <c r="A189" s="1471" t="n">
        <v>183</v>
      </c>
      <c r="B189" s="1471" t="n">
        <v>185</v>
      </c>
      <c r="C189" s="1397">
        <f>IF('QS Takeoff'!$B185="","",'QS Takeoff'!A185)</f>
        <v/>
      </c>
      <c r="D189" s="1397">
        <f>IF('QS Takeoff'!$B185="","",'QS Takeoff'!B185)</f>
        <v/>
      </c>
      <c r="E189" s="1397">
        <f>IF('QS Takeoff'!$B185="","",'QS Takeoff'!C185)</f>
        <v/>
      </c>
      <c r="F189" s="1397">
        <f>IF('QS Takeoff'!$B185="","",'QS Takeoff'!E185)</f>
        <v/>
      </c>
      <c r="G189" s="1397">
        <f>IF('QS Takeoff'!$B185="","",'QS Takeoff'!D185)</f>
        <v/>
      </c>
      <c r="H189" s="1472">
        <f>IF('QS Takeoff'!$B185="","",'QS Takeoff'!G185)</f>
        <v/>
      </c>
      <c r="I189" s="1472">
        <f>SUMIF('Resource Build-Up'!$B$7:$B$306,D189,'Resource Build-Up'!$Z$7:$Z$306)</f>
        <v/>
      </c>
      <c r="J189" s="1473">
        <f>IFERROR(_xlfn.MAXIFS('Resource Build-Up'!$M$7:$M$306,'Resource Build-Up'!$B$7:$B$306,D189),0)</f>
        <v/>
      </c>
      <c r="K189" s="1473">
        <f>IF(J189=0,"",ROUNDUP(J189/8,0))</f>
        <v/>
      </c>
      <c r="L189" s="1474" t="n"/>
      <c r="M189" s="1473">
        <f>IF(L189&lt;&gt;"",L189,K189)</f>
        <v/>
      </c>
      <c r="N189" s="1436">
        <f>IF(M189="","",TEXT(M189,"0")&amp;" days")</f>
        <v/>
      </c>
      <c r="O189" s="1397" t="n"/>
      <c r="P189" s="1397" t="n"/>
      <c r="Q189" s="1397" t="n"/>
      <c r="R189" s="1397" t="n"/>
      <c r="S189" s="1475" t="n"/>
      <c r="T189" s="1476">
        <f>IF($D189="","",I189-N(H189))</f>
        <v/>
      </c>
      <c r="U189" s="1397">
        <f>IF($D189="","",IF(ABS(T189)&lt;0.01,"OK","CHECK"))</f>
        <v/>
      </c>
      <c r="V189" s="1397" t="inlineStr">
        <is>
          <t>Auto Scheduled</t>
        </is>
      </c>
      <c r="W189" s="1397" t="inlineStr">
        <is>
          <t>Prorated</t>
        </is>
      </c>
      <c r="X189" s="1397" t="n"/>
      <c r="Y189" s="1397">
        <f>IF($D189="","",COUNTIF($D$7:$D189,"?*"))</f>
        <v/>
      </c>
    </row>
    <row r="190">
      <c r="A190" s="1471" t="n">
        <v>184</v>
      </c>
      <c r="B190" s="1471" t="n">
        <v>186</v>
      </c>
      <c r="C190" s="1397">
        <f>IF('QS Takeoff'!$B186="","",'QS Takeoff'!A186)</f>
        <v/>
      </c>
      <c r="D190" s="1397">
        <f>IF('QS Takeoff'!$B186="","",'QS Takeoff'!B186)</f>
        <v/>
      </c>
      <c r="E190" s="1397">
        <f>IF('QS Takeoff'!$B186="","",'QS Takeoff'!C186)</f>
        <v/>
      </c>
      <c r="F190" s="1397">
        <f>IF('QS Takeoff'!$B186="","",'QS Takeoff'!E186)</f>
        <v/>
      </c>
      <c r="G190" s="1397">
        <f>IF('QS Takeoff'!$B186="","",'QS Takeoff'!D186)</f>
        <v/>
      </c>
      <c r="H190" s="1472">
        <f>IF('QS Takeoff'!$B186="","",'QS Takeoff'!G186)</f>
        <v/>
      </c>
      <c r="I190" s="1472">
        <f>SUMIF('Resource Build-Up'!$B$7:$B$306,D190,'Resource Build-Up'!$Z$7:$Z$306)</f>
        <v/>
      </c>
      <c r="J190" s="1473">
        <f>IFERROR(_xlfn.MAXIFS('Resource Build-Up'!$M$7:$M$306,'Resource Build-Up'!$B$7:$B$306,D190),0)</f>
        <v/>
      </c>
      <c r="K190" s="1473">
        <f>IF(J190=0,"",ROUNDUP(J190/8,0))</f>
        <v/>
      </c>
      <c r="L190" s="1474" t="n"/>
      <c r="M190" s="1473">
        <f>IF(L190&lt;&gt;"",L190,K190)</f>
        <v/>
      </c>
      <c r="N190" s="1436">
        <f>IF(M190="","",TEXT(M190,"0")&amp;" days")</f>
        <v/>
      </c>
      <c r="O190" s="1397" t="n"/>
      <c r="P190" s="1397" t="n"/>
      <c r="Q190" s="1397" t="n"/>
      <c r="R190" s="1397" t="n"/>
      <c r="S190" s="1475" t="n"/>
      <c r="T190" s="1476">
        <f>IF($D190="","",I190-N(H190))</f>
        <v/>
      </c>
      <c r="U190" s="1397">
        <f>IF($D190="","",IF(ABS(T190)&lt;0.01,"OK","CHECK"))</f>
        <v/>
      </c>
      <c r="V190" s="1397" t="inlineStr">
        <is>
          <t>Auto Scheduled</t>
        </is>
      </c>
      <c r="W190" s="1397" t="inlineStr">
        <is>
          <t>Prorated</t>
        </is>
      </c>
      <c r="X190" s="1397" t="n"/>
      <c r="Y190" s="1397">
        <f>IF($D190="","",COUNTIF($D$7:$D190,"?*"))</f>
        <v/>
      </c>
    </row>
    <row r="191">
      <c r="A191" s="1471" t="n">
        <v>185</v>
      </c>
      <c r="B191" s="1471" t="n">
        <v>187</v>
      </c>
      <c r="C191" s="1397">
        <f>IF('QS Takeoff'!$B187="","",'QS Takeoff'!A187)</f>
        <v/>
      </c>
      <c r="D191" s="1397">
        <f>IF('QS Takeoff'!$B187="","",'QS Takeoff'!B187)</f>
        <v/>
      </c>
      <c r="E191" s="1397">
        <f>IF('QS Takeoff'!$B187="","",'QS Takeoff'!C187)</f>
        <v/>
      </c>
      <c r="F191" s="1397">
        <f>IF('QS Takeoff'!$B187="","",'QS Takeoff'!E187)</f>
        <v/>
      </c>
      <c r="G191" s="1397">
        <f>IF('QS Takeoff'!$B187="","",'QS Takeoff'!D187)</f>
        <v/>
      </c>
      <c r="H191" s="1472">
        <f>IF('QS Takeoff'!$B187="","",'QS Takeoff'!G187)</f>
        <v/>
      </c>
      <c r="I191" s="1472">
        <f>SUMIF('Resource Build-Up'!$B$7:$B$306,D191,'Resource Build-Up'!$Z$7:$Z$306)</f>
        <v/>
      </c>
      <c r="J191" s="1473">
        <f>IFERROR(_xlfn.MAXIFS('Resource Build-Up'!$M$7:$M$306,'Resource Build-Up'!$B$7:$B$306,D191),0)</f>
        <v/>
      </c>
      <c r="K191" s="1473">
        <f>IF(J191=0,"",ROUNDUP(J191/8,0))</f>
        <v/>
      </c>
      <c r="L191" s="1474" t="n"/>
      <c r="M191" s="1473">
        <f>IF(L191&lt;&gt;"",L191,K191)</f>
        <v/>
      </c>
      <c r="N191" s="1436">
        <f>IF(M191="","",TEXT(M191,"0")&amp;" days")</f>
        <v/>
      </c>
      <c r="O191" s="1397" t="n"/>
      <c r="P191" s="1397" t="n"/>
      <c r="Q191" s="1397" t="n"/>
      <c r="R191" s="1397" t="n"/>
      <c r="S191" s="1475" t="n"/>
      <c r="T191" s="1476">
        <f>IF($D191="","",I191-N(H191))</f>
        <v/>
      </c>
      <c r="U191" s="1397">
        <f>IF($D191="","",IF(ABS(T191)&lt;0.01,"OK","CHECK"))</f>
        <v/>
      </c>
      <c r="V191" s="1397" t="inlineStr">
        <is>
          <t>Auto Scheduled</t>
        </is>
      </c>
      <c r="W191" s="1397" t="inlineStr">
        <is>
          <t>Prorated</t>
        </is>
      </c>
      <c r="X191" s="1397" t="n"/>
      <c r="Y191" s="1397">
        <f>IF($D191="","",COUNTIF($D$7:$D191,"?*"))</f>
        <v/>
      </c>
    </row>
    <row r="192">
      <c r="A192" s="1471" t="n">
        <v>186</v>
      </c>
      <c r="B192" s="1471" t="n">
        <v>188</v>
      </c>
      <c r="C192" s="1397">
        <f>IF('QS Takeoff'!$B188="","",'QS Takeoff'!A188)</f>
        <v/>
      </c>
      <c r="D192" s="1397">
        <f>IF('QS Takeoff'!$B188="","",'QS Takeoff'!B188)</f>
        <v/>
      </c>
      <c r="E192" s="1397">
        <f>IF('QS Takeoff'!$B188="","",'QS Takeoff'!C188)</f>
        <v/>
      </c>
      <c r="F192" s="1397">
        <f>IF('QS Takeoff'!$B188="","",'QS Takeoff'!E188)</f>
        <v/>
      </c>
      <c r="G192" s="1397">
        <f>IF('QS Takeoff'!$B188="","",'QS Takeoff'!D188)</f>
        <v/>
      </c>
      <c r="H192" s="1472">
        <f>IF('QS Takeoff'!$B188="","",'QS Takeoff'!G188)</f>
        <v/>
      </c>
      <c r="I192" s="1472">
        <f>SUMIF('Resource Build-Up'!$B$7:$B$306,D192,'Resource Build-Up'!$Z$7:$Z$306)</f>
        <v/>
      </c>
      <c r="J192" s="1473">
        <f>IFERROR(_xlfn.MAXIFS('Resource Build-Up'!$M$7:$M$306,'Resource Build-Up'!$B$7:$B$306,D192),0)</f>
        <v/>
      </c>
      <c r="K192" s="1473">
        <f>IF(J192=0,"",ROUNDUP(J192/8,0))</f>
        <v/>
      </c>
      <c r="L192" s="1474" t="n"/>
      <c r="M192" s="1473">
        <f>IF(L192&lt;&gt;"",L192,K192)</f>
        <v/>
      </c>
      <c r="N192" s="1436">
        <f>IF(M192="","",TEXT(M192,"0")&amp;" days")</f>
        <v/>
      </c>
      <c r="O192" s="1397" t="n"/>
      <c r="P192" s="1397" t="n"/>
      <c r="Q192" s="1397" t="n"/>
      <c r="R192" s="1397" t="n"/>
      <c r="S192" s="1475" t="n"/>
      <c r="T192" s="1476">
        <f>IF($D192="","",I192-N(H192))</f>
        <v/>
      </c>
      <c r="U192" s="1397">
        <f>IF($D192="","",IF(ABS(T192)&lt;0.01,"OK","CHECK"))</f>
        <v/>
      </c>
      <c r="V192" s="1397" t="inlineStr">
        <is>
          <t>Auto Scheduled</t>
        </is>
      </c>
      <c r="W192" s="1397" t="inlineStr">
        <is>
          <t>Prorated</t>
        </is>
      </c>
      <c r="X192" s="1397" t="n"/>
      <c r="Y192" s="1397">
        <f>IF($D192="","",COUNTIF($D$7:$D192,"?*"))</f>
        <v/>
      </c>
    </row>
    <row r="193">
      <c r="A193" s="1471" t="n">
        <v>187</v>
      </c>
      <c r="B193" s="1471" t="n">
        <v>189</v>
      </c>
      <c r="C193" s="1397">
        <f>IF('QS Takeoff'!$B189="","",'QS Takeoff'!A189)</f>
        <v/>
      </c>
      <c r="D193" s="1397">
        <f>IF('QS Takeoff'!$B189="","",'QS Takeoff'!B189)</f>
        <v/>
      </c>
      <c r="E193" s="1397">
        <f>IF('QS Takeoff'!$B189="","",'QS Takeoff'!C189)</f>
        <v/>
      </c>
      <c r="F193" s="1397">
        <f>IF('QS Takeoff'!$B189="","",'QS Takeoff'!E189)</f>
        <v/>
      </c>
      <c r="G193" s="1397">
        <f>IF('QS Takeoff'!$B189="","",'QS Takeoff'!D189)</f>
        <v/>
      </c>
      <c r="H193" s="1472">
        <f>IF('QS Takeoff'!$B189="","",'QS Takeoff'!G189)</f>
        <v/>
      </c>
      <c r="I193" s="1472">
        <f>SUMIF('Resource Build-Up'!$B$7:$B$306,D193,'Resource Build-Up'!$Z$7:$Z$306)</f>
        <v/>
      </c>
      <c r="J193" s="1473">
        <f>IFERROR(_xlfn.MAXIFS('Resource Build-Up'!$M$7:$M$306,'Resource Build-Up'!$B$7:$B$306,D193),0)</f>
        <v/>
      </c>
      <c r="K193" s="1473">
        <f>IF(J193=0,"",ROUNDUP(J193/8,0))</f>
        <v/>
      </c>
      <c r="L193" s="1474" t="n"/>
      <c r="M193" s="1473">
        <f>IF(L193&lt;&gt;"",L193,K193)</f>
        <v/>
      </c>
      <c r="N193" s="1436">
        <f>IF(M193="","",TEXT(M193,"0")&amp;" days")</f>
        <v/>
      </c>
      <c r="O193" s="1397" t="n"/>
      <c r="P193" s="1397" t="n"/>
      <c r="Q193" s="1397" t="n"/>
      <c r="R193" s="1397" t="n"/>
      <c r="S193" s="1475" t="n"/>
      <c r="T193" s="1476">
        <f>IF($D193="","",I193-N(H193))</f>
        <v/>
      </c>
      <c r="U193" s="1397">
        <f>IF($D193="","",IF(ABS(T193)&lt;0.01,"OK","CHECK"))</f>
        <v/>
      </c>
      <c r="V193" s="1397" t="inlineStr">
        <is>
          <t>Auto Scheduled</t>
        </is>
      </c>
      <c r="W193" s="1397" t="inlineStr">
        <is>
          <t>Prorated</t>
        </is>
      </c>
      <c r="X193" s="1397" t="n"/>
      <c r="Y193" s="1397">
        <f>IF($D193="","",COUNTIF($D$7:$D193,"?*"))</f>
        <v/>
      </c>
    </row>
    <row r="194">
      <c r="A194" s="1471" t="n">
        <v>188</v>
      </c>
      <c r="B194" s="1471" t="n">
        <v>190</v>
      </c>
      <c r="C194" s="1397">
        <f>IF('QS Takeoff'!$B190="","",'QS Takeoff'!A190)</f>
        <v/>
      </c>
      <c r="D194" s="1397">
        <f>IF('QS Takeoff'!$B190="","",'QS Takeoff'!B190)</f>
        <v/>
      </c>
      <c r="E194" s="1397">
        <f>IF('QS Takeoff'!$B190="","",'QS Takeoff'!C190)</f>
        <v/>
      </c>
      <c r="F194" s="1397">
        <f>IF('QS Takeoff'!$B190="","",'QS Takeoff'!E190)</f>
        <v/>
      </c>
      <c r="G194" s="1397">
        <f>IF('QS Takeoff'!$B190="","",'QS Takeoff'!D190)</f>
        <v/>
      </c>
      <c r="H194" s="1472">
        <f>IF('QS Takeoff'!$B190="","",'QS Takeoff'!G190)</f>
        <v/>
      </c>
      <c r="I194" s="1472">
        <f>SUMIF('Resource Build-Up'!$B$7:$B$306,D194,'Resource Build-Up'!$Z$7:$Z$306)</f>
        <v/>
      </c>
      <c r="J194" s="1473">
        <f>IFERROR(_xlfn.MAXIFS('Resource Build-Up'!$M$7:$M$306,'Resource Build-Up'!$B$7:$B$306,D194),0)</f>
        <v/>
      </c>
      <c r="K194" s="1473">
        <f>IF(J194=0,"",ROUNDUP(J194/8,0))</f>
        <v/>
      </c>
      <c r="L194" s="1474" t="n"/>
      <c r="M194" s="1473">
        <f>IF(L194&lt;&gt;"",L194,K194)</f>
        <v/>
      </c>
      <c r="N194" s="1436">
        <f>IF(M194="","",TEXT(M194,"0")&amp;" days")</f>
        <v/>
      </c>
      <c r="O194" s="1397" t="n"/>
      <c r="P194" s="1397" t="n"/>
      <c r="Q194" s="1397" t="n"/>
      <c r="R194" s="1397" t="n"/>
      <c r="S194" s="1475" t="n"/>
      <c r="T194" s="1476">
        <f>IF($D194="","",I194-N(H194))</f>
        <v/>
      </c>
      <c r="U194" s="1397">
        <f>IF($D194="","",IF(ABS(T194)&lt;0.01,"OK","CHECK"))</f>
        <v/>
      </c>
      <c r="V194" s="1397" t="inlineStr">
        <is>
          <t>Auto Scheduled</t>
        </is>
      </c>
      <c r="W194" s="1397" t="inlineStr">
        <is>
          <t>Prorated</t>
        </is>
      </c>
      <c r="X194" s="1397" t="n"/>
      <c r="Y194" s="1397">
        <f>IF($D194="","",COUNTIF($D$7:$D194,"?*"))</f>
        <v/>
      </c>
    </row>
    <row r="195">
      <c r="A195" s="1471" t="n">
        <v>189</v>
      </c>
      <c r="B195" s="1471" t="n">
        <v>191</v>
      </c>
      <c r="C195" s="1397">
        <f>IF('QS Takeoff'!$B191="","",'QS Takeoff'!A191)</f>
        <v/>
      </c>
      <c r="D195" s="1397">
        <f>IF('QS Takeoff'!$B191="","",'QS Takeoff'!B191)</f>
        <v/>
      </c>
      <c r="E195" s="1397">
        <f>IF('QS Takeoff'!$B191="","",'QS Takeoff'!C191)</f>
        <v/>
      </c>
      <c r="F195" s="1397">
        <f>IF('QS Takeoff'!$B191="","",'QS Takeoff'!E191)</f>
        <v/>
      </c>
      <c r="G195" s="1397">
        <f>IF('QS Takeoff'!$B191="","",'QS Takeoff'!D191)</f>
        <v/>
      </c>
      <c r="H195" s="1472">
        <f>IF('QS Takeoff'!$B191="","",'QS Takeoff'!G191)</f>
        <v/>
      </c>
      <c r="I195" s="1472">
        <f>SUMIF('Resource Build-Up'!$B$7:$B$306,D195,'Resource Build-Up'!$Z$7:$Z$306)</f>
        <v/>
      </c>
      <c r="J195" s="1473">
        <f>IFERROR(_xlfn.MAXIFS('Resource Build-Up'!$M$7:$M$306,'Resource Build-Up'!$B$7:$B$306,D195),0)</f>
        <v/>
      </c>
      <c r="K195" s="1473">
        <f>IF(J195=0,"",ROUNDUP(J195/8,0))</f>
        <v/>
      </c>
      <c r="L195" s="1474" t="n"/>
      <c r="M195" s="1473">
        <f>IF(L195&lt;&gt;"",L195,K195)</f>
        <v/>
      </c>
      <c r="N195" s="1436">
        <f>IF(M195="","",TEXT(M195,"0")&amp;" days")</f>
        <v/>
      </c>
      <c r="O195" s="1397" t="n"/>
      <c r="P195" s="1397" t="n"/>
      <c r="Q195" s="1397" t="n"/>
      <c r="R195" s="1397" t="n"/>
      <c r="S195" s="1475" t="n"/>
      <c r="T195" s="1476">
        <f>IF($D195="","",I195-N(H195))</f>
        <v/>
      </c>
      <c r="U195" s="1397">
        <f>IF($D195="","",IF(ABS(T195)&lt;0.01,"OK","CHECK"))</f>
        <v/>
      </c>
      <c r="V195" s="1397" t="inlineStr">
        <is>
          <t>Auto Scheduled</t>
        </is>
      </c>
      <c r="W195" s="1397" t="inlineStr">
        <is>
          <t>Prorated</t>
        </is>
      </c>
      <c r="X195" s="1397" t="n"/>
      <c r="Y195" s="1397">
        <f>IF($D195="","",COUNTIF($D$7:$D195,"?*"))</f>
        <v/>
      </c>
    </row>
    <row r="196">
      <c r="A196" s="1471" t="n">
        <v>190</v>
      </c>
      <c r="B196" s="1471" t="n">
        <v>192</v>
      </c>
      <c r="C196" s="1397">
        <f>IF('QS Takeoff'!$B192="","",'QS Takeoff'!A192)</f>
        <v/>
      </c>
      <c r="D196" s="1397">
        <f>IF('QS Takeoff'!$B192="","",'QS Takeoff'!B192)</f>
        <v/>
      </c>
      <c r="E196" s="1397">
        <f>IF('QS Takeoff'!$B192="","",'QS Takeoff'!C192)</f>
        <v/>
      </c>
      <c r="F196" s="1397">
        <f>IF('QS Takeoff'!$B192="","",'QS Takeoff'!E192)</f>
        <v/>
      </c>
      <c r="G196" s="1397">
        <f>IF('QS Takeoff'!$B192="","",'QS Takeoff'!D192)</f>
        <v/>
      </c>
      <c r="H196" s="1472">
        <f>IF('QS Takeoff'!$B192="","",'QS Takeoff'!G192)</f>
        <v/>
      </c>
      <c r="I196" s="1472">
        <f>SUMIF('Resource Build-Up'!$B$7:$B$306,D196,'Resource Build-Up'!$Z$7:$Z$306)</f>
        <v/>
      </c>
      <c r="J196" s="1473">
        <f>IFERROR(_xlfn.MAXIFS('Resource Build-Up'!$M$7:$M$306,'Resource Build-Up'!$B$7:$B$306,D196),0)</f>
        <v/>
      </c>
      <c r="K196" s="1473">
        <f>IF(J196=0,"",ROUNDUP(J196/8,0))</f>
        <v/>
      </c>
      <c r="L196" s="1474" t="n"/>
      <c r="M196" s="1473">
        <f>IF(L196&lt;&gt;"",L196,K196)</f>
        <v/>
      </c>
      <c r="N196" s="1436">
        <f>IF(M196="","",TEXT(M196,"0")&amp;" days")</f>
        <v/>
      </c>
      <c r="O196" s="1397" t="n"/>
      <c r="P196" s="1397" t="n"/>
      <c r="Q196" s="1397" t="n"/>
      <c r="R196" s="1397" t="n"/>
      <c r="S196" s="1475" t="n"/>
      <c r="T196" s="1476">
        <f>IF($D196="","",I196-N(H196))</f>
        <v/>
      </c>
      <c r="U196" s="1397">
        <f>IF($D196="","",IF(ABS(T196)&lt;0.01,"OK","CHECK"))</f>
        <v/>
      </c>
      <c r="V196" s="1397" t="inlineStr">
        <is>
          <t>Auto Scheduled</t>
        </is>
      </c>
      <c r="W196" s="1397" t="inlineStr">
        <is>
          <t>Prorated</t>
        </is>
      </c>
      <c r="X196" s="1397" t="n"/>
      <c r="Y196" s="1397">
        <f>IF($D196="","",COUNTIF($D$7:$D196,"?*"))</f>
        <v/>
      </c>
    </row>
    <row r="197">
      <c r="A197" s="1471" t="n">
        <v>191</v>
      </c>
      <c r="B197" s="1471" t="n">
        <v>193</v>
      </c>
      <c r="C197" s="1397">
        <f>IF('QS Takeoff'!$B193="","",'QS Takeoff'!A193)</f>
        <v/>
      </c>
      <c r="D197" s="1397">
        <f>IF('QS Takeoff'!$B193="","",'QS Takeoff'!B193)</f>
        <v/>
      </c>
      <c r="E197" s="1397">
        <f>IF('QS Takeoff'!$B193="","",'QS Takeoff'!C193)</f>
        <v/>
      </c>
      <c r="F197" s="1397">
        <f>IF('QS Takeoff'!$B193="","",'QS Takeoff'!E193)</f>
        <v/>
      </c>
      <c r="G197" s="1397">
        <f>IF('QS Takeoff'!$B193="","",'QS Takeoff'!D193)</f>
        <v/>
      </c>
      <c r="H197" s="1472">
        <f>IF('QS Takeoff'!$B193="","",'QS Takeoff'!G193)</f>
        <v/>
      </c>
      <c r="I197" s="1472">
        <f>SUMIF('Resource Build-Up'!$B$7:$B$306,D197,'Resource Build-Up'!$Z$7:$Z$306)</f>
        <v/>
      </c>
      <c r="J197" s="1473">
        <f>IFERROR(_xlfn.MAXIFS('Resource Build-Up'!$M$7:$M$306,'Resource Build-Up'!$B$7:$B$306,D197),0)</f>
        <v/>
      </c>
      <c r="K197" s="1473">
        <f>IF(J197=0,"",ROUNDUP(J197/8,0))</f>
        <v/>
      </c>
      <c r="L197" s="1474" t="n"/>
      <c r="M197" s="1473">
        <f>IF(L197&lt;&gt;"",L197,K197)</f>
        <v/>
      </c>
      <c r="N197" s="1436">
        <f>IF(M197="","",TEXT(M197,"0")&amp;" days")</f>
        <v/>
      </c>
      <c r="O197" s="1397" t="n"/>
      <c r="P197" s="1397" t="n"/>
      <c r="Q197" s="1397" t="n"/>
      <c r="R197" s="1397" t="n"/>
      <c r="S197" s="1475" t="n"/>
      <c r="T197" s="1476">
        <f>IF($D197="","",I197-N(H197))</f>
        <v/>
      </c>
      <c r="U197" s="1397">
        <f>IF($D197="","",IF(ABS(T197)&lt;0.01,"OK","CHECK"))</f>
        <v/>
      </c>
      <c r="V197" s="1397" t="inlineStr">
        <is>
          <t>Auto Scheduled</t>
        </is>
      </c>
      <c r="W197" s="1397" t="inlineStr">
        <is>
          <t>Prorated</t>
        </is>
      </c>
      <c r="X197" s="1397" t="n"/>
      <c r="Y197" s="1397">
        <f>IF($D197="","",COUNTIF($D$7:$D197,"?*"))</f>
        <v/>
      </c>
    </row>
    <row r="198">
      <c r="A198" s="1471" t="n">
        <v>192</v>
      </c>
      <c r="B198" s="1471" t="n">
        <v>194</v>
      </c>
      <c r="C198" s="1397">
        <f>IF('QS Takeoff'!$B194="","",'QS Takeoff'!A194)</f>
        <v/>
      </c>
      <c r="D198" s="1397">
        <f>IF('QS Takeoff'!$B194="","",'QS Takeoff'!B194)</f>
        <v/>
      </c>
      <c r="E198" s="1397">
        <f>IF('QS Takeoff'!$B194="","",'QS Takeoff'!C194)</f>
        <v/>
      </c>
      <c r="F198" s="1397">
        <f>IF('QS Takeoff'!$B194="","",'QS Takeoff'!E194)</f>
        <v/>
      </c>
      <c r="G198" s="1397">
        <f>IF('QS Takeoff'!$B194="","",'QS Takeoff'!D194)</f>
        <v/>
      </c>
      <c r="H198" s="1472">
        <f>IF('QS Takeoff'!$B194="","",'QS Takeoff'!G194)</f>
        <v/>
      </c>
      <c r="I198" s="1472">
        <f>SUMIF('Resource Build-Up'!$B$7:$B$306,D198,'Resource Build-Up'!$Z$7:$Z$306)</f>
        <v/>
      </c>
      <c r="J198" s="1473">
        <f>IFERROR(_xlfn.MAXIFS('Resource Build-Up'!$M$7:$M$306,'Resource Build-Up'!$B$7:$B$306,D198),0)</f>
        <v/>
      </c>
      <c r="K198" s="1473">
        <f>IF(J198=0,"",ROUNDUP(J198/8,0))</f>
        <v/>
      </c>
      <c r="L198" s="1474" t="n"/>
      <c r="M198" s="1473">
        <f>IF(L198&lt;&gt;"",L198,K198)</f>
        <v/>
      </c>
      <c r="N198" s="1436">
        <f>IF(M198="","",TEXT(M198,"0")&amp;" days")</f>
        <v/>
      </c>
      <c r="O198" s="1397" t="n"/>
      <c r="P198" s="1397" t="n"/>
      <c r="Q198" s="1397" t="n"/>
      <c r="R198" s="1397" t="n"/>
      <c r="S198" s="1475" t="n"/>
      <c r="T198" s="1476">
        <f>IF($D198="","",I198-N(H198))</f>
        <v/>
      </c>
      <c r="U198" s="1397">
        <f>IF($D198="","",IF(ABS(T198)&lt;0.01,"OK","CHECK"))</f>
        <v/>
      </c>
      <c r="V198" s="1397" t="inlineStr">
        <is>
          <t>Auto Scheduled</t>
        </is>
      </c>
      <c r="W198" s="1397" t="inlineStr">
        <is>
          <t>Prorated</t>
        </is>
      </c>
      <c r="X198" s="1397" t="n"/>
      <c r="Y198" s="1397">
        <f>IF($D198="","",COUNTIF($D$7:$D198,"?*"))</f>
        <v/>
      </c>
    </row>
    <row r="199">
      <c r="A199" s="1471" t="n">
        <v>193</v>
      </c>
      <c r="B199" s="1471" t="n">
        <v>195</v>
      </c>
      <c r="C199" s="1397">
        <f>IF('QS Takeoff'!$B195="","",'QS Takeoff'!A195)</f>
        <v/>
      </c>
      <c r="D199" s="1397">
        <f>IF('QS Takeoff'!$B195="","",'QS Takeoff'!B195)</f>
        <v/>
      </c>
      <c r="E199" s="1397">
        <f>IF('QS Takeoff'!$B195="","",'QS Takeoff'!C195)</f>
        <v/>
      </c>
      <c r="F199" s="1397">
        <f>IF('QS Takeoff'!$B195="","",'QS Takeoff'!E195)</f>
        <v/>
      </c>
      <c r="G199" s="1397">
        <f>IF('QS Takeoff'!$B195="","",'QS Takeoff'!D195)</f>
        <v/>
      </c>
      <c r="H199" s="1472">
        <f>IF('QS Takeoff'!$B195="","",'QS Takeoff'!G195)</f>
        <v/>
      </c>
      <c r="I199" s="1472">
        <f>SUMIF('Resource Build-Up'!$B$7:$B$306,D199,'Resource Build-Up'!$Z$7:$Z$306)</f>
        <v/>
      </c>
      <c r="J199" s="1473">
        <f>IFERROR(_xlfn.MAXIFS('Resource Build-Up'!$M$7:$M$306,'Resource Build-Up'!$B$7:$B$306,D199),0)</f>
        <v/>
      </c>
      <c r="K199" s="1473">
        <f>IF(J199=0,"",ROUNDUP(J199/8,0))</f>
        <v/>
      </c>
      <c r="L199" s="1474" t="n"/>
      <c r="M199" s="1473">
        <f>IF(L199&lt;&gt;"",L199,K199)</f>
        <v/>
      </c>
      <c r="N199" s="1436">
        <f>IF(M199="","",TEXT(M199,"0")&amp;" days")</f>
        <v/>
      </c>
      <c r="O199" s="1397" t="n"/>
      <c r="P199" s="1397" t="n"/>
      <c r="Q199" s="1397" t="n"/>
      <c r="R199" s="1397" t="n"/>
      <c r="S199" s="1475" t="n"/>
      <c r="T199" s="1476">
        <f>IF($D199="","",I199-N(H199))</f>
        <v/>
      </c>
      <c r="U199" s="1397">
        <f>IF($D199="","",IF(ABS(T199)&lt;0.01,"OK","CHECK"))</f>
        <v/>
      </c>
      <c r="V199" s="1397" t="inlineStr">
        <is>
          <t>Auto Scheduled</t>
        </is>
      </c>
      <c r="W199" s="1397" t="inlineStr">
        <is>
          <t>Prorated</t>
        </is>
      </c>
      <c r="X199" s="1397" t="n"/>
      <c r="Y199" s="1397">
        <f>IF($D199="","",COUNTIF($D$7:$D199,"?*"))</f>
        <v/>
      </c>
    </row>
    <row r="200">
      <c r="A200" s="1471" t="n">
        <v>194</v>
      </c>
      <c r="B200" s="1471" t="n">
        <v>196</v>
      </c>
      <c r="C200" s="1397">
        <f>IF('QS Takeoff'!$B196="","",'QS Takeoff'!A196)</f>
        <v/>
      </c>
      <c r="D200" s="1397">
        <f>IF('QS Takeoff'!$B196="","",'QS Takeoff'!B196)</f>
        <v/>
      </c>
      <c r="E200" s="1397">
        <f>IF('QS Takeoff'!$B196="","",'QS Takeoff'!C196)</f>
        <v/>
      </c>
      <c r="F200" s="1397">
        <f>IF('QS Takeoff'!$B196="","",'QS Takeoff'!E196)</f>
        <v/>
      </c>
      <c r="G200" s="1397">
        <f>IF('QS Takeoff'!$B196="","",'QS Takeoff'!D196)</f>
        <v/>
      </c>
      <c r="H200" s="1472">
        <f>IF('QS Takeoff'!$B196="","",'QS Takeoff'!G196)</f>
        <v/>
      </c>
      <c r="I200" s="1472">
        <f>SUMIF('Resource Build-Up'!$B$7:$B$306,D200,'Resource Build-Up'!$Z$7:$Z$306)</f>
        <v/>
      </c>
      <c r="J200" s="1473">
        <f>IFERROR(_xlfn.MAXIFS('Resource Build-Up'!$M$7:$M$306,'Resource Build-Up'!$B$7:$B$306,D200),0)</f>
        <v/>
      </c>
      <c r="K200" s="1473">
        <f>IF(J200=0,"",ROUNDUP(J200/8,0))</f>
        <v/>
      </c>
      <c r="L200" s="1474" t="n"/>
      <c r="M200" s="1473">
        <f>IF(L200&lt;&gt;"",L200,K200)</f>
        <v/>
      </c>
      <c r="N200" s="1436">
        <f>IF(M200="","",TEXT(M200,"0")&amp;" days")</f>
        <v/>
      </c>
      <c r="O200" s="1397" t="n"/>
      <c r="P200" s="1397" t="n"/>
      <c r="Q200" s="1397" t="n"/>
      <c r="R200" s="1397" t="n"/>
      <c r="S200" s="1475" t="n"/>
      <c r="T200" s="1476">
        <f>IF($D200="","",I200-N(H200))</f>
        <v/>
      </c>
      <c r="U200" s="1397">
        <f>IF($D200="","",IF(ABS(T200)&lt;0.01,"OK","CHECK"))</f>
        <v/>
      </c>
      <c r="V200" s="1397" t="inlineStr">
        <is>
          <t>Auto Scheduled</t>
        </is>
      </c>
      <c r="W200" s="1397" t="inlineStr">
        <is>
          <t>Prorated</t>
        </is>
      </c>
      <c r="X200" s="1397" t="n"/>
      <c r="Y200" s="1397">
        <f>IF($D200="","",COUNTIF($D$7:$D200,"?*"))</f>
        <v/>
      </c>
    </row>
    <row r="201">
      <c r="A201" s="1471" t="n">
        <v>195</v>
      </c>
      <c r="B201" s="1471" t="n">
        <v>197</v>
      </c>
      <c r="C201" s="1397">
        <f>IF('QS Takeoff'!$B197="","",'QS Takeoff'!A197)</f>
        <v/>
      </c>
      <c r="D201" s="1397">
        <f>IF('QS Takeoff'!$B197="","",'QS Takeoff'!B197)</f>
        <v/>
      </c>
      <c r="E201" s="1397">
        <f>IF('QS Takeoff'!$B197="","",'QS Takeoff'!C197)</f>
        <v/>
      </c>
      <c r="F201" s="1397">
        <f>IF('QS Takeoff'!$B197="","",'QS Takeoff'!E197)</f>
        <v/>
      </c>
      <c r="G201" s="1397">
        <f>IF('QS Takeoff'!$B197="","",'QS Takeoff'!D197)</f>
        <v/>
      </c>
      <c r="H201" s="1472">
        <f>IF('QS Takeoff'!$B197="","",'QS Takeoff'!G197)</f>
        <v/>
      </c>
      <c r="I201" s="1472">
        <f>SUMIF('Resource Build-Up'!$B$7:$B$306,D201,'Resource Build-Up'!$Z$7:$Z$306)</f>
        <v/>
      </c>
      <c r="J201" s="1473">
        <f>IFERROR(_xlfn.MAXIFS('Resource Build-Up'!$M$7:$M$306,'Resource Build-Up'!$B$7:$B$306,D201),0)</f>
        <v/>
      </c>
      <c r="K201" s="1473">
        <f>IF(J201=0,"",ROUNDUP(J201/8,0))</f>
        <v/>
      </c>
      <c r="L201" s="1474" t="n"/>
      <c r="M201" s="1473">
        <f>IF(L201&lt;&gt;"",L201,K201)</f>
        <v/>
      </c>
      <c r="N201" s="1436">
        <f>IF(M201="","",TEXT(M201,"0")&amp;" days")</f>
        <v/>
      </c>
      <c r="O201" s="1397" t="n"/>
      <c r="P201" s="1397" t="n"/>
      <c r="Q201" s="1397" t="n"/>
      <c r="R201" s="1397" t="n"/>
      <c r="S201" s="1475" t="n"/>
      <c r="T201" s="1476">
        <f>IF($D201="","",I201-N(H201))</f>
        <v/>
      </c>
      <c r="U201" s="1397">
        <f>IF($D201="","",IF(ABS(T201)&lt;0.01,"OK","CHECK"))</f>
        <v/>
      </c>
      <c r="V201" s="1397" t="inlineStr">
        <is>
          <t>Auto Scheduled</t>
        </is>
      </c>
      <c r="W201" s="1397" t="inlineStr">
        <is>
          <t>Prorated</t>
        </is>
      </c>
      <c r="X201" s="1397" t="n"/>
      <c r="Y201" s="1397">
        <f>IF($D201="","",COUNTIF($D$7:$D201,"?*"))</f>
        <v/>
      </c>
    </row>
    <row r="202">
      <c r="A202" s="1471" t="n">
        <v>196</v>
      </c>
      <c r="B202" s="1471" t="n">
        <v>198</v>
      </c>
      <c r="C202" s="1397">
        <f>IF('QS Takeoff'!$B198="","",'QS Takeoff'!A198)</f>
        <v/>
      </c>
      <c r="D202" s="1397">
        <f>IF('QS Takeoff'!$B198="","",'QS Takeoff'!B198)</f>
        <v/>
      </c>
      <c r="E202" s="1397">
        <f>IF('QS Takeoff'!$B198="","",'QS Takeoff'!C198)</f>
        <v/>
      </c>
      <c r="F202" s="1397">
        <f>IF('QS Takeoff'!$B198="","",'QS Takeoff'!E198)</f>
        <v/>
      </c>
      <c r="G202" s="1397">
        <f>IF('QS Takeoff'!$B198="","",'QS Takeoff'!D198)</f>
        <v/>
      </c>
      <c r="H202" s="1472">
        <f>IF('QS Takeoff'!$B198="","",'QS Takeoff'!G198)</f>
        <v/>
      </c>
      <c r="I202" s="1472">
        <f>SUMIF('Resource Build-Up'!$B$7:$B$306,D202,'Resource Build-Up'!$Z$7:$Z$306)</f>
        <v/>
      </c>
      <c r="J202" s="1473">
        <f>IFERROR(_xlfn.MAXIFS('Resource Build-Up'!$M$7:$M$306,'Resource Build-Up'!$B$7:$B$306,D202),0)</f>
        <v/>
      </c>
      <c r="K202" s="1473">
        <f>IF(J202=0,"",ROUNDUP(J202/8,0))</f>
        <v/>
      </c>
      <c r="L202" s="1474" t="n"/>
      <c r="M202" s="1473">
        <f>IF(L202&lt;&gt;"",L202,K202)</f>
        <v/>
      </c>
      <c r="N202" s="1436">
        <f>IF(M202="","",TEXT(M202,"0")&amp;" days")</f>
        <v/>
      </c>
      <c r="O202" s="1397" t="n"/>
      <c r="P202" s="1397" t="n"/>
      <c r="Q202" s="1397" t="n"/>
      <c r="R202" s="1397" t="n"/>
      <c r="S202" s="1475" t="n"/>
      <c r="T202" s="1476">
        <f>IF($D202="","",I202-N(H202))</f>
        <v/>
      </c>
      <c r="U202" s="1397">
        <f>IF($D202="","",IF(ABS(T202)&lt;0.01,"OK","CHECK"))</f>
        <v/>
      </c>
      <c r="V202" s="1397" t="inlineStr">
        <is>
          <t>Auto Scheduled</t>
        </is>
      </c>
      <c r="W202" s="1397" t="inlineStr">
        <is>
          <t>Prorated</t>
        </is>
      </c>
      <c r="X202" s="1397" t="n"/>
      <c r="Y202" s="1397">
        <f>IF($D202="","",COUNTIF($D$7:$D202,"?*"))</f>
        <v/>
      </c>
    </row>
    <row r="203">
      <c r="A203" s="1471" t="n">
        <v>197</v>
      </c>
      <c r="B203" s="1471" t="n">
        <v>199</v>
      </c>
      <c r="C203" s="1397">
        <f>IF('QS Takeoff'!$B199="","",'QS Takeoff'!A199)</f>
        <v/>
      </c>
      <c r="D203" s="1397">
        <f>IF('QS Takeoff'!$B199="","",'QS Takeoff'!B199)</f>
        <v/>
      </c>
      <c r="E203" s="1397">
        <f>IF('QS Takeoff'!$B199="","",'QS Takeoff'!C199)</f>
        <v/>
      </c>
      <c r="F203" s="1397">
        <f>IF('QS Takeoff'!$B199="","",'QS Takeoff'!E199)</f>
        <v/>
      </c>
      <c r="G203" s="1397">
        <f>IF('QS Takeoff'!$B199="","",'QS Takeoff'!D199)</f>
        <v/>
      </c>
      <c r="H203" s="1472">
        <f>IF('QS Takeoff'!$B199="","",'QS Takeoff'!G199)</f>
        <v/>
      </c>
      <c r="I203" s="1472">
        <f>SUMIF('Resource Build-Up'!$B$7:$B$306,D203,'Resource Build-Up'!$Z$7:$Z$306)</f>
        <v/>
      </c>
      <c r="J203" s="1473">
        <f>IFERROR(_xlfn.MAXIFS('Resource Build-Up'!$M$7:$M$306,'Resource Build-Up'!$B$7:$B$306,D203),0)</f>
        <v/>
      </c>
      <c r="K203" s="1473">
        <f>IF(J203=0,"",ROUNDUP(J203/8,0))</f>
        <v/>
      </c>
      <c r="L203" s="1474" t="n"/>
      <c r="M203" s="1473">
        <f>IF(L203&lt;&gt;"",L203,K203)</f>
        <v/>
      </c>
      <c r="N203" s="1436">
        <f>IF(M203="","",TEXT(M203,"0")&amp;" days")</f>
        <v/>
      </c>
      <c r="O203" s="1397" t="n"/>
      <c r="P203" s="1397" t="n"/>
      <c r="Q203" s="1397" t="n"/>
      <c r="R203" s="1397" t="n"/>
      <c r="S203" s="1475" t="n"/>
      <c r="T203" s="1476">
        <f>IF($D203="","",I203-N(H203))</f>
        <v/>
      </c>
      <c r="U203" s="1397">
        <f>IF($D203="","",IF(ABS(T203)&lt;0.01,"OK","CHECK"))</f>
        <v/>
      </c>
      <c r="V203" s="1397" t="inlineStr">
        <is>
          <t>Auto Scheduled</t>
        </is>
      </c>
      <c r="W203" s="1397" t="inlineStr">
        <is>
          <t>Prorated</t>
        </is>
      </c>
      <c r="X203" s="1397" t="n"/>
      <c r="Y203" s="1397">
        <f>IF($D203="","",COUNTIF($D$7:$D203,"?*"))</f>
        <v/>
      </c>
    </row>
    <row r="204">
      <c r="A204" s="1471" t="n">
        <v>198</v>
      </c>
      <c r="B204" s="1471" t="n">
        <v>200</v>
      </c>
      <c r="C204" s="1397">
        <f>IF('QS Takeoff'!$B200="","",'QS Takeoff'!A200)</f>
        <v/>
      </c>
      <c r="D204" s="1397">
        <f>IF('QS Takeoff'!$B200="","",'QS Takeoff'!B200)</f>
        <v/>
      </c>
      <c r="E204" s="1397">
        <f>IF('QS Takeoff'!$B200="","",'QS Takeoff'!C200)</f>
        <v/>
      </c>
      <c r="F204" s="1397">
        <f>IF('QS Takeoff'!$B200="","",'QS Takeoff'!E200)</f>
        <v/>
      </c>
      <c r="G204" s="1397">
        <f>IF('QS Takeoff'!$B200="","",'QS Takeoff'!D200)</f>
        <v/>
      </c>
      <c r="H204" s="1472">
        <f>IF('QS Takeoff'!$B200="","",'QS Takeoff'!G200)</f>
        <v/>
      </c>
      <c r="I204" s="1472">
        <f>SUMIF('Resource Build-Up'!$B$7:$B$306,D204,'Resource Build-Up'!$Z$7:$Z$306)</f>
        <v/>
      </c>
      <c r="J204" s="1473">
        <f>IFERROR(_xlfn.MAXIFS('Resource Build-Up'!$M$7:$M$306,'Resource Build-Up'!$B$7:$B$306,D204),0)</f>
        <v/>
      </c>
      <c r="K204" s="1473">
        <f>IF(J204=0,"",ROUNDUP(J204/8,0))</f>
        <v/>
      </c>
      <c r="L204" s="1474" t="n"/>
      <c r="M204" s="1473">
        <f>IF(L204&lt;&gt;"",L204,K204)</f>
        <v/>
      </c>
      <c r="N204" s="1436">
        <f>IF(M204="","",TEXT(M204,"0")&amp;" days")</f>
        <v/>
      </c>
      <c r="O204" s="1397" t="n"/>
      <c r="P204" s="1397" t="n"/>
      <c r="Q204" s="1397" t="n"/>
      <c r="R204" s="1397" t="n"/>
      <c r="S204" s="1475" t="n"/>
      <c r="T204" s="1476">
        <f>IF($D204="","",I204-N(H204))</f>
        <v/>
      </c>
      <c r="U204" s="1397">
        <f>IF($D204="","",IF(ABS(T204)&lt;0.01,"OK","CHECK"))</f>
        <v/>
      </c>
      <c r="V204" s="1397" t="inlineStr">
        <is>
          <t>Auto Scheduled</t>
        </is>
      </c>
      <c r="W204" s="1397" t="inlineStr">
        <is>
          <t>Prorated</t>
        </is>
      </c>
      <c r="X204" s="1397" t="n"/>
      <c r="Y204" s="1397">
        <f>IF($D204="","",COUNTIF($D$7:$D204,"?*"))</f>
        <v/>
      </c>
    </row>
    <row r="205">
      <c r="A205" s="1471" t="n">
        <v>199</v>
      </c>
      <c r="B205" s="1471" t="n">
        <v>201</v>
      </c>
      <c r="C205" s="1397">
        <f>IF('QS Takeoff'!$B201="","",'QS Takeoff'!A201)</f>
        <v/>
      </c>
      <c r="D205" s="1397">
        <f>IF('QS Takeoff'!$B201="","",'QS Takeoff'!B201)</f>
        <v/>
      </c>
      <c r="E205" s="1397">
        <f>IF('QS Takeoff'!$B201="","",'QS Takeoff'!C201)</f>
        <v/>
      </c>
      <c r="F205" s="1397">
        <f>IF('QS Takeoff'!$B201="","",'QS Takeoff'!E201)</f>
        <v/>
      </c>
      <c r="G205" s="1397">
        <f>IF('QS Takeoff'!$B201="","",'QS Takeoff'!D201)</f>
        <v/>
      </c>
      <c r="H205" s="1472">
        <f>IF('QS Takeoff'!$B201="","",'QS Takeoff'!G201)</f>
        <v/>
      </c>
      <c r="I205" s="1472">
        <f>SUMIF('Resource Build-Up'!$B$7:$B$306,D205,'Resource Build-Up'!$Z$7:$Z$306)</f>
        <v/>
      </c>
      <c r="J205" s="1473">
        <f>IFERROR(_xlfn.MAXIFS('Resource Build-Up'!$M$7:$M$306,'Resource Build-Up'!$B$7:$B$306,D205),0)</f>
        <v/>
      </c>
      <c r="K205" s="1473">
        <f>IF(J205=0,"",ROUNDUP(J205/8,0))</f>
        <v/>
      </c>
      <c r="L205" s="1474" t="n"/>
      <c r="M205" s="1473">
        <f>IF(L205&lt;&gt;"",L205,K205)</f>
        <v/>
      </c>
      <c r="N205" s="1436">
        <f>IF(M205="","",TEXT(M205,"0")&amp;" days")</f>
        <v/>
      </c>
      <c r="O205" s="1397" t="n"/>
      <c r="P205" s="1397" t="n"/>
      <c r="Q205" s="1397" t="n"/>
      <c r="R205" s="1397" t="n"/>
      <c r="S205" s="1475" t="n"/>
      <c r="T205" s="1476">
        <f>IF($D205="","",I205-N(H205))</f>
        <v/>
      </c>
      <c r="U205" s="1397">
        <f>IF($D205="","",IF(ABS(T205)&lt;0.01,"OK","CHECK"))</f>
        <v/>
      </c>
      <c r="V205" s="1397" t="inlineStr">
        <is>
          <t>Auto Scheduled</t>
        </is>
      </c>
      <c r="W205" s="1397" t="inlineStr">
        <is>
          <t>Prorated</t>
        </is>
      </c>
      <c r="X205" s="1397" t="n"/>
      <c r="Y205" s="1397">
        <f>IF($D205="","",COUNTIF($D$7:$D205,"?*"))</f>
        <v/>
      </c>
    </row>
    <row r="206">
      <c r="A206" s="1471" t="n">
        <v>200</v>
      </c>
      <c r="B206" s="1471" t="n">
        <v>202</v>
      </c>
      <c r="C206" s="1397">
        <f>IF('QS Takeoff'!$B202="","",'QS Takeoff'!A202)</f>
        <v/>
      </c>
      <c r="D206" s="1397">
        <f>IF('QS Takeoff'!$B202="","",'QS Takeoff'!B202)</f>
        <v/>
      </c>
      <c r="E206" s="1397">
        <f>IF('QS Takeoff'!$B202="","",'QS Takeoff'!C202)</f>
        <v/>
      </c>
      <c r="F206" s="1397">
        <f>IF('QS Takeoff'!$B202="","",'QS Takeoff'!E202)</f>
        <v/>
      </c>
      <c r="G206" s="1397">
        <f>IF('QS Takeoff'!$B202="","",'QS Takeoff'!D202)</f>
        <v/>
      </c>
      <c r="H206" s="1472">
        <f>IF('QS Takeoff'!$B202="","",'QS Takeoff'!G202)</f>
        <v/>
      </c>
      <c r="I206" s="1472">
        <f>SUMIF('Resource Build-Up'!$B$7:$B$306,D206,'Resource Build-Up'!$Z$7:$Z$306)</f>
        <v/>
      </c>
      <c r="J206" s="1473">
        <f>IFERROR(_xlfn.MAXIFS('Resource Build-Up'!$M$7:$M$306,'Resource Build-Up'!$B$7:$B$306,D206),0)</f>
        <v/>
      </c>
      <c r="K206" s="1473">
        <f>IF(J206=0,"",ROUNDUP(J206/8,0))</f>
        <v/>
      </c>
      <c r="L206" s="1474" t="n"/>
      <c r="M206" s="1473">
        <f>IF(L206&lt;&gt;"",L206,K206)</f>
        <v/>
      </c>
      <c r="N206" s="1436">
        <f>IF(M206="","",TEXT(M206,"0")&amp;" days")</f>
        <v/>
      </c>
      <c r="O206" s="1397" t="n"/>
      <c r="P206" s="1397" t="n"/>
      <c r="Q206" s="1397" t="n"/>
      <c r="R206" s="1397" t="n"/>
      <c r="S206" s="1475" t="n"/>
      <c r="T206" s="1476">
        <f>IF($D206="","",I206-N(H206))</f>
        <v/>
      </c>
      <c r="U206" s="1397">
        <f>IF($D206="","",IF(ABS(T206)&lt;0.01,"OK","CHECK"))</f>
        <v/>
      </c>
      <c r="V206" s="1397" t="inlineStr">
        <is>
          <t>Auto Scheduled</t>
        </is>
      </c>
      <c r="W206" s="1397" t="inlineStr">
        <is>
          <t>Prorated</t>
        </is>
      </c>
      <c r="X206" s="1397" t="n"/>
      <c r="Y206" s="1397">
        <f>IF($D206="","",COUNTIF($D$7:$D206,"?*"))</f>
        <v/>
      </c>
    </row>
    <row r="207">
      <c r="A207" s="1471" t="n">
        <v>201</v>
      </c>
      <c r="B207" s="1471" t="n"/>
      <c r="C207" s="1397" t="n"/>
      <c r="D207" s="1397" t="n"/>
      <c r="E207" s="1397" t="n"/>
      <c r="F207" s="1397" t="n"/>
      <c r="G207" s="1397" t="n"/>
      <c r="H207" s="1472" t="n"/>
      <c r="I207" s="1472">
        <f>SUMIF('Resource Build-Up'!$B$7:$B$306,D207,'Resource Build-Up'!$Z$7:$Z$306)</f>
        <v/>
      </c>
      <c r="J207" s="1473">
        <f>IFERROR(_xlfn.MAXIFS('Resource Build-Up'!$M$7:$M$306,'Resource Build-Up'!$B$7:$B$306,D207),0)</f>
        <v/>
      </c>
      <c r="K207" s="1473">
        <f>IF(J207=0,"",ROUNDUP(J207/8,0))</f>
        <v/>
      </c>
      <c r="L207" s="1474" t="n"/>
      <c r="M207" s="1473">
        <f>IF(L207&lt;&gt;"",L207,K207)</f>
        <v/>
      </c>
      <c r="N207" s="1436">
        <f>IF(M207="","",TEXT(M207,"0")&amp;" days")</f>
        <v/>
      </c>
      <c r="O207" s="1397" t="n"/>
      <c r="P207" s="1397" t="n"/>
      <c r="Q207" s="1397" t="n"/>
      <c r="R207" s="1397" t="n"/>
      <c r="S207" s="1475" t="n"/>
      <c r="T207" s="1476">
        <f>IF($D207="","",I207-N(H207))</f>
        <v/>
      </c>
      <c r="U207" s="1397">
        <f>IF($D207="","",IF(ABS(T207)&lt;0.01,"OK","CHECK"))</f>
        <v/>
      </c>
      <c r="V207" s="1397" t="inlineStr">
        <is>
          <t>Auto Scheduled</t>
        </is>
      </c>
      <c r="W207" s="1397" t="inlineStr">
        <is>
          <t>Prorated</t>
        </is>
      </c>
      <c r="X207" s="1397" t="n"/>
      <c r="Y207" s="1397">
        <f>IF($D207="","",COUNTIF($D$7:$D207,"?*"))</f>
        <v/>
      </c>
    </row>
    <row r="208">
      <c r="A208" s="1471" t="n">
        <v>202</v>
      </c>
      <c r="B208" s="1471" t="n"/>
      <c r="C208" s="1397" t="n"/>
      <c r="D208" s="1397" t="n"/>
      <c r="E208" s="1397" t="n"/>
      <c r="F208" s="1397" t="n"/>
      <c r="G208" s="1397" t="n"/>
      <c r="H208" s="1472" t="n"/>
      <c r="I208" s="1472">
        <f>SUMIF('Resource Build-Up'!$B$7:$B$306,D208,'Resource Build-Up'!$Z$7:$Z$306)</f>
        <v/>
      </c>
      <c r="J208" s="1473">
        <f>IFERROR(_xlfn.MAXIFS('Resource Build-Up'!$M$7:$M$306,'Resource Build-Up'!$B$7:$B$306,D208),0)</f>
        <v/>
      </c>
      <c r="K208" s="1473">
        <f>IF(J208=0,"",ROUNDUP(J208/8,0))</f>
        <v/>
      </c>
      <c r="L208" s="1474" t="n"/>
      <c r="M208" s="1473">
        <f>IF(L208&lt;&gt;"",L208,K208)</f>
        <v/>
      </c>
      <c r="N208" s="1436">
        <f>IF(M208="","",TEXT(M208,"0")&amp;" days")</f>
        <v/>
      </c>
      <c r="O208" s="1397" t="n"/>
      <c r="P208" s="1397" t="n"/>
      <c r="Q208" s="1397" t="n"/>
      <c r="R208" s="1397" t="n"/>
      <c r="S208" s="1475" t="n"/>
      <c r="T208" s="1476">
        <f>IF($D208="","",I208-N(H208))</f>
        <v/>
      </c>
      <c r="U208" s="1397">
        <f>IF($D208="","",IF(ABS(T208)&lt;0.01,"OK","CHECK"))</f>
        <v/>
      </c>
      <c r="V208" s="1397" t="inlineStr">
        <is>
          <t>Auto Scheduled</t>
        </is>
      </c>
      <c r="W208" s="1397" t="inlineStr">
        <is>
          <t>Prorated</t>
        </is>
      </c>
      <c r="X208" s="1397" t="n"/>
      <c r="Y208" s="1397">
        <f>IF($D208="","",COUNTIF($D$7:$D208,"?*"))</f>
        <v/>
      </c>
    </row>
    <row r="209">
      <c r="A209" s="1471" t="n">
        <v>203</v>
      </c>
      <c r="B209" s="1471" t="n"/>
      <c r="C209" s="1397" t="n"/>
      <c r="D209" s="1397" t="n"/>
      <c r="E209" s="1397" t="n"/>
      <c r="F209" s="1397" t="n"/>
      <c r="G209" s="1397" t="n"/>
      <c r="H209" s="1472" t="n"/>
      <c r="I209" s="1472">
        <f>SUMIF('Resource Build-Up'!$B$7:$B$306,D209,'Resource Build-Up'!$Z$7:$Z$306)</f>
        <v/>
      </c>
      <c r="J209" s="1473">
        <f>IFERROR(_xlfn.MAXIFS('Resource Build-Up'!$M$7:$M$306,'Resource Build-Up'!$B$7:$B$306,D209),0)</f>
        <v/>
      </c>
      <c r="K209" s="1473">
        <f>IF(J209=0,"",ROUNDUP(J209/8,0))</f>
        <v/>
      </c>
      <c r="L209" s="1474" t="n"/>
      <c r="M209" s="1473">
        <f>IF(L209&lt;&gt;"",L209,K209)</f>
        <v/>
      </c>
      <c r="N209" s="1436">
        <f>IF(M209="","",TEXT(M209,"0")&amp;" days")</f>
        <v/>
      </c>
      <c r="O209" s="1397" t="n"/>
      <c r="P209" s="1397" t="n"/>
      <c r="Q209" s="1397" t="n"/>
      <c r="R209" s="1397" t="n"/>
      <c r="S209" s="1475" t="n"/>
      <c r="T209" s="1476">
        <f>IF($D209="","",I209-N(H209))</f>
        <v/>
      </c>
      <c r="U209" s="1397">
        <f>IF($D209="","",IF(ABS(T209)&lt;0.01,"OK","CHECK"))</f>
        <v/>
      </c>
      <c r="V209" s="1397" t="inlineStr">
        <is>
          <t>Auto Scheduled</t>
        </is>
      </c>
      <c r="W209" s="1397" t="inlineStr">
        <is>
          <t>Prorated</t>
        </is>
      </c>
      <c r="X209" s="1397" t="n"/>
      <c r="Y209" s="1397">
        <f>IF($D209="","",COUNTIF($D$7:$D209,"?*"))</f>
        <v/>
      </c>
    </row>
    <row r="210">
      <c r="A210" s="1471" t="n">
        <v>204</v>
      </c>
      <c r="B210" s="1471" t="n"/>
      <c r="C210" s="1397" t="n"/>
      <c r="D210" s="1397" t="n"/>
      <c r="E210" s="1397" t="n"/>
      <c r="F210" s="1397" t="n"/>
      <c r="G210" s="1397" t="n"/>
      <c r="H210" s="1472" t="n"/>
      <c r="I210" s="1472">
        <f>SUMIF('Resource Build-Up'!$B$7:$B$306,D210,'Resource Build-Up'!$Z$7:$Z$306)</f>
        <v/>
      </c>
      <c r="J210" s="1473">
        <f>IFERROR(_xlfn.MAXIFS('Resource Build-Up'!$M$7:$M$306,'Resource Build-Up'!$B$7:$B$306,D210),0)</f>
        <v/>
      </c>
      <c r="K210" s="1473">
        <f>IF(J210=0,"",ROUNDUP(J210/8,0))</f>
        <v/>
      </c>
      <c r="L210" s="1474" t="n"/>
      <c r="M210" s="1473">
        <f>IF(L210&lt;&gt;"",L210,K210)</f>
        <v/>
      </c>
      <c r="N210" s="1436">
        <f>IF(M210="","",TEXT(M210,"0")&amp;" days")</f>
        <v/>
      </c>
      <c r="O210" s="1397" t="n"/>
      <c r="P210" s="1397" t="n"/>
      <c r="Q210" s="1397" t="n"/>
      <c r="R210" s="1397" t="n"/>
      <c r="S210" s="1475" t="n"/>
      <c r="T210" s="1476">
        <f>IF($D210="","",I210-N(H210))</f>
        <v/>
      </c>
      <c r="U210" s="1397">
        <f>IF($D210="","",IF(ABS(T210)&lt;0.01,"OK","CHECK"))</f>
        <v/>
      </c>
      <c r="V210" s="1397" t="inlineStr">
        <is>
          <t>Auto Scheduled</t>
        </is>
      </c>
      <c r="W210" s="1397" t="inlineStr">
        <is>
          <t>Prorated</t>
        </is>
      </c>
      <c r="X210" s="1397" t="n"/>
      <c r="Y210" s="1397">
        <f>IF($D210="","",COUNTIF($D$7:$D210,"?*"))</f>
        <v/>
      </c>
    </row>
    <row r="211">
      <c r="A211" s="1471" t="n">
        <v>205</v>
      </c>
      <c r="B211" s="1471" t="n"/>
      <c r="C211" s="1397" t="n"/>
      <c r="D211" s="1397" t="n"/>
      <c r="E211" s="1397" t="n"/>
      <c r="F211" s="1397" t="n"/>
      <c r="G211" s="1397" t="n"/>
      <c r="H211" s="1472" t="n"/>
      <c r="I211" s="1472">
        <f>SUMIF('Resource Build-Up'!$B$7:$B$306,D211,'Resource Build-Up'!$Z$7:$Z$306)</f>
        <v/>
      </c>
      <c r="J211" s="1473">
        <f>IFERROR(_xlfn.MAXIFS('Resource Build-Up'!$M$7:$M$306,'Resource Build-Up'!$B$7:$B$306,D211),0)</f>
        <v/>
      </c>
      <c r="K211" s="1473">
        <f>IF(J211=0,"",ROUNDUP(J211/8,0))</f>
        <v/>
      </c>
      <c r="L211" s="1474" t="n"/>
      <c r="M211" s="1473">
        <f>IF(L211&lt;&gt;"",L211,K211)</f>
        <v/>
      </c>
      <c r="N211" s="1436">
        <f>IF(M211="","",TEXT(M211,"0")&amp;" days")</f>
        <v/>
      </c>
      <c r="O211" s="1397" t="n"/>
      <c r="P211" s="1397" t="n"/>
      <c r="Q211" s="1397" t="n"/>
      <c r="R211" s="1397" t="n"/>
      <c r="S211" s="1475" t="n"/>
      <c r="T211" s="1476">
        <f>IF($D211="","",I211-N(H211))</f>
        <v/>
      </c>
      <c r="U211" s="1397">
        <f>IF($D211="","",IF(ABS(T211)&lt;0.01,"OK","CHECK"))</f>
        <v/>
      </c>
      <c r="V211" s="1397" t="inlineStr">
        <is>
          <t>Auto Scheduled</t>
        </is>
      </c>
      <c r="W211" s="1397" t="inlineStr">
        <is>
          <t>Prorated</t>
        </is>
      </c>
      <c r="X211" s="1397" t="n"/>
      <c r="Y211" s="1397">
        <f>IF($D211="","",COUNTIF($D$7:$D211,"?*"))</f>
        <v/>
      </c>
    </row>
    <row r="212">
      <c r="A212" s="1471" t="n">
        <v>206</v>
      </c>
      <c r="B212" s="1471" t="n"/>
      <c r="C212" s="1397" t="n"/>
      <c r="D212" s="1397" t="n"/>
      <c r="E212" s="1397" t="n"/>
      <c r="F212" s="1397" t="n"/>
      <c r="G212" s="1397" t="n"/>
      <c r="H212" s="1472" t="n"/>
      <c r="I212" s="1472">
        <f>SUMIF('Resource Build-Up'!$B$7:$B$306,D212,'Resource Build-Up'!$Z$7:$Z$306)</f>
        <v/>
      </c>
      <c r="J212" s="1473">
        <f>IFERROR(_xlfn.MAXIFS('Resource Build-Up'!$M$7:$M$306,'Resource Build-Up'!$B$7:$B$306,D212),0)</f>
        <v/>
      </c>
      <c r="K212" s="1473">
        <f>IF(J212=0,"",ROUNDUP(J212/8,0))</f>
        <v/>
      </c>
      <c r="L212" s="1474" t="n"/>
      <c r="M212" s="1473">
        <f>IF(L212&lt;&gt;"",L212,K212)</f>
        <v/>
      </c>
      <c r="N212" s="1436">
        <f>IF(M212="","",TEXT(M212,"0")&amp;" days")</f>
        <v/>
      </c>
      <c r="O212" s="1397" t="n"/>
      <c r="P212" s="1397" t="n"/>
      <c r="Q212" s="1397" t="n"/>
      <c r="R212" s="1397" t="n"/>
      <c r="S212" s="1475" t="n"/>
      <c r="T212" s="1476">
        <f>IF($D212="","",I212-N(H212))</f>
        <v/>
      </c>
      <c r="U212" s="1397">
        <f>IF($D212="","",IF(ABS(T212)&lt;0.01,"OK","CHECK"))</f>
        <v/>
      </c>
      <c r="V212" s="1397" t="inlineStr">
        <is>
          <t>Auto Scheduled</t>
        </is>
      </c>
      <c r="W212" s="1397" t="inlineStr">
        <is>
          <t>Prorated</t>
        </is>
      </c>
      <c r="X212" s="1397" t="n"/>
      <c r="Y212" s="1397">
        <f>IF($D212="","",COUNTIF($D$7:$D212,"?*"))</f>
        <v/>
      </c>
    </row>
    <row r="213">
      <c r="A213" s="1471" t="n">
        <v>207</v>
      </c>
      <c r="B213" s="1471" t="n"/>
      <c r="C213" s="1397" t="n"/>
      <c r="D213" s="1397" t="n"/>
      <c r="E213" s="1397" t="n"/>
      <c r="F213" s="1397" t="n"/>
      <c r="G213" s="1397" t="n"/>
      <c r="H213" s="1472" t="n"/>
      <c r="I213" s="1472">
        <f>SUMIF('Resource Build-Up'!$B$7:$B$306,D213,'Resource Build-Up'!$Z$7:$Z$306)</f>
        <v/>
      </c>
      <c r="J213" s="1473">
        <f>IFERROR(_xlfn.MAXIFS('Resource Build-Up'!$M$7:$M$306,'Resource Build-Up'!$B$7:$B$306,D213),0)</f>
        <v/>
      </c>
      <c r="K213" s="1473">
        <f>IF(J213=0,"",ROUNDUP(J213/8,0))</f>
        <v/>
      </c>
      <c r="L213" s="1474" t="n"/>
      <c r="M213" s="1473">
        <f>IF(L213&lt;&gt;"",L213,K213)</f>
        <v/>
      </c>
      <c r="N213" s="1436">
        <f>IF(M213="","",TEXT(M213,"0")&amp;" days")</f>
        <v/>
      </c>
      <c r="O213" s="1397" t="n"/>
      <c r="P213" s="1397" t="n"/>
      <c r="Q213" s="1397" t="n"/>
      <c r="R213" s="1397" t="n"/>
      <c r="S213" s="1475" t="n"/>
      <c r="T213" s="1476">
        <f>IF($D213="","",I213-N(H213))</f>
        <v/>
      </c>
      <c r="U213" s="1397">
        <f>IF($D213="","",IF(ABS(T213)&lt;0.01,"OK","CHECK"))</f>
        <v/>
      </c>
      <c r="V213" s="1397" t="inlineStr">
        <is>
          <t>Auto Scheduled</t>
        </is>
      </c>
      <c r="W213" s="1397" t="inlineStr">
        <is>
          <t>Prorated</t>
        </is>
      </c>
      <c r="X213" s="1397" t="n"/>
      <c r="Y213" s="1397">
        <f>IF($D213="","",COUNTIF($D$7:$D213,"?*"))</f>
        <v/>
      </c>
    </row>
    <row r="214">
      <c r="A214" s="1471" t="n">
        <v>208</v>
      </c>
      <c r="B214" s="1471" t="n"/>
      <c r="C214" s="1397" t="n"/>
      <c r="D214" s="1397" t="n"/>
      <c r="E214" s="1397" t="n"/>
      <c r="F214" s="1397" t="n"/>
      <c r="G214" s="1397" t="n"/>
      <c r="H214" s="1472" t="n"/>
      <c r="I214" s="1472">
        <f>SUMIF('Resource Build-Up'!$B$7:$B$306,D214,'Resource Build-Up'!$Z$7:$Z$306)</f>
        <v/>
      </c>
      <c r="J214" s="1473">
        <f>IFERROR(_xlfn.MAXIFS('Resource Build-Up'!$M$7:$M$306,'Resource Build-Up'!$B$7:$B$306,D214),0)</f>
        <v/>
      </c>
      <c r="K214" s="1473">
        <f>IF(J214=0,"",ROUNDUP(J214/8,0))</f>
        <v/>
      </c>
      <c r="L214" s="1474" t="n"/>
      <c r="M214" s="1473">
        <f>IF(L214&lt;&gt;"",L214,K214)</f>
        <v/>
      </c>
      <c r="N214" s="1436">
        <f>IF(M214="","",TEXT(M214,"0")&amp;" days")</f>
        <v/>
      </c>
      <c r="O214" s="1397" t="n"/>
      <c r="P214" s="1397" t="n"/>
      <c r="Q214" s="1397" t="n"/>
      <c r="R214" s="1397" t="n"/>
      <c r="S214" s="1475" t="n"/>
      <c r="T214" s="1476">
        <f>IF($D214="","",I214-N(H214))</f>
        <v/>
      </c>
      <c r="U214" s="1397">
        <f>IF($D214="","",IF(ABS(T214)&lt;0.01,"OK","CHECK"))</f>
        <v/>
      </c>
      <c r="V214" s="1397" t="inlineStr">
        <is>
          <t>Auto Scheduled</t>
        </is>
      </c>
      <c r="W214" s="1397" t="inlineStr">
        <is>
          <t>Prorated</t>
        </is>
      </c>
      <c r="X214" s="1397" t="n"/>
      <c r="Y214" s="1397">
        <f>IF($D214="","",COUNTIF($D$7:$D214,"?*"))</f>
        <v/>
      </c>
    </row>
    <row r="215">
      <c r="A215" s="1471" t="n">
        <v>209</v>
      </c>
      <c r="B215" s="1471" t="n"/>
      <c r="C215" s="1397" t="n"/>
      <c r="D215" s="1397" t="n"/>
      <c r="E215" s="1397" t="n"/>
      <c r="F215" s="1397" t="n"/>
      <c r="G215" s="1397" t="n"/>
      <c r="H215" s="1472" t="n"/>
      <c r="I215" s="1472">
        <f>SUMIF('Resource Build-Up'!$B$7:$B$306,D215,'Resource Build-Up'!$Z$7:$Z$306)</f>
        <v/>
      </c>
      <c r="J215" s="1473">
        <f>IFERROR(_xlfn.MAXIFS('Resource Build-Up'!$M$7:$M$306,'Resource Build-Up'!$B$7:$B$306,D215),0)</f>
        <v/>
      </c>
      <c r="K215" s="1473">
        <f>IF(J215=0,"",ROUNDUP(J215/8,0))</f>
        <v/>
      </c>
      <c r="L215" s="1474" t="n"/>
      <c r="M215" s="1473">
        <f>IF(L215&lt;&gt;"",L215,K215)</f>
        <v/>
      </c>
      <c r="N215" s="1436">
        <f>IF(M215="","",TEXT(M215,"0")&amp;" days")</f>
        <v/>
      </c>
      <c r="O215" s="1397" t="n"/>
      <c r="P215" s="1397" t="n"/>
      <c r="Q215" s="1397" t="n"/>
      <c r="R215" s="1397" t="n"/>
      <c r="S215" s="1475" t="n"/>
      <c r="T215" s="1476">
        <f>IF($D215="","",I215-N(H215))</f>
        <v/>
      </c>
      <c r="U215" s="1397">
        <f>IF($D215="","",IF(ABS(T215)&lt;0.01,"OK","CHECK"))</f>
        <v/>
      </c>
      <c r="V215" s="1397" t="inlineStr">
        <is>
          <t>Auto Scheduled</t>
        </is>
      </c>
      <c r="W215" s="1397" t="inlineStr">
        <is>
          <t>Prorated</t>
        </is>
      </c>
      <c r="X215" s="1397" t="n"/>
      <c r="Y215" s="1397">
        <f>IF($D215="","",COUNTIF($D$7:$D215,"?*"))</f>
        <v/>
      </c>
    </row>
    <row r="216">
      <c r="A216" s="1471" t="n">
        <v>210</v>
      </c>
      <c r="B216" s="1471" t="n"/>
      <c r="C216" s="1397" t="n"/>
      <c r="D216" s="1397" t="n"/>
      <c r="E216" s="1397" t="n"/>
      <c r="F216" s="1397" t="n"/>
      <c r="G216" s="1397" t="n"/>
      <c r="H216" s="1472" t="n"/>
      <c r="I216" s="1472">
        <f>SUMIF('Resource Build-Up'!$B$7:$B$306,D216,'Resource Build-Up'!$Z$7:$Z$306)</f>
        <v/>
      </c>
      <c r="J216" s="1473">
        <f>IFERROR(_xlfn.MAXIFS('Resource Build-Up'!$M$7:$M$306,'Resource Build-Up'!$B$7:$B$306,D216),0)</f>
        <v/>
      </c>
      <c r="K216" s="1473">
        <f>IF(J216=0,"",ROUNDUP(J216/8,0))</f>
        <v/>
      </c>
      <c r="L216" s="1474" t="n"/>
      <c r="M216" s="1473">
        <f>IF(L216&lt;&gt;"",L216,K216)</f>
        <v/>
      </c>
      <c r="N216" s="1436">
        <f>IF(M216="","",TEXT(M216,"0")&amp;" days")</f>
        <v/>
      </c>
      <c r="O216" s="1397" t="n"/>
      <c r="P216" s="1397" t="n"/>
      <c r="Q216" s="1397" t="n"/>
      <c r="R216" s="1397" t="n"/>
      <c r="S216" s="1475" t="n"/>
      <c r="T216" s="1476">
        <f>IF($D216="","",I216-N(H216))</f>
        <v/>
      </c>
      <c r="U216" s="1397">
        <f>IF($D216="","",IF(ABS(T216)&lt;0.01,"OK","CHECK"))</f>
        <v/>
      </c>
      <c r="V216" s="1397" t="inlineStr">
        <is>
          <t>Auto Scheduled</t>
        </is>
      </c>
      <c r="W216" s="1397" t="inlineStr">
        <is>
          <t>Prorated</t>
        </is>
      </c>
      <c r="X216" s="1397" t="n"/>
      <c r="Y216" s="1397">
        <f>IF($D216="","",COUNTIF($D$7:$D216,"?*"))</f>
        <v/>
      </c>
    </row>
    <row r="217">
      <c r="A217" s="1471" t="n">
        <v>211</v>
      </c>
      <c r="B217" s="1471" t="n"/>
      <c r="C217" s="1397" t="n"/>
      <c r="D217" s="1397" t="n"/>
      <c r="E217" s="1397" t="n"/>
      <c r="F217" s="1397" t="n"/>
      <c r="G217" s="1397" t="n"/>
      <c r="H217" s="1472" t="n"/>
      <c r="I217" s="1472">
        <f>SUMIF('Resource Build-Up'!$B$7:$B$306,D217,'Resource Build-Up'!$Z$7:$Z$306)</f>
        <v/>
      </c>
      <c r="J217" s="1473">
        <f>IFERROR(_xlfn.MAXIFS('Resource Build-Up'!$M$7:$M$306,'Resource Build-Up'!$B$7:$B$306,D217),0)</f>
        <v/>
      </c>
      <c r="K217" s="1473">
        <f>IF(J217=0,"",ROUNDUP(J217/8,0))</f>
        <v/>
      </c>
      <c r="L217" s="1474" t="n"/>
      <c r="M217" s="1473">
        <f>IF(L217&lt;&gt;"",L217,K217)</f>
        <v/>
      </c>
      <c r="N217" s="1436">
        <f>IF(M217="","",TEXT(M217,"0")&amp;" days")</f>
        <v/>
      </c>
      <c r="O217" s="1397" t="n"/>
      <c r="P217" s="1397" t="n"/>
      <c r="Q217" s="1397" t="n"/>
      <c r="R217" s="1397" t="n"/>
      <c r="S217" s="1475" t="n"/>
      <c r="T217" s="1476">
        <f>IF($D217="","",I217-N(H217))</f>
        <v/>
      </c>
      <c r="U217" s="1397">
        <f>IF($D217="","",IF(ABS(T217)&lt;0.01,"OK","CHECK"))</f>
        <v/>
      </c>
      <c r="V217" s="1397" t="inlineStr">
        <is>
          <t>Auto Scheduled</t>
        </is>
      </c>
      <c r="W217" s="1397" t="inlineStr">
        <is>
          <t>Prorated</t>
        </is>
      </c>
      <c r="X217" s="1397" t="n"/>
      <c r="Y217" s="1397">
        <f>IF($D217="","",COUNTIF($D$7:$D217,"?*"))</f>
        <v/>
      </c>
    </row>
    <row r="218">
      <c r="A218" s="1471" t="n">
        <v>212</v>
      </c>
      <c r="B218" s="1471" t="n"/>
      <c r="C218" s="1397" t="n"/>
      <c r="D218" s="1397" t="n"/>
      <c r="E218" s="1397" t="n"/>
      <c r="F218" s="1397" t="n"/>
      <c r="G218" s="1397" t="n"/>
      <c r="H218" s="1472" t="n"/>
      <c r="I218" s="1472">
        <f>SUMIF('Resource Build-Up'!$B$7:$B$306,D218,'Resource Build-Up'!$Z$7:$Z$306)</f>
        <v/>
      </c>
      <c r="J218" s="1473">
        <f>IFERROR(_xlfn.MAXIFS('Resource Build-Up'!$M$7:$M$306,'Resource Build-Up'!$B$7:$B$306,D218),0)</f>
        <v/>
      </c>
      <c r="K218" s="1473">
        <f>IF(J218=0,"",ROUNDUP(J218/8,0))</f>
        <v/>
      </c>
      <c r="L218" s="1474" t="n"/>
      <c r="M218" s="1473">
        <f>IF(L218&lt;&gt;"",L218,K218)</f>
        <v/>
      </c>
      <c r="N218" s="1436">
        <f>IF(M218="","",TEXT(M218,"0")&amp;" days")</f>
        <v/>
      </c>
      <c r="O218" s="1397" t="n"/>
      <c r="P218" s="1397" t="n"/>
      <c r="Q218" s="1397" t="n"/>
      <c r="R218" s="1397" t="n"/>
      <c r="S218" s="1475" t="n"/>
      <c r="T218" s="1476">
        <f>IF($D218="","",I218-N(H218))</f>
        <v/>
      </c>
      <c r="U218" s="1397">
        <f>IF($D218="","",IF(ABS(T218)&lt;0.01,"OK","CHECK"))</f>
        <v/>
      </c>
      <c r="V218" s="1397" t="inlineStr">
        <is>
          <t>Auto Scheduled</t>
        </is>
      </c>
      <c r="W218" s="1397" t="inlineStr">
        <is>
          <t>Prorated</t>
        </is>
      </c>
      <c r="X218" s="1397" t="n"/>
      <c r="Y218" s="1397">
        <f>IF($D218="","",COUNTIF($D$7:$D218,"?*"))</f>
        <v/>
      </c>
    </row>
    <row r="219">
      <c r="A219" s="1471" t="n">
        <v>213</v>
      </c>
      <c r="B219" s="1471" t="n"/>
      <c r="C219" s="1397" t="n"/>
      <c r="D219" s="1397" t="n"/>
      <c r="E219" s="1397" t="n"/>
      <c r="F219" s="1397" t="n"/>
      <c r="G219" s="1397" t="n"/>
      <c r="H219" s="1472" t="n"/>
      <c r="I219" s="1472">
        <f>SUMIF('Resource Build-Up'!$B$7:$B$306,D219,'Resource Build-Up'!$Z$7:$Z$306)</f>
        <v/>
      </c>
      <c r="J219" s="1473">
        <f>IFERROR(_xlfn.MAXIFS('Resource Build-Up'!$M$7:$M$306,'Resource Build-Up'!$B$7:$B$306,D219),0)</f>
        <v/>
      </c>
      <c r="K219" s="1473">
        <f>IF(J219=0,"",ROUNDUP(J219/8,0))</f>
        <v/>
      </c>
      <c r="L219" s="1474" t="n"/>
      <c r="M219" s="1473">
        <f>IF(L219&lt;&gt;"",L219,K219)</f>
        <v/>
      </c>
      <c r="N219" s="1436">
        <f>IF(M219="","",TEXT(M219,"0")&amp;" days")</f>
        <v/>
      </c>
      <c r="O219" s="1397" t="n"/>
      <c r="P219" s="1397" t="n"/>
      <c r="Q219" s="1397" t="n"/>
      <c r="R219" s="1397" t="n"/>
      <c r="S219" s="1475" t="n"/>
      <c r="T219" s="1476">
        <f>IF($D219="","",I219-N(H219))</f>
        <v/>
      </c>
      <c r="U219" s="1397">
        <f>IF($D219="","",IF(ABS(T219)&lt;0.01,"OK","CHECK"))</f>
        <v/>
      </c>
      <c r="V219" s="1397" t="inlineStr">
        <is>
          <t>Auto Scheduled</t>
        </is>
      </c>
      <c r="W219" s="1397" t="inlineStr">
        <is>
          <t>Prorated</t>
        </is>
      </c>
      <c r="X219" s="1397" t="n"/>
      <c r="Y219" s="1397">
        <f>IF($D219="","",COUNTIF($D$7:$D219,"?*"))</f>
        <v/>
      </c>
    </row>
    <row r="220">
      <c r="A220" s="1471" t="n">
        <v>214</v>
      </c>
      <c r="B220" s="1471" t="n"/>
      <c r="C220" s="1397" t="n"/>
      <c r="D220" s="1397" t="n"/>
      <c r="E220" s="1397" t="n"/>
      <c r="F220" s="1397" t="n"/>
      <c r="G220" s="1397" t="n"/>
      <c r="H220" s="1472" t="n"/>
      <c r="I220" s="1472">
        <f>SUMIF('Resource Build-Up'!$B$7:$B$306,D220,'Resource Build-Up'!$Z$7:$Z$306)</f>
        <v/>
      </c>
      <c r="J220" s="1473">
        <f>IFERROR(_xlfn.MAXIFS('Resource Build-Up'!$M$7:$M$306,'Resource Build-Up'!$B$7:$B$306,D220),0)</f>
        <v/>
      </c>
      <c r="K220" s="1473">
        <f>IF(J220=0,"",ROUNDUP(J220/8,0))</f>
        <v/>
      </c>
      <c r="L220" s="1474" t="n"/>
      <c r="M220" s="1473">
        <f>IF(L220&lt;&gt;"",L220,K220)</f>
        <v/>
      </c>
      <c r="N220" s="1436">
        <f>IF(M220="","",TEXT(M220,"0")&amp;" days")</f>
        <v/>
      </c>
      <c r="O220" s="1397" t="n"/>
      <c r="P220" s="1397" t="n"/>
      <c r="Q220" s="1397" t="n"/>
      <c r="R220" s="1397" t="n"/>
      <c r="S220" s="1475" t="n"/>
      <c r="T220" s="1476">
        <f>IF($D220="","",I220-N(H220))</f>
        <v/>
      </c>
      <c r="U220" s="1397">
        <f>IF($D220="","",IF(ABS(T220)&lt;0.01,"OK","CHECK"))</f>
        <v/>
      </c>
      <c r="V220" s="1397" t="inlineStr">
        <is>
          <t>Auto Scheduled</t>
        </is>
      </c>
      <c r="W220" s="1397" t="inlineStr">
        <is>
          <t>Prorated</t>
        </is>
      </c>
      <c r="X220" s="1397" t="n"/>
      <c r="Y220" s="1397">
        <f>IF($D220="","",COUNTIF($D$7:$D220,"?*"))</f>
        <v/>
      </c>
    </row>
    <row r="221">
      <c r="A221" s="1471" t="n">
        <v>215</v>
      </c>
      <c r="B221" s="1471" t="n"/>
      <c r="C221" s="1397" t="n"/>
      <c r="D221" s="1397" t="n"/>
      <c r="E221" s="1397" t="n"/>
      <c r="F221" s="1397" t="n"/>
      <c r="G221" s="1397" t="n"/>
      <c r="H221" s="1472" t="n"/>
      <c r="I221" s="1472">
        <f>SUMIF('Resource Build-Up'!$B$7:$B$306,D221,'Resource Build-Up'!$Z$7:$Z$306)</f>
        <v/>
      </c>
      <c r="J221" s="1473">
        <f>IFERROR(_xlfn.MAXIFS('Resource Build-Up'!$M$7:$M$306,'Resource Build-Up'!$B$7:$B$306,D221),0)</f>
        <v/>
      </c>
      <c r="K221" s="1473">
        <f>IF(J221=0,"",ROUNDUP(J221/8,0))</f>
        <v/>
      </c>
      <c r="L221" s="1474" t="n"/>
      <c r="M221" s="1473">
        <f>IF(L221&lt;&gt;"",L221,K221)</f>
        <v/>
      </c>
      <c r="N221" s="1436">
        <f>IF(M221="","",TEXT(M221,"0")&amp;" days")</f>
        <v/>
      </c>
      <c r="O221" s="1397" t="n"/>
      <c r="P221" s="1397" t="n"/>
      <c r="Q221" s="1397" t="n"/>
      <c r="R221" s="1397" t="n"/>
      <c r="S221" s="1475" t="n"/>
      <c r="T221" s="1476">
        <f>IF($D221="","",I221-N(H221))</f>
        <v/>
      </c>
      <c r="U221" s="1397">
        <f>IF($D221="","",IF(ABS(T221)&lt;0.01,"OK","CHECK"))</f>
        <v/>
      </c>
      <c r="V221" s="1397" t="inlineStr">
        <is>
          <t>Auto Scheduled</t>
        </is>
      </c>
      <c r="W221" s="1397" t="inlineStr">
        <is>
          <t>Prorated</t>
        </is>
      </c>
      <c r="X221" s="1397" t="n"/>
      <c r="Y221" s="1397">
        <f>IF($D221="","",COUNTIF($D$7:$D221,"?*"))</f>
        <v/>
      </c>
    </row>
    <row r="222">
      <c r="A222" s="1471" t="n">
        <v>216</v>
      </c>
      <c r="B222" s="1471" t="n"/>
      <c r="C222" s="1397" t="n"/>
      <c r="D222" s="1397" t="n"/>
      <c r="E222" s="1397" t="n"/>
      <c r="F222" s="1397" t="n"/>
      <c r="G222" s="1397" t="n"/>
      <c r="H222" s="1472" t="n"/>
      <c r="I222" s="1472">
        <f>SUMIF('Resource Build-Up'!$B$7:$B$306,D222,'Resource Build-Up'!$Z$7:$Z$306)</f>
        <v/>
      </c>
      <c r="J222" s="1473">
        <f>IFERROR(_xlfn.MAXIFS('Resource Build-Up'!$M$7:$M$306,'Resource Build-Up'!$B$7:$B$306,D222),0)</f>
        <v/>
      </c>
      <c r="K222" s="1473">
        <f>IF(J222=0,"",ROUNDUP(J222/8,0))</f>
        <v/>
      </c>
      <c r="L222" s="1474" t="n"/>
      <c r="M222" s="1473">
        <f>IF(L222&lt;&gt;"",L222,K222)</f>
        <v/>
      </c>
      <c r="N222" s="1436">
        <f>IF(M222="","",TEXT(M222,"0")&amp;" days")</f>
        <v/>
      </c>
      <c r="O222" s="1397" t="n"/>
      <c r="P222" s="1397" t="n"/>
      <c r="Q222" s="1397" t="n"/>
      <c r="R222" s="1397" t="n"/>
      <c r="S222" s="1475" t="n"/>
      <c r="T222" s="1476">
        <f>IF($D222="","",I222-N(H222))</f>
        <v/>
      </c>
      <c r="U222" s="1397">
        <f>IF($D222="","",IF(ABS(T222)&lt;0.01,"OK","CHECK"))</f>
        <v/>
      </c>
      <c r="V222" s="1397" t="inlineStr">
        <is>
          <t>Auto Scheduled</t>
        </is>
      </c>
      <c r="W222" s="1397" t="inlineStr">
        <is>
          <t>Prorated</t>
        </is>
      </c>
      <c r="X222" s="1397" t="n"/>
      <c r="Y222" s="1397">
        <f>IF($D222="","",COUNTIF($D$7:$D222,"?*"))</f>
        <v/>
      </c>
    </row>
    <row r="223">
      <c r="A223" s="1471" t="n">
        <v>217</v>
      </c>
      <c r="B223" s="1471" t="n"/>
      <c r="C223" s="1397" t="n"/>
      <c r="D223" s="1397" t="n"/>
      <c r="E223" s="1397" t="n"/>
      <c r="F223" s="1397" t="n"/>
      <c r="G223" s="1397" t="n"/>
      <c r="H223" s="1472" t="n"/>
      <c r="I223" s="1472">
        <f>SUMIF('Resource Build-Up'!$B$7:$B$306,D223,'Resource Build-Up'!$Z$7:$Z$306)</f>
        <v/>
      </c>
      <c r="J223" s="1473">
        <f>IFERROR(_xlfn.MAXIFS('Resource Build-Up'!$M$7:$M$306,'Resource Build-Up'!$B$7:$B$306,D223),0)</f>
        <v/>
      </c>
      <c r="K223" s="1473">
        <f>IF(J223=0,"",ROUNDUP(J223/8,0))</f>
        <v/>
      </c>
      <c r="L223" s="1474" t="n"/>
      <c r="M223" s="1473">
        <f>IF(L223&lt;&gt;"",L223,K223)</f>
        <v/>
      </c>
      <c r="N223" s="1436">
        <f>IF(M223="","",TEXT(M223,"0")&amp;" days")</f>
        <v/>
      </c>
      <c r="O223" s="1397" t="n"/>
      <c r="P223" s="1397" t="n"/>
      <c r="Q223" s="1397" t="n"/>
      <c r="R223" s="1397" t="n"/>
      <c r="S223" s="1475" t="n"/>
      <c r="T223" s="1476">
        <f>IF($D223="","",I223-N(H223))</f>
        <v/>
      </c>
      <c r="U223" s="1397">
        <f>IF($D223="","",IF(ABS(T223)&lt;0.01,"OK","CHECK"))</f>
        <v/>
      </c>
      <c r="V223" s="1397" t="inlineStr">
        <is>
          <t>Auto Scheduled</t>
        </is>
      </c>
      <c r="W223" s="1397" t="inlineStr">
        <is>
          <t>Prorated</t>
        </is>
      </c>
      <c r="X223" s="1397" t="n"/>
      <c r="Y223" s="1397">
        <f>IF($D223="","",COUNTIF($D$7:$D223,"?*"))</f>
        <v/>
      </c>
    </row>
    <row r="224">
      <c r="A224" s="1471" t="n">
        <v>218</v>
      </c>
      <c r="B224" s="1471" t="n"/>
      <c r="C224" s="1397" t="n"/>
      <c r="D224" s="1397" t="n"/>
      <c r="E224" s="1397" t="n"/>
      <c r="F224" s="1397" t="n"/>
      <c r="G224" s="1397" t="n"/>
      <c r="H224" s="1472" t="n"/>
      <c r="I224" s="1472">
        <f>SUMIF('Resource Build-Up'!$B$7:$B$306,D224,'Resource Build-Up'!$Z$7:$Z$306)</f>
        <v/>
      </c>
      <c r="J224" s="1473">
        <f>IFERROR(_xlfn.MAXIFS('Resource Build-Up'!$M$7:$M$306,'Resource Build-Up'!$B$7:$B$306,D224),0)</f>
        <v/>
      </c>
      <c r="K224" s="1473">
        <f>IF(J224=0,"",ROUNDUP(J224/8,0))</f>
        <v/>
      </c>
      <c r="L224" s="1474" t="n"/>
      <c r="M224" s="1473">
        <f>IF(L224&lt;&gt;"",L224,K224)</f>
        <v/>
      </c>
      <c r="N224" s="1436">
        <f>IF(M224="","",TEXT(M224,"0")&amp;" days")</f>
        <v/>
      </c>
      <c r="O224" s="1397" t="n"/>
      <c r="P224" s="1397" t="n"/>
      <c r="Q224" s="1397" t="n"/>
      <c r="R224" s="1397" t="n"/>
      <c r="S224" s="1475" t="n"/>
      <c r="T224" s="1476">
        <f>IF($D224="","",I224-N(H224))</f>
        <v/>
      </c>
      <c r="U224" s="1397">
        <f>IF($D224="","",IF(ABS(T224)&lt;0.01,"OK","CHECK"))</f>
        <v/>
      </c>
      <c r="V224" s="1397" t="inlineStr">
        <is>
          <t>Auto Scheduled</t>
        </is>
      </c>
      <c r="W224" s="1397" t="inlineStr">
        <is>
          <t>Prorated</t>
        </is>
      </c>
      <c r="X224" s="1397" t="n"/>
      <c r="Y224" s="1397">
        <f>IF($D224="","",COUNTIF($D$7:$D224,"?*"))</f>
        <v/>
      </c>
    </row>
    <row r="225">
      <c r="A225" s="1471" t="n">
        <v>219</v>
      </c>
      <c r="B225" s="1471" t="n"/>
      <c r="C225" s="1397" t="n"/>
      <c r="D225" s="1397" t="n"/>
      <c r="E225" s="1397" t="n"/>
      <c r="F225" s="1397" t="n"/>
      <c r="G225" s="1397" t="n"/>
      <c r="H225" s="1472" t="n"/>
      <c r="I225" s="1472">
        <f>SUMIF('Resource Build-Up'!$B$7:$B$306,D225,'Resource Build-Up'!$Z$7:$Z$306)</f>
        <v/>
      </c>
      <c r="J225" s="1473">
        <f>IFERROR(_xlfn.MAXIFS('Resource Build-Up'!$M$7:$M$306,'Resource Build-Up'!$B$7:$B$306,D225),0)</f>
        <v/>
      </c>
      <c r="K225" s="1473">
        <f>IF(J225=0,"",ROUNDUP(J225/8,0))</f>
        <v/>
      </c>
      <c r="L225" s="1474" t="n"/>
      <c r="M225" s="1473">
        <f>IF(L225&lt;&gt;"",L225,K225)</f>
        <v/>
      </c>
      <c r="N225" s="1436">
        <f>IF(M225="","",TEXT(M225,"0")&amp;" days")</f>
        <v/>
      </c>
      <c r="O225" s="1397" t="n"/>
      <c r="P225" s="1397" t="n"/>
      <c r="Q225" s="1397" t="n"/>
      <c r="R225" s="1397" t="n"/>
      <c r="S225" s="1475" t="n"/>
      <c r="T225" s="1476">
        <f>IF($D225="","",I225-N(H225))</f>
        <v/>
      </c>
      <c r="U225" s="1397">
        <f>IF($D225="","",IF(ABS(T225)&lt;0.01,"OK","CHECK"))</f>
        <v/>
      </c>
      <c r="V225" s="1397" t="inlineStr">
        <is>
          <t>Auto Scheduled</t>
        </is>
      </c>
      <c r="W225" s="1397" t="inlineStr">
        <is>
          <t>Prorated</t>
        </is>
      </c>
      <c r="X225" s="1397" t="n"/>
      <c r="Y225" s="1397">
        <f>IF($D225="","",COUNTIF($D$7:$D225,"?*"))</f>
        <v/>
      </c>
    </row>
    <row r="226">
      <c r="A226" s="1471" t="n">
        <v>220</v>
      </c>
      <c r="B226" s="1471" t="n"/>
      <c r="C226" s="1397" t="n"/>
      <c r="D226" s="1397" t="n"/>
      <c r="E226" s="1397" t="n"/>
      <c r="F226" s="1397" t="n"/>
      <c r="G226" s="1397" t="n"/>
      <c r="H226" s="1472" t="n"/>
      <c r="I226" s="1472">
        <f>SUMIF('Resource Build-Up'!$B$7:$B$306,D226,'Resource Build-Up'!$Z$7:$Z$306)</f>
        <v/>
      </c>
      <c r="J226" s="1473">
        <f>IFERROR(_xlfn.MAXIFS('Resource Build-Up'!$M$7:$M$306,'Resource Build-Up'!$B$7:$B$306,D226),0)</f>
        <v/>
      </c>
      <c r="K226" s="1473">
        <f>IF(J226=0,"",ROUNDUP(J226/8,0))</f>
        <v/>
      </c>
      <c r="L226" s="1474" t="n"/>
      <c r="M226" s="1473">
        <f>IF(L226&lt;&gt;"",L226,K226)</f>
        <v/>
      </c>
      <c r="N226" s="1436">
        <f>IF(M226="","",TEXT(M226,"0")&amp;" days")</f>
        <v/>
      </c>
      <c r="O226" s="1397" t="n"/>
      <c r="P226" s="1397" t="n"/>
      <c r="Q226" s="1397" t="n"/>
      <c r="R226" s="1397" t="n"/>
      <c r="S226" s="1475" t="n"/>
      <c r="T226" s="1476">
        <f>IF($D226="","",I226-N(H226))</f>
        <v/>
      </c>
      <c r="U226" s="1397">
        <f>IF($D226="","",IF(ABS(T226)&lt;0.01,"OK","CHECK"))</f>
        <v/>
      </c>
      <c r="V226" s="1397" t="inlineStr">
        <is>
          <t>Auto Scheduled</t>
        </is>
      </c>
      <c r="W226" s="1397" t="inlineStr">
        <is>
          <t>Prorated</t>
        </is>
      </c>
      <c r="X226" s="1397" t="n"/>
      <c r="Y226" s="1397">
        <f>IF($D226="","",COUNTIF($D$7:$D226,"?*"))</f>
        <v/>
      </c>
    </row>
  </sheetData>
  <mergeCells count="5">
    <mergeCell ref="A3:X3"/>
    <mergeCell ref="A4:X4"/>
    <mergeCell ref="A2:X2"/>
    <mergeCell ref="A1:X1"/>
    <mergeCell ref="A5:X5"/>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S201"/>
  <sheetViews>
    <sheetView workbookViewId="0">
      <selection activeCell="A1" sqref="A1"/>
    </sheetView>
  </sheetViews>
  <sheetFormatPr baseColWidth="8" defaultRowHeight="15"/>
  <cols>
    <col width="8" customWidth="1" style="491" min="1" max="1"/>
    <col width="12" customWidth="1" style="491" min="2" max="2"/>
    <col width="14" customWidth="1" style="491" min="3" max="3"/>
    <col width="44" customWidth="1" style="491" min="4" max="4"/>
    <col width="14" customWidth="1" style="491" min="5" max="5"/>
    <col width="16" customWidth="1" style="491" min="6" max="6"/>
    <col width="16" customWidth="1" style="491" min="7" max="7"/>
    <col width="14" customWidth="1" style="491" min="8" max="8"/>
    <col width="14" customWidth="1" style="491" min="9" max="9"/>
    <col width="58" customWidth="1" style="491" min="10" max="10"/>
    <col width="28" customWidth="1" style="491" min="11" max="11"/>
    <col width="30" customWidth="1" style="491" min="12" max="12"/>
    <col width="12" customWidth="1" style="491" min="13" max="13"/>
    <col width="10" customWidth="1" style="491" min="14" max="14"/>
    <col width="14" customWidth="1" style="491" min="15" max="15"/>
    <col width="18" customWidth="1" style="491" min="16" max="16"/>
    <col width="72" customWidth="1" style="491" min="17" max="17"/>
    <col width="22" customWidth="1" style="491" min="18" max="18"/>
    <col width="12" customWidth="1" style="491" min="19" max="19"/>
  </cols>
  <sheetData>
    <row r="1">
      <c r="A1" s="1001" t="inlineStr">
        <is>
          <t>ID</t>
        </is>
      </c>
      <c r="B1" s="1001" t="inlineStr">
        <is>
          <t>Outline Level</t>
        </is>
      </c>
      <c r="C1" s="1001" t="inlineStr">
        <is>
          <t>WBS</t>
        </is>
      </c>
      <c r="D1" s="1001" t="inlineStr">
        <is>
          <t>Task Name</t>
        </is>
      </c>
      <c r="E1" s="1001" t="inlineStr">
        <is>
          <t>Duration</t>
        </is>
      </c>
      <c r="F1" s="1001" t="inlineStr">
        <is>
          <t>Predecessors</t>
        </is>
      </c>
      <c r="G1" s="1001" t="inlineStr">
        <is>
          <t>Fixed Cost</t>
        </is>
      </c>
      <c r="H1" s="1001" t="inlineStr">
        <is>
          <t>Start</t>
        </is>
      </c>
      <c r="I1" s="1001" t="inlineStr">
        <is>
          <t>Finish</t>
        </is>
      </c>
      <c r="J1" s="1001" t="inlineStr">
        <is>
          <t>Resource Names</t>
        </is>
      </c>
      <c r="K1" s="1001" t="inlineStr">
        <is>
          <t>Category</t>
        </is>
      </c>
      <c r="L1" s="1001" t="inlineStr">
        <is>
          <t>Source Estimate</t>
        </is>
      </c>
      <c r="M1" s="1001" t="inlineStr">
        <is>
          <t>Quantity</t>
        </is>
      </c>
      <c r="N1" s="1001" t="inlineStr">
        <is>
          <t>Unit</t>
        </is>
      </c>
      <c r="O1" s="1001" t="inlineStr">
        <is>
          <t>Rate</t>
        </is>
      </c>
      <c r="P1" s="1001" t="inlineStr">
        <is>
          <t>Amount Excl GST</t>
        </is>
      </c>
      <c r="Q1" s="1001" t="inlineStr">
        <is>
          <t>Notes</t>
        </is>
      </c>
      <c r="R1" s="1001" t="inlineStr">
        <is>
          <t>Predecessor codes</t>
        </is>
      </c>
      <c r="S1" s="1001" t="inlineStr">
        <is>
          <t>Source row (helper)</t>
        </is>
      </c>
    </row>
    <row r="2" ht="15" customHeight="1" s="491">
      <c r="A2">
        <f>IF($S2="","",1)</f>
        <v/>
      </c>
      <c r="B2">
        <f>IF($S2="","",1)</f>
        <v/>
      </c>
      <c r="C2">
        <f>IF($S2="","",INDEX('Programme Export'!$D$7:$D$226,$S2)&amp;"")</f>
        <v/>
      </c>
      <c r="D2">
        <f>IF($S2="","",INDEX('Programme Export'!$E$7:$E$226,$S2)&amp;"")</f>
        <v/>
      </c>
      <c r="E2">
        <f>IF($S2="","",INDEX('Programme Export'!$N$7:$N$226,$S2)&amp;"")</f>
        <v/>
      </c>
      <c r="F2">
        <f t="array" ref="F2">IF(R2="","",_xlfn.TEXTJOIN(";",TRUE,IFERROR(IF(TRIM(MID(SUBSTITUTE(SUBSTITUTE(SUBSTITUTE(R2,",",";")," ",";"),";",REPT(" ",60)),(ROW($1:$10)-1)*60+1,60))="","",MATCH(TRIM(MID(SUBSTITUTE(SUBSTITUTE(SUBSTITUTE(R2,",",";")," ",";"),";",REPT(" ",60)),(ROW($1:$10)-1)*60+1,60)),$C$2:$C$201,0)),"")))</f>
        <v/>
      </c>
      <c r="G2">
        <f>IF($S2="","",INDEX('Programme Export'!$H$7:$H$226,$S2))</f>
        <v/>
      </c>
      <c r="J2">
        <f>IF($S2="","",INDEX('Programme Export'!$R$7:$R$226,$S2)&amp;"")</f>
        <v/>
      </c>
      <c r="K2">
        <f>IF($S2="","",INDEX('Programme Export'!$C$7:$C$226,$S2)&amp;"")</f>
        <v/>
      </c>
      <c r="L2">
        <f>IF($S2="","",'Cover &amp; Instructions'!$B$38)</f>
        <v/>
      </c>
      <c r="M2">
        <f>IF($S2="","",INDEX('Programme Export'!$F$7:$F$226,$S2))</f>
        <v/>
      </c>
      <c r="N2">
        <f>IF($S2="","",INDEX('Programme Export'!$G$7:$G$226,$S2)&amp;"")</f>
        <v/>
      </c>
      <c r="O2">
        <f>IF($S2="","",IFERROR(P2/M2,0))</f>
        <v/>
      </c>
      <c r="P2">
        <f>IF($S2="","",INDEX('Programme Export'!$H$7:$H$226,$S2))</f>
        <v/>
      </c>
      <c r="Q2">
        <f>IF($S2="","",INDEX('Programme Export'!$X$7:$X$226,$S2)&amp;"")</f>
        <v/>
      </c>
      <c r="R2">
        <f>IF($S2="","",INDEX('Programme Export'!$P$7:$P$226,$S2)&amp;"")</f>
        <v/>
      </c>
      <c r="S2">
        <f>IFERROR(MATCH(1,'Programme Export'!$Y$7:$Y$226,0),"")</f>
        <v/>
      </c>
    </row>
    <row r="3" ht="15" customHeight="1" s="491">
      <c r="A3">
        <f>IF($S3="","",2)</f>
        <v/>
      </c>
      <c r="B3">
        <f>IF($S3="","",1)</f>
        <v/>
      </c>
      <c r="C3">
        <f>IF($S3="","",INDEX('Programme Export'!$D$7:$D$226,$S3)&amp;"")</f>
        <v/>
      </c>
      <c r="D3">
        <f>IF($S3="","",INDEX('Programme Export'!$E$7:$E$226,$S3)&amp;"")</f>
        <v/>
      </c>
      <c r="E3">
        <f>IF($S3="","",INDEX('Programme Export'!$N$7:$N$226,$S3)&amp;"")</f>
        <v/>
      </c>
      <c r="F3">
        <f t="array" ref="F3">IF(R3="","",_xlfn.TEXTJOIN(";",TRUE,IFERROR(IF(TRIM(MID(SUBSTITUTE(SUBSTITUTE(SUBSTITUTE(R3,",",";")," ",";"),";",REPT(" ",60)),(ROW($1:$10)-1)*60+1,60))="","",MATCH(TRIM(MID(SUBSTITUTE(SUBSTITUTE(SUBSTITUTE(R3,",",";")," ",";"),";",REPT(" ",60)),(ROW($1:$10)-1)*60+1,60)),$C$2:$C$201,0)),"")))</f>
        <v/>
      </c>
      <c r="G3">
        <f>IF($S3="","",INDEX('Programme Export'!$H$7:$H$226,$S3))</f>
        <v/>
      </c>
      <c r="J3">
        <f>IF($S3="","",INDEX('Programme Export'!$R$7:$R$226,$S3)&amp;"")</f>
        <v/>
      </c>
      <c r="K3">
        <f>IF($S3="","",INDEX('Programme Export'!$C$7:$C$226,$S3)&amp;"")</f>
        <v/>
      </c>
      <c r="L3">
        <f>IF($S3="","",'Cover &amp; Instructions'!$B$38)</f>
        <v/>
      </c>
      <c r="M3">
        <f>IF($S3="","",INDEX('Programme Export'!$F$7:$F$226,$S3))</f>
        <v/>
      </c>
      <c r="N3">
        <f>IF($S3="","",INDEX('Programme Export'!$G$7:$G$226,$S3)&amp;"")</f>
        <v/>
      </c>
      <c r="O3">
        <f>IF($S3="","",IFERROR(P3/M3,0))</f>
        <v/>
      </c>
      <c r="P3">
        <f>IF($S3="","",INDEX('Programme Export'!$H$7:$H$226,$S3))</f>
        <v/>
      </c>
      <c r="Q3">
        <f>IF($S3="","",INDEX('Programme Export'!$X$7:$X$226,$S3)&amp;"")</f>
        <v/>
      </c>
      <c r="R3">
        <f>IF($S3="","",INDEX('Programme Export'!$P$7:$P$226,$S3)&amp;"")</f>
        <v/>
      </c>
      <c r="S3">
        <f>IFERROR(MATCH(2,'Programme Export'!$Y$7:$Y$226,0),"")</f>
        <v/>
      </c>
    </row>
    <row r="4" ht="15" customHeight="1" s="491">
      <c r="A4">
        <f>IF($S4="","",3)</f>
        <v/>
      </c>
      <c r="B4">
        <f>IF($S4="","",1)</f>
        <v/>
      </c>
      <c r="C4">
        <f>IF($S4="","",INDEX('Programme Export'!$D$7:$D$226,$S4)&amp;"")</f>
        <v/>
      </c>
      <c r="D4">
        <f>IF($S4="","",INDEX('Programme Export'!$E$7:$E$226,$S4)&amp;"")</f>
        <v/>
      </c>
      <c r="E4">
        <f>IF($S4="","",INDEX('Programme Export'!$N$7:$N$226,$S4)&amp;"")</f>
        <v/>
      </c>
      <c r="F4">
        <f t="array" ref="F4">IF(R4="","",_xlfn.TEXTJOIN(";",TRUE,IFERROR(IF(TRIM(MID(SUBSTITUTE(SUBSTITUTE(SUBSTITUTE(R4,",",";")," ",";"),";",REPT(" ",60)),(ROW($1:$10)-1)*60+1,60))="","",MATCH(TRIM(MID(SUBSTITUTE(SUBSTITUTE(SUBSTITUTE(R4,",",";")," ",";"),";",REPT(" ",60)),(ROW($1:$10)-1)*60+1,60)),$C$2:$C$201,0)),"")))</f>
        <v/>
      </c>
      <c r="G4">
        <f>IF($S4="","",INDEX('Programme Export'!$H$7:$H$226,$S4))</f>
        <v/>
      </c>
      <c r="J4">
        <f>IF($S4="","",INDEX('Programme Export'!$R$7:$R$226,$S4)&amp;"")</f>
        <v/>
      </c>
      <c r="K4">
        <f>IF($S4="","",INDEX('Programme Export'!$C$7:$C$226,$S4)&amp;"")</f>
        <v/>
      </c>
      <c r="L4">
        <f>IF($S4="","",'Cover &amp; Instructions'!$B$38)</f>
        <v/>
      </c>
      <c r="M4">
        <f>IF($S4="","",INDEX('Programme Export'!$F$7:$F$226,$S4))</f>
        <v/>
      </c>
      <c r="N4">
        <f>IF($S4="","",INDEX('Programme Export'!$G$7:$G$226,$S4)&amp;"")</f>
        <v/>
      </c>
      <c r="O4">
        <f>IF($S4="","",IFERROR(P4/M4,0))</f>
        <v/>
      </c>
      <c r="P4">
        <f>IF($S4="","",INDEX('Programme Export'!$H$7:$H$226,$S4))</f>
        <v/>
      </c>
      <c r="Q4">
        <f>IF($S4="","",INDEX('Programme Export'!$X$7:$X$226,$S4)&amp;"")</f>
        <v/>
      </c>
      <c r="R4">
        <f>IF($S4="","",INDEX('Programme Export'!$P$7:$P$226,$S4)&amp;"")</f>
        <v/>
      </c>
      <c r="S4">
        <f>IFERROR(MATCH(3,'Programme Export'!$Y$7:$Y$226,0),"")</f>
        <v/>
      </c>
    </row>
    <row r="5" ht="15" customHeight="1" s="491">
      <c r="A5">
        <f>IF($S5="","",4)</f>
        <v/>
      </c>
      <c r="B5">
        <f>IF($S5="","",1)</f>
        <v/>
      </c>
      <c r="C5">
        <f>IF($S5="","",INDEX('Programme Export'!$D$7:$D$226,$S5)&amp;"")</f>
        <v/>
      </c>
      <c r="D5">
        <f>IF($S5="","",INDEX('Programme Export'!$E$7:$E$226,$S5)&amp;"")</f>
        <v/>
      </c>
      <c r="E5">
        <f>IF($S5="","",INDEX('Programme Export'!$N$7:$N$226,$S5)&amp;"")</f>
        <v/>
      </c>
      <c r="F5">
        <f t="array" ref="F5">IF(R5="","",_xlfn.TEXTJOIN(";",TRUE,IFERROR(IF(TRIM(MID(SUBSTITUTE(SUBSTITUTE(SUBSTITUTE(R5,",",";")," ",";"),";",REPT(" ",60)),(ROW($1:$10)-1)*60+1,60))="","",MATCH(TRIM(MID(SUBSTITUTE(SUBSTITUTE(SUBSTITUTE(R5,",",";")," ",";"),";",REPT(" ",60)),(ROW($1:$10)-1)*60+1,60)),$C$2:$C$201,0)),"")))</f>
        <v/>
      </c>
      <c r="G5">
        <f>IF($S5="","",INDEX('Programme Export'!$H$7:$H$226,$S5))</f>
        <v/>
      </c>
      <c r="J5">
        <f>IF($S5="","",INDEX('Programme Export'!$R$7:$R$226,$S5)&amp;"")</f>
        <v/>
      </c>
      <c r="K5">
        <f>IF($S5="","",INDEX('Programme Export'!$C$7:$C$226,$S5)&amp;"")</f>
        <v/>
      </c>
      <c r="L5">
        <f>IF($S5="","",'Cover &amp; Instructions'!$B$38)</f>
        <v/>
      </c>
      <c r="M5">
        <f>IF($S5="","",INDEX('Programme Export'!$F$7:$F$226,$S5))</f>
        <v/>
      </c>
      <c r="N5">
        <f>IF($S5="","",INDEX('Programme Export'!$G$7:$G$226,$S5)&amp;"")</f>
        <v/>
      </c>
      <c r="O5">
        <f>IF($S5="","",IFERROR(P5/M5,0))</f>
        <v/>
      </c>
      <c r="P5">
        <f>IF($S5="","",INDEX('Programme Export'!$H$7:$H$226,$S5))</f>
        <v/>
      </c>
      <c r="Q5">
        <f>IF($S5="","",INDEX('Programme Export'!$X$7:$X$226,$S5)&amp;"")</f>
        <v/>
      </c>
      <c r="R5">
        <f>IF($S5="","",INDEX('Programme Export'!$P$7:$P$226,$S5)&amp;"")</f>
        <v/>
      </c>
      <c r="S5">
        <f>IFERROR(MATCH(4,'Programme Export'!$Y$7:$Y$226,0),"")</f>
        <v/>
      </c>
    </row>
    <row r="6" ht="15" customHeight="1" s="491">
      <c r="A6">
        <f>IF($S6="","",5)</f>
        <v/>
      </c>
      <c r="B6">
        <f>IF($S6="","",1)</f>
        <v/>
      </c>
      <c r="C6">
        <f>IF($S6="","",INDEX('Programme Export'!$D$7:$D$226,$S6)&amp;"")</f>
        <v/>
      </c>
      <c r="D6">
        <f>IF($S6="","",INDEX('Programme Export'!$E$7:$E$226,$S6)&amp;"")</f>
        <v/>
      </c>
      <c r="E6">
        <f>IF($S6="","",INDEX('Programme Export'!$N$7:$N$226,$S6)&amp;"")</f>
        <v/>
      </c>
      <c r="F6">
        <f t="array" ref="F6">IF(R6="","",_xlfn.TEXTJOIN(";",TRUE,IFERROR(IF(TRIM(MID(SUBSTITUTE(SUBSTITUTE(SUBSTITUTE(R6,",",";")," ",";"),";",REPT(" ",60)),(ROW($1:$10)-1)*60+1,60))="","",MATCH(TRIM(MID(SUBSTITUTE(SUBSTITUTE(SUBSTITUTE(R6,",",";")," ",";"),";",REPT(" ",60)),(ROW($1:$10)-1)*60+1,60)),$C$2:$C$201,0)),"")))</f>
        <v/>
      </c>
      <c r="G6">
        <f>IF($S6="","",INDEX('Programme Export'!$H$7:$H$226,$S6))</f>
        <v/>
      </c>
      <c r="J6">
        <f>IF($S6="","",INDEX('Programme Export'!$R$7:$R$226,$S6)&amp;"")</f>
        <v/>
      </c>
      <c r="K6">
        <f>IF($S6="","",INDEX('Programme Export'!$C$7:$C$226,$S6)&amp;"")</f>
        <v/>
      </c>
      <c r="L6">
        <f>IF($S6="","",'Cover &amp; Instructions'!$B$38)</f>
        <v/>
      </c>
      <c r="M6">
        <f>IF($S6="","",INDEX('Programme Export'!$F$7:$F$226,$S6))</f>
        <v/>
      </c>
      <c r="N6">
        <f>IF($S6="","",INDEX('Programme Export'!$G$7:$G$226,$S6)&amp;"")</f>
        <v/>
      </c>
      <c r="O6">
        <f>IF($S6="","",IFERROR(P6/M6,0))</f>
        <v/>
      </c>
      <c r="P6">
        <f>IF($S6="","",INDEX('Programme Export'!$H$7:$H$226,$S6))</f>
        <v/>
      </c>
      <c r="Q6">
        <f>IF($S6="","",INDEX('Programme Export'!$X$7:$X$226,$S6)&amp;"")</f>
        <v/>
      </c>
      <c r="R6">
        <f>IF($S6="","",INDEX('Programme Export'!$P$7:$P$226,$S6)&amp;"")</f>
        <v/>
      </c>
      <c r="S6">
        <f>IFERROR(MATCH(5,'Programme Export'!$Y$7:$Y$226,0),"")</f>
        <v/>
      </c>
    </row>
    <row r="7" ht="15" customHeight="1" s="491">
      <c r="A7">
        <f>IF($S7="","",6)</f>
        <v/>
      </c>
      <c r="B7">
        <f>IF($S7="","",1)</f>
        <v/>
      </c>
      <c r="C7">
        <f>IF($S7="","",INDEX('Programme Export'!$D$7:$D$226,$S7)&amp;"")</f>
        <v/>
      </c>
      <c r="D7">
        <f>IF($S7="","",INDEX('Programme Export'!$E$7:$E$226,$S7)&amp;"")</f>
        <v/>
      </c>
      <c r="E7">
        <f>IF($S7="","",INDEX('Programme Export'!$N$7:$N$226,$S7)&amp;"")</f>
        <v/>
      </c>
      <c r="F7">
        <f t="array" ref="F7">IF(R7="","",_xlfn.TEXTJOIN(";",TRUE,IFERROR(IF(TRIM(MID(SUBSTITUTE(SUBSTITUTE(SUBSTITUTE(R7,",",";")," ",";"),";",REPT(" ",60)),(ROW($1:$10)-1)*60+1,60))="","",MATCH(TRIM(MID(SUBSTITUTE(SUBSTITUTE(SUBSTITUTE(R7,",",";")," ",";"),";",REPT(" ",60)),(ROW($1:$10)-1)*60+1,60)),$C$2:$C$201,0)),"")))</f>
        <v/>
      </c>
      <c r="G7">
        <f>IF($S7="","",INDEX('Programme Export'!$H$7:$H$226,$S7))</f>
        <v/>
      </c>
      <c r="J7">
        <f>IF($S7="","",INDEX('Programme Export'!$R$7:$R$226,$S7)&amp;"")</f>
        <v/>
      </c>
      <c r="K7">
        <f>IF($S7="","",INDEX('Programme Export'!$C$7:$C$226,$S7)&amp;"")</f>
        <v/>
      </c>
      <c r="L7">
        <f>IF($S7="","",'Cover &amp; Instructions'!$B$38)</f>
        <v/>
      </c>
      <c r="M7">
        <f>IF($S7="","",INDEX('Programme Export'!$F$7:$F$226,$S7))</f>
        <v/>
      </c>
      <c r="N7">
        <f>IF($S7="","",INDEX('Programme Export'!$G$7:$G$226,$S7)&amp;"")</f>
        <v/>
      </c>
      <c r="O7">
        <f>IF($S7="","",IFERROR(P7/M7,0))</f>
        <v/>
      </c>
      <c r="P7">
        <f>IF($S7="","",INDEX('Programme Export'!$H$7:$H$226,$S7))</f>
        <v/>
      </c>
      <c r="Q7">
        <f>IF($S7="","",INDEX('Programme Export'!$X$7:$X$226,$S7)&amp;"")</f>
        <v/>
      </c>
      <c r="R7">
        <f>IF($S7="","",INDEX('Programme Export'!$P$7:$P$226,$S7)&amp;"")</f>
        <v/>
      </c>
      <c r="S7">
        <f>IFERROR(MATCH(6,'Programme Export'!$Y$7:$Y$226,0),"")</f>
        <v/>
      </c>
    </row>
    <row r="8" ht="15" customHeight="1" s="491">
      <c r="A8">
        <f>IF($S8="","",7)</f>
        <v/>
      </c>
      <c r="B8">
        <f>IF($S8="","",1)</f>
        <v/>
      </c>
      <c r="C8">
        <f>IF($S8="","",INDEX('Programme Export'!$D$7:$D$226,$S8)&amp;"")</f>
        <v/>
      </c>
      <c r="D8">
        <f>IF($S8="","",INDEX('Programme Export'!$E$7:$E$226,$S8)&amp;"")</f>
        <v/>
      </c>
      <c r="E8">
        <f>IF($S8="","",INDEX('Programme Export'!$N$7:$N$226,$S8)&amp;"")</f>
        <v/>
      </c>
      <c r="F8">
        <f t="array" ref="F8">IF(R8="","",_xlfn.TEXTJOIN(";",TRUE,IFERROR(IF(TRIM(MID(SUBSTITUTE(SUBSTITUTE(SUBSTITUTE(R8,",",";")," ",";"),";",REPT(" ",60)),(ROW($1:$10)-1)*60+1,60))="","",MATCH(TRIM(MID(SUBSTITUTE(SUBSTITUTE(SUBSTITUTE(R8,",",";")," ",";"),";",REPT(" ",60)),(ROW($1:$10)-1)*60+1,60)),$C$2:$C$201,0)),"")))</f>
        <v/>
      </c>
      <c r="G8">
        <f>IF($S8="","",INDEX('Programme Export'!$H$7:$H$226,$S8))</f>
        <v/>
      </c>
      <c r="J8">
        <f>IF($S8="","",INDEX('Programme Export'!$R$7:$R$226,$S8)&amp;"")</f>
        <v/>
      </c>
      <c r="K8">
        <f>IF($S8="","",INDEX('Programme Export'!$C$7:$C$226,$S8)&amp;"")</f>
        <v/>
      </c>
      <c r="L8">
        <f>IF($S8="","",'Cover &amp; Instructions'!$B$38)</f>
        <v/>
      </c>
      <c r="M8">
        <f>IF($S8="","",INDEX('Programme Export'!$F$7:$F$226,$S8))</f>
        <v/>
      </c>
      <c r="N8">
        <f>IF($S8="","",INDEX('Programme Export'!$G$7:$G$226,$S8)&amp;"")</f>
        <v/>
      </c>
      <c r="O8">
        <f>IF($S8="","",IFERROR(P8/M8,0))</f>
        <v/>
      </c>
      <c r="P8">
        <f>IF($S8="","",INDEX('Programme Export'!$H$7:$H$226,$S8))</f>
        <v/>
      </c>
      <c r="Q8">
        <f>IF($S8="","",INDEX('Programme Export'!$X$7:$X$226,$S8)&amp;"")</f>
        <v/>
      </c>
      <c r="R8">
        <f>IF($S8="","",INDEX('Programme Export'!$P$7:$P$226,$S8)&amp;"")</f>
        <v/>
      </c>
      <c r="S8">
        <f>IFERROR(MATCH(7,'Programme Export'!$Y$7:$Y$226,0),"")</f>
        <v/>
      </c>
    </row>
    <row r="9" ht="15" customHeight="1" s="491">
      <c r="A9">
        <f>IF($S9="","",8)</f>
        <v/>
      </c>
      <c r="B9">
        <f>IF($S9="","",1)</f>
        <v/>
      </c>
      <c r="C9">
        <f>IF($S9="","",INDEX('Programme Export'!$D$7:$D$226,$S9)&amp;"")</f>
        <v/>
      </c>
      <c r="D9">
        <f>IF($S9="","",INDEX('Programme Export'!$E$7:$E$226,$S9)&amp;"")</f>
        <v/>
      </c>
      <c r="E9">
        <f>IF($S9="","",INDEX('Programme Export'!$N$7:$N$226,$S9)&amp;"")</f>
        <v/>
      </c>
      <c r="F9">
        <f t="array" ref="F9">IF(R9="","",_xlfn.TEXTJOIN(";",TRUE,IFERROR(IF(TRIM(MID(SUBSTITUTE(SUBSTITUTE(SUBSTITUTE(R9,",",";")," ",";"),";",REPT(" ",60)),(ROW($1:$10)-1)*60+1,60))="","",MATCH(TRIM(MID(SUBSTITUTE(SUBSTITUTE(SUBSTITUTE(R9,",",";")," ",";"),";",REPT(" ",60)),(ROW($1:$10)-1)*60+1,60)),$C$2:$C$201,0)),"")))</f>
        <v/>
      </c>
      <c r="G9">
        <f>IF($S9="","",INDEX('Programme Export'!$H$7:$H$226,$S9))</f>
        <v/>
      </c>
      <c r="J9">
        <f>IF($S9="","",INDEX('Programme Export'!$R$7:$R$226,$S9)&amp;"")</f>
        <v/>
      </c>
      <c r="K9">
        <f>IF($S9="","",INDEX('Programme Export'!$C$7:$C$226,$S9)&amp;"")</f>
        <v/>
      </c>
      <c r="L9">
        <f>IF($S9="","",'Cover &amp; Instructions'!$B$38)</f>
        <v/>
      </c>
      <c r="M9">
        <f>IF($S9="","",INDEX('Programme Export'!$F$7:$F$226,$S9))</f>
        <v/>
      </c>
      <c r="N9">
        <f>IF($S9="","",INDEX('Programme Export'!$G$7:$G$226,$S9)&amp;"")</f>
        <v/>
      </c>
      <c r="O9">
        <f>IF($S9="","",IFERROR(P9/M9,0))</f>
        <v/>
      </c>
      <c r="P9">
        <f>IF($S9="","",INDEX('Programme Export'!$H$7:$H$226,$S9))</f>
        <v/>
      </c>
      <c r="Q9">
        <f>IF($S9="","",INDEX('Programme Export'!$X$7:$X$226,$S9)&amp;"")</f>
        <v/>
      </c>
      <c r="R9">
        <f>IF($S9="","",INDEX('Programme Export'!$P$7:$P$226,$S9)&amp;"")</f>
        <v/>
      </c>
      <c r="S9">
        <f>IFERROR(MATCH(8,'Programme Export'!$Y$7:$Y$226,0),"")</f>
        <v/>
      </c>
    </row>
    <row r="10" ht="15" customHeight="1" s="491">
      <c r="A10">
        <f>IF($S10="","",9)</f>
        <v/>
      </c>
      <c r="B10">
        <f>IF($S10="","",1)</f>
        <v/>
      </c>
      <c r="C10">
        <f>IF($S10="","",INDEX('Programme Export'!$D$7:$D$226,$S10)&amp;"")</f>
        <v/>
      </c>
      <c r="D10">
        <f>IF($S10="","",INDEX('Programme Export'!$E$7:$E$226,$S10)&amp;"")</f>
        <v/>
      </c>
      <c r="E10">
        <f>IF($S10="","",INDEX('Programme Export'!$N$7:$N$226,$S10)&amp;"")</f>
        <v/>
      </c>
      <c r="F10">
        <f t="array" ref="F10">IF(R10="","",_xlfn.TEXTJOIN(";",TRUE,IFERROR(IF(TRIM(MID(SUBSTITUTE(SUBSTITUTE(SUBSTITUTE(R10,",",";")," ",";"),";",REPT(" ",60)),(ROW($1:$10)-1)*60+1,60))="","",MATCH(TRIM(MID(SUBSTITUTE(SUBSTITUTE(SUBSTITUTE(R10,",",";")," ",";"),";",REPT(" ",60)),(ROW($1:$10)-1)*60+1,60)),$C$2:$C$201,0)),"")))</f>
        <v/>
      </c>
      <c r="G10">
        <f>IF($S10="","",INDEX('Programme Export'!$H$7:$H$226,$S10))</f>
        <v/>
      </c>
      <c r="J10">
        <f>IF($S10="","",INDEX('Programme Export'!$R$7:$R$226,$S10)&amp;"")</f>
        <v/>
      </c>
      <c r="K10">
        <f>IF($S10="","",INDEX('Programme Export'!$C$7:$C$226,$S10)&amp;"")</f>
        <v/>
      </c>
      <c r="L10">
        <f>IF($S10="","",'Cover &amp; Instructions'!$B$38)</f>
        <v/>
      </c>
      <c r="M10">
        <f>IF($S10="","",INDEX('Programme Export'!$F$7:$F$226,$S10))</f>
        <v/>
      </c>
      <c r="N10">
        <f>IF($S10="","",INDEX('Programme Export'!$G$7:$G$226,$S10)&amp;"")</f>
        <v/>
      </c>
      <c r="O10">
        <f>IF($S10="","",IFERROR(P10/M10,0))</f>
        <v/>
      </c>
      <c r="P10">
        <f>IF($S10="","",INDEX('Programme Export'!$H$7:$H$226,$S10))</f>
        <v/>
      </c>
      <c r="Q10">
        <f>IF($S10="","",INDEX('Programme Export'!$X$7:$X$226,$S10)&amp;"")</f>
        <v/>
      </c>
      <c r="R10">
        <f>IF($S10="","",INDEX('Programme Export'!$P$7:$P$226,$S10)&amp;"")</f>
        <v/>
      </c>
      <c r="S10">
        <f>IFERROR(MATCH(9,'Programme Export'!$Y$7:$Y$226,0),"")</f>
        <v/>
      </c>
    </row>
    <row r="11" ht="15" customHeight="1" s="491">
      <c r="A11">
        <f>IF($S11="","",10)</f>
        <v/>
      </c>
      <c r="B11">
        <f>IF($S11="","",1)</f>
        <v/>
      </c>
      <c r="C11">
        <f>IF($S11="","",INDEX('Programme Export'!$D$7:$D$226,$S11)&amp;"")</f>
        <v/>
      </c>
      <c r="D11">
        <f>IF($S11="","",INDEX('Programme Export'!$E$7:$E$226,$S11)&amp;"")</f>
        <v/>
      </c>
      <c r="E11">
        <f>IF($S11="","",INDEX('Programme Export'!$N$7:$N$226,$S11)&amp;"")</f>
        <v/>
      </c>
      <c r="F11">
        <f t="array" ref="F11">IF(R11="","",_xlfn.TEXTJOIN(";",TRUE,IFERROR(IF(TRIM(MID(SUBSTITUTE(SUBSTITUTE(SUBSTITUTE(R11,",",";")," ",";"),";",REPT(" ",60)),(ROW($1:$10)-1)*60+1,60))="","",MATCH(TRIM(MID(SUBSTITUTE(SUBSTITUTE(SUBSTITUTE(R11,",",";")," ",";"),";",REPT(" ",60)),(ROW($1:$10)-1)*60+1,60)),$C$2:$C$201,0)),"")))</f>
        <v/>
      </c>
      <c r="G11">
        <f>IF($S11="","",INDEX('Programme Export'!$H$7:$H$226,$S11))</f>
        <v/>
      </c>
      <c r="J11">
        <f>IF($S11="","",INDEX('Programme Export'!$R$7:$R$226,$S11)&amp;"")</f>
        <v/>
      </c>
      <c r="K11">
        <f>IF($S11="","",INDEX('Programme Export'!$C$7:$C$226,$S11)&amp;"")</f>
        <v/>
      </c>
      <c r="L11">
        <f>IF($S11="","",'Cover &amp; Instructions'!$B$38)</f>
        <v/>
      </c>
      <c r="M11">
        <f>IF($S11="","",INDEX('Programme Export'!$F$7:$F$226,$S11))</f>
        <v/>
      </c>
      <c r="N11">
        <f>IF($S11="","",INDEX('Programme Export'!$G$7:$G$226,$S11)&amp;"")</f>
        <v/>
      </c>
      <c r="O11">
        <f>IF($S11="","",IFERROR(P11/M11,0))</f>
        <v/>
      </c>
      <c r="P11">
        <f>IF($S11="","",INDEX('Programme Export'!$H$7:$H$226,$S11))</f>
        <v/>
      </c>
      <c r="Q11">
        <f>IF($S11="","",INDEX('Programme Export'!$X$7:$X$226,$S11)&amp;"")</f>
        <v/>
      </c>
      <c r="R11">
        <f>IF($S11="","",INDEX('Programme Export'!$P$7:$P$226,$S11)&amp;"")</f>
        <v/>
      </c>
      <c r="S11">
        <f>IFERROR(MATCH(10,'Programme Export'!$Y$7:$Y$226,0),"")</f>
        <v/>
      </c>
    </row>
    <row r="12" ht="15" customHeight="1" s="491">
      <c r="A12">
        <f>IF($S12="","",11)</f>
        <v/>
      </c>
      <c r="B12">
        <f>IF($S12="","",1)</f>
        <v/>
      </c>
      <c r="C12">
        <f>IF($S12="","",INDEX('Programme Export'!$D$7:$D$226,$S12)&amp;"")</f>
        <v/>
      </c>
      <c r="D12">
        <f>IF($S12="","",INDEX('Programme Export'!$E$7:$E$226,$S12)&amp;"")</f>
        <v/>
      </c>
      <c r="E12">
        <f>IF($S12="","",INDEX('Programme Export'!$N$7:$N$226,$S12)&amp;"")</f>
        <v/>
      </c>
      <c r="F12">
        <f t="array" ref="F12">IF(R12="","",_xlfn.TEXTJOIN(";",TRUE,IFERROR(IF(TRIM(MID(SUBSTITUTE(SUBSTITUTE(SUBSTITUTE(R12,",",";")," ",";"),";",REPT(" ",60)),(ROW($1:$10)-1)*60+1,60))="","",MATCH(TRIM(MID(SUBSTITUTE(SUBSTITUTE(SUBSTITUTE(R12,",",";")," ",";"),";",REPT(" ",60)),(ROW($1:$10)-1)*60+1,60)),$C$2:$C$201,0)),"")))</f>
        <v/>
      </c>
      <c r="G12">
        <f>IF($S12="","",INDEX('Programme Export'!$H$7:$H$226,$S12))</f>
        <v/>
      </c>
      <c r="J12">
        <f>IF($S12="","",INDEX('Programme Export'!$R$7:$R$226,$S12)&amp;"")</f>
        <v/>
      </c>
      <c r="K12">
        <f>IF($S12="","",INDEX('Programme Export'!$C$7:$C$226,$S12)&amp;"")</f>
        <v/>
      </c>
      <c r="L12">
        <f>IF($S12="","",'Cover &amp; Instructions'!$B$38)</f>
        <v/>
      </c>
      <c r="M12">
        <f>IF($S12="","",INDEX('Programme Export'!$F$7:$F$226,$S12))</f>
        <v/>
      </c>
      <c r="N12">
        <f>IF($S12="","",INDEX('Programme Export'!$G$7:$G$226,$S12)&amp;"")</f>
        <v/>
      </c>
      <c r="O12">
        <f>IF($S12="","",IFERROR(P12/M12,0))</f>
        <v/>
      </c>
      <c r="P12">
        <f>IF($S12="","",INDEX('Programme Export'!$H$7:$H$226,$S12))</f>
        <v/>
      </c>
      <c r="Q12">
        <f>IF($S12="","",INDEX('Programme Export'!$X$7:$X$226,$S12)&amp;"")</f>
        <v/>
      </c>
      <c r="R12">
        <f>IF($S12="","",INDEX('Programme Export'!$P$7:$P$226,$S12)&amp;"")</f>
        <v/>
      </c>
      <c r="S12">
        <f>IFERROR(MATCH(11,'Programme Export'!$Y$7:$Y$226,0),"")</f>
        <v/>
      </c>
    </row>
    <row r="13" ht="15" customHeight="1" s="491">
      <c r="A13">
        <f>IF($S13="","",12)</f>
        <v/>
      </c>
      <c r="B13">
        <f>IF($S13="","",1)</f>
        <v/>
      </c>
      <c r="C13">
        <f>IF($S13="","",INDEX('Programme Export'!$D$7:$D$226,$S13)&amp;"")</f>
        <v/>
      </c>
      <c r="D13">
        <f>IF($S13="","",INDEX('Programme Export'!$E$7:$E$226,$S13)&amp;"")</f>
        <v/>
      </c>
      <c r="E13">
        <f>IF($S13="","",INDEX('Programme Export'!$N$7:$N$226,$S13)&amp;"")</f>
        <v/>
      </c>
      <c r="F13">
        <f t="array" ref="F13">IF(R13="","",_xlfn.TEXTJOIN(";",TRUE,IFERROR(IF(TRIM(MID(SUBSTITUTE(SUBSTITUTE(SUBSTITUTE(R13,",",";")," ",";"),";",REPT(" ",60)),(ROW($1:$10)-1)*60+1,60))="","",MATCH(TRIM(MID(SUBSTITUTE(SUBSTITUTE(SUBSTITUTE(R13,",",";")," ",";"),";",REPT(" ",60)),(ROW($1:$10)-1)*60+1,60)),$C$2:$C$201,0)),"")))</f>
        <v/>
      </c>
      <c r="G13">
        <f>IF($S13="","",INDEX('Programme Export'!$H$7:$H$226,$S13))</f>
        <v/>
      </c>
      <c r="J13">
        <f>IF($S13="","",INDEX('Programme Export'!$R$7:$R$226,$S13)&amp;"")</f>
        <v/>
      </c>
      <c r="K13">
        <f>IF($S13="","",INDEX('Programme Export'!$C$7:$C$226,$S13)&amp;"")</f>
        <v/>
      </c>
      <c r="L13">
        <f>IF($S13="","",'Cover &amp; Instructions'!$B$38)</f>
        <v/>
      </c>
      <c r="M13">
        <f>IF($S13="","",INDEX('Programme Export'!$F$7:$F$226,$S13))</f>
        <v/>
      </c>
      <c r="N13">
        <f>IF($S13="","",INDEX('Programme Export'!$G$7:$G$226,$S13)&amp;"")</f>
        <v/>
      </c>
      <c r="O13">
        <f>IF($S13="","",IFERROR(P13/M13,0))</f>
        <v/>
      </c>
      <c r="P13">
        <f>IF($S13="","",INDEX('Programme Export'!$H$7:$H$226,$S13))</f>
        <v/>
      </c>
      <c r="Q13">
        <f>IF($S13="","",INDEX('Programme Export'!$X$7:$X$226,$S13)&amp;"")</f>
        <v/>
      </c>
      <c r="R13">
        <f>IF($S13="","",INDEX('Programme Export'!$P$7:$P$226,$S13)&amp;"")</f>
        <v/>
      </c>
      <c r="S13">
        <f>IFERROR(MATCH(12,'Programme Export'!$Y$7:$Y$226,0),"")</f>
        <v/>
      </c>
    </row>
    <row r="14" ht="15" customHeight="1" s="491">
      <c r="A14">
        <f>IF($S14="","",13)</f>
        <v/>
      </c>
      <c r="B14">
        <f>IF($S14="","",1)</f>
        <v/>
      </c>
      <c r="C14">
        <f>IF($S14="","",INDEX('Programme Export'!$D$7:$D$226,$S14)&amp;"")</f>
        <v/>
      </c>
      <c r="D14">
        <f>IF($S14="","",INDEX('Programme Export'!$E$7:$E$226,$S14)&amp;"")</f>
        <v/>
      </c>
      <c r="E14">
        <f>IF($S14="","",INDEX('Programme Export'!$N$7:$N$226,$S14)&amp;"")</f>
        <v/>
      </c>
      <c r="F14">
        <f t="array" ref="F14">IF(R14="","",_xlfn.TEXTJOIN(";",TRUE,IFERROR(IF(TRIM(MID(SUBSTITUTE(SUBSTITUTE(SUBSTITUTE(R14,",",";")," ",";"),";",REPT(" ",60)),(ROW($1:$10)-1)*60+1,60))="","",MATCH(TRIM(MID(SUBSTITUTE(SUBSTITUTE(SUBSTITUTE(R14,",",";")," ",";"),";",REPT(" ",60)),(ROW($1:$10)-1)*60+1,60)),$C$2:$C$201,0)),"")))</f>
        <v/>
      </c>
      <c r="G14">
        <f>IF($S14="","",INDEX('Programme Export'!$H$7:$H$226,$S14))</f>
        <v/>
      </c>
      <c r="J14">
        <f>IF($S14="","",INDEX('Programme Export'!$R$7:$R$226,$S14)&amp;"")</f>
        <v/>
      </c>
      <c r="K14">
        <f>IF($S14="","",INDEX('Programme Export'!$C$7:$C$226,$S14)&amp;"")</f>
        <v/>
      </c>
      <c r="L14">
        <f>IF($S14="","",'Cover &amp; Instructions'!$B$38)</f>
        <v/>
      </c>
      <c r="M14">
        <f>IF($S14="","",INDEX('Programme Export'!$F$7:$F$226,$S14))</f>
        <v/>
      </c>
      <c r="N14">
        <f>IF($S14="","",INDEX('Programme Export'!$G$7:$G$226,$S14)&amp;"")</f>
        <v/>
      </c>
      <c r="O14">
        <f>IF($S14="","",IFERROR(P14/M14,0))</f>
        <v/>
      </c>
      <c r="P14">
        <f>IF($S14="","",INDEX('Programme Export'!$H$7:$H$226,$S14))</f>
        <v/>
      </c>
      <c r="Q14">
        <f>IF($S14="","",INDEX('Programme Export'!$X$7:$X$226,$S14)&amp;"")</f>
        <v/>
      </c>
      <c r="R14">
        <f>IF($S14="","",INDEX('Programme Export'!$P$7:$P$226,$S14)&amp;"")</f>
        <v/>
      </c>
      <c r="S14">
        <f>IFERROR(MATCH(13,'Programme Export'!$Y$7:$Y$226,0),"")</f>
        <v/>
      </c>
    </row>
    <row r="15" ht="15" customHeight="1" s="491">
      <c r="A15">
        <f>IF($S15="","",14)</f>
        <v/>
      </c>
      <c r="B15">
        <f>IF($S15="","",1)</f>
        <v/>
      </c>
      <c r="C15">
        <f>IF($S15="","",INDEX('Programme Export'!$D$7:$D$226,$S15)&amp;"")</f>
        <v/>
      </c>
      <c r="D15">
        <f>IF($S15="","",INDEX('Programme Export'!$E$7:$E$226,$S15)&amp;"")</f>
        <v/>
      </c>
      <c r="E15">
        <f>IF($S15="","",INDEX('Programme Export'!$N$7:$N$226,$S15)&amp;"")</f>
        <v/>
      </c>
      <c r="F15">
        <f t="array" ref="F15">IF(R15="","",_xlfn.TEXTJOIN(";",TRUE,IFERROR(IF(TRIM(MID(SUBSTITUTE(SUBSTITUTE(SUBSTITUTE(R15,",",";")," ",";"),";",REPT(" ",60)),(ROW($1:$10)-1)*60+1,60))="","",MATCH(TRIM(MID(SUBSTITUTE(SUBSTITUTE(SUBSTITUTE(R15,",",";")," ",";"),";",REPT(" ",60)),(ROW($1:$10)-1)*60+1,60)),$C$2:$C$201,0)),"")))</f>
        <v/>
      </c>
      <c r="G15">
        <f>IF($S15="","",INDEX('Programme Export'!$H$7:$H$226,$S15))</f>
        <v/>
      </c>
      <c r="J15">
        <f>IF($S15="","",INDEX('Programme Export'!$R$7:$R$226,$S15)&amp;"")</f>
        <v/>
      </c>
      <c r="K15">
        <f>IF($S15="","",INDEX('Programme Export'!$C$7:$C$226,$S15)&amp;"")</f>
        <v/>
      </c>
      <c r="L15">
        <f>IF($S15="","",'Cover &amp; Instructions'!$B$38)</f>
        <v/>
      </c>
      <c r="M15">
        <f>IF($S15="","",INDEX('Programme Export'!$F$7:$F$226,$S15))</f>
        <v/>
      </c>
      <c r="N15">
        <f>IF($S15="","",INDEX('Programme Export'!$G$7:$G$226,$S15)&amp;"")</f>
        <v/>
      </c>
      <c r="O15">
        <f>IF($S15="","",IFERROR(P15/M15,0))</f>
        <v/>
      </c>
      <c r="P15">
        <f>IF($S15="","",INDEX('Programme Export'!$H$7:$H$226,$S15))</f>
        <v/>
      </c>
      <c r="Q15">
        <f>IF($S15="","",INDEX('Programme Export'!$X$7:$X$226,$S15)&amp;"")</f>
        <v/>
      </c>
      <c r="R15">
        <f>IF($S15="","",INDEX('Programme Export'!$P$7:$P$226,$S15)&amp;"")</f>
        <v/>
      </c>
      <c r="S15">
        <f>IFERROR(MATCH(14,'Programme Export'!$Y$7:$Y$226,0),"")</f>
        <v/>
      </c>
    </row>
    <row r="16" ht="15" customHeight="1" s="491">
      <c r="A16">
        <f>IF($S16="","",15)</f>
        <v/>
      </c>
      <c r="B16">
        <f>IF($S16="","",1)</f>
        <v/>
      </c>
      <c r="C16">
        <f>IF($S16="","",INDEX('Programme Export'!$D$7:$D$226,$S16)&amp;"")</f>
        <v/>
      </c>
      <c r="D16">
        <f>IF($S16="","",INDEX('Programme Export'!$E$7:$E$226,$S16)&amp;"")</f>
        <v/>
      </c>
      <c r="E16">
        <f>IF($S16="","",INDEX('Programme Export'!$N$7:$N$226,$S16)&amp;"")</f>
        <v/>
      </c>
      <c r="F16">
        <f t="array" ref="F16">IF(R16="","",_xlfn.TEXTJOIN(";",TRUE,IFERROR(IF(TRIM(MID(SUBSTITUTE(SUBSTITUTE(SUBSTITUTE(R16,",",";")," ",";"),";",REPT(" ",60)),(ROW($1:$10)-1)*60+1,60))="","",MATCH(TRIM(MID(SUBSTITUTE(SUBSTITUTE(SUBSTITUTE(R16,",",";")," ",";"),";",REPT(" ",60)),(ROW($1:$10)-1)*60+1,60)),$C$2:$C$201,0)),"")))</f>
        <v/>
      </c>
      <c r="G16">
        <f>IF($S16="","",INDEX('Programme Export'!$H$7:$H$226,$S16))</f>
        <v/>
      </c>
      <c r="J16">
        <f>IF($S16="","",INDEX('Programme Export'!$R$7:$R$226,$S16)&amp;"")</f>
        <v/>
      </c>
      <c r="K16">
        <f>IF($S16="","",INDEX('Programme Export'!$C$7:$C$226,$S16)&amp;"")</f>
        <v/>
      </c>
      <c r="L16">
        <f>IF($S16="","",'Cover &amp; Instructions'!$B$38)</f>
        <v/>
      </c>
      <c r="M16">
        <f>IF($S16="","",INDEX('Programme Export'!$F$7:$F$226,$S16))</f>
        <v/>
      </c>
      <c r="N16">
        <f>IF($S16="","",INDEX('Programme Export'!$G$7:$G$226,$S16)&amp;"")</f>
        <v/>
      </c>
      <c r="O16">
        <f>IF($S16="","",IFERROR(P16/M16,0))</f>
        <v/>
      </c>
      <c r="P16">
        <f>IF($S16="","",INDEX('Programme Export'!$H$7:$H$226,$S16))</f>
        <v/>
      </c>
      <c r="Q16">
        <f>IF($S16="","",INDEX('Programme Export'!$X$7:$X$226,$S16)&amp;"")</f>
        <v/>
      </c>
      <c r="R16">
        <f>IF($S16="","",INDEX('Programme Export'!$P$7:$P$226,$S16)&amp;"")</f>
        <v/>
      </c>
      <c r="S16">
        <f>IFERROR(MATCH(15,'Programme Export'!$Y$7:$Y$226,0),"")</f>
        <v/>
      </c>
    </row>
    <row r="17" ht="15" customHeight="1" s="491">
      <c r="A17">
        <f>IF($S17="","",16)</f>
        <v/>
      </c>
      <c r="B17">
        <f>IF($S17="","",1)</f>
        <v/>
      </c>
      <c r="C17">
        <f>IF($S17="","",INDEX('Programme Export'!$D$7:$D$226,$S17)&amp;"")</f>
        <v/>
      </c>
      <c r="D17">
        <f>IF($S17="","",INDEX('Programme Export'!$E$7:$E$226,$S17)&amp;"")</f>
        <v/>
      </c>
      <c r="E17">
        <f>IF($S17="","",INDEX('Programme Export'!$N$7:$N$226,$S17)&amp;"")</f>
        <v/>
      </c>
      <c r="F17">
        <f t="array" ref="F17">IF(R17="","",_xlfn.TEXTJOIN(";",TRUE,IFERROR(IF(TRIM(MID(SUBSTITUTE(SUBSTITUTE(SUBSTITUTE(R17,",",";")," ",";"),";",REPT(" ",60)),(ROW($1:$10)-1)*60+1,60))="","",MATCH(TRIM(MID(SUBSTITUTE(SUBSTITUTE(SUBSTITUTE(R17,",",";")," ",";"),";",REPT(" ",60)),(ROW($1:$10)-1)*60+1,60)),$C$2:$C$201,0)),"")))</f>
        <v/>
      </c>
      <c r="G17">
        <f>IF($S17="","",INDEX('Programme Export'!$H$7:$H$226,$S17))</f>
        <v/>
      </c>
      <c r="J17">
        <f>IF($S17="","",INDEX('Programme Export'!$R$7:$R$226,$S17)&amp;"")</f>
        <v/>
      </c>
      <c r="K17">
        <f>IF($S17="","",INDEX('Programme Export'!$C$7:$C$226,$S17)&amp;"")</f>
        <v/>
      </c>
      <c r="L17">
        <f>IF($S17="","",'Cover &amp; Instructions'!$B$38)</f>
        <v/>
      </c>
      <c r="M17">
        <f>IF($S17="","",INDEX('Programme Export'!$F$7:$F$226,$S17))</f>
        <v/>
      </c>
      <c r="N17">
        <f>IF($S17="","",INDEX('Programme Export'!$G$7:$G$226,$S17)&amp;"")</f>
        <v/>
      </c>
      <c r="O17">
        <f>IF($S17="","",IFERROR(P17/M17,0))</f>
        <v/>
      </c>
      <c r="P17">
        <f>IF($S17="","",INDEX('Programme Export'!$H$7:$H$226,$S17))</f>
        <v/>
      </c>
      <c r="Q17">
        <f>IF($S17="","",INDEX('Programme Export'!$X$7:$X$226,$S17)&amp;"")</f>
        <v/>
      </c>
      <c r="R17">
        <f>IF($S17="","",INDEX('Programme Export'!$P$7:$P$226,$S17)&amp;"")</f>
        <v/>
      </c>
      <c r="S17">
        <f>IFERROR(MATCH(16,'Programme Export'!$Y$7:$Y$226,0),"")</f>
        <v/>
      </c>
    </row>
    <row r="18" ht="15" customHeight="1" s="491">
      <c r="A18">
        <f>IF($S18="","",17)</f>
        <v/>
      </c>
      <c r="B18">
        <f>IF($S18="","",1)</f>
        <v/>
      </c>
      <c r="C18">
        <f>IF($S18="","",INDEX('Programme Export'!$D$7:$D$226,$S18)&amp;"")</f>
        <v/>
      </c>
      <c r="D18">
        <f>IF($S18="","",INDEX('Programme Export'!$E$7:$E$226,$S18)&amp;"")</f>
        <v/>
      </c>
      <c r="E18">
        <f>IF($S18="","",INDEX('Programme Export'!$N$7:$N$226,$S18)&amp;"")</f>
        <v/>
      </c>
      <c r="F18">
        <f t="array" ref="F18">IF(R18="","",_xlfn.TEXTJOIN(";",TRUE,IFERROR(IF(TRIM(MID(SUBSTITUTE(SUBSTITUTE(SUBSTITUTE(R18,",",";")," ",";"),";",REPT(" ",60)),(ROW($1:$10)-1)*60+1,60))="","",MATCH(TRIM(MID(SUBSTITUTE(SUBSTITUTE(SUBSTITUTE(R18,",",";")," ",";"),";",REPT(" ",60)),(ROW($1:$10)-1)*60+1,60)),$C$2:$C$201,0)),"")))</f>
        <v/>
      </c>
      <c r="G18">
        <f>IF($S18="","",INDEX('Programme Export'!$H$7:$H$226,$S18))</f>
        <v/>
      </c>
      <c r="J18">
        <f>IF($S18="","",INDEX('Programme Export'!$R$7:$R$226,$S18)&amp;"")</f>
        <v/>
      </c>
      <c r="K18">
        <f>IF($S18="","",INDEX('Programme Export'!$C$7:$C$226,$S18)&amp;"")</f>
        <v/>
      </c>
      <c r="L18">
        <f>IF($S18="","",'Cover &amp; Instructions'!$B$38)</f>
        <v/>
      </c>
      <c r="M18">
        <f>IF($S18="","",INDEX('Programme Export'!$F$7:$F$226,$S18))</f>
        <v/>
      </c>
      <c r="N18">
        <f>IF($S18="","",INDEX('Programme Export'!$G$7:$G$226,$S18)&amp;"")</f>
        <v/>
      </c>
      <c r="O18">
        <f>IF($S18="","",IFERROR(P18/M18,0))</f>
        <v/>
      </c>
      <c r="P18">
        <f>IF($S18="","",INDEX('Programme Export'!$H$7:$H$226,$S18))</f>
        <v/>
      </c>
      <c r="Q18">
        <f>IF($S18="","",INDEX('Programme Export'!$X$7:$X$226,$S18)&amp;"")</f>
        <v/>
      </c>
      <c r="R18">
        <f>IF($S18="","",INDEX('Programme Export'!$P$7:$P$226,$S18)&amp;"")</f>
        <v/>
      </c>
      <c r="S18">
        <f>IFERROR(MATCH(17,'Programme Export'!$Y$7:$Y$226,0),"")</f>
        <v/>
      </c>
    </row>
    <row r="19" ht="15" customHeight="1" s="491">
      <c r="A19">
        <f>IF($S19="","",18)</f>
        <v/>
      </c>
      <c r="B19">
        <f>IF($S19="","",1)</f>
        <v/>
      </c>
      <c r="C19">
        <f>IF($S19="","",INDEX('Programme Export'!$D$7:$D$226,$S19)&amp;"")</f>
        <v/>
      </c>
      <c r="D19">
        <f>IF($S19="","",INDEX('Programme Export'!$E$7:$E$226,$S19)&amp;"")</f>
        <v/>
      </c>
      <c r="E19">
        <f>IF($S19="","",INDEX('Programme Export'!$N$7:$N$226,$S19)&amp;"")</f>
        <v/>
      </c>
      <c r="F19">
        <f t="array" ref="F19">IF(R19="","",_xlfn.TEXTJOIN(";",TRUE,IFERROR(IF(TRIM(MID(SUBSTITUTE(SUBSTITUTE(SUBSTITUTE(R19,",",";")," ",";"),";",REPT(" ",60)),(ROW($1:$10)-1)*60+1,60))="","",MATCH(TRIM(MID(SUBSTITUTE(SUBSTITUTE(SUBSTITUTE(R19,",",";")," ",";"),";",REPT(" ",60)),(ROW($1:$10)-1)*60+1,60)),$C$2:$C$201,0)),"")))</f>
        <v/>
      </c>
      <c r="G19">
        <f>IF($S19="","",INDEX('Programme Export'!$H$7:$H$226,$S19))</f>
        <v/>
      </c>
      <c r="J19">
        <f>IF($S19="","",INDEX('Programme Export'!$R$7:$R$226,$S19)&amp;"")</f>
        <v/>
      </c>
      <c r="K19">
        <f>IF($S19="","",INDEX('Programme Export'!$C$7:$C$226,$S19)&amp;"")</f>
        <v/>
      </c>
      <c r="L19">
        <f>IF($S19="","",'Cover &amp; Instructions'!$B$38)</f>
        <v/>
      </c>
      <c r="M19">
        <f>IF($S19="","",INDEX('Programme Export'!$F$7:$F$226,$S19))</f>
        <v/>
      </c>
      <c r="N19">
        <f>IF($S19="","",INDEX('Programme Export'!$G$7:$G$226,$S19)&amp;"")</f>
        <v/>
      </c>
      <c r="O19">
        <f>IF($S19="","",IFERROR(P19/M19,0))</f>
        <v/>
      </c>
      <c r="P19">
        <f>IF($S19="","",INDEX('Programme Export'!$H$7:$H$226,$S19))</f>
        <v/>
      </c>
      <c r="Q19">
        <f>IF($S19="","",INDEX('Programme Export'!$X$7:$X$226,$S19)&amp;"")</f>
        <v/>
      </c>
      <c r="R19">
        <f>IF($S19="","",INDEX('Programme Export'!$P$7:$P$226,$S19)&amp;"")</f>
        <v/>
      </c>
      <c r="S19">
        <f>IFERROR(MATCH(18,'Programme Export'!$Y$7:$Y$226,0),"")</f>
        <v/>
      </c>
    </row>
    <row r="20" ht="15" customHeight="1" s="491">
      <c r="A20">
        <f>IF($S20="","",19)</f>
        <v/>
      </c>
      <c r="B20">
        <f>IF($S20="","",1)</f>
        <v/>
      </c>
      <c r="C20">
        <f>IF($S20="","",INDEX('Programme Export'!$D$7:$D$226,$S20)&amp;"")</f>
        <v/>
      </c>
      <c r="D20">
        <f>IF($S20="","",INDEX('Programme Export'!$E$7:$E$226,$S20)&amp;"")</f>
        <v/>
      </c>
      <c r="E20">
        <f>IF($S20="","",INDEX('Programme Export'!$N$7:$N$226,$S20)&amp;"")</f>
        <v/>
      </c>
      <c r="F20">
        <f t="array" ref="F20">IF(R20="","",_xlfn.TEXTJOIN(";",TRUE,IFERROR(IF(TRIM(MID(SUBSTITUTE(SUBSTITUTE(SUBSTITUTE(R20,",",";")," ",";"),";",REPT(" ",60)),(ROW($1:$10)-1)*60+1,60))="","",MATCH(TRIM(MID(SUBSTITUTE(SUBSTITUTE(SUBSTITUTE(R20,",",";")," ",";"),";",REPT(" ",60)),(ROW($1:$10)-1)*60+1,60)),$C$2:$C$201,0)),"")))</f>
        <v/>
      </c>
      <c r="G20">
        <f>IF($S20="","",INDEX('Programme Export'!$H$7:$H$226,$S20))</f>
        <v/>
      </c>
      <c r="J20">
        <f>IF($S20="","",INDEX('Programme Export'!$R$7:$R$226,$S20)&amp;"")</f>
        <v/>
      </c>
      <c r="K20">
        <f>IF($S20="","",INDEX('Programme Export'!$C$7:$C$226,$S20)&amp;"")</f>
        <v/>
      </c>
      <c r="L20">
        <f>IF($S20="","",'Cover &amp; Instructions'!$B$38)</f>
        <v/>
      </c>
      <c r="M20">
        <f>IF($S20="","",INDEX('Programme Export'!$F$7:$F$226,$S20))</f>
        <v/>
      </c>
      <c r="N20">
        <f>IF($S20="","",INDEX('Programme Export'!$G$7:$G$226,$S20)&amp;"")</f>
        <v/>
      </c>
      <c r="O20">
        <f>IF($S20="","",IFERROR(P20/M20,0))</f>
        <v/>
      </c>
      <c r="P20">
        <f>IF($S20="","",INDEX('Programme Export'!$H$7:$H$226,$S20))</f>
        <v/>
      </c>
      <c r="Q20">
        <f>IF($S20="","",INDEX('Programme Export'!$X$7:$X$226,$S20)&amp;"")</f>
        <v/>
      </c>
      <c r="R20">
        <f>IF($S20="","",INDEX('Programme Export'!$P$7:$P$226,$S20)&amp;"")</f>
        <v/>
      </c>
      <c r="S20">
        <f>IFERROR(MATCH(19,'Programme Export'!$Y$7:$Y$226,0),"")</f>
        <v/>
      </c>
    </row>
    <row r="21" ht="15" customHeight="1" s="491">
      <c r="A21">
        <f>IF($S21="","",20)</f>
        <v/>
      </c>
      <c r="B21">
        <f>IF($S21="","",1)</f>
        <v/>
      </c>
      <c r="C21">
        <f>IF($S21="","",INDEX('Programme Export'!$D$7:$D$226,$S21)&amp;"")</f>
        <v/>
      </c>
      <c r="D21">
        <f>IF($S21="","",INDEX('Programme Export'!$E$7:$E$226,$S21)&amp;"")</f>
        <v/>
      </c>
      <c r="E21">
        <f>IF($S21="","",INDEX('Programme Export'!$N$7:$N$226,$S21)&amp;"")</f>
        <v/>
      </c>
      <c r="F21">
        <f t="array" ref="F21">IF(R21="","",_xlfn.TEXTJOIN(";",TRUE,IFERROR(IF(TRIM(MID(SUBSTITUTE(SUBSTITUTE(SUBSTITUTE(R21,",",";")," ",";"),";",REPT(" ",60)),(ROW($1:$10)-1)*60+1,60))="","",MATCH(TRIM(MID(SUBSTITUTE(SUBSTITUTE(SUBSTITUTE(R21,",",";")," ",";"),";",REPT(" ",60)),(ROW($1:$10)-1)*60+1,60)),$C$2:$C$201,0)),"")))</f>
        <v/>
      </c>
      <c r="G21">
        <f>IF($S21="","",INDEX('Programme Export'!$H$7:$H$226,$S21))</f>
        <v/>
      </c>
      <c r="J21">
        <f>IF($S21="","",INDEX('Programme Export'!$R$7:$R$226,$S21)&amp;"")</f>
        <v/>
      </c>
      <c r="K21">
        <f>IF($S21="","",INDEX('Programme Export'!$C$7:$C$226,$S21)&amp;"")</f>
        <v/>
      </c>
      <c r="L21">
        <f>IF($S21="","",'Cover &amp; Instructions'!$B$38)</f>
        <v/>
      </c>
      <c r="M21">
        <f>IF($S21="","",INDEX('Programme Export'!$F$7:$F$226,$S21))</f>
        <v/>
      </c>
      <c r="N21">
        <f>IF($S21="","",INDEX('Programme Export'!$G$7:$G$226,$S21)&amp;"")</f>
        <v/>
      </c>
      <c r="O21">
        <f>IF($S21="","",IFERROR(P21/M21,0))</f>
        <v/>
      </c>
      <c r="P21">
        <f>IF($S21="","",INDEX('Programme Export'!$H$7:$H$226,$S21))</f>
        <v/>
      </c>
      <c r="Q21">
        <f>IF($S21="","",INDEX('Programme Export'!$X$7:$X$226,$S21)&amp;"")</f>
        <v/>
      </c>
      <c r="R21">
        <f>IF($S21="","",INDEX('Programme Export'!$P$7:$P$226,$S21)&amp;"")</f>
        <v/>
      </c>
      <c r="S21">
        <f>IFERROR(MATCH(20,'Programme Export'!$Y$7:$Y$226,0),"")</f>
        <v/>
      </c>
    </row>
    <row r="22" ht="15" customHeight="1" s="491">
      <c r="A22">
        <f>IF($S22="","",21)</f>
        <v/>
      </c>
      <c r="B22">
        <f>IF($S22="","",1)</f>
        <v/>
      </c>
      <c r="C22">
        <f>IF($S22="","",INDEX('Programme Export'!$D$7:$D$226,$S22)&amp;"")</f>
        <v/>
      </c>
      <c r="D22">
        <f>IF($S22="","",INDEX('Programme Export'!$E$7:$E$226,$S22)&amp;"")</f>
        <v/>
      </c>
      <c r="E22">
        <f>IF($S22="","",INDEX('Programme Export'!$N$7:$N$226,$S22)&amp;"")</f>
        <v/>
      </c>
      <c r="F22">
        <f t="array" ref="F22">IF(R22="","",_xlfn.TEXTJOIN(";",TRUE,IFERROR(IF(TRIM(MID(SUBSTITUTE(SUBSTITUTE(SUBSTITUTE(R22,",",";")," ",";"),";",REPT(" ",60)),(ROW($1:$10)-1)*60+1,60))="","",MATCH(TRIM(MID(SUBSTITUTE(SUBSTITUTE(SUBSTITUTE(R22,",",";")," ",";"),";",REPT(" ",60)),(ROW($1:$10)-1)*60+1,60)),$C$2:$C$201,0)),"")))</f>
        <v/>
      </c>
      <c r="G22">
        <f>IF($S22="","",INDEX('Programme Export'!$H$7:$H$226,$S22))</f>
        <v/>
      </c>
      <c r="J22">
        <f>IF($S22="","",INDEX('Programme Export'!$R$7:$R$226,$S22)&amp;"")</f>
        <v/>
      </c>
      <c r="K22">
        <f>IF($S22="","",INDEX('Programme Export'!$C$7:$C$226,$S22)&amp;"")</f>
        <v/>
      </c>
      <c r="L22">
        <f>IF($S22="","",'Cover &amp; Instructions'!$B$38)</f>
        <v/>
      </c>
      <c r="M22">
        <f>IF($S22="","",INDEX('Programme Export'!$F$7:$F$226,$S22))</f>
        <v/>
      </c>
      <c r="N22">
        <f>IF($S22="","",INDEX('Programme Export'!$G$7:$G$226,$S22)&amp;"")</f>
        <v/>
      </c>
      <c r="O22">
        <f>IF($S22="","",IFERROR(P22/M22,0))</f>
        <v/>
      </c>
      <c r="P22">
        <f>IF($S22="","",INDEX('Programme Export'!$H$7:$H$226,$S22))</f>
        <v/>
      </c>
      <c r="Q22">
        <f>IF($S22="","",INDEX('Programme Export'!$X$7:$X$226,$S22)&amp;"")</f>
        <v/>
      </c>
      <c r="R22">
        <f>IF($S22="","",INDEX('Programme Export'!$P$7:$P$226,$S22)&amp;"")</f>
        <v/>
      </c>
      <c r="S22">
        <f>IFERROR(MATCH(21,'Programme Export'!$Y$7:$Y$226,0),"")</f>
        <v/>
      </c>
    </row>
    <row r="23" ht="15" customHeight="1" s="491">
      <c r="A23">
        <f>IF($S23="","",22)</f>
        <v/>
      </c>
      <c r="B23">
        <f>IF($S23="","",1)</f>
        <v/>
      </c>
      <c r="C23">
        <f>IF($S23="","",INDEX('Programme Export'!$D$7:$D$226,$S23)&amp;"")</f>
        <v/>
      </c>
      <c r="D23">
        <f>IF($S23="","",INDEX('Programme Export'!$E$7:$E$226,$S23)&amp;"")</f>
        <v/>
      </c>
      <c r="E23">
        <f>IF($S23="","",INDEX('Programme Export'!$N$7:$N$226,$S23)&amp;"")</f>
        <v/>
      </c>
      <c r="F23">
        <f t="array" ref="F23">IF(R23="","",_xlfn.TEXTJOIN(";",TRUE,IFERROR(IF(TRIM(MID(SUBSTITUTE(SUBSTITUTE(SUBSTITUTE(R23,",",";")," ",";"),";",REPT(" ",60)),(ROW($1:$10)-1)*60+1,60))="","",MATCH(TRIM(MID(SUBSTITUTE(SUBSTITUTE(SUBSTITUTE(R23,",",";")," ",";"),";",REPT(" ",60)),(ROW($1:$10)-1)*60+1,60)),$C$2:$C$201,0)),"")))</f>
        <v/>
      </c>
      <c r="G23">
        <f>IF($S23="","",INDEX('Programme Export'!$H$7:$H$226,$S23))</f>
        <v/>
      </c>
      <c r="J23">
        <f>IF($S23="","",INDEX('Programme Export'!$R$7:$R$226,$S23)&amp;"")</f>
        <v/>
      </c>
      <c r="K23">
        <f>IF($S23="","",INDEX('Programme Export'!$C$7:$C$226,$S23)&amp;"")</f>
        <v/>
      </c>
      <c r="L23">
        <f>IF($S23="","",'Cover &amp; Instructions'!$B$38)</f>
        <v/>
      </c>
      <c r="M23">
        <f>IF($S23="","",INDEX('Programme Export'!$F$7:$F$226,$S23))</f>
        <v/>
      </c>
      <c r="N23">
        <f>IF($S23="","",INDEX('Programme Export'!$G$7:$G$226,$S23)&amp;"")</f>
        <v/>
      </c>
      <c r="O23">
        <f>IF($S23="","",IFERROR(P23/M23,0))</f>
        <v/>
      </c>
      <c r="P23">
        <f>IF($S23="","",INDEX('Programme Export'!$H$7:$H$226,$S23))</f>
        <v/>
      </c>
      <c r="Q23">
        <f>IF($S23="","",INDEX('Programme Export'!$X$7:$X$226,$S23)&amp;"")</f>
        <v/>
      </c>
      <c r="R23">
        <f>IF($S23="","",INDEX('Programme Export'!$P$7:$P$226,$S23)&amp;"")</f>
        <v/>
      </c>
      <c r="S23">
        <f>IFERROR(MATCH(22,'Programme Export'!$Y$7:$Y$226,0),"")</f>
        <v/>
      </c>
    </row>
    <row r="24" ht="15" customHeight="1" s="491">
      <c r="A24">
        <f>IF($S24="","",23)</f>
        <v/>
      </c>
      <c r="B24">
        <f>IF($S24="","",1)</f>
        <v/>
      </c>
      <c r="C24">
        <f>IF($S24="","",INDEX('Programme Export'!$D$7:$D$226,$S24)&amp;"")</f>
        <v/>
      </c>
      <c r="D24">
        <f>IF($S24="","",INDEX('Programme Export'!$E$7:$E$226,$S24)&amp;"")</f>
        <v/>
      </c>
      <c r="E24">
        <f>IF($S24="","",INDEX('Programme Export'!$N$7:$N$226,$S24)&amp;"")</f>
        <v/>
      </c>
      <c r="F24">
        <f t="array" ref="F24">IF(R24="","",_xlfn.TEXTJOIN(";",TRUE,IFERROR(IF(TRIM(MID(SUBSTITUTE(SUBSTITUTE(SUBSTITUTE(R24,",",";")," ",";"),";",REPT(" ",60)),(ROW($1:$10)-1)*60+1,60))="","",MATCH(TRIM(MID(SUBSTITUTE(SUBSTITUTE(SUBSTITUTE(R24,",",";")," ",";"),";",REPT(" ",60)),(ROW($1:$10)-1)*60+1,60)),$C$2:$C$201,0)),"")))</f>
        <v/>
      </c>
      <c r="G24">
        <f>IF($S24="","",INDEX('Programme Export'!$H$7:$H$226,$S24))</f>
        <v/>
      </c>
      <c r="J24">
        <f>IF($S24="","",INDEX('Programme Export'!$R$7:$R$226,$S24)&amp;"")</f>
        <v/>
      </c>
      <c r="K24">
        <f>IF($S24="","",INDEX('Programme Export'!$C$7:$C$226,$S24)&amp;"")</f>
        <v/>
      </c>
      <c r="L24">
        <f>IF($S24="","",'Cover &amp; Instructions'!$B$38)</f>
        <v/>
      </c>
      <c r="M24">
        <f>IF($S24="","",INDEX('Programme Export'!$F$7:$F$226,$S24))</f>
        <v/>
      </c>
      <c r="N24">
        <f>IF($S24="","",INDEX('Programme Export'!$G$7:$G$226,$S24)&amp;"")</f>
        <v/>
      </c>
      <c r="O24">
        <f>IF($S24="","",IFERROR(P24/M24,0))</f>
        <v/>
      </c>
      <c r="P24">
        <f>IF($S24="","",INDEX('Programme Export'!$H$7:$H$226,$S24))</f>
        <v/>
      </c>
      <c r="Q24">
        <f>IF($S24="","",INDEX('Programme Export'!$X$7:$X$226,$S24)&amp;"")</f>
        <v/>
      </c>
      <c r="R24">
        <f>IF($S24="","",INDEX('Programme Export'!$P$7:$P$226,$S24)&amp;"")</f>
        <v/>
      </c>
      <c r="S24">
        <f>IFERROR(MATCH(23,'Programme Export'!$Y$7:$Y$226,0),"")</f>
        <v/>
      </c>
    </row>
    <row r="25" ht="15" customHeight="1" s="491">
      <c r="A25">
        <f>IF($S25="","",24)</f>
        <v/>
      </c>
      <c r="B25">
        <f>IF($S25="","",1)</f>
        <v/>
      </c>
      <c r="C25">
        <f>IF($S25="","",INDEX('Programme Export'!$D$7:$D$226,$S25)&amp;"")</f>
        <v/>
      </c>
      <c r="D25">
        <f>IF($S25="","",INDEX('Programme Export'!$E$7:$E$226,$S25)&amp;"")</f>
        <v/>
      </c>
      <c r="E25">
        <f>IF($S25="","",INDEX('Programme Export'!$N$7:$N$226,$S25)&amp;"")</f>
        <v/>
      </c>
      <c r="F25">
        <f t="array" ref="F25">IF(R25="","",_xlfn.TEXTJOIN(";",TRUE,IFERROR(IF(TRIM(MID(SUBSTITUTE(SUBSTITUTE(SUBSTITUTE(R25,",",";")," ",";"),";",REPT(" ",60)),(ROW($1:$10)-1)*60+1,60))="","",MATCH(TRIM(MID(SUBSTITUTE(SUBSTITUTE(SUBSTITUTE(R25,",",";")," ",";"),";",REPT(" ",60)),(ROW($1:$10)-1)*60+1,60)),$C$2:$C$201,0)),"")))</f>
        <v/>
      </c>
      <c r="G25">
        <f>IF($S25="","",INDEX('Programme Export'!$H$7:$H$226,$S25))</f>
        <v/>
      </c>
      <c r="J25">
        <f>IF($S25="","",INDEX('Programme Export'!$R$7:$R$226,$S25)&amp;"")</f>
        <v/>
      </c>
      <c r="K25">
        <f>IF($S25="","",INDEX('Programme Export'!$C$7:$C$226,$S25)&amp;"")</f>
        <v/>
      </c>
      <c r="L25">
        <f>IF($S25="","",'Cover &amp; Instructions'!$B$38)</f>
        <v/>
      </c>
      <c r="M25">
        <f>IF($S25="","",INDEX('Programme Export'!$F$7:$F$226,$S25))</f>
        <v/>
      </c>
      <c r="N25">
        <f>IF($S25="","",INDEX('Programme Export'!$G$7:$G$226,$S25)&amp;"")</f>
        <v/>
      </c>
      <c r="O25">
        <f>IF($S25="","",IFERROR(P25/M25,0))</f>
        <v/>
      </c>
      <c r="P25">
        <f>IF($S25="","",INDEX('Programme Export'!$H$7:$H$226,$S25))</f>
        <v/>
      </c>
      <c r="Q25">
        <f>IF($S25="","",INDEX('Programme Export'!$X$7:$X$226,$S25)&amp;"")</f>
        <v/>
      </c>
      <c r="R25">
        <f>IF($S25="","",INDEX('Programme Export'!$P$7:$P$226,$S25)&amp;"")</f>
        <v/>
      </c>
      <c r="S25">
        <f>IFERROR(MATCH(24,'Programme Export'!$Y$7:$Y$226,0),"")</f>
        <v/>
      </c>
    </row>
    <row r="26" ht="15" customHeight="1" s="491">
      <c r="A26">
        <f>IF($S26="","",25)</f>
        <v/>
      </c>
      <c r="B26">
        <f>IF($S26="","",1)</f>
        <v/>
      </c>
      <c r="C26">
        <f>IF($S26="","",INDEX('Programme Export'!$D$7:$D$226,$S26)&amp;"")</f>
        <v/>
      </c>
      <c r="D26">
        <f>IF($S26="","",INDEX('Programme Export'!$E$7:$E$226,$S26)&amp;"")</f>
        <v/>
      </c>
      <c r="E26">
        <f>IF($S26="","",INDEX('Programme Export'!$N$7:$N$226,$S26)&amp;"")</f>
        <v/>
      </c>
      <c r="F26">
        <f t="array" ref="F26">IF(R26="","",_xlfn.TEXTJOIN(";",TRUE,IFERROR(IF(TRIM(MID(SUBSTITUTE(SUBSTITUTE(SUBSTITUTE(R26,",",";")," ",";"),";",REPT(" ",60)),(ROW($1:$10)-1)*60+1,60))="","",MATCH(TRIM(MID(SUBSTITUTE(SUBSTITUTE(SUBSTITUTE(R26,",",";")," ",";"),";",REPT(" ",60)),(ROW($1:$10)-1)*60+1,60)),$C$2:$C$201,0)),"")))</f>
        <v/>
      </c>
      <c r="G26">
        <f>IF($S26="","",INDEX('Programme Export'!$H$7:$H$226,$S26))</f>
        <v/>
      </c>
      <c r="J26">
        <f>IF($S26="","",INDEX('Programme Export'!$R$7:$R$226,$S26)&amp;"")</f>
        <v/>
      </c>
      <c r="K26">
        <f>IF($S26="","",INDEX('Programme Export'!$C$7:$C$226,$S26)&amp;"")</f>
        <v/>
      </c>
      <c r="L26">
        <f>IF($S26="","",'Cover &amp; Instructions'!$B$38)</f>
        <v/>
      </c>
      <c r="M26">
        <f>IF($S26="","",INDEX('Programme Export'!$F$7:$F$226,$S26))</f>
        <v/>
      </c>
      <c r="N26">
        <f>IF($S26="","",INDEX('Programme Export'!$G$7:$G$226,$S26)&amp;"")</f>
        <v/>
      </c>
      <c r="O26">
        <f>IF($S26="","",IFERROR(P26/M26,0))</f>
        <v/>
      </c>
      <c r="P26">
        <f>IF($S26="","",INDEX('Programme Export'!$H$7:$H$226,$S26))</f>
        <v/>
      </c>
      <c r="Q26">
        <f>IF($S26="","",INDEX('Programme Export'!$X$7:$X$226,$S26)&amp;"")</f>
        <v/>
      </c>
      <c r="R26">
        <f>IF($S26="","",INDEX('Programme Export'!$P$7:$P$226,$S26)&amp;"")</f>
        <v/>
      </c>
      <c r="S26">
        <f>IFERROR(MATCH(25,'Programme Export'!$Y$7:$Y$226,0),"")</f>
        <v/>
      </c>
    </row>
    <row r="27" ht="15" customHeight="1" s="491">
      <c r="A27">
        <f>IF($S27="","",26)</f>
        <v/>
      </c>
      <c r="B27">
        <f>IF($S27="","",1)</f>
        <v/>
      </c>
      <c r="C27">
        <f>IF($S27="","",INDEX('Programme Export'!$D$7:$D$226,$S27)&amp;"")</f>
        <v/>
      </c>
      <c r="D27">
        <f>IF($S27="","",INDEX('Programme Export'!$E$7:$E$226,$S27)&amp;"")</f>
        <v/>
      </c>
      <c r="E27">
        <f>IF($S27="","",INDEX('Programme Export'!$N$7:$N$226,$S27)&amp;"")</f>
        <v/>
      </c>
      <c r="F27">
        <f t="array" ref="F27">IF(R27="","",_xlfn.TEXTJOIN(";",TRUE,IFERROR(IF(TRIM(MID(SUBSTITUTE(SUBSTITUTE(SUBSTITUTE(R27,",",";")," ",";"),";",REPT(" ",60)),(ROW($1:$10)-1)*60+1,60))="","",MATCH(TRIM(MID(SUBSTITUTE(SUBSTITUTE(SUBSTITUTE(R27,",",";")," ",";"),";",REPT(" ",60)),(ROW($1:$10)-1)*60+1,60)),$C$2:$C$201,0)),"")))</f>
        <v/>
      </c>
      <c r="G27">
        <f>IF($S27="","",INDEX('Programme Export'!$H$7:$H$226,$S27))</f>
        <v/>
      </c>
      <c r="J27">
        <f>IF($S27="","",INDEX('Programme Export'!$R$7:$R$226,$S27)&amp;"")</f>
        <v/>
      </c>
      <c r="K27">
        <f>IF($S27="","",INDEX('Programme Export'!$C$7:$C$226,$S27)&amp;"")</f>
        <v/>
      </c>
      <c r="L27">
        <f>IF($S27="","",'Cover &amp; Instructions'!$B$38)</f>
        <v/>
      </c>
      <c r="M27">
        <f>IF($S27="","",INDEX('Programme Export'!$F$7:$F$226,$S27))</f>
        <v/>
      </c>
      <c r="N27">
        <f>IF($S27="","",INDEX('Programme Export'!$G$7:$G$226,$S27)&amp;"")</f>
        <v/>
      </c>
      <c r="O27">
        <f>IF($S27="","",IFERROR(P27/M27,0))</f>
        <v/>
      </c>
      <c r="P27">
        <f>IF($S27="","",INDEX('Programme Export'!$H$7:$H$226,$S27))</f>
        <v/>
      </c>
      <c r="Q27">
        <f>IF($S27="","",INDEX('Programme Export'!$X$7:$X$226,$S27)&amp;"")</f>
        <v/>
      </c>
      <c r="R27">
        <f>IF($S27="","",INDEX('Programme Export'!$P$7:$P$226,$S27)&amp;"")</f>
        <v/>
      </c>
      <c r="S27">
        <f>IFERROR(MATCH(26,'Programme Export'!$Y$7:$Y$226,0),"")</f>
        <v/>
      </c>
    </row>
    <row r="28" ht="15" customHeight="1" s="491">
      <c r="A28">
        <f>IF($S28="","",27)</f>
        <v/>
      </c>
      <c r="B28">
        <f>IF($S28="","",1)</f>
        <v/>
      </c>
      <c r="C28">
        <f>IF($S28="","",INDEX('Programme Export'!$D$7:$D$226,$S28)&amp;"")</f>
        <v/>
      </c>
      <c r="D28">
        <f>IF($S28="","",INDEX('Programme Export'!$E$7:$E$226,$S28)&amp;"")</f>
        <v/>
      </c>
      <c r="E28">
        <f>IF($S28="","",INDEX('Programme Export'!$N$7:$N$226,$S28)&amp;"")</f>
        <v/>
      </c>
      <c r="F28">
        <f t="array" ref="F28">IF(R28="","",_xlfn.TEXTJOIN(";",TRUE,IFERROR(IF(TRIM(MID(SUBSTITUTE(SUBSTITUTE(SUBSTITUTE(R28,",",";")," ",";"),";",REPT(" ",60)),(ROW($1:$10)-1)*60+1,60))="","",MATCH(TRIM(MID(SUBSTITUTE(SUBSTITUTE(SUBSTITUTE(R28,",",";")," ",";"),";",REPT(" ",60)),(ROW($1:$10)-1)*60+1,60)),$C$2:$C$201,0)),"")))</f>
        <v/>
      </c>
      <c r="G28">
        <f>IF($S28="","",INDEX('Programme Export'!$H$7:$H$226,$S28))</f>
        <v/>
      </c>
      <c r="J28">
        <f>IF($S28="","",INDEX('Programme Export'!$R$7:$R$226,$S28)&amp;"")</f>
        <v/>
      </c>
      <c r="K28">
        <f>IF($S28="","",INDEX('Programme Export'!$C$7:$C$226,$S28)&amp;"")</f>
        <v/>
      </c>
      <c r="L28">
        <f>IF($S28="","",'Cover &amp; Instructions'!$B$38)</f>
        <v/>
      </c>
      <c r="M28">
        <f>IF($S28="","",INDEX('Programme Export'!$F$7:$F$226,$S28))</f>
        <v/>
      </c>
      <c r="N28">
        <f>IF($S28="","",INDEX('Programme Export'!$G$7:$G$226,$S28)&amp;"")</f>
        <v/>
      </c>
      <c r="O28">
        <f>IF($S28="","",IFERROR(P28/M28,0))</f>
        <v/>
      </c>
      <c r="P28">
        <f>IF($S28="","",INDEX('Programme Export'!$H$7:$H$226,$S28))</f>
        <v/>
      </c>
      <c r="Q28">
        <f>IF($S28="","",INDEX('Programme Export'!$X$7:$X$226,$S28)&amp;"")</f>
        <v/>
      </c>
      <c r="R28">
        <f>IF($S28="","",INDEX('Programme Export'!$P$7:$P$226,$S28)&amp;"")</f>
        <v/>
      </c>
      <c r="S28">
        <f>IFERROR(MATCH(27,'Programme Export'!$Y$7:$Y$226,0),"")</f>
        <v/>
      </c>
    </row>
    <row r="29" ht="15" customHeight="1" s="491">
      <c r="A29">
        <f>IF($S29="","",28)</f>
        <v/>
      </c>
      <c r="B29">
        <f>IF($S29="","",1)</f>
        <v/>
      </c>
      <c r="C29">
        <f>IF($S29="","",INDEX('Programme Export'!$D$7:$D$226,$S29)&amp;"")</f>
        <v/>
      </c>
      <c r="D29">
        <f>IF($S29="","",INDEX('Programme Export'!$E$7:$E$226,$S29)&amp;"")</f>
        <v/>
      </c>
      <c r="E29">
        <f>IF($S29="","",INDEX('Programme Export'!$N$7:$N$226,$S29)&amp;"")</f>
        <v/>
      </c>
      <c r="F29">
        <f t="array" ref="F29">IF(R29="","",_xlfn.TEXTJOIN(";",TRUE,IFERROR(IF(TRIM(MID(SUBSTITUTE(SUBSTITUTE(SUBSTITUTE(R29,",",";")," ",";"),";",REPT(" ",60)),(ROW($1:$10)-1)*60+1,60))="","",MATCH(TRIM(MID(SUBSTITUTE(SUBSTITUTE(SUBSTITUTE(R29,",",";")," ",";"),";",REPT(" ",60)),(ROW($1:$10)-1)*60+1,60)),$C$2:$C$201,0)),"")))</f>
        <v/>
      </c>
      <c r="G29">
        <f>IF($S29="","",INDEX('Programme Export'!$H$7:$H$226,$S29))</f>
        <v/>
      </c>
      <c r="J29">
        <f>IF($S29="","",INDEX('Programme Export'!$R$7:$R$226,$S29)&amp;"")</f>
        <v/>
      </c>
      <c r="K29">
        <f>IF($S29="","",INDEX('Programme Export'!$C$7:$C$226,$S29)&amp;"")</f>
        <v/>
      </c>
      <c r="L29">
        <f>IF($S29="","",'Cover &amp; Instructions'!$B$38)</f>
        <v/>
      </c>
      <c r="M29">
        <f>IF($S29="","",INDEX('Programme Export'!$F$7:$F$226,$S29))</f>
        <v/>
      </c>
      <c r="N29">
        <f>IF($S29="","",INDEX('Programme Export'!$G$7:$G$226,$S29)&amp;"")</f>
        <v/>
      </c>
      <c r="O29">
        <f>IF($S29="","",IFERROR(P29/M29,0))</f>
        <v/>
      </c>
      <c r="P29">
        <f>IF($S29="","",INDEX('Programme Export'!$H$7:$H$226,$S29))</f>
        <v/>
      </c>
      <c r="Q29">
        <f>IF($S29="","",INDEX('Programme Export'!$X$7:$X$226,$S29)&amp;"")</f>
        <v/>
      </c>
      <c r="R29">
        <f>IF($S29="","",INDEX('Programme Export'!$P$7:$P$226,$S29)&amp;"")</f>
        <v/>
      </c>
      <c r="S29">
        <f>IFERROR(MATCH(28,'Programme Export'!$Y$7:$Y$226,0),"")</f>
        <v/>
      </c>
    </row>
    <row r="30" ht="15" customHeight="1" s="491">
      <c r="A30">
        <f>IF($S30="","",29)</f>
        <v/>
      </c>
      <c r="B30">
        <f>IF($S30="","",1)</f>
        <v/>
      </c>
      <c r="C30">
        <f>IF($S30="","",INDEX('Programme Export'!$D$7:$D$226,$S30)&amp;"")</f>
        <v/>
      </c>
      <c r="D30">
        <f>IF($S30="","",INDEX('Programme Export'!$E$7:$E$226,$S30)&amp;"")</f>
        <v/>
      </c>
      <c r="E30">
        <f>IF($S30="","",INDEX('Programme Export'!$N$7:$N$226,$S30)&amp;"")</f>
        <v/>
      </c>
      <c r="F30">
        <f t="array" ref="F30">IF(R30="","",_xlfn.TEXTJOIN(";",TRUE,IFERROR(IF(TRIM(MID(SUBSTITUTE(SUBSTITUTE(SUBSTITUTE(R30,",",";")," ",";"),";",REPT(" ",60)),(ROW($1:$10)-1)*60+1,60))="","",MATCH(TRIM(MID(SUBSTITUTE(SUBSTITUTE(SUBSTITUTE(R30,",",";")," ",";"),";",REPT(" ",60)),(ROW($1:$10)-1)*60+1,60)),$C$2:$C$201,0)),"")))</f>
        <v/>
      </c>
      <c r="G30">
        <f>IF($S30="","",INDEX('Programme Export'!$H$7:$H$226,$S30))</f>
        <v/>
      </c>
      <c r="J30">
        <f>IF($S30="","",INDEX('Programme Export'!$R$7:$R$226,$S30)&amp;"")</f>
        <v/>
      </c>
      <c r="K30">
        <f>IF($S30="","",INDEX('Programme Export'!$C$7:$C$226,$S30)&amp;"")</f>
        <v/>
      </c>
      <c r="L30">
        <f>IF($S30="","",'Cover &amp; Instructions'!$B$38)</f>
        <v/>
      </c>
      <c r="M30">
        <f>IF($S30="","",INDEX('Programme Export'!$F$7:$F$226,$S30))</f>
        <v/>
      </c>
      <c r="N30">
        <f>IF($S30="","",INDEX('Programme Export'!$G$7:$G$226,$S30)&amp;"")</f>
        <v/>
      </c>
      <c r="O30">
        <f>IF($S30="","",IFERROR(P30/M30,0))</f>
        <v/>
      </c>
      <c r="P30">
        <f>IF($S30="","",INDEX('Programme Export'!$H$7:$H$226,$S30))</f>
        <v/>
      </c>
      <c r="Q30">
        <f>IF($S30="","",INDEX('Programme Export'!$X$7:$X$226,$S30)&amp;"")</f>
        <v/>
      </c>
      <c r="R30">
        <f>IF($S30="","",INDEX('Programme Export'!$P$7:$P$226,$S30)&amp;"")</f>
        <v/>
      </c>
      <c r="S30">
        <f>IFERROR(MATCH(29,'Programme Export'!$Y$7:$Y$226,0),"")</f>
        <v/>
      </c>
    </row>
    <row r="31" ht="15" customHeight="1" s="491">
      <c r="A31">
        <f>IF($S31="","",30)</f>
        <v/>
      </c>
      <c r="B31">
        <f>IF($S31="","",1)</f>
        <v/>
      </c>
      <c r="C31">
        <f>IF($S31="","",INDEX('Programme Export'!$D$7:$D$226,$S31)&amp;"")</f>
        <v/>
      </c>
      <c r="D31">
        <f>IF($S31="","",INDEX('Programme Export'!$E$7:$E$226,$S31)&amp;"")</f>
        <v/>
      </c>
      <c r="E31">
        <f>IF($S31="","",INDEX('Programme Export'!$N$7:$N$226,$S31)&amp;"")</f>
        <v/>
      </c>
      <c r="F31">
        <f t="array" ref="F31">IF(R31="","",_xlfn.TEXTJOIN(";",TRUE,IFERROR(IF(TRIM(MID(SUBSTITUTE(SUBSTITUTE(SUBSTITUTE(R31,",",";")," ",";"),";",REPT(" ",60)),(ROW($1:$10)-1)*60+1,60))="","",MATCH(TRIM(MID(SUBSTITUTE(SUBSTITUTE(SUBSTITUTE(R31,",",";")," ",";"),";",REPT(" ",60)),(ROW($1:$10)-1)*60+1,60)),$C$2:$C$201,0)),"")))</f>
        <v/>
      </c>
      <c r="G31">
        <f>IF($S31="","",INDEX('Programme Export'!$H$7:$H$226,$S31))</f>
        <v/>
      </c>
      <c r="J31">
        <f>IF($S31="","",INDEX('Programme Export'!$R$7:$R$226,$S31)&amp;"")</f>
        <v/>
      </c>
      <c r="K31">
        <f>IF($S31="","",INDEX('Programme Export'!$C$7:$C$226,$S31)&amp;"")</f>
        <v/>
      </c>
      <c r="L31">
        <f>IF($S31="","",'Cover &amp; Instructions'!$B$38)</f>
        <v/>
      </c>
      <c r="M31">
        <f>IF($S31="","",INDEX('Programme Export'!$F$7:$F$226,$S31))</f>
        <v/>
      </c>
      <c r="N31">
        <f>IF($S31="","",INDEX('Programme Export'!$G$7:$G$226,$S31)&amp;"")</f>
        <v/>
      </c>
      <c r="O31">
        <f>IF($S31="","",IFERROR(P31/M31,0))</f>
        <v/>
      </c>
      <c r="P31">
        <f>IF($S31="","",INDEX('Programme Export'!$H$7:$H$226,$S31))</f>
        <v/>
      </c>
      <c r="Q31">
        <f>IF($S31="","",INDEX('Programme Export'!$X$7:$X$226,$S31)&amp;"")</f>
        <v/>
      </c>
      <c r="R31">
        <f>IF($S31="","",INDEX('Programme Export'!$P$7:$P$226,$S31)&amp;"")</f>
        <v/>
      </c>
      <c r="S31">
        <f>IFERROR(MATCH(30,'Programme Export'!$Y$7:$Y$226,0),"")</f>
        <v/>
      </c>
    </row>
    <row r="32" ht="15" customHeight="1" s="491">
      <c r="A32">
        <f>IF($S32="","",31)</f>
        <v/>
      </c>
      <c r="B32">
        <f>IF($S32="","",1)</f>
        <v/>
      </c>
      <c r="C32">
        <f>IF($S32="","",INDEX('Programme Export'!$D$7:$D$226,$S32)&amp;"")</f>
        <v/>
      </c>
      <c r="D32">
        <f>IF($S32="","",INDEX('Programme Export'!$E$7:$E$226,$S32)&amp;"")</f>
        <v/>
      </c>
      <c r="E32">
        <f>IF($S32="","",INDEX('Programme Export'!$N$7:$N$226,$S32)&amp;"")</f>
        <v/>
      </c>
      <c r="F32">
        <f t="array" ref="F32">IF(R32="","",_xlfn.TEXTJOIN(";",TRUE,IFERROR(IF(TRIM(MID(SUBSTITUTE(SUBSTITUTE(SUBSTITUTE(R32,",",";")," ",";"),";",REPT(" ",60)),(ROW($1:$10)-1)*60+1,60))="","",MATCH(TRIM(MID(SUBSTITUTE(SUBSTITUTE(SUBSTITUTE(R32,",",";")," ",";"),";",REPT(" ",60)),(ROW($1:$10)-1)*60+1,60)),$C$2:$C$201,0)),"")))</f>
        <v/>
      </c>
      <c r="G32">
        <f>IF($S32="","",INDEX('Programme Export'!$H$7:$H$226,$S32))</f>
        <v/>
      </c>
      <c r="J32">
        <f>IF($S32="","",INDEX('Programme Export'!$R$7:$R$226,$S32)&amp;"")</f>
        <v/>
      </c>
      <c r="K32">
        <f>IF($S32="","",INDEX('Programme Export'!$C$7:$C$226,$S32)&amp;"")</f>
        <v/>
      </c>
      <c r="L32">
        <f>IF($S32="","",'Cover &amp; Instructions'!$B$38)</f>
        <v/>
      </c>
      <c r="M32">
        <f>IF($S32="","",INDEX('Programme Export'!$F$7:$F$226,$S32))</f>
        <v/>
      </c>
      <c r="N32">
        <f>IF($S32="","",INDEX('Programme Export'!$G$7:$G$226,$S32)&amp;"")</f>
        <v/>
      </c>
      <c r="O32">
        <f>IF($S32="","",IFERROR(P32/M32,0))</f>
        <v/>
      </c>
      <c r="P32">
        <f>IF($S32="","",INDEX('Programme Export'!$H$7:$H$226,$S32))</f>
        <v/>
      </c>
      <c r="Q32">
        <f>IF($S32="","",INDEX('Programme Export'!$X$7:$X$226,$S32)&amp;"")</f>
        <v/>
      </c>
      <c r="R32">
        <f>IF($S32="","",INDEX('Programme Export'!$P$7:$P$226,$S32)&amp;"")</f>
        <v/>
      </c>
      <c r="S32">
        <f>IFERROR(MATCH(31,'Programme Export'!$Y$7:$Y$226,0),"")</f>
        <v/>
      </c>
    </row>
    <row r="33" ht="15" customHeight="1" s="491">
      <c r="A33">
        <f>IF($S33="","",32)</f>
        <v/>
      </c>
      <c r="B33">
        <f>IF($S33="","",1)</f>
        <v/>
      </c>
      <c r="C33">
        <f>IF($S33="","",INDEX('Programme Export'!$D$7:$D$226,$S33)&amp;"")</f>
        <v/>
      </c>
      <c r="D33">
        <f>IF($S33="","",INDEX('Programme Export'!$E$7:$E$226,$S33)&amp;"")</f>
        <v/>
      </c>
      <c r="E33">
        <f>IF($S33="","",INDEX('Programme Export'!$N$7:$N$226,$S33)&amp;"")</f>
        <v/>
      </c>
      <c r="F33">
        <f t="array" ref="F33">IF(R33="","",_xlfn.TEXTJOIN(";",TRUE,IFERROR(IF(TRIM(MID(SUBSTITUTE(SUBSTITUTE(SUBSTITUTE(R33,",",";")," ",";"),";",REPT(" ",60)),(ROW($1:$10)-1)*60+1,60))="","",MATCH(TRIM(MID(SUBSTITUTE(SUBSTITUTE(SUBSTITUTE(R33,",",";")," ",";"),";",REPT(" ",60)),(ROW($1:$10)-1)*60+1,60)),$C$2:$C$201,0)),"")))</f>
        <v/>
      </c>
      <c r="G33">
        <f>IF($S33="","",INDEX('Programme Export'!$H$7:$H$226,$S33))</f>
        <v/>
      </c>
      <c r="J33">
        <f>IF($S33="","",INDEX('Programme Export'!$R$7:$R$226,$S33)&amp;"")</f>
        <v/>
      </c>
      <c r="K33">
        <f>IF($S33="","",INDEX('Programme Export'!$C$7:$C$226,$S33)&amp;"")</f>
        <v/>
      </c>
      <c r="L33">
        <f>IF($S33="","",'Cover &amp; Instructions'!$B$38)</f>
        <v/>
      </c>
      <c r="M33">
        <f>IF($S33="","",INDEX('Programme Export'!$F$7:$F$226,$S33))</f>
        <v/>
      </c>
      <c r="N33">
        <f>IF($S33="","",INDEX('Programme Export'!$G$7:$G$226,$S33)&amp;"")</f>
        <v/>
      </c>
      <c r="O33">
        <f>IF($S33="","",IFERROR(P33/M33,0))</f>
        <v/>
      </c>
      <c r="P33">
        <f>IF($S33="","",INDEX('Programme Export'!$H$7:$H$226,$S33))</f>
        <v/>
      </c>
      <c r="Q33">
        <f>IF($S33="","",INDEX('Programme Export'!$X$7:$X$226,$S33)&amp;"")</f>
        <v/>
      </c>
      <c r="R33">
        <f>IF($S33="","",INDEX('Programme Export'!$P$7:$P$226,$S33)&amp;"")</f>
        <v/>
      </c>
      <c r="S33">
        <f>IFERROR(MATCH(32,'Programme Export'!$Y$7:$Y$226,0),"")</f>
        <v/>
      </c>
    </row>
    <row r="34" ht="15" customHeight="1" s="491">
      <c r="A34">
        <f>IF($S34="","",33)</f>
        <v/>
      </c>
      <c r="B34">
        <f>IF($S34="","",1)</f>
        <v/>
      </c>
      <c r="C34">
        <f>IF($S34="","",INDEX('Programme Export'!$D$7:$D$226,$S34)&amp;"")</f>
        <v/>
      </c>
      <c r="D34">
        <f>IF($S34="","",INDEX('Programme Export'!$E$7:$E$226,$S34)&amp;"")</f>
        <v/>
      </c>
      <c r="E34">
        <f>IF($S34="","",INDEX('Programme Export'!$N$7:$N$226,$S34)&amp;"")</f>
        <v/>
      </c>
      <c r="F34">
        <f t="array" ref="F34">IF(R34="","",_xlfn.TEXTJOIN(";",TRUE,IFERROR(IF(TRIM(MID(SUBSTITUTE(SUBSTITUTE(SUBSTITUTE(R34,",",";")," ",";"),";",REPT(" ",60)),(ROW($1:$10)-1)*60+1,60))="","",MATCH(TRIM(MID(SUBSTITUTE(SUBSTITUTE(SUBSTITUTE(R34,",",";")," ",";"),";",REPT(" ",60)),(ROW($1:$10)-1)*60+1,60)),$C$2:$C$201,0)),"")))</f>
        <v/>
      </c>
      <c r="G34">
        <f>IF($S34="","",INDEX('Programme Export'!$H$7:$H$226,$S34))</f>
        <v/>
      </c>
      <c r="J34">
        <f>IF($S34="","",INDEX('Programme Export'!$R$7:$R$226,$S34)&amp;"")</f>
        <v/>
      </c>
      <c r="K34">
        <f>IF($S34="","",INDEX('Programme Export'!$C$7:$C$226,$S34)&amp;"")</f>
        <v/>
      </c>
      <c r="L34">
        <f>IF($S34="","",'Cover &amp; Instructions'!$B$38)</f>
        <v/>
      </c>
      <c r="M34">
        <f>IF($S34="","",INDEX('Programme Export'!$F$7:$F$226,$S34))</f>
        <v/>
      </c>
      <c r="N34">
        <f>IF($S34="","",INDEX('Programme Export'!$G$7:$G$226,$S34)&amp;"")</f>
        <v/>
      </c>
      <c r="O34">
        <f>IF($S34="","",IFERROR(P34/M34,0))</f>
        <v/>
      </c>
      <c r="P34">
        <f>IF($S34="","",INDEX('Programme Export'!$H$7:$H$226,$S34))</f>
        <v/>
      </c>
      <c r="Q34">
        <f>IF($S34="","",INDEX('Programme Export'!$X$7:$X$226,$S34)&amp;"")</f>
        <v/>
      </c>
      <c r="R34">
        <f>IF($S34="","",INDEX('Programme Export'!$P$7:$P$226,$S34)&amp;"")</f>
        <v/>
      </c>
      <c r="S34">
        <f>IFERROR(MATCH(33,'Programme Export'!$Y$7:$Y$226,0),"")</f>
        <v/>
      </c>
    </row>
    <row r="35" ht="15" customHeight="1" s="491">
      <c r="A35">
        <f>IF($S35="","",34)</f>
        <v/>
      </c>
      <c r="B35">
        <f>IF($S35="","",1)</f>
        <v/>
      </c>
      <c r="C35">
        <f>IF($S35="","",INDEX('Programme Export'!$D$7:$D$226,$S35)&amp;"")</f>
        <v/>
      </c>
      <c r="D35">
        <f>IF($S35="","",INDEX('Programme Export'!$E$7:$E$226,$S35)&amp;"")</f>
        <v/>
      </c>
      <c r="E35">
        <f>IF($S35="","",INDEX('Programme Export'!$N$7:$N$226,$S35)&amp;"")</f>
        <v/>
      </c>
      <c r="F35">
        <f t="array" ref="F35">IF(R35="","",_xlfn.TEXTJOIN(";",TRUE,IFERROR(IF(TRIM(MID(SUBSTITUTE(SUBSTITUTE(SUBSTITUTE(R35,",",";")," ",";"),";",REPT(" ",60)),(ROW($1:$10)-1)*60+1,60))="","",MATCH(TRIM(MID(SUBSTITUTE(SUBSTITUTE(SUBSTITUTE(R35,",",";")," ",";"),";",REPT(" ",60)),(ROW($1:$10)-1)*60+1,60)),$C$2:$C$201,0)),"")))</f>
        <v/>
      </c>
      <c r="G35">
        <f>IF($S35="","",INDEX('Programme Export'!$H$7:$H$226,$S35))</f>
        <v/>
      </c>
      <c r="J35">
        <f>IF($S35="","",INDEX('Programme Export'!$R$7:$R$226,$S35)&amp;"")</f>
        <v/>
      </c>
      <c r="K35">
        <f>IF($S35="","",INDEX('Programme Export'!$C$7:$C$226,$S35)&amp;"")</f>
        <v/>
      </c>
      <c r="L35">
        <f>IF($S35="","",'Cover &amp; Instructions'!$B$38)</f>
        <v/>
      </c>
      <c r="M35">
        <f>IF($S35="","",INDEX('Programme Export'!$F$7:$F$226,$S35))</f>
        <v/>
      </c>
      <c r="N35">
        <f>IF($S35="","",INDEX('Programme Export'!$G$7:$G$226,$S35)&amp;"")</f>
        <v/>
      </c>
      <c r="O35">
        <f>IF($S35="","",IFERROR(P35/M35,0))</f>
        <v/>
      </c>
      <c r="P35">
        <f>IF($S35="","",INDEX('Programme Export'!$H$7:$H$226,$S35))</f>
        <v/>
      </c>
      <c r="Q35">
        <f>IF($S35="","",INDEX('Programme Export'!$X$7:$X$226,$S35)&amp;"")</f>
        <v/>
      </c>
      <c r="R35">
        <f>IF($S35="","",INDEX('Programme Export'!$P$7:$P$226,$S35)&amp;"")</f>
        <v/>
      </c>
      <c r="S35">
        <f>IFERROR(MATCH(34,'Programme Export'!$Y$7:$Y$226,0),"")</f>
        <v/>
      </c>
    </row>
    <row r="36" ht="15" customHeight="1" s="491">
      <c r="A36">
        <f>IF($S36="","",35)</f>
        <v/>
      </c>
      <c r="B36">
        <f>IF($S36="","",1)</f>
        <v/>
      </c>
      <c r="C36">
        <f>IF($S36="","",INDEX('Programme Export'!$D$7:$D$226,$S36)&amp;"")</f>
        <v/>
      </c>
      <c r="D36">
        <f>IF($S36="","",INDEX('Programme Export'!$E$7:$E$226,$S36)&amp;"")</f>
        <v/>
      </c>
      <c r="E36">
        <f>IF($S36="","",INDEX('Programme Export'!$N$7:$N$226,$S36)&amp;"")</f>
        <v/>
      </c>
      <c r="F36">
        <f t="array" ref="F36">IF(R36="","",_xlfn.TEXTJOIN(";",TRUE,IFERROR(IF(TRIM(MID(SUBSTITUTE(SUBSTITUTE(SUBSTITUTE(R36,",",";")," ",";"),";",REPT(" ",60)),(ROW($1:$10)-1)*60+1,60))="","",MATCH(TRIM(MID(SUBSTITUTE(SUBSTITUTE(SUBSTITUTE(R36,",",";")," ",";"),";",REPT(" ",60)),(ROW($1:$10)-1)*60+1,60)),$C$2:$C$201,0)),"")))</f>
        <v/>
      </c>
      <c r="G36">
        <f>IF($S36="","",INDEX('Programme Export'!$H$7:$H$226,$S36))</f>
        <v/>
      </c>
      <c r="J36">
        <f>IF($S36="","",INDEX('Programme Export'!$R$7:$R$226,$S36)&amp;"")</f>
        <v/>
      </c>
      <c r="K36">
        <f>IF($S36="","",INDEX('Programme Export'!$C$7:$C$226,$S36)&amp;"")</f>
        <v/>
      </c>
      <c r="L36">
        <f>IF($S36="","",'Cover &amp; Instructions'!$B$38)</f>
        <v/>
      </c>
      <c r="M36">
        <f>IF($S36="","",INDEX('Programme Export'!$F$7:$F$226,$S36))</f>
        <v/>
      </c>
      <c r="N36">
        <f>IF($S36="","",INDEX('Programme Export'!$G$7:$G$226,$S36)&amp;"")</f>
        <v/>
      </c>
      <c r="O36">
        <f>IF($S36="","",IFERROR(P36/M36,0))</f>
        <v/>
      </c>
      <c r="P36">
        <f>IF($S36="","",INDEX('Programme Export'!$H$7:$H$226,$S36))</f>
        <v/>
      </c>
      <c r="Q36">
        <f>IF($S36="","",INDEX('Programme Export'!$X$7:$X$226,$S36)&amp;"")</f>
        <v/>
      </c>
      <c r="R36">
        <f>IF($S36="","",INDEX('Programme Export'!$P$7:$P$226,$S36)&amp;"")</f>
        <v/>
      </c>
      <c r="S36">
        <f>IFERROR(MATCH(35,'Programme Export'!$Y$7:$Y$226,0),"")</f>
        <v/>
      </c>
    </row>
    <row r="37" ht="15" customHeight="1" s="491">
      <c r="A37">
        <f>IF($S37="","",36)</f>
        <v/>
      </c>
      <c r="B37">
        <f>IF($S37="","",1)</f>
        <v/>
      </c>
      <c r="C37">
        <f>IF($S37="","",INDEX('Programme Export'!$D$7:$D$226,$S37)&amp;"")</f>
        <v/>
      </c>
      <c r="D37">
        <f>IF($S37="","",INDEX('Programme Export'!$E$7:$E$226,$S37)&amp;"")</f>
        <v/>
      </c>
      <c r="E37">
        <f>IF($S37="","",INDEX('Programme Export'!$N$7:$N$226,$S37)&amp;"")</f>
        <v/>
      </c>
      <c r="F37">
        <f t="array" ref="F37">IF(R37="","",_xlfn.TEXTJOIN(";",TRUE,IFERROR(IF(TRIM(MID(SUBSTITUTE(SUBSTITUTE(SUBSTITUTE(R37,",",";")," ",";"),";",REPT(" ",60)),(ROW($1:$10)-1)*60+1,60))="","",MATCH(TRIM(MID(SUBSTITUTE(SUBSTITUTE(SUBSTITUTE(R37,",",";")," ",";"),";",REPT(" ",60)),(ROW($1:$10)-1)*60+1,60)),$C$2:$C$201,0)),"")))</f>
        <v/>
      </c>
      <c r="G37">
        <f>IF($S37="","",INDEX('Programme Export'!$H$7:$H$226,$S37))</f>
        <v/>
      </c>
      <c r="J37">
        <f>IF($S37="","",INDEX('Programme Export'!$R$7:$R$226,$S37)&amp;"")</f>
        <v/>
      </c>
      <c r="K37">
        <f>IF($S37="","",INDEX('Programme Export'!$C$7:$C$226,$S37)&amp;"")</f>
        <v/>
      </c>
      <c r="L37">
        <f>IF($S37="","",'Cover &amp; Instructions'!$B$38)</f>
        <v/>
      </c>
      <c r="M37">
        <f>IF($S37="","",INDEX('Programme Export'!$F$7:$F$226,$S37))</f>
        <v/>
      </c>
      <c r="N37">
        <f>IF($S37="","",INDEX('Programme Export'!$G$7:$G$226,$S37)&amp;"")</f>
        <v/>
      </c>
      <c r="O37">
        <f>IF($S37="","",IFERROR(P37/M37,0))</f>
        <v/>
      </c>
      <c r="P37">
        <f>IF($S37="","",INDEX('Programme Export'!$H$7:$H$226,$S37))</f>
        <v/>
      </c>
      <c r="Q37">
        <f>IF($S37="","",INDEX('Programme Export'!$X$7:$X$226,$S37)&amp;"")</f>
        <v/>
      </c>
      <c r="R37">
        <f>IF($S37="","",INDEX('Programme Export'!$P$7:$P$226,$S37)&amp;"")</f>
        <v/>
      </c>
      <c r="S37">
        <f>IFERROR(MATCH(36,'Programme Export'!$Y$7:$Y$226,0),"")</f>
        <v/>
      </c>
    </row>
    <row r="38" ht="15" customHeight="1" s="491">
      <c r="A38">
        <f>IF($S38="","",37)</f>
        <v/>
      </c>
      <c r="B38">
        <f>IF($S38="","",1)</f>
        <v/>
      </c>
      <c r="C38">
        <f>IF($S38="","",INDEX('Programme Export'!$D$7:$D$226,$S38)&amp;"")</f>
        <v/>
      </c>
      <c r="D38">
        <f>IF($S38="","",INDEX('Programme Export'!$E$7:$E$226,$S38)&amp;"")</f>
        <v/>
      </c>
      <c r="E38">
        <f>IF($S38="","",INDEX('Programme Export'!$N$7:$N$226,$S38)&amp;"")</f>
        <v/>
      </c>
      <c r="F38">
        <f t="array" ref="F38">IF(R38="","",_xlfn.TEXTJOIN(";",TRUE,IFERROR(IF(TRIM(MID(SUBSTITUTE(SUBSTITUTE(SUBSTITUTE(R38,",",";")," ",";"),";",REPT(" ",60)),(ROW($1:$10)-1)*60+1,60))="","",MATCH(TRIM(MID(SUBSTITUTE(SUBSTITUTE(SUBSTITUTE(R38,",",";")," ",";"),";",REPT(" ",60)),(ROW($1:$10)-1)*60+1,60)),$C$2:$C$201,0)),"")))</f>
        <v/>
      </c>
      <c r="G38">
        <f>IF($S38="","",INDEX('Programme Export'!$H$7:$H$226,$S38))</f>
        <v/>
      </c>
      <c r="J38">
        <f>IF($S38="","",INDEX('Programme Export'!$R$7:$R$226,$S38)&amp;"")</f>
        <v/>
      </c>
      <c r="K38">
        <f>IF($S38="","",INDEX('Programme Export'!$C$7:$C$226,$S38)&amp;"")</f>
        <v/>
      </c>
      <c r="L38">
        <f>IF($S38="","",'Cover &amp; Instructions'!$B$38)</f>
        <v/>
      </c>
      <c r="M38">
        <f>IF($S38="","",INDEX('Programme Export'!$F$7:$F$226,$S38))</f>
        <v/>
      </c>
      <c r="N38">
        <f>IF($S38="","",INDEX('Programme Export'!$G$7:$G$226,$S38)&amp;"")</f>
        <v/>
      </c>
      <c r="O38">
        <f>IF($S38="","",IFERROR(P38/M38,0))</f>
        <v/>
      </c>
      <c r="P38">
        <f>IF($S38="","",INDEX('Programme Export'!$H$7:$H$226,$S38))</f>
        <v/>
      </c>
      <c r="Q38">
        <f>IF($S38="","",INDEX('Programme Export'!$X$7:$X$226,$S38)&amp;"")</f>
        <v/>
      </c>
      <c r="R38">
        <f>IF($S38="","",INDEX('Programme Export'!$P$7:$P$226,$S38)&amp;"")</f>
        <v/>
      </c>
      <c r="S38">
        <f>IFERROR(MATCH(37,'Programme Export'!$Y$7:$Y$226,0),"")</f>
        <v/>
      </c>
    </row>
    <row r="39" ht="15" customHeight="1" s="491">
      <c r="A39">
        <f>IF($S39="","",38)</f>
        <v/>
      </c>
      <c r="B39">
        <f>IF($S39="","",1)</f>
        <v/>
      </c>
      <c r="C39">
        <f>IF($S39="","",INDEX('Programme Export'!$D$7:$D$226,$S39)&amp;"")</f>
        <v/>
      </c>
      <c r="D39">
        <f>IF($S39="","",INDEX('Programme Export'!$E$7:$E$226,$S39)&amp;"")</f>
        <v/>
      </c>
      <c r="E39">
        <f>IF($S39="","",INDEX('Programme Export'!$N$7:$N$226,$S39)&amp;"")</f>
        <v/>
      </c>
      <c r="F39">
        <f t="array" ref="F39">IF(R39="","",_xlfn.TEXTJOIN(";",TRUE,IFERROR(IF(TRIM(MID(SUBSTITUTE(SUBSTITUTE(SUBSTITUTE(R39,",",";")," ",";"),";",REPT(" ",60)),(ROW($1:$10)-1)*60+1,60))="","",MATCH(TRIM(MID(SUBSTITUTE(SUBSTITUTE(SUBSTITUTE(R39,",",";")," ",";"),";",REPT(" ",60)),(ROW($1:$10)-1)*60+1,60)),$C$2:$C$201,0)),"")))</f>
        <v/>
      </c>
      <c r="G39">
        <f>IF($S39="","",INDEX('Programme Export'!$H$7:$H$226,$S39))</f>
        <v/>
      </c>
      <c r="J39">
        <f>IF($S39="","",INDEX('Programme Export'!$R$7:$R$226,$S39)&amp;"")</f>
        <v/>
      </c>
      <c r="K39">
        <f>IF($S39="","",INDEX('Programme Export'!$C$7:$C$226,$S39)&amp;"")</f>
        <v/>
      </c>
      <c r="L39">
        <f>IF($S39="","",'Cover &amp; Instructions'!$B$38)</f>
        <v/>
      </c>
      <c r="M39">
        <f>IF($S39="","",INDEX('Programme Export'!$F$7:$F$226,$S39))</f>
        <v/>
      </c>
      <c r="N39">
        <f>IF($S39="","",INDEX('Programme Export'!$G$7:$G$226,$S39)&amp;"")</f>
        <v/>
      </c>
      <c r="O39">
        <f>IF($S39="","",IFERROR(P39/M39,0))</f>
        <v/>
      </c>
      <c r="P39">
        <f>IF($S39="","",INDEX('Programme Export'!$H$7:$H$226,$S39))</f>
        <v/>
      </c>
      <c r="Q39">
        <f>IF($S39="","",INDEX('Programme Export'!$X$7:$X$226,$S39)&amp;"")</f>
        <v/>
      </c>
      <c r="R39">
        <f>IF($S39="","",INDEX('Programme Export'!$P$7:$P$226,$S39)&amp;"")</f>
        <v/>
      </c>
      <c r="S39">
        <f>IFERROR(MATCH(38,'Programme Export'!$Y$7:$Y$226,0),"")</f>
        <v/>
      </c>
    </row>
    <row r="40">
      <c r="A40">
        <f>IF($S40="","",39)</f>
        <v/>
      </c>
      <c r="B40">
        <f>IF($S40="","",1)</f>
        <v/>
      </c>
      <c r="C40">
        <f>IF($S40="","",INDEX('Programme Export'!$D$7:$D$226,$S40)&amp;"")</f>
        <v/>
      </c>
      <c r="D40">
        <f>IF($S40="","",INDEX('Programme Export'!$E$7:$E$226,$S40)&amp;"")</f>
        <v/>
      </c>
      <c r="E40">
        <f>IF($S40="","",INDEX('Programme Export'!$N$7:$N$226,$S40)&amp;"")</f>
        <v/>
      </c>
      <c r="F40">
        <f t="array" ref="F40">IF(R40="","",_xlfn.TEXTJOIN(";",TRUE,IFERROR(IF(TRIM(MID(SUBSTITUTE(SUBSTITUTE(SUBSTITUTE(R40,",",";")," ",";"),";",REPT(" ",60)),(ROW($1:$10)-1)*60+1,60))="","",MATCH(TRIM(MID(SUBSTITUTE(SUBSTITUTE(SUBSTITUTE(R40,",",";")," ",";"),";",REPT(" ",60)),(ROW($1:$10)-1)*60+1,60)),$C$2:$C$201,0)),"")))</f>
        <v/>
      </c>
      <c r="G40">
        <f>IF($S40="","",INDEX('Programme Export'!$H$7:$H$226,$S40))</f>
        <v/>
      </c>
      <c r="J40">
        <f>IF($S40="","",INDEX('Programme Export'!$R$7:$R$226,$S40)&amp;"")</f>
        <v/>
      </c>
      <c r="K40">
        <f>IF($S40="","",INDEX('Programme Export'!$C$7:$C$226,$S40)&amp;"")</f>
        <v/>
      </c>
      <c r="L40">
        <f>IF($S40="","",'Cover &amp; Instructions'!$B$38)</f>
        <v/>
      </c>
      <c r="M40">
        <f>IF($S40="","",INDEX('Programme Export'!$F$7:$F$226,$S40))</f>
        <v/>
      </c>
      <c r="N40">
        <f>IF($S40="","",INDEX('Programme Export'!$G$7:$G$226,$S40)&amp;"")</f>
        <v/>
      </c>
      <c r="O40">
        <f>IF($S40="","",IFERROR(P40/M40,0))</f>
        <v/>
      </c>
      <c r="P40">
        <f>IF($S40="","",INDEX('Programme Export'!$H$7:$H$226,$S40))</f>
        <v/>
      </c>
      <c r="Q40">
        <f>IF($S40="","",INDEX('Programme Export'!$X$7:$X$226,$S40)&amp;"")</f>
        <v/>
      </c>
      <c r="R40">
        <f>IF($S40="","",INDEX('Programme Export'!$P$7:$P$226,$S40)&amp;"")</f>
        <v/>
      </c>
      <c r="S40">
        <f>IFERROR(MATCH(39,'Programme Export'!$Y$7:$Y$226,0),"")</f>
        <v/>
      </c>
    </row>
    <row r="41">
      <c r="A41">
        <f>IF($S41="","",40)</f>
        <v/>
      </c>
      <c r="B41">
        <f>IF($S41="","",1)</f>
        <v/>
      </c>
      <c r="C41">
        <f>IF($S41="","",INDEX('Programme Export'!$D$7:$D$226,$S41)&amp;"")</f>
        <v/>
      </c>
      <c r="D41">
        <f>IF($S41="","",INDEX('Programme Export'!$E$7:$E$226,$S41)&amp;"")</f>
        <v/>
      </c>
      <c r="E41">
        <f>IF($S41="","",INDEX('Programme Export'!$N$7:$N$226,$S41)&amp;"")</f>
        <v/>
      </c>
      <c r="F41">
        <f t="array" ref="F41">IF(R41="","",_xlfn.TEXTJOIN(";",TRUE,IFERROR(IF(TRIM(MID(SUBSTITUTE(SUBSTITUTE(SUBSTITUTE(R41,",",";")," ",";"),";",REPT(" ",60)),(ROW($1:$10)-1)*60+1,60))="","",MATCH(TRIM(MID(SUBSTITUTE(SUBSTITUTE(SUBSTITUTE(R41,",",";")," ",";"),";",REPT(" ",60)),(ROW($1:$10)-1)*60+1,60)),$C$2:$C$201,0)),"")))</f>
        <v/>
      </c>
      <c r="G41">
        <f>IF($S41="","",INDEX('Programme Export'!$H$7:$H$226,$S41))</f>
        <v/>
      </c>
      <c r="J41">
        <f>IF($S41="","",INDEX('Programme Export'!$R$7:$R$226,$S41)&amp;"")</f>
        <v/>
      </c>
      <c r="K41">
        <f>IF($S41="","",INDEX('Programme Export'!$C$7:$C$226,$S41)&amp;"")</f>
        <v/>
      </c>
      <c r="L41">
        <f>IF($S41="","",'Cover &amp; Instructions'!$B$38)</f>
        <v/>
      </c>
      <c r="M41">
        <f>IF($S41="","",INDEX('Programme Export'!$F$7:$F$226,$S41))</f>
        <v/>
      </c>
      <c r="N41">
        <f>IF($S41="","",INDEX('Programme Export'!$G$7:$G$226,$S41)&amp;"")</f>
        <v/>
      </c>
      <c r="O41">
        <f>IF($S41="","",IFERROR(P41/M41,0))</f>
        <v/>
      </c>
      <c r="P41">
        <f>IF($S41="","",INDEX('Programme Export'!$H$7:$H$226,$S41))</f>
        <v/>
      </c>
      <c r="Q41">
        <f>IF($S41="","",INDEX('Programme Export'!$X$7:$X$226,$S41)&amp;"")</f>
        <v/>
      </c>
      <c r="R41">
        <f>IF($S41="","",INDEX('Programme Export'!$P$7:$P$226,$S41)&amp;"")</f>
        <v/>
      </c>
      <c r="S41">
        <f>IFERROR(MATCH(40,'Programme Export'!$Y$7:$Y$226,0),"")</f>
        <v/>
      </c>
    </row>
    <row r="42">
      <c r="A42">
        <f>IF($S42="","",41)</f>
        <v/>
      </c>
      <c r="B42">
        <f>IF($S42="","",1)</f>
        <v/>
      </c>
      <c r="C42">
        <f>IF($S42="","",INDEX('Programme Export'!$D$7:$D$226,$S42)&amp;"")</f>
        <v/>
      </c>
      <c r="D42">
        <f>IF($S42="","",INDEX('Programme Export'!$E$7:$E$226,$S42)&amp;"")</f>
        <v/>
      </c>
      <c r="E42">
        <f>IF($S42="","",INDEX('Programme Export'!$N$7:$N$226,$S42)&amp;"")</f>
        <v/>
      </c>
      <c r="F42">
        <f t="array" ref="F42">IF(R42="","",_xlfn.TEXTJOIN(";",TRUE,IFERROR(IF(TRIM(MID(SUBSTITUTE(SUBSTITUTE(SUBSTITUTE(R42,",",";")," ",";"),";",REPT(" ",60)),(ROW($1:$10)-1)*60+1,60))="","",MATCH(TRIM(MID(SUBSTITUTE(SUBSTITUTE(SUBSTITUTE(R42,",",";")," ",";"),";",REPT(" ",60)),(ROW($1:$10)-1)*60+1,60)),$C$2:$C$201,0)),"")))</f>
        <v/>
      </c>
      <c r="G42">
        <f>IF($S42="","",INDEX('Programme Export'!$H$7:$H$226,$S42))</f>
        <v/>
      </c>
      <c r="J42">
        <f>IF($S42="","",INDEX('Programme Export'!$R$7:$R$226,$S42)&amp;"")</f>
        <v/>
      </c>
      <c r="K42">
        <f>IF($S42="","",INDEX('Programme Export'!$C$7:$C$226,$S42)&amp;"")</f>
        <v/>
      </c>
      <c r="L42">
        <f>IF($S42="","",'Cover &amp; Instructions'!$B$38)</f>
        <v/>
      </c>
      <c r="M42">
        <f>IF($S42="","",INDEX('Programme Export'!$F$7:$F$226,$S42))</f>
        <v/>
      </c>
      <c r="N42">
        <f>IF($S42="","",INDEX('Programme Export'!$G$7:$G$226,$S42)&amp;"")</f>
        <v/>
      </c>
      <c r="O42">
        <f>IF($S42="","",IFERROR(P42/M42,0))</f>
        <v/>
      </c>
      <c r="P42">
        <f>IF($S42="","",INDEX('Programme Export'!$H$7:$H$226,$S42))</f>
        <v/>
      </c>
      <c r="Q42">
        <f>IF($S42="","",INDEX('Programme Export'!$X$7:$X$226,$S42)&amp;"")</f>
        <v/>
      </c>
      <c r="R42">
        <f>IF($S42="","",INDEX('Programme Export'!$P$7:$P$226,$S42)&amp;"")</f>
        <v/>
      </c>
      <c r="S42">
        <f>IFERROR(MATCH(41,'Programme Export'!$Y$7:$Y$226,0),"")</f>
        <v/>
      </c>
    </row>
    <row r="43">
      <c r="A43">
        <f>IF($S43="","",42)</f>
        <v/>
      </c>
      <c r="B43">
        <f>IF($S43="","",1)</f>
        <v/>
      </c>
      <c r="C43">
        <f>IF($S43="","",INDEX('Programme Export'!$D$7:$D$226,$S43)&amp;"")</f>
        <v/>
      </c>
      <c r="D43">
        <f>IF($S43="","",INDEX('Programme Export'!$E$7:$E$226,$S43)&amp;"")</f>
        <v/>
      </c>
      <c r="E43">
        <f>IF($S43="","",INDEX('Programme Export'!$N$7:$N$226,$S43)&amp;"")</f>
        <v/>
      </c>
      <c r="F43">
        <f t="array" ref="F43">IF(R43="","",_xlfn.TEXTJOIN(";",TRUE,IFERROR(IF(TRIM(MID(SUBSTITUTE(SUBSTITUTE(SUBSTITUTE(R43,",",";")," ",";"),";",REPT(" ",60)),(ROW($1:$10)-1)*60+1,60))="","",MATCH(TRIM(MID(SUBSTITUTE(SUBSTITUTE(SUBSTITUTE(R43,",",";")," ",";"),";",REPT(" ",60)),(ROW($1:$10)-1)*60+1,60)),$C$2:$C$201,0)),"")))</f>
        <v/>
      </c>
      <c r="G43">
        <f>IF($S43="","",INDEX('Programme Export'!$H$7:$H$226,$S43))</f>
        <v/>
      </c>
      <c r="J43">
        <f>IF($S43="","",INDEX('Programme Export'!$R$7:$R$226,$S43)&amp;"")</f>
        <v/>
      </c>
      <c r="K43">
        <f>IF($S43="","",INDEX('Programme Export'!$C$7:$C$226,$S43)&amp;"")</f>
        <v/>
      </c>
      <c r="L43">
        <f>IF($S43="","",'Cover &amp; Instructions'!$B$38)</f>
        <v/>
      </c>
      <c r="M43">
        <f>IF($S43="","",INDEX('Programme Export'!$F$7:$F$226,$S43))</f>
        <v/>
      </c>
      <c r="N43">
        <f>IF($S43="","",INDEX('Programme Export'!$G$7:$G$226,$S43)&amp;"")</f>
        <v/>
      </c>
      <c r="O43">
        <f>IF($S43="","",IFERROR(P43/M43,0))</f>
        <v/>
      </c>
      <c r="P43">
        <f>IF($S43="","",INDEX('Programme Export'!$H$7:$H$226,$S43))</f>
        <v/>
      </c>
      <c r="Q43">
        <f>IF($S43="","",INDEX('Programme Export'!$X$7:$X$226,$S43)&amp;"")</f>
        <v/>
      </c>
      <c r="R43">
        <f>IF($S43="","",INDEX('Programme Export'!$P$7:$P$226,$S43)&amp;"")</f>
        <v/>
      </c>
      <c r="S43">
        <f>IFERROR(MATCH(42,'Programme Export'!$Y$7:$Y$226,0),"")</f>
        <v/>
      </c>
    </row>
    <row r="44">
      <c r="A44">
        <f>IF($S44="","",43)</f>
        <v/>
      </c>
      <c r="B44">
        <f>IF($S44="","",1)</f>
        <v/>
      </c>
      <c r="C44">
        <f>IF($S44="","",INDEX('Programme Export'!$D$7:$D$226,$S44)&amp;"")</f>
        <v/>
      </c>
      <c r="D44">
        <f>IF($S44="","",INDEX('Programme Export'!$E$7:$E$226,$S44)&amp;"")</f>
        <v/>
      </c>
      <c r="E44">
        <f>IF($S44="","",INDEX('Programme Export'!$N$7:$N$226,$S44)&amp;"")</f>
        <v/>
      </c>
      <c r="F44">
        <f t="array" ref="F44">IF(R44="","",_xlfn.TEXTJOIN(";",TRUE,IFERROR(IF(TRIM(MID(SUBSTITUTE(SUBSTITUTE(SUBSTITUTE(R44,",",";")," ",";"),";",REPT(" ",60)),(ROW($1:$10)-1)*60+1,60))="","",MATCH(TRIM(MID(SUBSTITUTE(SUBSTITUTE(SUBSTITUTE(R44,",",";")," ",";"),";",REPT(" ",60)),(ROW($1:$10)-1)*60+1,60)),$C$2:$C$201,0)),"")))</f>
        <v/>
      </c>
      <c r="G44">
        <f>IF($S44="","",INDEX('Programme Export'!$H$7:$H$226,$S44))</f>
        <v/>
      </c>
      <c r="J44">
        <f>IF($S44="","",INDEX('Programme Export'!$R$7:$R$226,$S44)&amp;"")</f>
        <v/>
      </c>
      <c r="K44">
        <f>IF($S44="","",INDEX('Programme Export'!$C$7:$C$226,$S44)&amp;"")</f>
        <v/>
      </c>
      <c r="L44">
        <f>IF($S44="","",'Cover &amp; Instructions'!$B$38)</f>
        <v/>
      </c>
      <c r="M44">
        <f>IF($S44="","",INDEX('Programme Export'!$F$7:$F$226,$S44))</f>
        <v/>
      </c>
      <c r="N44">
        <f>IF($S44="","",INDEX('Programme Export'!$G$7:$G$226,$S44)&amp;"")</f>
        <v/>
      </c>
      <c r="O44">
        <f>IF($S44="","",IFERROR(P44/M44,0))</f>
        <v/>
      </c>
      <c r="P44">
        <f>IF($S44="","",INDEX('Programme Export'!$H$7:$H$226,$S44))</f>
        <v/>
      </c>
      <c r="Q44">
        <f>IF($S44="","",INDEX('Programme Export'!$X$7:$X$226,$S44)&amp;"")</f>
        <v/>
      </c>
      <c r="R44">
        <f>IF($S44="","",INDEX('Programme Export'!$P$7:$P$226,$S44)&amp;"")</f>
        <v/>
      </c>
      <c r="S44">
        <f>IFERROR(MATCH(43,'Programme Export'!$Y$7:$Y$226,0),"")</f>
        <v/>
      </c>
    </row>
    <row r="45">
      <c r="A45">
        <f>IF($S45="","",44)</f>
        <v/>
      </c>
      <c r="B45">
        <f>IF($S45="","",1)</f>
        <v/>
      </c>
      <c r="C45">
        <f>IF($S45="","",INDEX('Programme Export'!$D$7:$D$226,$S45)&amp;"")</f>
        <v/>
      </c>
      <c r="D45">
        <f>IF($S45="","",INDEX('Programme Export'!$E$7:$E$226,$S45)&amp;"")</f>
        <v/>
      </c>
      <c r="E45">
        <f>IF($S45="","",INDEX('Programme Export'!$N$7:$N$226,$S45)&amp;"")</f>
        <v/>
      </c>
      <c r="F45">
        <f t="array" ref="F45">IF(R45="","",_xlfn.TEXTJOIN(";",TRUE,IFERROR(IF(TRIM(MID(SUBSTITUTE(SUBSTITUTE(SUBSTITUTE(R45,",",";")," ",";"),";",REPT(" ",60)),(ROW($1:$10)-1)*60+1,60))="","",MATCH(TRIM(MID(SUBSTITUTE(SUBSTITUTE(SUBSTITUTE(R45,",",";")," ",";"),";",REPT(" ",60)),(ROW($1:$10)-1)*60+1,60)),$C$2:$C$201,0)),"")))</f>
        <v/>
      </c>
      <c r="G45">
        <f>IF($S45="","",INDEX('Programme Export'!$H$7:$H$226,$S45))</f>
        <v/>
      </c>
      <c r="J45">
        <f>IF($S45="","",INDEX('Programme Export'!$R$7:$R$226,$S45)&amp;"")</f>
        <v/>
      </c>
      <c r="K45">
        <f>IF($S45="","",INDEX('Programme Export'!$C$7:$C$226,$S45)&amp;"")</f>
        <v/>
      </c>
      <c r="L45">
        <f>IF($S45="","",'Cover &amp; Instructions'!$B$38)</f>
        <v/>
      </c>
      <c r="M45">
        <f>IF($S45="","",INDEX('Programme Export'!$F$7:$F$226,$S45))</f>
        <v/>
      </c>
      <c r="N45">
        <f>IF($S45="","",INDEX('Programme Export'!$G$7:$G$226,$S45)&amp;"")</f>
        <v/>
      </c>
      <c r="O45">
        <f>IF($S45="","",IFERROR(P45/M45,0))</f>
        <v/>
      </c>
      <c r="P45">
        <f>IF($S45="","",INDEX('Programme Export'!$H$7:$H$226,$S45))</f>
        <v/>
      </c>
      <c r="Q45">
        <f>IF($S45="","",INDEX('Programme Export'!$X$7:$X$226,$S45)&amp;"")</f>
        <v/>
      </c>
      <c r="R45">
        <f>IF($S45="","",INDEX('Programme Export'!$P$7:$P$226,$S45)&amp;"")</f>
        <v/>
      </c>
      <c r="S45">
        <f>IFERROR(MATCH(44,'Programme Export'!$Y$7:$Y$226,0),"")</f>
        <v/>
      </c>
    </row>
    <row r="46">
      <c r="A46">
        <f>IF($S46="","",45)</f>
        <v/>
      </c>
      <c r="B46">
        <f>IF($S46="","",1)</f>
        <v/>
      </c>
      <c r="C46">
        <f>IF($S46="","",INDEX('Programme Export'!$D$7:$D$226,$S46)&amp;"")</f>
        <v/>
      </c>
      <c r="D46">
        <f>IF($S46="","",INDEX('Programme Export'!$E$7:$E$226,$S46)&amp;"")</f>
        <v/>
      </c>
      <c r="E46">
        <f>IF($S46="","",INDEX('Programme Export'!$N$7:$N$226,$S46)&amp;"")</f>
        <v/>
      </c>
      <c r="F46">
        <f t="array" ref="F46">IF(R46="","",_xlfn.TEXTJOIN(";",TRUE,IFERROR(IF(TRIM(MID(SUBSTITUTE(SUBSTITUTE(SUBSTITUTE(R46,",",";")," ",";"),";",REPT(" ",60)),(ROW($1:$10)-1)*60+1,60))="","",MATCH(TRIM(MID(SUBSTITUTE(SUBSTITUTE(SUBSTITUTE(R46,",",";")," ",";"),";",REPT(" ",60)),(ROW($1:$10)-1)*60+1,60)),$C$2:$C$201,0)),"")))</f>
        <v/>
      </c>
      <c r="G46">
        <f>IF($S46="","",INDEX('Programme Export'!$H$7:$H$226,$S46))</f>
        <v/>
      </c>
      <c r="J46">
        <f>IF($S46="","",INDEX('Programme Export'!$R$7:$R$226,$S46)&amp;"")</f>
        <v/>
      </c>
      <c r="K46">
        <f>IF($S46="","",INDEX('Programme Export'!$C$7:$C$226,$S46)&amp;"")</f>
        <v/>
      </c>
      <c r="L46">
        <f>IF($S46="","",'Cover &amp; Instructions'!$B$38)</f>
        <v/>
      </c>
      <c r="M46">
        <f>IF($S46="","",INDEX('Programme Export'!$F$7:$F$226,$S46))</f>
        <v/>
      </c>
      <c r="N46">
        <f>IF($S46="","",INDEX('Programme Export'!$G$7:$G$226,$S46)&amp;"")</f>
        <v/>
      </c>
      <c r="O46">
        <f>IF($S46="","",IFERROR(P46/M46,0))</f>
        <v/>
      </c>
      <c r="P46">
        <f>IF($S46="","",INDEX('Programme Export'!$H$7:$H$226,$S46))</f>
        <v/>
      </c>
      <c r="Q46">
        <f>IF($S46="","",INDEX('Programme Export'!$X$7:$X$226,$S46)&amp;"")</f>
        <v/>
      </c>
      <c r="R46">
        <f>IF($S46="","",INDEX('Programme Export'!$P$7:$P$226,$S46)&amp;"")</f>
        <v/>
      </c>
      <c r="S46">
        <f>IFERROR(MATCH(45,'Programme Export'!$Y$7:$Y$226,0),"")</f>
        <v/>
      </c>
    </row>
    <row r="47">
      <c r="A47">
        <f>IF($S47="","",46)</f>
        <v/>
      </c>
      <c r="B47">
        <f>IF($S47="","",1)</f>
        <v/>
      </c>
      <c r="C47">
        <f>IF($S47="","",INDEX('Programme Export'!$D$7:$D$226,$S47)&amp;"")</f>
        <v/>
      </c>
      <c r="D47">
        <f>IF($S47="","",INDEX('Programme Export'!$E$7:$E$226,$S47)&amp;"")</f>
        <v/>
      </c>
      <c r="E47">
        <f>IF($S47="","",INDEX('Programme Export'!$N$7:$N$226,$S47)&amp;"")</f>
        <v/>
      </c>
      <c r="F47">
        <f t="array" ref="F47">IF(R47="","",_xlfn.TEXTJOIN(";",TRUE,IFERROR(IF(TRIM(MID(SUBSTITUTE(SUBSTITUTE(SUBSTITUTE(R47,",",";")," ",";"),";",REPT(" ",60)),(ROW($1:$10)-1)*60+1,60))="","",MATCH(TRIM(MID(SUBSTITUTE(SUBSTITUTE(SUBSTITUTE(R47,",",";")," ",";"),";",REPT(" ",60)),(ROW($1:$10)-1)*60+1,60)),$C$2:$C$201,0)),"")))</f>
        <v/>
      </c>
      <c r="G47">
        <f>IF($S47="","",INDEX('Programme Export'!$H$7:$H$226,$S47))</f>
        <v/>
      </c>
      <c r="J47">
        <f>IF($S47="","",INDEX('Programme Export'!$R$7:$R$226,$S47)&amp;"")</f>
        <v/>
      </c>
      <c r="K47">
        <f>IF($S47="","",INDEX('Programme Export'!$C$7:$C$226,$S47)&amp;"")</f>
        <v/>
      </c>
      <c r="L47">
        <f>IF($S47="","",'Cover &amp; Instructions'!$B$38)</f>
        <v/>
      </c>
      <c r="M47">
        <f>IF($S47="","",INDEX('Programme Export'!$F$7:$F$226,$S47))</f>
        <v/>
      </c>
      <c r="N47">
        <f>IF($S47="","",INDEX('Programme Export'!$G$7:$G$226,$S47)&amp;"")</f>
        <v/>
      </c>
      <c r="O47">
        <f>IF($S47="","",IFERROR(P47/M47,0))</f>
        <v/>
      </c>
      <c r="P47">
        <f>IF($S47="","",INDEX('Programme Export'!$H$7:$H$226,$S47))</f>
        <v/>
      </c>
      <c r="Q47">
        <f>IF($S47="","",INDEX('Programme Export'!$X$7:$X$226,$S47)&amp;"")</f>
        <v/>
      </c>
      <c r="R47">
        <f>IF($S47="","",INDEX('Programme Export'!$P$7:$P$226,$S47)&amp;"")</f>
        <v/>
      </c>
      <c r="S47">
        <f>IFERROR(MATCH(46,'Programme Export'!$Y$7:$Y$226,0),"")</f>
        <v/>
      </c>
    </row>
    <row r="48">
      <c r="A48">
        <f>IF($S48="","",47)</f>
        <v/>
      </c>
      <c r="B48">
        <f>IF($S48="","",1)</f>
        <v/>
      </c>
      <c r="C48">
        <f>IF($S48="","",INDEX('Programme Export'!$D$7:$D$226,$S48)&amp;"")</f>
        <v/>
      </c>
      <c r="D48">
        <f>IF($S48="","",INDEX('Programme Export'!$E$7:$E$226,$S48)&amp;"")</f>
        <v/>
      </c>
      <c r="E48">
        <f>IF($S48="","",INDEX('Programme Export'!$N$7:$N$226,$S48)&amp;"")</f>
        <v/>
      </c>
      <c r="F48">
        <f t="array" ref="F48">IF(R48="","",_xlfn.TEXTJOIN(";",TRUE,IFERROR(IF(TRIM(MID(SUBSTITUTE(SUBSTITUTE(SUBSTITUTE(R48,",",";")," ",";"),";",REPT(" ",60)),(ROW($1:$10)-1)*60+1,60))="","",MATCH(TRIM(MID(SUBSTITUTE(SUBSTITUTE(SUBSTITUTE(R48,",",";")," ",";"),";",REPT(" ",60)),(ROW($1:$10)-1)*60+1,60)),$C$2:$C$201,0)),"")))</f>
        <v/>
      </c>
      <c r="G48">
        <f>IF($S48="","",INDEX('Programme Export'!$H$7:$H$226,$S48))</f>
        <v/>
      </c>
      <c r="J48">
        <f>IF($S48="","",INDEX('Programme Export'!$R$7:$R$226,$S48)&amp;"")</f>
        <v/>
      </c>
      <c r="K48">
        <f>IF($S48="","",INDEX('Programme Export'!$C$7:$C$226,$S48)&amp;"")</f>
        <v/>
      </c>
      <c r="L48">
        <f>IF($S48="","",'Cover &amp; Instructions'!$B$38)</f>
        <v/>
      </c>
      <c r="M48">
        <f>IF($S48="","",INDEX('Programme Export'!$F$7:$F$226,$S48))</f>
        <v/>
      </c>
      <c r="N48">
        <f>IF($S48="","",INDEX('Programme Export'!$G$7:$G$226,$S48)&amp;"")</f>
        <v/>
      </c>
      <c r="O48">
        <f>IF($S48="","",IFERROR(P48/M48,0))</f>
        <v/>
      </c>
      <c r="P48">
        <f>IF($S48="","",INDEX('Programme Export'!$H$7:$H$226,$S48))</f>
        <v/>
      </c>
      <c r="Q48">
        <f>IF($S48="","",INDEX('Programme Export'!$X$7:$X$226,$S48)&amp;"")</f>
        <v/>
      </c>
      <c r="R48">
        <f>IF($S48="","",INDEX('Programme Export'!$P$7:$P$226,$S48)&amp;"")</f>
        <v/>
      </c>
      <c r="S48">
        <f>IFERROR(MATCH(47,'Programme Export'!$Y$7:$Y$226,0),"")</f>
        <v/>
      </c>
    </row>
    <row r="49">
      <c r="A49">
        <f>IF($S49="","",48)</f>
        <v/>
      </c>
      <c r="B49">
        <f>IF($S49="","",1)</f>
        <v/>
      </c>
      <c r="C49">
        <f>IF($S49="","",INDEX('Programme Export'!$D$7:$D$226,$S49)&amp;"")</f>
        <v/>
      </c>
      <c r="D49">
        <f>IF($S49="","",INDEX('Programme Export'!$E$7:$E$226,$S49)&amp;"")</f>
        <v/>
      </c>
      <c r="E49">
        <f>IF($S49="","",INDEX('Programme Export'!$N$7:$N$226,$S49)&amp;"")</f>
        <v/>
      </c>
      <c r="F49">
        <f t="array" ref="F49">IF(R49="","",_xlfn.TEXTJOIN(";",TRUE,IFERROR(IF(TRIM(MID(SUBSTITUTE(SUBSTITUTE(SUBSTITUTE(R49,",",";")," ",";"),";",REPT(" ",60)),(ROW($1:$10)-1)*60+1,60))="","",MATCH(TRIM(MID(SUBSTITUTE(SUBSTITUTE(SUBSTITUTE(R49,",",";")," ",";"),";",REPT(" ",60)),(ROW($1:$10)-1)*60+1,60)),$C$2:$C$201,0)),"")))</f>
        <v/>
      </c>
      <c r="G49">
        <f>IF($S49="","",INDEX('Programme Export'!$H$7:$H$226,$S49))</f>
        <v/>
      </c>
      <c r="J49">
        <f>IF($S49="","",INDEX('Programme Export'!$R$7:$R$226,$S49)&amp;"")</f>
        <v/>
      </c>
      <c r="K49">
        <f>IF($S49="","",INDEX('Programme Export'!$C$7:$C$226,$S49)&amp;"")</f>
        <v/>
      </c>
      <c r="L49">
        <f>IF($S49="","",'Cover &amp; Instructions'!$B$38)</f>
        <v/>
      </c>
      <c r="M49">
        <f>IF($S49="","",INDEX('Programme Export'!$F$7:$F$226,$S49))</f>
        <v/>
      </c>
      <c r="N49">
        <f>IF($S49="","",INDEX('Programme Export'!$G$7:$G$226,$S49)&amp;"")</f>
        <v/>
      </c>
      <c r="O49">
        <f>IF($S49="","",IFERROR(P49/M49,0))</f>
        <v/>
      </c>
      <c r="P49">
        <f>IF($S49="","",INDEX('Programme Export'!$H$7:$H$226,$S49))</f>
        <v/>
      </c>
      <c r="Q49">
        <f>IF($S49="","",INDEX('Programme Export'!$X$7:$X$226,$S49)&amp;"")</f>
        <v/>
      </c>
      <c r="R49">
        <f>IF($S49="","",INDEX('Programme Export'!$P$7:$P$226,$S49)&amp;"")</f>
        <v/>
      </c>
      <c r="S49">
        <f>IFERROR(MATCH(48,'Programme Export'!$Y$7:$Y$226,0),"")</f>
        <v/>
      </c>
    </row>
    <row r="50">
      <c r="A50">
        <f>IF($S50="","",49)</f>
        <v/>
      </c>
      <c r="B50">
        <f>IF($S50="","",1)</f>
        <v/>
      </c>
      <c r="C50">
        <f>IF($S50="","",INDEX('Programme Export'!$D$7:$D$226,$S50)&amp;"")</f>
        <v/>
      </c>
      <c r="D50">
        <f>IF($S50="","",INDEX('Programme Export'!$E$7:$E$226,$S50)&amp;"")</f>
        <v/>
      </c>
      <c r="E50">
        <f>IF($S50="","",INDEX('Programme Export'!$N$7:$N$226,$S50)&amp;"")</f>
        <v/>
      </c>
      <c r="F50">
        <f t="array" ref="F50">IF(R50="","",_xlfn.TEXTJOIN(";",TRUE,IFERROR(IF(TRIM(MID(SUBSTITUTE(SUBSTITUTE(SUBSTITUTE(R50,",",";")," ",";"),";",REPT(" ",60)),(ROW($1:$10)-1)*60+1,60))="","",MATCH(TRIM(MID(SUBSTITUTE(SUBSTITUTE(SUBSTITUTE(R50,",",";")," ",";"),";",REPT(" ",60)),(ROW($1:$10)-1)*60+1,60)),$C$2:$C$201,0)),"")))</f>
        <v/>
      </c>
      <c r="G50">
        <f>IF($S50="","",INDEX('Programme Export'!$H$7:$H$226,$S50))</f>
        <v/>
      </c>
      <c r="J50">
        <f>IF($S50="","",INDEX('Programme Export'!$R$7:$R$226,$S50)&amp;"")</f>
        <v/>
      </c>
      <c r="K50">
        <f>IF($S50="","",INDEX('Programme Export'!$C$7:$C$226,$S50)&amp;"")</f>
        <v/>
      </c>
      <c r="L50">
        <f>IF($S50="","",'Cover &amp; Instructions'!$B$38)</f>
        <v/>
      </c>
      <c r="M50">
        <f>IF($S50="","",INDEX('Programme Export'!$F$7:$F$226,$S50))</f>
        <v/>
      </c>
      <c r="N50">
        <f>IF($S50="","",INDEX('Programme Export'!$G$7:$G$226,$S50)&amp;"")</f>
        <v/>
      </c>
      <c r="O50">
        <f>IF($S50="","",IFERROR(P50/M50,0))</f>
        <v/>
      </c>
      <c r="P50">
        <f>IF($S50="","",INDEX('Programme Export'!$H$7:$H$226,$S50))</f>
        <v/>
      </c>
      <c r="Q50">
        <f>IF($S50="","",INDEX('Programme Export'!$X$7:$X$226,$S50)&amp;"")</f>
        <v/>
      </c>
      <c r="R50">
        <f>IF($S50="","",INDEX('Programme Export'!$P$7:$P$226,$S50)&amp;"")</f>
        <v/>
      </c>
      <c r="S50">
        <f>IFERROR(MATCH(49,'Programme Export'!$Y$7:$Y$226,0),"")</f>
        <v/>
      </c>
    </row>
    <row r="51">
      <c r="A51">
        <f>IF($S51="","",50)</f>
        <v/>
      </c>
      <c r="B51">
        <f>IF($S51="","",1)</f>
        <v/>
      </c>
      <c r="C51">
        <f>IF($S51="","",INDEX('Programme Export'!$D$7:$D$226,$S51)&amp;"")</f>
        <v/>
      </c>
      <c r="D51">
        <f>IF($S51="","",INDEX('Programme Export'!$E$7:$E$226,$S51)&amp;"")</f>
        <v/>
      </c>
      <c r="E51">
        <f>IF($S51="","",INDEX('Programme Export'!$N$7:$N$226,$S51)&amp;"")</f>
        <v/>
      </c>
      <c r="F51">
        <f t="array" ref="F51">IF(R51="","",_xlfn.TEXTJOIN(";",TRUE,IFERROR(IF(TRIM(MID(SUBSTITUTE(SUBSTITUTE(SUBSTITUTE(R51,",",";")," ",";"),";",REPT(" ",60)),(ROW($1:$10)-1)*60+1,60))="","",MATCH(TRIM(MID(SUBSTITUTE(SUBSTITUTE(SUBSTITUTE(R51,",",";")," ",";"),";",REPT(" ",60)),(ROW($1:$10)-1)*60+1,60)),$C$2:$C$201,0)),"")))</f>
        <v/>
      </c>
      <c r="G51">
        <f>IF($S51="","",INDEX('Programme Export'!$H$7:$H$226,$S51))</f>
        <v/>
      </c>
      <c r="J51">
        <f>IF($S51="","",INDEX('Programme Export'!$R$7:$R$226,$S51)&amp;"")</f>
        <v/>
      </c>
      <c r="K51">
        <f>IF($S51="","",INDEX('Programme Export'!$C$7:$C$226,$S51)&amp;"")</f>
        <v/>
      </c>
      <c r="L51">
        <f>IF($S51="","",'Cover &amp; Instructions'!$B$38)</f>
        <v/>
      </c>
      <c r="M51">
        <f>IF($S51="","",INDEX('Programme Export'!$F$7:$F$226,$S51))</f>
        <v/>
      </c>
      <c r="N51">
        <f>IF($S51="","",INDEX('Programme Export'!$G$7:$G$226,$S51)&amp;"")</f>
        <v/>
      </c>
      <c r="O51">
        <f>IF($S51="","",IFERROR(P51/M51,0))</f>
        <v/>
      </c>
      <c r="P51">
        <f>IF($S51="","",INDEX('Programme Export'!$H$7:$H$226,$S51))</f>
        <v/>
      </c>
      <c r="Q51">
        <f>IF($S51="","",INDEX('Programme Export'!$X$7:$X$226,$S51)&amp;"")</f>
        <v/>
      </c>
      <c r="R51">
        <f>IF($S51="","",INDEX('Programme Export'!$P$7:$P$226,$S51)&amp;"")</f>
        <v/>
      </c>
      <c r="S51">
        <f>IFERROR(MATCH(50,'Programme Export'!$Y$7:$Y$226,0),"")</f>
        <v/>
      </c>
    </row>
    <row r="52">
      <c r="A52">
        <f>IF($S52="","",51)</f>
        <v/>
      </c>
      <c r="B52">
        <f>IF($S52="","",1)</f>
        <v/>
      </c>
      <c r="C52">
        <f>IF($S52="","",INDEX('Programme Export'!$D$7:$D$226,$S52)&amp;"")</f>
        <v/>
      </c>
      <c r="D52">
        <f>IF($S52="","",INDEX('Programme Export'!$E$7:$E$226,$S52)&amp;"")</f>
        <v/>
      </c>
      <c r="E52">
        <f>IF($S52="","",INDEX('Programme Export'!$N$7:$N$226,$S52)&amp;"")</f>
        <v/>
      </c>
      <c r="F52">
        <f t="array" ref="F52">IF(R52="","",_xlfn.TEXTJOIN(";",TRUE,IFERROR(IF(TRIM(MID(SUBSTITUTE(SUBSTITUTE(SUBSTITUTE(R52,",",";")," ",";"),";",REPT(" ",60)),(ROW($1:$10)-1)*60+1,60))="","",MATCH(TRIM(MID(SUBSTITUTE(SUBSTITUTE(SUBSTITUTE(R52,",",";")," ",";"),";",REPT(" ",60)),(ROW($1:$10)-1)*60+1,60)),$C$2:$C$201,0)),"")))</f>
        <v/>
      </c>
      <c r="G52">
        <f>IF($S52="","",INDEX('Programme Export'!$H$7:$H$226,$S52))</f>
        <v/>
      </c>
      <c r="J52">
        <f>IF($S52="","",INDEX('Programme Export'!$R$7:$R$226,$S52)&amp;"")</f>
        <v/>
      </c>
      <c r="K52">
        <f>IF($S52="","",INDEX('Programme Export'!$C$7:$C$226,$S52)&amp;"")</f>
        <v/>
      </c>
      <c r="L52">
        <f>IF($S52="","",'Cover &amp; Instructions'!$B$38)</f>
        <v/>
      </c>
      <c r="M52">
        <f>IF($S52="","",INDEX('Programme Export'!$F$7:$F$226,$S52))</f>
        <v/>
      </c>
      <c r="N52">
        <f>IF($S52="","",INDEX('Programme Export'!$G$7:$G$226,$S52)&amp;"")</f>
        <v/>
      </c>
      <c r="O52">
        <f>IF($S52="","",IFERROR(P52/M52,0))</f>
        <v/>
      </c>
      <c r="P52">
        <f>IF($S52="","",INDEX('Programme Export'!$H$7:$H$226,$S52))</f>
        <v/>
      </c>
      <c r="Q52">
        <f>IF($S52="","",INDEX('Programme Export'!$X$7:$X$226,$S52)&amp;"")</f>
        <v/>
      </c>
      <c r="R52">
        <f>IF($S52="","",INDEX('Programme Export'!$P$7:$P$226,$S52)&amp;"")</f>
        <v/>
      </c>
      <c r="S52">
        <f>IFERROR(MATCH(51,'Programme Export'!$Y$7:$Y$226,0),"")</f>
        <v/>
      </c>
    </row>
    <row r="53">
      <c r="A53">
        <f>IF($S53="","",52)</f>
        <v/>
      </c>
      <c r="B53">
        <f>IF($S53="","",1)</f>
        <v/>
      </c>
      <c r="C53">
        <f>IF($S53="","",INDEX('Programme Export'!$D$7:$D$226,$S53)&amp;"")</f>
        <v/>
      </c>
      <c r="D53">
        <f>IF($S53="","",INDEX('Programme Export'!$E$7:$E$226,$S53)&amp;"")</f>
        <v/>
      </c>
      <c r="E53">
        <f>IF($S53="","",INDEX('Programme Export'!$N$7:$N$226,$S53)&amp;"")</f>
        <v/>
      </c>
      <c r="F53">
        <f t="array" ref="F53">IF(R53="","",_xlfn.TEXTJOIN(";",TRUE,IFERROR(IF(TRIM(MID(SUBSTITUTE(SUBSTITUTE(SUBSTITUTE(R53,",",";")," ",";"),";",REPT(" ",60)),(ROW($1:$10)-1)*60+1,60))="","",MATCH(TRIM(MID(SUBSTITUTE(SUBSTITUTE(SUBSTITUTE(R53,",",";")," ",";"),";",REPT(" ",60)),(ROW($1:$10)-1)*60+1,60)),$C$2:$C$201,0)),"")))</f>
        <v/>
      </c>
      <c r="G53">
        <f>IF($S53="","",INDEX('Programme Export'!$H$7:$H$226,$S53))</f>
        <v/>
      </c>
      <c r="J53">
        <f>IF($S53="","",INDEX('Programme Export'!$R$7:$R$226,$S53)&amp;"")</f>
        <v/>
      </c>
      <c r="K53">
        <f>IF($S53="","",INDEX('Programme Export'!$C$7:$C$226,$S53)&amp;"")</f>
        <v/>
      </c>
      <c r="L53">
        <f>IF($S53="","",'Cover &amp; Instructions'!$B$38)</f>
        <v/>
      </c>
      <c r="M53">
        <f>IF($S53="","",INDEX('Programme Export'!$F$7:$F$226,$S53))</f>
        <v/>
      </c>
      <c r="N53">
        <f>IF($S53="","",INDEX('Programme Export'!$G$7:$G$226,$S53)&amp;"")</f>
        <v/>
      </c>
      <c r="O53">
        <f>IF($S53="","",IFERROR(P53/M53,0))</f>
        <v/>
      </c>
      <c r="P53">
        <f>IF($S53="","",INDEX('Programme Export'!$H$7:$H$226,$S53))</f>
        <v/>
      </c>
      <c r="Q53">
        <f>IF($S53="","",INDEX('Programme Export'!$X$7:$X$226,$S53)&amp;"")</f>
        <v/>
      </c>
      <c r="R53">
        <f>IF($S53="","",INDEX('Programme Export'!$P$7:$P$226,$S53)&amp;"")</f>
        <v/>
      </c>
      <c r="S53">
        <f>IFERROR(MATCH(52,'Programme Export'!$Y$7:$Y$226,0),"")</f>
        <v/>
      </c>
    </row>
    <row r="54">
      <c r="A54">
        <f>IF($S54="","",53)</f>
        <v/>
      </c>
      <c r="B54">
        <f>IF($S54="","",1)</f>
        <v/>
      </c>
      <c r="C54">
        <f>IF($S54="","",INDEX('Programme Export'!$D$7:$D$226,$S54)&amp;"")</f>
        <v/>
      </c>
      <c r="D54">
        <f>IF($S54="","",INDEX('Programme Export'!$E$7:$E$226,$S54)&amp;"")</f>
        <v/>
      </c>
      <c r="E54">
        <f>IF($S54="","",INDEX('Programme Export'!$N$7:$N$226,$S54)&amp;"")</f>
        <v/>
      </c>
      <c r="F54">
        <f t="array" ref="F54">IF(R54="","",_xlfn.TEXTJOIN(";",TRUE,IFERROR(IF(TRIM(MID(SUBSTITUTE(SUBSTITUTE(SUBSTITUTE(R54,",",";")," ",";"),";",REPT(" ",60)),(ROW($1:$10)-1)*60+1,60))="","",MATCH(TRIM(MID(SUBSTITUTE(SUBSTITUTE(SUBSTITUTE(R54,",",";")," ",";"),";",REPT(" ",60)),(ROW($1:$10)-1)*60+1,60)),$C$2:$C$201,0)),"")))</f>
        <v/>
      </c>
      <c r="G54">
        <f>IF($S54="","",INDEX('Programme Export'!$H$7:$H$226,$S54))</f>
        <v/>
      </c>
      <c r="J54">
        <f>IF($S54="","",INDEX('Programme Export'!$R$7:$R$226,$S54)&amp;"")</f>
        <v/>
      </c>
      <c r="K54">
        <f>IF($S54="","",INDEX('Programme Export'!$C$7:$C$226,$S54)&amp;"")</f>
        <v/>
      </c>
      <c r="L54">
        <f>IF($S54="","",'Cover &amp; Instructions'!$B$38)</f>
        <v/>
      </c>
      <c r="M54">
        <f>IF($S54="","",INDEX('Programme Export'!$F$7:$F$226,$S54))</f>
        <v/>
      </c>
      <c r="N54">
        <f>IF($S54="","",INDEX('Programme Export'!$G$7:$G$226,$S54)&amp;"")</f>
        <v/>
      </c>
      <c r="O54">
        <f>IF($S54="","",IFERROR(P54/M54,0))</f>
        <v/>
      </c>
      <c r="P54">
        <f>IF($S54="","",INDEX('Programme Export'!$H$7:$H$226,$S54))</f>
        <v/>
      </c>
      <c r="Q54">
        <f>IF($S54="","",INDEX('Programme Export'!$X$7:$X$226,$S54)&amp;"")</f>
        <v/>
      </c>
      <c r="R54">
        <f>IF($S54="","",INDEX('Programme Export'!$P$7:$P$226,$S54)&amp;"")</f>
        <v/>
      </c>
      <c r="S54">
        <f>IFERROR(MATCH(53,'Programme Export'!$Y$7:$Y$226,0),"")</f>
        <v/>
      </c>
    </row>
    <row r="55">
      <c r="A55">
        <f>IF($S55="","",54)</f>
        <v/>
      </c>
      <c r="B55">
        <f>IF($S55="","",1)</f>
        <v/>
      </c>
      <c r="C55">
        <f>IF($S55="","",INDEX('Programme Export'!$D$7:$D$226,$S55)&amp;"")</f>
        <v/>
      </c>
      <c r="D55">
        <f>IF($S55="","",INDEX('Programme Export'!$E$7:$E$226,$S55)&amp;"")</f>
        <v/>
      </c>
      <c r="E55">
        <f>IF($S55="","",INDEX('Programme Export'!$N$7:$N$226,$S55)&amp;"")</f>
        <v/>
      </c>
      <c r="F55">
        <f t="array" ref="F55">IF(R55="","",_xlfn.TEXTJOIN(";",TRUE,IFERROR(IF(TRIM(MID(SUBSTITUTE(SUBSTITUTE(SUBSTITUTE(R55,",",";")," ",";"),";",REPT(" ",60)),(ROW($1:$10)-1)*60+1,60))="","",MATCH(TRIM(MID(SUBSTITUTE(SUBSTITUTE(SUBSTITUTE(R55,",",";")," ",";"),";",REPT(" ",60)),(ROW($1:$10)-1)*60+1,60)),$C$2:$C$201,0)),"")))</f>
        <v/>
      </c>
      <c r="G55">
        <f>IF($S55="","",INDEX('Programme Export'!$H$7:$H$226,$S55))</f>
        <v/>
      </c>
      <c r="J55">
        <f>IF($S55="","",INDEX('Programme Export'!$R$7:$R$226,$S55)&amp;"")</f>
        <v/>
      </c>
      <c r="K55">
        <f>IF($S55="","",INDEX('Programme Export'!$C$7:$C$226,$S55)&amp;"")</f>
        <v/>
      </c>
      <c r="L55">
        <f>IF($S55="","",'Cover &amp; Instructions'!$B$38)</f>
        <v/>
      </c>
      <c r="M55">
        <f>IF($S55="","",INDEX('Programme Export'!$F$7:$F$226,$S55))</f>
        <v/>
      </c>
      <c r="N55">
        <f>IF($S55="","",INDEX('Programme Export'!$G$7:$G$226,$S55)&amp;"")</f>
        <v/>
      </c>
      <c r="O55">
        <f>IF($S55="","",IFERROR(P55/M55,0))</f>
        <v/>
      </c>
      <c r="P55">
        <f>IF($S55="","",INDEX('Programme Export'!$H$7:$H$226,$S55))</f>
        <v/>
      </c>
      <c r="Q55">
        <f>IF($S55="","",INDEX('Programme Export'!$X$7:$X$226,$S55)&amp;"")</f>
        <v/>
      </c>
      <c r="R55">
        <f>IF($S55="","",INDEX('Programme Export'!$P$7:$P$226,$S55)&amp;"")</f>
        <v/>
      </c>
      <c r="S55">
        <f>IFERROR(MATCH(54,'Programme Export'!$Y$7:$Y$226,0),"")</f>
        <v/>
      </c>
    </row>
    <row r="56">
      <c r="A56">
        <f>IF($S56="","",55)</f>
        <v/>
      </c>
      <c r="B56">
        <f>IF($S56="","",1)</f>
        <v/>
      </c>
      <c r="C56">
        <f>IF($S56="","",INDEX('Programme Export'!$D$7:$D$226,$S56)&amp;"")</f>
        <v/>
      </c>
      <c r="D56">
        <f>IF($S56="","",INDEX('Programme Export'!$E$7:$E$226,$S56)&amp;"")</f>
        <v/>
      </c>
      <c r="E56">
        <f>IF($S56="","",INDEX('Programme Export'!$N$7:$N$226,$S56)&amp;"")</f>
        <v/>
      </c>
      <c r="F56">
        <f t="array" ref="F56">IF(R56="","",_xlfn.TEXTJOIN(";",TRUE,IFERROR(IF(TRIM(MID(SUBSTITUTE(SUBSTITUTE(SUBSTITUTE(R56,",",";")," ",";"),";",REPT(" ",60)),(ROW($1:$10)-1)*60+1,60))="","",MATCH(TRIM(MID(SUBSTITUTE(SUBSTITUTE(SUBSTITUTE(R56,",",";")," ",";"),";",REPT(" ",60)),(ROW($1:$10)-1)*60+1,60)),$C$2:$C$201,0)),"")))</f>
        <v/>
      </c>
      <c r="G56">
        <f>IF($S56="","",INDEX('Programme Export'!$H$7:$H$226,$S56))</f>
        <v/>
      </c>
      <c r="J56">
        <f>IF($S56="","",INDEX('Programme Export'!$R$7:$R$226,$S56)&amp;"")</f>
        <v/>
      </c>
      <c r="K56">
        <f>IF($S56="","",INDEX('Programme Export'!$C$7:$C$226,$S56)&amp;"")</f>
        <v/>
      </c>
      <c r="L56">
        <f>IF($S56="","",'Cover &amp; Instructions'!$B$38)</f>
        <v/>
      </c>
      <c r="M56">
        <f>IF($S56="","",INDEX('Programme Export'!$F$7:$F$226,$S56))</f>
        <v/>
      </c>
      <c r="N56">
        <f>IF($S56="","",INDEX('Programme Export'!$G$7:$G$226,$S56)&amp;"")</f>
        <v/>
      </c>
      <c r="O56">
        <f>IF($S56="","",IFERROR(P56/M56,0))</f>
        <v/>
      </c>
      <c r="P56">
        <f>IF($S56="","",INDEX('Programme Export'!$H$7:$H$226,$S56))</f>
        <v/>
      </c>
      <c r="Q56">
        <f>IF($S56="","",INDEX('Programme Export'!$X$7:$X$226,$S56)&amp;"")</f>
        <v/>
      </c>
      <c r="R56">
        <f>IF($S56="","",INDEX('Programme Export'!$P$7:$P$226,$S56)&amp;"")</f>
        <v/>
      </c>
      <c r="S56">
        <f>IFERROR(MATCH(55,'Programme Export'!$Y$7:$Y$226,0),"")</f>
        <v/>
      </c>
    </row>
    <row r="57">
      <c r="A57">
        <f>IF($S57="","",56)</f>
        <v/>
      </c>
      <c r="B57">
        <f>IF($S57="","",1)</f>
        <v/>
      </c>
      <c r="C57">
        <f>IF($S57="","",INDEX('Programme Export'!$D$7:$D$226,$S57)&amp;"")</f>
        <v/>
      </c>
      <c r="D57">
        <f>IF($S57="","",INDEX('Programme Export'!$E$7:$E$226,$S57)&amp;"")</f>
        <v/>
      </c>
      <c r="E57">
        <f>IF($S57="","",INDEX('Programme Export'!$N$7:$N$226,$S57)&amp;"")</f>
        <v/>
      </c>
      <c r="F57">
        <f t="array" ref="F57">IF(R57="","",_xlfn.TEXTJOIN(";",TRUE,IFERROR(IF(TRIM(MID(SUBSTITUTE(SUBSTITUTE(SUBSTITUTE(R57,",",";")," ",";"),";",REPT(" ",60)),(ROW($1:$10)-1)*60+1,60))="","",MATCH(TRIM(MID(SUBSTITUTE(SUBSTITUTE(SUBSTITUTE(R57,",",";")," ",";"),";",REPT(" ",60)),(ROW($1:$10)-1)*60+1,60)),$C$2:$C$201,0)),"")))</f>
        <v/>
      </c>
      <c r="G57">
        <f>IF($S57="","",INDEX('Programme Export'!$H$7:$H$226,$S57))</f>
        <v/>
      </c>
      <c r="J57">
        <f>IF($S57="","",INDEX('Programme Export'!$R$7:$R$226,$S57)&amp;"")</f>
        <v/>
      </c>
      <c r="K57">
        <f>IF($S57="","",INDEX('Programme Export'!$C$7:$C$226,$S57)&amp;"")</f>
        <v/>
      </c>
      <c r="L57">
        <f>IF($S57="","",'Cover &amp; Instructions'!$B$38)</f>
        <v/>
      </c>
      <c r="M57">
        <f>IF($S57="","",INDEX('Programme Export'!$F$7:$F$226,$S57))</f>
        <v/>
      </c>
      <c r="N57">
        <f>IF($S57="","",INDEX('Programme Export'!$G$7:$G$226,$S57)&amp;"")</f>
        <v/>
      </c>
      <c r="O57">
        <f>IF($S57="","",IFERROR(P57/M57,0))</f>
        <v/>
      </c>
      <c r="P57">
        <f>IF($S57="","",INDEX('Programme Export'!$H$7:$H$226,$S57))</f>
        <v/>
      </c>
      <c r="Q57">
        <f>IF($S57="","",INDEX('Programme Export'!$X$7:$X$226,$S57)&amp;"")</f>
        <v/>
      </c>
      <c r="R57">
        <f>IF($S57="","",INDEX('Programme Export'!$P$7:$P$226,$S57)&amp;"")</f>
        <v/>
      </c>
      <c r="S57">
        <f>IFERROR(MATCH(56,'Programme Export'!$Y$7:$Y$226,0),"")</f>
        <v/>
      </c>
    </row>
    <row r="58">
      <c r="A58">
        <f>IF($S58="","",57)</f>
        <v/>
      </c>
      <c r="B58">
        <f>IF($S58="","",1)</f>
        <v/>
      </c>
      <c r="C58">
        <f>IF($S58="","",INDEX('Programme Export'!$D$7:$D$226,$S58)&amp;"")</f>
        <v/>
      </c>
      <c r="D58">
        <f>IF($S58="","",INDEX('Programme Export'!$E$7:$E$226,$S58)&amp;"")</f>
        <v/>
      </c>
      <c r="E58">
        <f>IF($S58="","",INDEX('Programme Export'!$N$7:$N$226,$S58)&amp;"")</f>
        <v/>
      </c>
      <c r="F58">
        <f t="array" ref="F58">IF(R58="","",_xlfn.TEXTJOIN(";",TRUE,IFERROR(IF(TRIM(MID(SUBSTITUTE(SUBSTITUTE(SUBSTITUTE(R58,",",";")," ",";"),";",REPT(" ",60)),(ROW($1:$10)-1)*60+1,60))="","",MATCH(TRIM(MID(SUBSTITUTE(SUBSTITUTE(SUBSTITUTE(R58,",",";")," ",";"),";",REPT(" ",60)),(ROW($1:$10)-1)*60+1,60)),$C$2:$C$201,0)),"")))</f>
        <v/>
      </c>
      <c r="G58">
        <f>IF($S58="","",INDEX('Programme Export'!$H$7:$H$226,$S58))</f>
        <v/>
      </c>
      <c r="J58">
        <f>IF($S58="","",INDEX('Programme Export'!$R$7:$R$226,$S58)&amp;"")</f>
        <v/>
      </c>
      <c r="K58">
        <f>IF($S58="","",INDEX('Programme Export'!$C$7:$C$226,$S58)&amp;"")</f>
        <v/>
      </c>
      <c r="L58">
        <f>IF($S58="","",'Cover &amp; Instructions'!$B$38)</f>
        <v/>
      </c>
      <c r="M58">
        <f>IF($S58="","",INDEX('Programme Export'!$F$7:$F$226,$S58))</f>
        <v/>
      </c>
      <c r="N58">
        <f>IF($S58="","",INDEX('Programme Export'!$G$7:$G$226,$S58)&amp;"")</f>
        <v/>
      </c>
      <c r="O58">
        <f>IF($S58="","",IFERROR(P58/M58,0))</f>
        <v/>
      </c>
      <c r="P58">
        <f>IF($S58="","",INDEX('Programme Export'!$H$7:$H$226,$S58))</f>
        <v/>
      </c>
      <c r="Q58">
        <f>IF($S58="","",INDEX('Programme Export'!$X$7:$X$226,$S58)&amp;"")</f>
        <v/>
      </c>
      <c r="R58">
        <f>IF($S58="","",INDEX('Programme Export'!$P$7:$P$226,$S58)&amp;"")</f>
        <v/>
      </c>
      <c r="S58">
        <f>IFERROR(MATCH(57,'Programme Export'!$Y$7:$Y$226,0),"")</f>
        <v/>
      </c>
    </row>
    <row r="59">
      <c r="A59">
        <f>IF($S59="","",58)</f>
        <v/>
      </c>
      <c r="B59">
        <f>IF($S59="","",1)</f>
        <v/>
      </c>
      <c r="C59">
        <f>IF($S59="","",INDEX('Programme Export'!$D$7:$D$226,$S59)&amp;"")</f>
        <v/>
      </c>
      <c r="D59">
        <f>IF($S59="","",INDEX('Programme Export'!$E$7:$E$226,$S59)&amp;"")</f>
        <v/>
      </c>
      <c r="E59">
        <f>IF($S59="","",INDEX('Programme Export'!$N$7:$N$226,$S59)&amp;"")</f>
        <v/>
      </c>
      <c r="F59">
        <f t="array" ref="F59">IF(R59="","",_xlfn.TEXTJOIN(";",TRUE,IFERROR(IF(TRIM(MID(SUBSTITUTE(SUBSTITUTE(SUBSTITUTE(R59,",",";")," ",";"),";",REPT(" ",60)),(ROW($1:$10)-1)*60+1,60))="","",MATCH(TRIM(MID(SUBSTITUTE(SUBSTITUTE(SUBSTITUTE(R59,",",";")," ",";"),";",REPT(" ",60)),(ROW($1:$10)-1)*60+1,60)),$C$2:$C$201,0)),"")))</f>
        <v/>
      </c>
      <c r="G59">
        <f>IF($S59="","",INDEX('Programme Export'!$H$7:$H$226,$S59))</f>
        <v/>
      </c>
      <c r="J59">
        <f>IF($S59="","",INDEX('Programme Export'!$R$7:$R$226,$S59)&amp;"")</f>
        <v/>
      </c>
      <c r="K59">
        <f>IF($S59="","",INDEX('Programme Export'!$C$7:$C$226,$S59)&amp;"")</f>
        <v/>
      </c>
      <c r="L59">
        <f>IF($S59="","",'Cover &amp; Instructions'!$B$38)</f>
        <v/>
      </c>
      <c r="M59">
        <f>IF($S59="","",INDEX('Programme Export'!$F$7:$F$226,$S59))</f>
        <v/>
      </c>
      <c r="N59">
        <f>IF($S59="","",INDEX('Programme Export'!$G$7:$G$226,$S59)&amp;"")</f>
        <v/>
      </c>
      <c r="O59">
        <f>IF($S59="","",IFERROR(P59/M59,0))</f>
        <v/>
      </c>
      <c r="P59">
        <f>IF($S59="","",INDEX('Programme Export'!$H$7:$H$226,$S59))</f>
        <v/>
      </c>
      <c r="Q59">
        <f>IF($S59="","",INDEX('Programme Export'!$X$7:$X$226,$S59)&amp;"")</f>
        <v/>
      </c>
      <c r="R59">
        <f>IF($S59="","",INDEX('Programme Export'!$P$7:$P$226,$S59)&amp;"")</f>
        <v/>
      </c>
      <c r="S59">
        <f>IFERROR(MATCH(58,'Programme Export'!$Y$7:$Y$226,0),"")</f>
        <v/>
      </c>
    </row>
    <row r="60">
      <c r="A60">
        <f>IF($S60="","",59)</f>
        <v/>
      </c>
      <c r="B60">
        <f>IF($S60="","",1)</f>
        <v/>
      </c>
      <c r="C60">
        <f>IF($S60="","",INDEX('Programme Export'!$D$7:$D$226,$S60)&amp;"")</f>
        <v/>
      </c>
      <c r="D60">
        <f>IF($S60="","",INDEX('Programme Export'!$E$7:$E$226,$S60)&amp;"")</f>
        <v/>
      </c>
      <c r="E60">
        <f>IF($S60="","",INDEX('Programme Export'!$N$7:$N$226,$S60)&amp;"")</f>
        <v/>
      </c>
      <c r="F60">
        <f t="array" ref="F60">IF(R60="","",_xlfn.TEXTJOIN(";",TRUE,IFERROR(IF(TRIM(MID(SUBSTITUTE(SUBSTITUTE(SUBSTITUTE(R60,",",";")," ",";"),";",REPT(" ",60)),(ROW($1:$10)-1)*60+1,60))="","",MATCH(TRIM(MID(SUBSTITUTE(SUBSTITUTE(SUBSTITUTE(R60,",",";")," ",";"),";",REPT(" ",60)),(ROW($1:$10)-1)*60+1,60)),$C$2:$C$201,0)),"")))</f>
        <v/>
      </c>
      <c r="G60">
        <f>IF($S60="","",INDEX('Programme Export'!$H$7:$H$226,$S60))</f>
        <v/>
      </c>
      <c r="J60">
        <f>IF($S60="","",INDEX('Programme Export'!$R$7:$R$226,$S60)&amp;"")</f>
        <v/>
      </c>
      <c r="K60">
        <f>IF($S60="","",INDEX('Programme Export'!$C$7:$C$226,$S60)&amp;"")</f>
        <v/>
      </c>
      <c r="L60">
        <f>IF($S60="","",'Cover &amp; Instructions'!$B$38)</f>
        <v/>
      </c>
      <c r="M60">
        <f>IF($S60="","",INDEX('Programme Export'!$F$7:$F$226,$S60))</f>
        <v/>
      </c>
      <c r="N60">
        <f>IF($S60="","",INDEX('Programme Export'!$G$7:$G$226,$S60)&amp;"")</f>
        <v/>
      </c>
      <c r="O60">
        <f>IF($S60="","",IFERROR(P60/M60,0))</f>
        <v/>
      </c>
      <c r="P60">
        <f>IF($S60="","",INDEX('Programme Export'!$H$7:$H$226,$S60))</f>
        <v/>
      </c>
      <c r="Q60">
        <f>IF($S60="","",INDEX('Programme Export'!$X$7:$X$226,$S60)&amp;"")</f>
        <v/>
      </c>
      <c r="R60">
        <f>IF($S60="","",INDEX('Programme Export'!$P$7:$P$226,$S60)&amp;"")</f>
        <v/>
      </c>
      <c r="S60">
        <f>IFERROR(MATCH(59,'Programme Export'!$Y$7:$Y$226,0),"")</f>
        <v/>
      </c>
    </row>
    <row r="61">
      <c r="A61">
        <f>IF($S61="","",60)</f>
        <v/>
      </c>
      <c r="B61">
        <f>IF($S61="","",1)</f>
        <v/>
      </c>
      <c r="C61">
        <f>IF($S61="","",INDEX('Programme Export'!$D$7:$D$226,$S61)&amp;"")</f>
        <v/>
      </c>
      <c r="D61">
        <f>IF($S61="","",INDEX('Programme Export'!$E$7:$E$226,$S61)&amp;"")</f>
        <v/>
      </c>
      <c r="E61">
        <f>IF($S61="","",INDEX('Programme Export'!$N$7:$N$226,$S61)&amp;"")</f>
        <v/>
      </c>
      <c r="F61">
        <f t="array" ref="F61">IF(R61="","",_xlfn.TEXTJOIN(";",TRUE,IFERROR(IF(TRIM(MID(SUBSTITUTE(SUBSTITUTE(SUBSTITUTE(R61,",",";")," ",";"),";",REPT(" ",60)),(ROW($1:$10)-1)*60+1,60))="","",MATCH(TRIM(MID(SUBSTITUTE(SUBSTITUTE(SUBSTITUTE(R61,",",";")," ",";"),";",REPT(" ",60)),(ROW($1:$10)-1)*60+1,60)),$C$2:$C$201,0)),"")))</f>
        <v/>
      </c>
      <c r="G61">
        <f>IF($S61="","",INDEX('Programme Export'!$H$7:$H$226,$S61))</f>
        <v/>
      </c>
      <c r="J61">
        <f>IF($S61="","",INDEX('Programme Export'!$R$7:$R$226,$S61)&amp;"")</f>
        <v/>
      </c>
      <c r="K61">
        <f>IF($S61="","",INDEX('Programme Export'!$C$7:$C$226,$S61)&amp;"")</f>
        <v/>
      </c>
      <c r="L61">
        <f>IF($S61="","",'Cover &amp; Instructions'!$B$38)</f>
        <v/>
      </c>
      <c r="M61">
        <f>IF($S61="","",INDEX('Programme Export'!$F$7:$F$226,$S61))</f>
        <v/>
      </c>
      <c r="N61">
        <f>IF($S61="","",INDEX('Programme Export'!$G$7:$G$226,$S61)&amp;"")</f>
        <v/>
      </c>
      <c r="O61">
        <f>IF($S61="","",IFERROR(P61/M61,0))</f>
        <v/>
      </c>
      <c r="P61">
        <f>IF($S61="","",INDEX('Programme Export'!$H$7:$H$226,$S61))</f>
        <v/>
      </c>
      <c r="Q61">
        <f>IF($S61="","",INDEX('Programme Export'!$X$7:$X$226,$S61)&amp;"")</f>
        <v/>
      </c>
      <c r="R61">
        <f>IF($S61="","",INDEX('Programme Export'!$P$7:$P$226,$S61)&amp;"")</f>
        <v/>
      </c>
      <c r="S61">
        <f>IFERROR(MATCH(60,'Programme Export'!$Y$7:$Y$226,0),"")</f>
        <v/>
      </c>
    </row>
    <row r="62">
      <c r="A62">
        <f>IF($S62="","",61)</f>
        <v/>
      </c>
      <c r="B62">
        <f>IF($S62="","",1)</f>
        <v/>
      </c>
      <c r="C62">
        <f>IF($S62="","",INDEX('Programme Export'!$D$7:$D$226,$S62)&amp;"")</f>
        <v/>
      </c>
      <c r="D62">
        <f>IF($S62="","",INDEX('Programme Export'!$E$7:$E$226,$S62)&amp;"")</f>
        <v/>
      </c>
      <c r="E62">
        <f>IF($S62="","",INDEX('Programme Export'!$N$7:$N$226,$S62)&amp;"")</f>
        <v/>
      </c>
      <c r="F62">
        <f t="array" ref="F62">IF(R62="","",_xlfn.TEXTJOIN(";",TRUE,IFERROR(IF(TRIM(MID(SUBSTITUTE(SUBSTITUTE(SUBSTITUTE(R62,",",";")," ",";"),";",REPT(" ",60)),(ROW($1:$10)-1)*60+1,60))="","",MATCH(TRIM(MID(SUBSTITUTE(SUBSTITUTE(SUBSTITUTE(R62,",",";")," ",";"),";",REPT(" ",60)),(ROW($1:$10)-1)*60+1,60)),$C$2:$C$201,0)),"")))</f>
        <v/>
      </c>
      <c r="G62">
        <f>IF($S62="","",INDEX('Programme Export'!$H$7:$H$226,$S62))</f>
        <v/>
      </c>
      <c r="J62">
        <f>IF($S62="","",INDEX('Programme Export'!$R$7:$R$226,$S62)&amp;"")</f>
        <v/>
      </c>
      <c r="K62">
        <f>IF($S62="","",INDEX('Programme Export'!$C$7:$C$226,$S62)&amp;"")</f>
        <v/>
      </c>
      <c r="L62">
        <f>IF($S62="","",'Cover &amp; Instructions'!$B$38)</f>
        <v/>
      </c>
      <c r="M62">
        <f>IF($S62="","",INDEX('Programme Export'!$F$7:$F$226,$S62))</f>
        <v/>
      </c>
      <c r="N62">
        <f>IF($S62="","",INDEX('Programme Export'!$G$7:$G$226,$S62)&amp;"")</f>
        <v/>
      </c>
      <c r="O62">
        <f>IF($S62="","",IFERROR(P62/M62,0))</f>
        <v/>
      </c>
      <c r="P62">
        <f>IF($S62="","",INDEX('Programme Export'!$H$7:$H$226,$S62))</f>
        <v/>
      </c>
      <c r="Q62">
        <f>IF($S62="","",INDEX('Programme Export'!$X$7:$X$226,$S62)&amp;"")</f>
        <v/>
      </c>
      <c r="R62">
        <f>IF($S62="","",INDEX('Programme Export'!$P$7:$P$226,$S62)&amp;"")</f>
        <v/>
      </c>
      <c r="S62">
        <f>IFERROR(MATCH(61,'Programme Export'!$Y$7:$Y$226,0),"")</f>
        <v/>
      </c>
    </row>
    <row r="63">
      <c r="A63">
        <f>IF($S63="","",62)</f>
        <v/>
      </c>
      <c r="B63">
        <f>IF($S63="","",1)</f>
        <v/>
      </c>
      <c r="C63">
        <f>IF($S63="","",INDEX('Programme Export'!$D$7:$D$226,$S63)&amp;"")</f>
        <v/>
      </c>
      <c r="D63">
        <f>IF($S63="","",INDEX('Programme Export'!$E$7:$E$226,$S63)&amp;"")</f>
        <v/>
      </c>
      <c r="E63">
        <f>IF($S63="","",INDEX('Programme Export'!$N$7:$N$226,$S63)&amp;"")</f>
        <v/>
      </c>
      <c r="F63">
        <f t="array" ref="F63">IF(R63="","",_xlfn.TEXTJOIN(";",TRUE,IFERROR(IF(TRIM(MID(SUBSTITUTE(SUBSTITUTE(SUBSTITUTE(R63,",",";")," ",";"),";",REPT(" ",60)),(ROW($1:$10)-1)*60+1,60))="","",MATCH(TRIM(MID(SUBSTITUTE(SUBSTITUTE(SUBSTITUTE(R63,",",";")," ",";"),";",REPT(" ",60)),(ROW($1:$10)-1)*60+1,60)),$C$2:$C$201,0)),"")))</f>
        <v/>
      </c>
      <c r="G63">
        <f>IF($S63="","",INDEX('Programme Export'!$H$7:$H$226,$S63))</f>
        <v/>
      </c>
      <c r="J63">
        <f>IF($S63="","",INDEX('Programme Export'!$R$7:$R$226,$S63)&amp;"")</f>
        <v/>
      </c>
      <c r="K63">
        <f>IF($S63="","",INDEX('Programme Export'!$C$7:$C$226,$S63)&amp;"")</f>
        <v/>
      </c>
      <c r="L63">
        <f>IF($S63="","",'Cover &amp; Instructions'!$B$38)</f>
        <v/>
      </c>
      <c r="M63">
        <f>IF($S63="","",INDEX('Programme Export'!$F$7:$F$226,$S63))</f>
        <v/>
      </c>
      <c r="N63">
        <f>IF($S63="","",INDEX('Programme Export'!$G$7:$G$226,$S63)&amp;"")</f>
        <v/>
      </c>
      <c r="O63">
        <f>IF($S63="","",IFERROR(P63/M63,0))</f>
        <v/>
      </c>
      <c r="P63">
        <f>IF($S63="","",INDEX('Programme Export'!$H$7:$H$226,$S63))</f>
        <v/>
      </c>
      <c r="Q63">
        <f>IF($S63="","",INDEX('Programme Export'!$X$7:$X$226,$S63)&amp;"")</f>
        <v/>
      </c>
      <c r="R63">
        <f>IF($S63="","",INDEX('Programme Export'!$P$7:$P$226,$S63)&amp;"")</f>
        <v/>
      </c>
      <c r="S63">
        <f>IFERROR(MATCH(62,'Programme Export'!$Y$7:$Y$226,0),"")</f>
        <v/>
      </c>
    </row>
    <row r="64">
      <c r="A64">
        <f>IF($S64="","",63)</f>
        <v/>
      </c>
      <c r="B64">
        <f>IF($S64="","",1)</f>
        <v/>
      </c>
      <c r="C64">
        <f>IF($S64="","",INDEX('Programme Export'!$D$7:$D$226,$S64)&amp;"")</f>
        <v/>
      </c>
      <c r="D64">
        <f>IF($S64="","",INDEX('Programme Export'!$E$7:$E$226,$S64)&amp;"")</f>
        <v/>
      </c>
      <c r="E64">
        <f>IF($S64="","",INDEX('Programme Export'!$N$7:$N$226,$S64)&amp;"")</f>
        <v/>
      </c>
      <c r="F64">
        <f t="array" ref="F64">IF(R64="","",_xlfn.TEXTJOIN(";",TRUE,IFERROR(IF(TRIM(MID(SUBSTITUTE(SUBSTITUTE(SUBSTITUTE(R64,",",";")," ",";"),";",REPT(" ",60)),(ROW($1:$10)-1)*60+1,60))="","",MATCH(TRIM(MID(SUBSTITUTE(SUBSTITUTE(SUBSTITUTE(R64,",",";")," ",";"),";",REPT(" ",60)),(ROW($1:$10)-1)*60+1,60)),$C$2:$C$201,0)),"")))</f>
        <v/>
      </c>
      <c r="G64">
        <f>IF($S64="","",INDEX('Programme Export'!$H$7:$H$226,$S64))</f>
        <v/>
      </c>
      <c r="J64">
        <f>IF($S64="","",INDEX('Programme Export'!$R$7:$R$226,$S64)&amp;"")</f>
        <v/>
      </c>
      <c r="K64">
        <f>IF($S64="","",INDEX('Programme Export'!$C$7:$C$226,$S64)&amp;"")</f>
        <v/>
      </c>
      <c r="L64">
        <f>IF($S64="","",'Cover &amp; Instructions'!$B$38)</f>
        <v/>
      </c>
      <c r="M64">
        <f>IF($S64="","",INDEX('Programme Export'!$F$7:$F$226,$S64))</f>
        <v/>
      </c>
      <c r="N64">
        <f>IF($S64="","",INDEX('Programme Export'!$G$7:$G$226,$S64)&amp;"")</f>
        <v/>
      </c>
      <c r="O64">
        <f>IF($S64="","",IFERROR(P64/M64,0))</f>
        <v/>
      </c>
      <c r="P64">
        <f>IF($S64="","",INDEX('Programme Export'!$H$7:$H$226,$S64))</f>
        <v/>
      </c>
      <c r="Q64">
        <f>IF($S64="","",INDEX('Programme Export'!$X$7:$X$226,$S64)&amp;"")</f>
        <v/>
      </c>
      <c r="R64">
        <f>IF($S64="","",INDEX('Programme Export'!$P$7:$P$226,$S64)&amp;"")</f>
        <v/>
      </c>
      <c r="S64">
        <f>IFERROR(MATCH(63,'Programme Export'!$Y$7:$Y$226,0),"")</f>
        <v/>
      </c>
    </row>
    <row r="65">
      <c r="A65">
        <f>IF($S65="","",64)</f>
        <v/>
      </c>
      <c r="B65">
        <f>IF($S65="","",1)</f>
        <v/>
      </c>
      <c r="C65">
        <f>IF($S65="","",INDEX('Programme Export'!$D$7:$D$226,$S65)&amp;"")</f>
        <v/>
      </c>
      <c r="D65">
        <f>IF($S65="","",INDEX('Programme Export'!$E$7:$E$226,$S65)&amp;"")</f>
        <v/>
      </c>
      <c r="E65">
        <f>IF($S65="","",INDEX('Programme Export'!$N$7:$N$226,$S65)&amp;"")</f>
        <v/>
      </c>
      <c r="F65">
        <f t="array" ref="F65">IF(R65="","",_xlfn.TEXTJOIN(";",TRUE,IFERROR(IF(TRIM(MID(SUBSTITUTE(SUBSTITUTE(SUBSTITUTE(R65,",",";")," ",";"),";",REPT(" ",60)),(ROW($1:$10)-1)*60+1,60))="","",MATCH(TRIM(MID(SUBSTITUTE(SUBSTITUTE(SUBSTITUTE(R65,",",";")," ",";"),";",REPT(" ",60)),(ROW($1:$10)-1)*60+1,60)),$C$2:$C$201,0)),"")))</f>
        <v/>
      </c>
      <c r="G65">
        <f>IF($S65="","",INDEX('Programme Export'!$H$7:$H$226,$S65))</f>
        <v/>
      </c>
      <c r="J65">
        <f>IF($S65="","",INDEX('Programme Export'!$R$7:$R$226,$S65)&amp;"")</f>
        <v/>
      </c>
      <c r="K65">
        <f>IF($S65="","",INDEX('Programme Export'!$C$7:$C$226,$S65)&amp;"")</f>
        <v/>
      </c>
      <c r="L65">
        <f>IF($S65="","",'Cover &amp; Instructions'!$B$38)</f>
        <v/>
      </c>
      <c r="M65">
        <f>IF($S65="","",INDEX('Programme Export'!$F$7:$F$226,$S65))</f>
        <v/>
      </c>
      <c r="N65">
        <f>IF($S65="","",INDEX('Programme Export'!$G$7:$G$226,$S65)&amp;"")</f>
        <v/>
      </c>
      <c r="O65">
        <f>IF($S65="","",IFERROR(P65/M65,0))</f>
        <v/>
      </c>
      <c r="P65">
        <f>IF($S65="","",INDEX('Programme Export'!$H$7:$H$226,$S65))</f>
        <v/>
      </c>
      <c r="Q65">
        <f>IF($S65="","",INDEX('Programme Export'!$X$7:$X$226,$S65)&amp;"")</f>
        <v/>
      </c>
      <c r="R65">
        <f>IF($S65="","",INDEX('Programme Export'!$P$7:$P$226,$S65)&amp;"")</f>
        <v/>
      </c>
      <c r="S65">
        <f>IFERROR(MATCH(64,'Programme Export'!$Y$7:$Y$226,0),"")</f>
        <v/>
      </c>
    </row>
    <row r="66">
      <c r="A66">
        <f>IF($S66="","",65)</f>
        <v/>
      </c>
      <c r="B66">
        <f>IF($S66="","",1)</f>
        <v/>
      </c>
      <c r="C66">
        <f>IF($S66="","",INDEX('Programme Export'!$D$7:$D$226,$S66)&amp;"")</f>
        <v/>
      </c>
      <c r="D66">
        <f>IF($S66="","",INDEX('Programme Export'!$E$7:$E$226,$S66)&amp;"")</f>
        <v/>
      </c>
      <c r="E66">
        <f>IF($S66="","",INDEX('Programme Export'!$N$7:$N$226,$S66)&amp;"")</f>
        <v/>
      </c>
      <c r="F66">
        <f t="array" ref="F66">IF(R66="","",_xlfn.TEXTJOIN(";",TRUE,IFERROR(IF(TRIM(MID(SUBSTITUTE(SUBSTITUTE(SUBSTITUTE(R66,",",";")," ",";"),";",REPT(" ",60)),(ROW($1:$10)-1)*60+1,60))="","",MATCH(TRIM(MID(SUBSTITUTE(SUBSTITUTE(SUBSTITUTE(R66,",",";")," ",";"),";",REPT(" ",60)),(ROW($1:$10)-1)*60+1,60)),$C$2:$C$201,0)),"")))</f>
        <v/>
      </c>
      <c r="G66">
        <f>IF($S66="","",INDEX('Programme Export'!$H$7:$H$226,$S66))</f>
        <v/>
      </c>
      <c r="J66">
        <f>IF($S66="","",INDEX('Programme Export'!$R$7:$R$226,$S66)&amp;"")</f>
        <v/>
      </c>
      <c r="K66">
        <f>IF($S66="","",INDEX('Programme Export'!$C$7:$C$226,$S66)&amp;"")</f>
        <v/>
      </c>
      <c r="L66">
        <f>IF($S66="","",'Cover &amp; Instructions'!$B$38)</f>
        <v/>
      </c>
      <c r="M66">
        <f>IF($S66="","",INDEX('Programme Export'!$F$7:$F$226,$S66))</f>
        <v/>
      </c>
      <c r="N66">
        <f>IF($S66="","",INDEX('Programme Export'!$G$7:$G$226,$S66)&amp;"")</f>
        <v/>
      </c>
      <c r="O66">
        <f>IF($S66="","",IFERROR(P66/M66,0))</f>
        <v/>
      </c>
      <c r="P66">
        <f>IF($S66="","",INDEX('Programme Export'!$H$7:$H$226,$S66))</f>
        <v/>
      </c>
      <c r="Q66">
        <f>IF($S66="","",INDEX('Programme Export'!$X$7:$X$226,$S66)&amp;"")</f>
        <v/>
      </c>
      <c r="R66">
        <f>IF($S66="","",INDEX('Programme Export'!$P$7:$P$226,$S66)&amp;"")</f>
        <v/>
      </c>
      <c r="S66">
        <f>IFERROR(MATCH(65,'Programme Export'!$Y$7:$Y$226,0),"")</f>
        <v/>
      </c>
    </row>
    <row r="67">
      <c r="A67">
        <f>IF($S67="","",66)</f>
        <v/>
      </c>
      <c r="B67">
        <f>IF($S67="","",1)</f>
        <v/>
      </c>
      <c r="C67">
        <f>IF($S67="","",INDEX('Programme Export'!$D$7:$D$226,$S67)&amp;"")</f>
        <v/>
      </c>
      <c r="D67">
        <f>IF($S67="","",INDEX('Programme Export'!$E$7:$E$226,$S67)&amp;"")</f>
        <v/>
      </c>
      <c r="E67">
        <f>IF($S67="","",INDEX('Programme Export'!$N$7:$N$226,$S67)&amp;"")</f>
        <v/>
      </c>
      <c r="F67">
        <f t="array" ref="F67">IF(R67="","",_xlfn.TEXTJOIN(";",TRUE,IFERROR(IF(TRIM(MID(SUBSTITUTE(SUBSTITUTE(SUBSTITUTE(R67,",",";")," ",";"),";",REPT(" ",60)),(ROW($1:$10)-1)*60+1,60))="","",MATCH(TRIM(MID(SUBSTITUTE(SUBSTITUTE(SUBSTITUTE(R67,",",";")," ",";"),";",REPT(" ",60)),(ROW($1:$10)-1)*60+1,60)),$C$2:$C$201,0)),"")))</f>
        <v/>
      </c>
      <c r="G67">
        <f>IF($S67="","",INDEX('Programme Export'!$H$7:$H$226,$S67))</f>
        <v/>
      </c>
      <c r="J67">
        <f>IF($S67="","",INDEX('Programme Export'!$R$7:$R$226,$S67)&amp;"")</f>
        <v/>
      </c>
      <c r="K67">
        <f>IF($S67="","",INDEX('Programme Export'!$C$7:$C$226,$S67)&amp;"")</f>
        <v/>
      </c>
      <c r="L67">
        <f>IF($S67="","",'Cover &amp; Instructions'!$B$38)</f>
        <v/>
      </c>
      <c r="M67">
        <f>IF($S67="","",INDEX('Programme Export'!$F$7:$F$226,$S67))</f>
        <v/>
      </c>
      <c r="N67">
        <f>IF($S67="","",INDEX('Programme Export'!$G$7:$G$226,$S67)&amp;"")</f>
        <v/>
      </c>
      <c r="O67">
        <f>IF($S67="","",IFERROR(P67/M67,0))</f>
        <v/>
      </c>
      <c r="P67">
        <f>IF($S67="","",INDEX('Programme Export'!$H$7:$H$226,$S67))</f>
        <v/>
      </c>
      <c r="Q67">
        <f>IF($S67="","",INDEX('Programme Export'!$X$7:$X$226,$S67)&amp;"")</f>
        <v/>
      </c>
      <c r="R67">
        <f>IF($S67="","",INDEX('Programme Export'!$P$7:$P$226,$S67)&amp;"")</f>
        <v/>
      </c>
      <c r="S67">
        <f>IFERROR(MATCH(66,'Programme Export'!$Y$7:$Y$226,0),"")</f>
        <v/>
      </c>
    </row>
    <row r="68">
      <c r="A68">
        <f>IF($S68="","",67)</f>
        <v/>
      </c>
      <c r="B68">
        <f>IF($S68="","",1)</f>
        <v/>
      </c>
      <c r="C68">
        <f>IF($S68="","",INDEX('Programme Export'!$D$7:$D$226,$S68)&amp;"")</f>
        <v/>
      </c>
      <c r="D68">
        <f>IF($S68="","",INDEX('Programme Export'!$E$7:$E$226,$S68)&amp;"")</f>
        <v/>
      </c>
      <c r="E68">
        <f>IF($S68="","",INDEX('Programme Export'!$N$7:$N$226,$S68)&amp;"")</f>
        <v/>
      </c>
      <c r="F68">
        <f t="array" ref="F68">IF(R68="","",_xlfn.TEXTJOIN(";",TRUE,IFERROR(IF(TRIM(MID(SUBSTITUTE(SUBSTITUTE(SUBSTITUTE(R68,",",";")," ",";"),";",REPT(" ",60)),(ROW($1:$10)-1)*60+1,60))="","",MATCH(TRIM(MID(SUBSTITUTE(SUBSTITUTE(SUBSTITUTE(R68,",",";")," ",";"),";",REPT(" ",60)),(ROW($1:$10)-1)*60+1,60)),$C$2:$C$201,0)),"")))</f>
        <v/>
      </c>
      <c r="G68">
        <f>IF($S68="","",INDEX('Programme Export'!$H$7:$H$226,$S68))</f>
        <v/>
      </c>
      <c r="J68">
        <f>IF($S68="","",INDEX('Programme Export'!$R$7:$R$226,$S68)&amp;"")</f>
        <v/>
      </c>
      <c r="K68">
        <f>IF($S68="","",INDEX('Programme Export'!$C$7:$C$226,$S68)&amp;"")</f>
        <v/>
      </c>
      <c r="L68">
        <f>IF($S68="","",'Cover &amp; Instructions'!$B$38)</f>
        <v/>
      </c>
      <c r="M68">
        <f>IF($S68="","",INDEX('Programme Export'!$F$7:$F$226,$S68))</f>
        <v/>
      </c>
      <c r="N68">
        <f>IF($S68="","",INDEX('Programme Export'!$G$7:$G$226,$S68)&amp;"")</f>
        <v/>
      </c>
      <c r="O68">
        <f>IF($S68="","",IFERROR(P68/M68,0))</f>
        <v/>
      </c>
      <c r="P68">
        <f>IF($S68="","",INDEX('Programme Export'!$H$7:$H$226,$S68))</f>
        <v/>
      </c>
      <c r="Q68">
        <f>IF($S68="","",INDEX('Programme Export'!$X$7:$X$226,$S68)&amp;"")</f>
        <v/>
      </c>
      <c r="R68">
        <f>IF($S68="","",INDEX('Programme Export'!$P$7:$P$226,$S68)&amp;"")</f>
        <v/>
      </c>
      <c r="S68">
        <f>IFERROR(MATCH(67,'Programme Export'!$Y$7:$Y$226,0),"")</f>
        <v/>
      </c>
    </row>
    <row r="69">
      <c r="A69">
        <f>IF($S69="","",68)</f>
        <v/>
      </c>
      <c r="B69">
        <f>IF($S69="","",1)</f>
        <v/>
      </c>
      <c r="C69">
        <f>IF($S69="","",INDEX('Programme Export'!$D$7:$D$226,$S69)&amp;"")</f>
        <v/>
      </c>
      <c r="D69">
        <f>IF($S69="","",INDEX('Programme Export'!$E$7:$E$226,$S69)&amp;"")</f>
        <v/>
      </c>
      <c r="E69">
        <f>IF($S69="","",INDEX('Programme Export'!$N$7:$N$226,$S69)&amp;"")</f>
        <v/>
      </c>
      <c r="F69">
        <f t="array" ref="F69">IF(R69="","",_xlfn.TEXTJOIN(";",TRUE,IFERROR(IF(TRIM(MID(SUBSTITUTE(SUBSTITUTE(SUBSTITUTE(R69,",",";")," ",";"),";",REPT(" ",60)),(ROW($1:$10)-1)*60+1,60))="","",MATCH(TRIM(MID(SUBSTITUTE(SUBSTITUTE(SUBSTITUTE(R69,",",";")," ",";"),";",REPT(" ",60)),(ROW($1:$10)-1)*60+1,60)),$C$2:$C$201,0)),"")))</f>
        <v/>
      </c>
      <c r="G69">
        <f>IF($S69="","",INDEX('Programme Export'!$H$7:$H$226,$S69))</f>
        <v/>
      </c>
      <c r="J69">
        <f>IF($S69="","",INDEX('Programme Export'!$R$7:$R$226,$S69)&amp;"")</f>
        <v/>
      </c>
      <c r="K69">
        <f>IF($S69="","",INDEX('Programme Export'!$C$7:$C$226,$S69)&amp;"")</f>
        <v/>
      </c>
      <c r="L69">
        <f>IF($S69="","",'Cover &amp; Instructions'!$B$38)</f>
        <v/>
      </c>
      <c r="M69">
        <f>IF($S69="","",INDEX('Programme Export'!$F$7:$F$226,$S69))</f>
        <v/>
      </c>
      <c r="N69">
        <f>IF($S69="","",INDEX('Programme Export'!$G$7:$G$226,$S69)&amp;"")</f>
        <v/>
      </c>
      <c r="O69">
        <f>IF($S69="","",IFERROR(P69/M69,0))</f>
        <v/>
      </c>
      <c r="P69">
        <f>IF($S69="","",INDEX('Programme Export'!$H$7:$H$226,$S69))</f>
        <v/>
      </c>
      <c r="Q69">
        <f>IF($S69="","",INDEX('Programme Export'!$X$7:$X$226,$S69)&amp;"")</f>
        <v/>
      </c>
      <c r="R69">
        <f>IF($S69="","",INDEX('Programme Export'!$P$7:$P$226,$S69)&amp;"")</f>
        <v/>
      </c>
      <c r="S69">
        <f>IFERROR(MATCH(68,'Programme Export'!$Y$7:$Y$226,0),"")</f>
        <v/>
      </c>
    </row>
    <row r="70">
      <c r="A70">
        <f>IF($S70="","",69)</f>
        <v/>
      </c>
      <c r="B70">
        <f>IF($S70="","",1)</f>
        <v/>
      </c>
      <c r="C70">
        <f>IF($S70="","",INDEX('Programme Export'!$D$7:$D$226,$S70)&amp;"")</f>
        <v/>
      </c>
      <c r="D70">
        <f>IF($S70="","",INDEX('Programme Export'!$E$7:$E$226,$S70)&amp;"")</f>
        <v/>
      </c>
      <c r="E70">
        <f>IF($S70="","",INDEX('Programme Export'!$N$7:$N$226,$S70)&amp;"")</f>
        <v/>
      </c>
      <c r="F70">
        <f t="array" ref="F70">IF(R70="","",_xlfn.TEXTJOIN(";",TRUE,IFERROR(IF(TRIM(MID(SUBSTITUTE(SUBSTITUTE(SUBSTITUTE(R70,",",";")," ",";"),";",REPT(" ",60)),(ROW($1:$10)-1)*60+1,60))="","",MATCH(TRIM(MID(SUBSTITUTE(SUBSTITUTE(SUBSTITUTE(R70,",",";")," ",";"),";",REPT(" ",60)),(ROW($1:$10)-1)*60+1,60)),$C$2:$C$201,0)),"")))</f>
        <v/>
      </c>
      <c r="G70">
        <f>IF($S70="","",INDEX('Programme Export'!$H$7:$H$226,$S70))</f>
        <v/>
      </c>
      <c r="J70">
        <f>IF($S70="","",INDEX('Programme Export'!$R$7:$R$226,$S70)&amp;"")</f>
        <v/>
      </c>
      <c r="K70">
        <f>IF($S70="","",INDEX('Programme Export'!$C$7:$C$226,$S70)&amp;"")</f>
        <v/>
      </c>
      <c r="L70">
        <f>IF($S70="","",'Cover &amp; Instructions'!$B$38)</f>
        <v/>
      </c>
      <c r="M70">
        <f>IF($S70="","",INDEX('Programme Export'!$F$7:$F$226,$S70))</f>
        <v/>
      </c>
      <c r="N70">
        <f>IF($S70="","",INDEX('Programme Export'!$G$7:$G$226,$S70)&amp;"")</f>
        <v/>
      </c>
      <c r="O70">
        <f>IF($S70="","",IFERROR(P70/M70,0))</f>
        <v/>
      </c>
      <c r="P70">
        <f>IF($S70="","",INDEX('Programme Export'!$H$7:$H$226,$S70))</f>
        <v/>
      </c>
      <c r="Q70">
        <f>IF($S70="","",INDEX('Programme Export'!$X$7:$X$226,$S70)&amp;"")</f>
        <v/>
      </c>
      <c r="R70">
        <f>IF($S70="","",INDEX('Programme Export'!$P$7:$P$226,$S70)&amp;"")</f>
        <v/>
      </c>
      <c r="S70">
        <f>IFERROR(MATCH(69,'Programme Export'!$Y$7:$Y$226,0),"")</f>
        <v/>
      </c>
    </row>
    <row r="71">
      <c r="A71">
        <f>IF($S71="","",70)</f>
        <v/>
      </c>
      <c r="B71">
        <f>IF($S71="","",1)</f>
        <v/>
      </c>
      <c r="C71">
        <f>IF($S71="","",INDEX('Programme Export'!$D$7:$D$226,$S71)&amp;"")</f>
        <v/>
      </c>
      <c r="D71">
        <f>IF($S71="","",INDEX('Programme Export'!$E$7:$E$226,$S71)&amp;"")</f>
        <v/>
      </c>
      <c r="E71">
        <f>IF($S71="","",INDEX('Programme Export'!$N$7:$N$226,$S71)&amp;"")</f>
        <v/>
      </c>
      <c r="F71">
        <f t="array" ref="F71">IF(R71="","",_xlfn.TEXTJOIN(";",TRUE,IFERROR(IF(TRIM(MID(SUBSTITUTE(SUBSTITUTE(SUBSTITUTE(R71,",",";")," ",";"),";",REPT(" ",60)),(ROW($1:$10)-1)*60+1,60))="","",MATCH(TRIM(MID(SUBSTITUTE(SUBSTITUTE(SUBSTITUTE(R71,",",";")," ",";"),";",REPT(" ",60)),(ROW($1:$10)-1)*60+1,60)),$C$2:$C$201,0)),"")))</f>
        <v/>
      </c>
      <c r="G71">
        <f>IF($S71="","",INDEX('Programme Export'!$H$7:$H$226,$S71))</f>
        <v/>
      </c>
      <c r="J71">
        <f>IF($S71="","",INDEX('Programme Export'!$R$7:$R$226,$S71)&amp;"")</f>
        <v/>
      </c>
      <c r="K71">
        <f>IF($S71="","",INDEX('Programme Export'!$C$7:$C$226,$S71)&amp;"")</f>
        <v/>
      </c>
      <c r="L71">
        <f>IF($S71="","",'Cover &amp; Instructions'!$B$38)</f>
        <v/>
      </c>
      <c r="M71">
        <f>IF($S71="","",INDEX('Programme Export'!$F$7:$F$226,$S71))</f>
        <v/>
      </c>
      <c r="N71">
        <f>IF($S71="","",INDEX('Programme Export'!$G$7:$G$226,$S71)&amp;"")</f>
        <v/>
      </c>
      <c r="O71">
        <f>IF($S71="","",IFERROR(P71/M71,0))</f>
        <v/>
      </c>
      <c r="P71">
        <f>IF($S71="","",INDEX('Programme Export'!$H$7:$H$226,$S71))</f>
        <v/>
      </c>
      <c r="Q71">
        <f>IF($S71="","",INDEX('Programme Export'!$X$7:$X$226,$S71)&amp;"")</f>
        <v/>
      </c>
      <c r="R71">
        <f>IF($S71="","",INDEX('Programme Export'!$P$7:$P$226,$S71)&amp;"")</f>
        <v/>
      </c>
      <c r="S71">
        <f>IFERROR(MATCH(70,'Programme Export'!$Y$7:$Y$226,0),"")</f>
        <v/>
      </c>
    </row>
    <row r="72">
      <c r="A72">
        <f>IF($S72="","",71)</f>
        <v/>
      </c>
      <c r="B72">
        <f>IF($S72="","",1)</f>
        <v/>
      </c>
      <c r="C72">
        <f>IF($S72="","",INDEX('Programme Export'!$D$7:$D$226,$S72)&amp;"")</f>
        <v/>
      </c>
      <c r="D72">
        <f>IF($S72="","",INDEX('Programme Export'!$E$7:$E$226,$S72)&amp;"")</f>
        <v/>
      </c>
      <c r="E72">
        <f>IF($S72="","",INDEX('Programme Export'!$N$7:$N$226,$S72)&amp;"")</f>
        <v/>
      </c>
      <c r="F72">
        <f t="array" ref="F72">IF(R72="","",_xlfn.TEXTJOIN(";",TRUE,IFERROR(IF(TRIM(MID(SUBSTITUTE(SUBSTITUTE(SUBSTITUTE(R72,",",";")," ",";"),";",REPT(" ",60)),(ROW($1:$10)-1)*60+1,60))="","",MATCH(TRIM(MID(SUBSTITUTE(SUBSTITUTE(SUBSTITUTE(R72,",",";")," ",";"),";",REPT(" ",60)),(ROW($1:$10)-1)*60+1,60)),$C$2:$C$201,0)),"")))</f>
        <v/>
      </c>
      <c r="G72">
        <f>IF($S72="","",INDEX('Programme Export'!$H$7:$H$226,$S72))</f>
        <v/>
      </c>
      <c r="J72">
        <f>IF($S72="","",INDEX('Programme Export'!$R$7:$R$226,$S72)&amp;"")</f>
        <v/>
      </c>
      <c r="K72">
        <f>IF($S72="","",INDEX('Programme Export'!$C$7:$C$226,$S72)&amp;"")</f>
        <v/>
      </c>
      <c r="L72">
        <f>IF($S72="","",'Cover &amp; Instructions'!$B$38)</f>
        <v/>
      </c>
      <c r="M72">
        <f>IF($S72="","",INDEX('Programme Export'!$F$7:$F$226,$S72))</f>
        <v/>
      </c>
      <c r="N72">
        <f>IF($S72="","",INDEX('Programme Export'!$G$7:$G$226,$S72)&amp;"")</f>
        <v/>
      </c>
      <c r="O72">
        <f>IF($S72="","",IFERROR(P72/M72,0))</f>
        <v/>
      </c>
      <c r="P72">
        <f>IF($S72="","",INDEX('Programme Export'!$H$7:$H$226,$S72))</f>
        <v/>
      </c>
      <c r="Q72">
        <f>IF($S72="","",INDEX('Programme Export'!$X$7:$X$226,$S72)&amp;"")</f>
        <v/>
      </c>
      <c r="R72">
        <f>IF($S72="","",INDEX('Programme Export'!$P$7:$P$226,$S72)&amp;"")</f>
        <v/>
      </c>
      <c r="S72">
        <f>IFERROR(MATCH(71,'Programme Export'!$Y$7:$Y$226,0),"")</f>
        <v/>
      </c>
    </row>
    <row r="73">
      <c r="A73">
        <f>IF($S73="","",72)</f>
        <v/>
      </c>
      <c r="B73">
        <f>IF($S73="","",1)</f>
        <v/>
      </c>
      <c r="C73">
        <f>IF($S73="","",INDEX('Programme Export'!$D$7:$D$226,$S73)&amp;"")</f>
        <v/>
      </c>
      <c r="D73">
        <f>IF($S73="","",INDEX('Programme Export'!$E$7:$E$226,$S73)&amp;"")</f>
        <v/>
      </c>
      <c r="E73">
        <f>IF($S73="","",INDEX('Programme Export'!$N$7:$N$226,$S73)&amp;"")</f>
        <v/>
      </c>
      <c r="F73">
        <f t="array" ref="F73">IF(R73="","",_xlfn.TEXTJOIN(";",TRUE,IFERROR(IF(TRIM(MID(SUBSTITUTE(SUBSTITUTE(SUBSTITUTE(R73,",",";")," ",";"),";",REPT(" ",60)),(ROW($1:$10)-1)*60+1,60))="","",MATCH(TRIM(MID(SUBSTITUTE(SUBSTITUTE(SUBSTITUTE(R73,",",";")," ",";"),";",REPT(" ",60)),(ROW($1:$10)-1)*60+1,60)),$C$2:$C$201,0)),"")))</f>
        <v/>
      </c>
      <c r="G73">
        <f>IF($S73="","",INDEX('Programme Export'!$H$7:$H$226,$S73))</f>
        <v/>
      </c>
      <c r="J73">
        <f>IF($S73="","",INDEX('Programme Export'!$R$7:$R$226,$S73)&amp;"")</f>
        <v/>
      </c>
      <c r="K73">
        <f>IF($S73="","",INDEX('Programme Export'!$C$7:$C$226,$S73)&amp;"")</f>
        <v/>
      </c>
      <c r="L73">
        <f>IF($S73="","",'Cover &amp; Instructions'!$B$38)</f>
        <v/>
      </c>
      <c r="M73">
        <f>IF($S73="","",INDEX('Programme Export'!$F$7:$F$226,$S73))</f>
        <v/>
      </c>
      <c r="N73">
        <f>IF($S73="","",INDEX('Programme Export'!$G$7:$G$226,$S73)&amp;"")</f>
        <v/>
      </c>
      <c r="O73">
        <f>IF($S73="","",IFERROR(P73/M73,0))</f>
        <v/>
      </c>
      <c r="P73">
        <f>IF($S73="","",INDEX('Programme Export'!$H$7:$H$226,$S73))</f>
        <v/>
      </c>
      <c r="Q73">
        <f>IF($S73="","",INDEX('Programme Export'!$X$7:$X$226,$S73)&amp;"")</f>
        <v/>
      </c>
      <c r="R73">
        <f>IF($S73="","",INDEX('Programme Export'!$P$7:$P$226,$S73)&amp;"")</f>
        <v/>
      </c>
      <c r="S73">
        <f>IFERROR(MATCH(72,'Programme Export'!$Y$7:$Y$226,0),"")</f>
        <v/>
      </c>
    </row>
    <row r="74">
      <c r="A74">
        <f>IF($S74="","",73)</f>
        <v/>
      </c>
      <c r="B74">
        <f>IF($S74="","",1)</f>
        <v/>
      </c>
      <c r="C74">
        <f>IF($S74="","",INDEX('Programme Export'!$D$7:$D$226,$S74)&amp;"")</f>
        <v/>
      </c>
      <c r="D74">
        <f>IF($S74="","",INDEX('Programme Export'!$E$7:$E$226,$S74)&amp;"")</f>
        <v/>
      </c>
      <c r="E74">
        <f>IF($S74="","",INDEX('Programme Export'!$N$7:$N$226,$S74)&amp;"")</f>
        <v/>
      </c>
      <c r="F74">
        <f t="array" ref="F74">IF(R74="","",_xlfn.TEXTJOIN(";",TRUE,IFERROR(IF(TRIM(MID(SUBSTITUTE(SUBSTITUTE(SUBSTITUTE(R74,",",";")," ",";"),";",REPT(" ",60)),(ROW($1:$10)-1)*60+1,60))="","",MATCH(TRIM(MID(SUBSTITUTE(SUBSTITUTE(SUBSTITUTE(R74,",",";")," ",";"),";",REPT(" ",60)),(ROW($1:$10)-1)*60+1,60)),$C$2:$C$201,0)),"")))</f>
        <v/>
      </c>
      <c r="G74">
        <f>IF($S74="","",INDEX('Programme Export'!$H$7:$H$226,$S74))</f>
        <v/>
      </c>
      <c r="J74">
        <f>IF($S74="","",INDEX('Programme Export'!$R$7:$R$226,$S74)&amp;"")</f>
        <v/>
      </c>
      <c r="K74">
        <f>IF($S74="","",INDEX('Programme Export'!$C$7:$C$226,$S74)&amp;"")</f>
        <v/>
      </c>
      <c r="L74">
        <f>IF($S74="","",'Cover &amp; Instructions'!$B$38)</f>
        <v/>
      </c>
      <c r="M74">
        <f>IF($S74="","",INDEX('Programme Export'!$F$7:$F$226,$S74))</f>
        <v/>
      </c>
      <c r="N74">
        <f>IF($S74="","",INDEX('Programme Export'!$G$7:$G$226,$S74)&amp;"")</f>
        <v/>
      </c>
      <c r="O74">
        <f>IF($S74="","",IFERROR(P74/M74,0))</f>
        <v/>
      </c>
      <c r="P74">
        <f>IF($S74="","",INDEX('Programme Export'!$H$7:$H$226,$S74))</f>
        <v/>
      </c>
      <c r="Q74">
        <f>IF($S74="","",INDEX('Programme Export'!$X$7:$X$226,$S74)&amp;"")</f>
        <v/>
      </c>
      <c r="R74">
        <f>IF($S74="","",INDEX('Programme Export'!$P$7:$P$226,$S74)&amp;"")</f>
        <v/>
      </c>
      <c r="S74">
        <f>IFERROR(MATCH(73,'Programme Export'!$Y$7:$Y$226,0),"")</f>
        <v/>
      </c>
    </row>
    <row r="75">
      <c r="A75">
        <f>IF($S75="","",74)</f>
        <v/>
      </c>
      <c r="B75">
        <f>IF($S75="","",1)</f>
        <v/>
      </c>
      <c r="C75">
        <f>IF($S75="","",INDEX('Programme Export'!$D$7:$D$226,$S75)&amp;"")</f>
        <v/>
      </c>
      <c r="D75">
        <f>IF($S75="","",INDEX('Programme Export'!$E$7:$E$226,$S75)&amp;"")</f>
        <v/>
      </c>
      <c r="E75">
        <f>IF($S75="","",INDEX('Programme Export'!$N$7:$N$226,$S75)&amp;"")</f>
        <v/>
      </c>
      <c r="F75">
        <f t="array" ref="F75">IF(R75="","",_xlfn.TEXTJOIN(";",TRUE,IFERROR(IF(TRIM(MID(SUBSTITUTE(SUBSTITUTE(SUBSTITUTE(R75,",",";")," ",";"),";",REPT(" ",60)),(ROW($1:$10)-1)*60+1,60))="","",MATCH(TRIM(MID(SUBSTITUTE(SUBSTITUTE(SUBSTITUTE(R75,",",";")," ",";"),";",REPT(" ",60)),(ROW($1:$10)-1)*60+1,60)),$C$2:$C$201,0)),"")))</f>
        <v/>
      </c>
      <c r="G75">
        <f>IF($S75="","",INDEX('Programme Export'!$H$7:$H$226,$S75))</f>
        <v/>
      </c>
      <c r="J75">
        <f>IF($S75="","",INDEX('Programme Export'!$R$7:$R$226,$S75)&amp;"")</f>
        <v/>
      </c>
      <c r="K75">
        <f>IF($S75="","",INDEX('Programme Export'!$C$7:$C$226,$S75)&amp;"")</f>
        <v/>
      </c>
      <c r="L75">
        <f>IF($S75="","",'Cover &amp; Instructions'!$B$38)</f>
        <v/>
      </c>
      <c r="M75">
        <f>IF($S75="","",INDEX('Programme Export'!$F$7:$F$226,$S75))</f>
        <v/>
      </c>
      <c r="N75">
        <f>IF($S75="","",INDEX('Programme Export'!$G$7:$G$226,$S75)&amp;"")</f>
        <v/>
      </c>
      <c r="O75">
        <f>IF($S75="","",IFERROR(P75/M75,0))</f>
        <v/>
      </c>
      <c r="P75">
        <f>IF($S75="","",INDEX('Programme Export'!$H$7:$H$226,$S75))</f>
        <v/>
      </c>
      <c r="Q75">
        <f>IF($S75="","",INDEX('Programme Export'!$X$7:$X$226,$S75)&amp;"")</f>
        <v/>
      </c>
      <c r="R75">
        <f>IF($S75="","",INDEX('Programme Export'!$P$7:$P$226,$S75)&amp;"")</f>
        <v/>
      </c>
      <c r="S75">
        <f>IFERROR(MATCH(74,'Programme Export'!$Y$7:$Y$226,0),"")</f>
        <v/>
      </c>
    </row>
    <row r="76">
      <c r="A76">
        <f>IF($S76="","",75)</f>
        <v/>
      </c>
      <c r="B76">
        <f>IF($S76="","",1)</f>
        <v/>
      </c>
      <c r="C76">
        <f>IF($S76="","",INDEX('Programme Export'!$D$7:$D$226,$S76)&amp;"")</f>
        <v/>
      </c>
      <c r="D76">
        <f>IF($S76="","",INDEX('Programme Export'!$E$7:$E$226,$S76)&amp;"")</f>
        <v/>
      </c>
      <c r="E76">
        <f>IF($S76="","",INDEX('Programme Export'!$N$7:$N$226,$S76)&amp;"")</f>
        <v/>
      </c>
      <c r="F76">
        <f t="array" ref="F76">IF(R76="","",_xlfn.TEXTJOIN(";",TRUE,IFERROR(IF(TRIM(MID(SUBSTITUTE(SUBSTITUTE(SUBSTITUTE(R76,",",";")," ",";"),";",REPT(" ",60)),(ROW($1:$10)-1)*60+1,60))="","",MATCH(TRIM(MID(SUBSTITUTE(SUBSTITUTE(SUBSTITUTE(R76,",",";")," ",";"),";",REPT(" ",60)),(ROW($1:$10)-1)*60+1,60)),$C$2:$C$201,0)),"")))</f>
        <v/>
      </c>
      <c r="G76">
        <f>IF($S76="","",INDEX('Programme Export'!$H$7:$H$226,$S76))</f>
        <v/>
      </c>
      <c r="J76">
        <f>IF($S76="","",INDEX('Programme Export'!$R$7:$R$226,$S76)&amp;"")</f>
        <v/>
      </c>
      <c r="K76">
        <f>IF($S76="","",INDEX('Programme Export'!$C$7:$C$226,$S76)&amp;"")</f>
        <v/>
      </c>
      <c r="L76">
        <f>IF($S76="","",'Cover &amp; Instructions'!$B$38)</f>
        <v/>
      </c>
      <c r="M76">
        <f>IF($S76="","",INDEX('Programme Export'!$F$7:$F$226,$S76))</f>
        <v/>
      </c>
      <c r="N76">
        <f>IF($S76="","",INDEX('Programme Export'!$G$7:$G$226,$S76)&amp;"")</f>
        <v/>
      </c>
      <c r="O76">
        <f>IF($S76="","",IFERROR(P76/M76,0))</f>
        <v/>
      </c>
      <c r="P76">
        <f>IF($S76="","",INDEX('Programme Export'!$H$7:$H$226,$S76))</f>
        <v/>
      </c>
      <c r="Q76">
        <f>IF($S76="","",INDEX('Programme Export'!$X$7:$X$226,$S76)&amp;"")</f>
        <v/>
      </c>
      <c r="R76">
        <f>IF($S76="","",INDEX('Programme Export'!$P$7:$P$226,$S76)&amp;"")</f>
        <v/>
      </c>
      <c r="S76">
        <f>IFERROR(MATCH(75,'Programme Export'!$Y$7:$Y$226,0),"")</f>
        <v/>
      </c>
    </row>
    <row r="77">
      <c r="A77">
        <f>IF($S77="","",76)</f>
        <v/>
      </c>
      <c r="B77">
        <f>IF($S77="","",1)</f>
        <v/>
      </c>
      <c r="C77">
        <f>IF($S77="","",INDEX('Programme Export'!$D$7:$D$226,$S77)&amp;"")</f>
        <v/>
      </c>
      <c r="D77">
        <f>IF($S77="","",INDEX('Programme Export'!$E$7:$E$226,$S77)&amp;"")</f>
        <v/>
      </c>
      <c r="E77">
        <f>IF($S77="","",INDEX('Programme Export'!$N$7:$N$226,$S77)&amp;"")</f>
        <v/>
      </c>
      <c r="F77">
        <f t="array" ref="F77">IF(R77="","",_xlfn.TEXTJOIN(";",TRUE,IFERROR(IF(TRIM(MID(SUBSTITUTE(SUBSTITUTE(SUBSTITUTE(R77,",",";")," ",";"),";",REPT(" ",60)),(ROW($1:$10)-1)*60+1,60))="","",MATCH(TRIM(MID(SUBSTITUTE(SUBSTITUTE(SUBSTITUTE(R77,",",";")," ",";"),";",REPT(" ",60)),(ROW($1:$10)-1)*60+1,60)),$C$2:$C$201,0)),"")))</f>
        <v/>
      </c>
      <c r="G77">
        <f>IF($S77="","",INDEX('Programme Export'!$H$7:$H$226,$S77))</f>
        <v/>
      </c>
      <c r="J77">
        <f>IF($S77="","",INDEX('Programme Export'!$R$7:$R$226,$S77)&amp;"")</f>
        <v/>
      </c>
      <c r="K77">
        <f>IF($S77="","",INDEX('Programme Export'!$C$7:$C$226,$S77)&amp;"")</f>
        <v/>
      </c>
      <c r="L77">
        <f>IF($S77="","",'Cover &amp; Instructions'!$B$38)</f>
        <v/>
      </c>
      <c r="M77">
        <f>IF($S77="","",INDEX('Programme Export'!$F$7:$F$226,$S77))</f>
        <v/>
      </c>
      <c r="N77">
        <f>IF($S77="","",INDEX('Programme Export'!$G$7:$G$226,$S77)&amp;"")</f>
        <v/>
      </c>
      <c r="O77">
        <f>IF($S77="","",IFERROR(P77/M77,0))</f>
        <v/>
      </c>
      <c r="P77">
        <f>IF($S77="","",INDEX('Programme Export'!$H$7:$H$226,$S77))</f>
        <v/>
      </c>
      <c r="Q77">
        <f>IF($S77="","",INDEX('Programme Export'!$X$7:$X$226,$S77)&amp;"")</f>
        <v/>
      </c>
      <c r="R77">
        <f>IF($S77="","",INDEX('Programme Export'!$P$7:$P$226,$S77)&amp;"")</f>
        <v/>
      </c>
      <c r="S77">
        <f>IFERROR(MATCH(76,'Programme Export'!$Y$7:$Y$226,0),"")</f>
        <v/>
      </c>
    </row>
    <row r="78">
      <c r="A78">
        <f>IF($S78="","",77)</f>
        <v/>
      </c>
      <c r="B78">
        <f>IF($S78="","",1)</f>
        <v/>
      </c>
      <c r="C78">
        <f>IF($S78="","",INDEX('Programme Export'!$D$7:$D$226,$S78)&amp;"")</f>
        <v/>
      </c>
      <c r="D78">
        <f>IF($S78="","",INDEX('Programme Export'!$E$7:$E$226,$S78)&amp;"")</f>
        <v/>
      </c>
      <c r="E78">
        <f>IF($S78="","",INDEX('Programme Export'!$N$7:$N$226,$S78)&amp;"")</f>
        <v/>
      </c>
      <c r="F78">
        <f t="array" ref="F78">IF(R78="","",_xlfn.TEXTJOIN(";",TRUE,IFERROR(IF(TRIM(MID(SUBSTITUTE(SUBSTITUTE(SUBSTITUTE(R78,",",";")," ",";"),";",REPT(" ",60)),(ROW($1:$10)-1)*60+1,60))="","",MATCH(TRIM(MID(SUBSTITUTE(SUBSTITUTE(SUBSTITUTE(R78,",",";")," ",";"),";",REPT(" ",60)),(ROW($1:$10)-1)*60+1,60)),$C$2:$C$201,0)),"")))</f>
        <v/>
      </c>
      <c r="G78">
        <f>IF($S78="","",INDEX('Programme Export'!$H$7:$H$226,$S78))</f>
        <v/>
      </c>
      <c r="J78">
        <f>IF($S78="","",INDEX('Programme Export'!$R$7:$R$226,$S78)&amp;"")</f>
        <v/>
      </c>
      <c r="K78">
        <f>IF($S78="","",INDEX('Programme Export'!$C$7:$C$226,$S78)&amp;"")</f>
        <v/>
      </c>
      <c r="L78">
        <f>IF($S78="","",'Cover &amp; Instructions'!$B$38)</f>
        <v/>
      </c>
      <c r="M78">
        <f>IF($S78="","",INDEX('Programme Export'!$F$7:$F$226,$S78))</f>
        <v/>
      </c>
      <c r="N78">
        <f>IF($S78="","",INDEX('Programme Export'!$G$7:$G$226,$S78)&amp;"")</f>
        <v/>
      </c>
      <c r="O78">
        <f>IF($S78="","",IFERROR(P78/M78,0))</f>
        <v/>
      </c>
      <c r="P78">
        <f>IF($S78="","",INDEX('Programme Export'!$H$7:$H$226,$S78))</f>
        <v/>
      </c>
      <c r="Q78">
        <f>IF($S78="","",INDEX('Programme Export'!$X$7:$X$226,$S78)&amp;"")</f>
        <v/>
      </c>
      <c r="R78">
        <f>IF($S78="","",INDEX('Programme Export'!$P$7:$P$226,$S78)&amp;"")</f>
        <v/>
      </c>
      <c r="S78">
        <f>IFERROR(MATCH(77,'Programme Export'!$Y$7:$Y$226,0),"")</f>
        <v/>
      </c>
    </row>
    <row r="79">
      <c r="A79">
        <f>IF($S79="","",78)</f>
        <v/>
      </c>
      <c r="B79">
        <f>IF($S79="","",1)</f>
        <v/>
      </c>
      <c r="C79">
        <f>IF($S79="","",INDEX('Programme Export'!$D$7:$D$226,$S79)&amp;"")</f>
        <v/>
      </c>
      <c r="D79">
        <f>IF($S79="","",INDEX('Programme Export'!$E$7:$E$226,$S79)&amp;"")</f>
        <v/>
      </c>
      <c r="E79">
        <f>IF($S79="","",INDEX('Programme Export'!$N$7:$N$226,$S79)&amp;"")</f>
        <v/>
      </c>
      <c r="F79">
        <f t="array" ref="F79">IF(R79="","",_xlfn.TEXTJOIN(";",TRUE,IFERROR(IF(TRIM(MID(SUBSTITUTE(SUBSTITUTE(SUBSTITUTE(R79,",",";")," ",";"),";",REPT(" ",60)),(ROW($1:$10)-1)*60+1,60))="","",MATCH(TRIM(MID(SUBSTITUTE(SUBSTITUTE(SUBSTITUTE(R79,",",";")," ",";"),";",REPT(" ",60)),(ROW($1:$10)-1)*60+1,60)),$C$2:$C$201,0)),"")))</f>
        <v/>
      </c>
      <c r="G79">
        <f>IF($S79="","",INDEX('Programme Export'!$H$7:$H$226,$S79))</f>
        <v/>
      </c>
      <c r="J79">
        <f>IF($S79="","",INDEX('Programme Export'!$R$7:$R$226,$S79)&amp;"")</f>
        <v/>
      </c>
      <c r="K79">
        <f>IF($S79="","",INDEX('Programme Export'!$C$7:$C$226,$S79)&amp;"")</f>
        <v/>
      </c>
      <c r="L79">
        <f>IF($S79="","",'Cover &amp; Instructions'!$B$38)</f>
        <v/>
      </c>
      <c r="M79">
        <f>IF($S79="","",INDEX('Programme Export'!$F$7:$F$226,$S79))</f>
        <v/>
      </c>
      <c r="N79">
        <f>IF($S79="","",INDEX('Programme Export'!$G$7:$G$226,$S79)&amp;"")</f>
        <v/>
      </c>
      <c r="O79">
        <f>IF($S79="","",IFERROR(P79/M79,0))</f>
        <v/>
      </c>
      <c r="P79">
        <f>IF($S79="","",INDEX('Programme Export'!$H$7:$H$226,$S79))</f>
        <v/>
      </c>
      <c r="Q79">
        <f>IF($S79="","",INDEX('Programme Export'!$X$7:$X$226,$S79)&amp;"")</f>
        <v/>
      </c>
      <c r="R79">
        <f>IF($S79="","",INDEX('Programme Export'!$P$7:$P$226,$S79)&amp;"")</f>
        <v/>
      </c>
      <c r="S79">
        <f>IFERROR(MATCH(78,'Programme Export'!$Y$7:$Y$226,0),"")</f>
        <v/>
      </c>
    </row>
    <row r="80">
      <c r="A80">
        <f>IF($S80="","",79)</f>
        <v/>
      </c>
      <c r="B80">
        <f>IF($S80="","",1)</f>
        <v/>
      </c>
      <c r="C80">
        <f>IF($S80="","",INDEX('Programme Export'!$D$7:$D$226,$S80)&amp;"")</f>
        <v/>
      </c>
      <c r="D80">
        <f>IF($S80="","",INDEX('Programme Export'!$E$7:$E$226,$S80)&amp;"")</f>
        <v/>
      </c>
      <c r="E80">
        <f>IF($S80="","",INDEX('Programme Export'!$N$7:$N$226,$S80)&amp;"")</f>
        <v/>
      </c>
      <c r="F80">
        <f t="array" ref="F80">IF(R80="","",_xlfn.TEXTJOIN(";",TRUE,IFERROR(IF(TRIM(MID(SUBSTITUTE(SUBSTITUTE(SUBSTITUTE(R80,",",";")," ",";"),";",REPT(" ",60)),(ROW($1:$10)-1)*60+1,60))="","",MATCH(TRIM(MID(SUBSTITUTE(SUBSTITUTE(SUBSTITUTE(R80,",",";")," ",";"),";",REPT(" ",60)),(ROW($1:$10)-1)*60+1,60)),$C$2:$C$201,0)),"")))</f>
        <v/>
      </c>
      <c r="G80">
        <f>IF($S80="","",INDEX('Programme Export'!$H$7:$H$226,$S80))</f>
        <v/>
      </c>
      <c r="J80">
        <f>IF($S80="","",INDEX('Programme Export'!$R$7:$R$226,$S80)&amp;"")</f>
        <v/>
      </c>
      <c r="K80">
        <f>IF($S80="","",INDEX('Programme Export'!$C$7:$C$226,$S80)&amp;"")</f>
        <v/>
      </c>
      <c r="L80">
        <f>IF($S80="","",'Cover &amp; Instructions'!$B$38)</f>
        <v/>
      </c>
      <c r="M80">
        <f>IF($S80="","",INDEX('Programme Export'!$F$7:$F$226,$S80))</f>
        <v/>
      </c>
      <c r="N80">
        <f>IF($S80="","",INDEX('Programme Export'!$G$7:$G$226,$S80)&amp;"")</f>
        <v/>
      </c>
      <c r="O80">
        <f>IF($S80="","",IFERROR(P80/M80,0))</f>
        <v/>
      </c>
      <c r="P80">
        <f>IF($S80="","",INDEX('Programme Export'!$H$7:$H$226,$S80))</f>
        <v/>
      </c>
      <c r="Q80">
        <f>IF($S80="","",INDEX('Programme Export'!$X$7:$X$226,$S80)&amp;"")</f>
        <v/>
      </c>
      <c r="R80">
        <f>IF($S80="","",INDEX('Programme Export'!$P$7:$P$226,$S80)&amp;"")</f>
        <v/>
      </c>
      <c r="S80">
        <f>IFERROR(MATCH(79,'Programme Export'!$Y$7:$Y$226,0),"")</f>
        <v/>
      </c>
    </row>
    <row r="81">
      <c r="A81">
        <f>IF($S81="","",80)</f>
        <v/>
      </c>
      <c r="B81">
        <f>IF($S81="","",1)</f>
        <v/>
      </c>
      <c r="C81">
        <f>IF($S81="","",INDEX('Programme Export'!$D$7:$D$226,$S81)&amp;"")</f>
        <v/>
      </c>
      <c r="D81">
        <f>IF($S81="","",INDEX('Programme Export'!$E$7:$E$226,$S81)&amp;"")</f>
        <v/>
      </c>
      <c r="E81">
        <f>IF($S81="","",INDEX('Programme Export'!$N$7:$N$226,$S81)&amp;"")</f>
        <v/>
      </c>
      <c r="F81">
        <f t="array" ref="F81">IF(R81="","",_xlfn.TEXTJOIN(";",TRUE,IFERROR(IF(TRIM(MID(SUBSTITUTE(SUBSTITUTE(SUBSTITUTE(R81,",",";")," ",";"),";",REPT(" ",60)),(ROW($1:$10)-1)*60+1,60))="","",MATCH(TRIM(MID(SUBSTITUTE(SUBSTITUTE(SUBSTITUTE(R81,",",";")," ",";"),";",REPT(" ",60)),(ROW($1:$10)-1)*60+1,60)),$C$2:$C$201,0)),"")))</f>
        <v/>
      </c>
      <c r="G81">
        <f>IF($S81="","",INDEX('Programme Export'!$H$7:$H$226,$S81))</f>
        <v/>
      </c>
      <c r="J81">
        <f>IF($S81="","",INDEX('Programme Export'!$R$7:$R$226,$S81)&amp;"")</f>
        <v/>
      </c>
      <c r="K81">
        <f>IF($S81="","",INDEX('Programme Export'!$C$7:$C$226,$S81)&amp;"")</f>
        <v/>
      </c>
      <c r="L81">
        <f>IF($S81="","",'Cover &amp; Instructions'!$B$38)</f>
        <v/>
      </c>
      <c r="M81">
        <f>IF($S81="","",INDEX('Programme Export'!$F$7:$F$226,$S81))</f>
        <v/>
      </c>
      <c r="N81">
        <f>IF($S81="","",INDEX('Programme Export'!$G$7:$G$226,$S81)&amp;"")</f>
        <v/>
      </c>
      <c r="O81">
        <f>IF($S81="","",IFERROR(P81/M81,0))</f>
        <v/>
      </c>
      <c r="P81">
        <f>IF($S81="","",INDEX('Programme Export'!$H$7:$H$226,$S81))</f>
        <v/>
      </c>
      <c r="Q81">
        <f>IF($S81="","",INDEX('Programme Export'!$X$7:$X$226,$S81)&amp;"")</f>
        <v/>
      </c>
      <c r="R81">
        <f>IF($S81="","",INDEX('Programme Export'!$P$7:$P$226,$S81)&amp;"")</f>
        <v/>
      </c>
      <c r="S81">
        <f>IFERROR(MATCH(80,'Programme Export'!$Y$7:$Y$226,0),"")</f>
        <v/>
      </c>
    </row>
    <row r="82">
      <c r="A82">
        <f>IF($S82="","",81)</f>
        <v/>
      </c>
      <c r="B82">
        <f>IF($S82="","",1)</f>
        <v/>
      </c>
      <c r="C82">
        <f>IF($S82="","",INDEX('Programme Export'!$D$7:$D$226,$S82)&amp;"")</f>
        <v/>
      </c>
      <c r="D82">
        <f>IF($S82="","",INDEX('Programme Export'!$E$7:$E$226,$S82)&amp;"")</f>
        <v/>
      </c>
      <c r="E82">
        <f>IF($S82="","",INDEX('Programme Export'!$N$7:$N$226,$S82)&amp;"")</f>
        <v/>
      </c>
      <c r="F82">
        <f t="array" ref="F82">IF(R82="","",_xlfn.TEXTJOIN(";",TRUE,IFERROR(IF(TRIM(MID(SUBSTITUTE(SUBSTITUTE(SUBSTITUTE(R82,",",";")," ",";"),";",REPT(" ",60)),(ROW($1:$10)-1)*60+1,60))="","",MATCH(TRIM(MID(SUBSTITUTE(SUBSTITUTE(SUBSTITUTE(R82,",",";")," ",";"),";",REPT(" ",60)),(ROW($1:$10)-1)*60+1,60)),$C$2:$C$201,0)),"")))</f>
        <v/>
      </c>
      <c r="G82">
        <f>IF($S82="","",INDEX('Programme Export'!$H$7:$H$226,$S82))</f>
        <v/>
      </c>
      <c r="J82">
        <f>IF($S82="","",INDEX('Programme Export'!$R$7:$R$226,$S82)&amp;"")</f>
        <v/>
      </c>
      <c r="K82">
        <f>IF($S82="","",INDEX('Programme Export'!$C$7:$C$226,$S82)&amp;"")</f>
        <v/>
      </c>
      <c r="L82">
        <f>IF($S82="","",'Cover &amp; Instructions'!$B$38)</f>
        <v/>
      </c>
      <c r="M82">
        <f>IF($S82="","",INDEX('Programme Export'!$F$7:$F$226,$S82))</f>
        <v/>
      </c>
      <c r="N82">
        <f>IF($S82="","",INDEX('Programme Export'!$G$7:$G$226,$S82)&amp;"")</f>
        <v/>
      </c>
      <c r="O82">
        <f>IF($S82="","",IFERROR(P82/M82,0))</f>
        <v/>
      </c>
      <c r="P82">
        <f>IF($S82="","",INDEX('Programme Export'!$H$7:$H$226,$S82))</f>
        <v/>
      </c>
      <c r="Q82">
        <f>IF($S82="","",INDEX('Programme Export'!$X$7:$X$226,$S82)&amp;"")</f>
        <v/>
      </c>
      <c r="R82">
        <f>IF($S82="","",INDEX('Programme Export'!$P$7:$P$226,$S82)&amp;"")</f>
        <v/>
      </c>
      <c r="S82">
        <f>IFERROR(MATCH(81,'Programme Export'!$Y$7:$Y$226,0),"")</f>
        <v/>
      </c>
    </row>
    <row r="83">
      <c r="A83">
        <f>IF($S83="","",82)</f>
        <v/>
      </c>
      <c r="B83">
        <f>IF($S83="","",1)</f>
        <v/>
      </c>
      <c r="C83">
        <f>IF($S83="","",INDEX('Programme Export'!$D$7:$D$226,$S83)&amp;"")</f>
        <v/>
      </c>
      <c r="D83">
        <f>IF($S83="","",INDEX('Programme Export'!$E$7:$E$226,$S83)&amp;"")</f>
        <v/>
      </c>
      <c r="E83">
        <f>IF($S83="","",INDEX('Programme Export'!$N$7:$N$226,$S83)&amp;"")</f>
        <v/>
      </c>
      <c r="F83">
        <f t="array" ref="F83">IF(R83="","",_xlfn.TEXTJOIN(";",TRUE,IFERROR(IF(TRIM(MID(SUBSTITUTE(SUBSTITUTE(SUBSTITUTE(R83,",",";")," ",";"),";",REPT(" ",60)),(ROW($1:$10)-1)*60+1,60))="","",MATCH(TRIM(MID(SUBSTITUTE(SUBSTITUTE(SUBSTITUTE(R83,",",";")," ",";"),";",REPT(" ",60)),(ROW($1:$10)-1)*60+1,60)),$C$2:$C$201,0)),"")))</f>
        <v/>
      </c>
      <c r="G83">
        <f>IF($S83="","",INDEX('Programme Export'!$H$7:$H$226,$S83))</f>
        <v/>
      </c>
      <c r="J83">
        <f>IF($S83="","",INDEX('Programme Export'!$R$7:$R$226,$S83)&amp;"")</f>
        <v/>
      </c>
      <c r="K83">
        <f>IF($S83="","",INDEX('Programme Export'!$C$7:$C$226,$S83)&amp;"")</f>
        <v/>
      </c>
      <c r="L83">
        <f>IF($S83="","",'Cover &amp; Instructions'!$B$38)</f>
        <v/>
      </c>
      <c r="M83">
        <f>IF($S83="","",INDEX('Programme Export'!$F$7:$F$226,$S83))</f>
        <v/>
      </c>
      <c r="N83">
        <f>IF($S83="","",INDEX('Programme Export'!$G$7:$G$226,$S83)&amp;"")</f>
        <v/>
      </c>
      <c r="O83">
        <f>IF($S83="","",IFERROR(P83/M83,0))</f>
        <v/>
      </c>
      <c r="P83">
        <f>IF($S83="","",INDEX('Programme Export'!$H$7:$H$226,$S83))</f>
        <v/>
      </c>
      <c r="Q83">
        <f>IF($S83="","",INDEX('Programme Export'!$X$7:$X$226,$S83)&amp;"")</f>
        <v/>
      </c>
      <c r="R83">
        <f>IF($S83="","",INDEX('Programme Export'!$P$7:$P$226,$S83)&amp;"")</f>
        <v/>
      </c>
      <c r="S83">
        <f>IFERROR(MATCH(82,'Programme Export'!$Y$7:$Y$226,0),"")</f>
        <v/>
      </c>
    </row>
    <row r="84">
      <c r="A84">
        <f>IF($S84="","",83)</f>
        <v/>
      </c>
      <c r="B84">
        <f>IF($S84="","",1)</f>
        <v/>
      </c>
      <c r="C84">
        <f>IF($S84="","",INDEX('Programme Export'!$D$7:$D$226,$S84)&amp;"")</f>
        <v/>
      </c>
      <c r="D84">
        <f>IF($S84="","",INDEX('Programme Export'!$E$7:$E$226,$S84)&amp;"")</f>
        <v/>
      </c>
      <c r="E84">
        <f>IF($S84="","",INDEX('Programme Export'!$N$7:$N$226,$S84)&amp;"")</f>
        <v/>
      </c>
      <c r="F84">
        <f t="array" ref="F84">IF(R84="","",_xlfn.TEXTJOIN(";",TRUE,IFERROR(IF(TRIM(MID(SUBSTITUTE(SUBSTITUTE(SUBSTITUTE(R84,",",";")," ",";"),";",REPT(" ",60)),(ROW($1:$10)-1)*60+1,60))="","",MATCH(TRIM(MID(SUBSTITUTE(SUBSTITUTE(SUBSTITUTE(R84,",",";")," ",";"),";",REPT(" ",60)),(ROW($1:$10)-1)*60+1,60)),$C$2:$C$201,0)),"")))</f>
        <v/>
      </c>
      <c r="G84">
        <f>IF($S84="","",INDEX('Programme Export'!$H$7:$H$226,$S84))</f>
        <v/>
      </c>
      <c r="J84">
        <f>IF($S84="","",INDEX('Programme Export'!$R$7:$R$226,$S84)&amp;"")</f>
        <v/>
      </c>
      <c r="K84">
        <f>IF($S84="","",INDEX('Programme Export'!$C$7:$C$226,$S84)&amp;"")</f>
        <v/>
      </c>
      <c r="L84">
        <f>IF($S84="","",'Cover &amp; Instructions'!$B$38)</f>
        <v/>
      </c>
      <c r="M84">
        <f>IF($S84="","",INDEX('Programme Export'!$F$7:$F$226,$S84))</f>
        <v/>
      </c>
      <c r="N84">
        <f>IF($S84="","",INDEX('Programme Export'!$G$7:$G$226,$S84)&amp;"")</f>
        <v/>
      </c>
      <c r="O84">
        <f>IF($S84="","",IFERROR(P84/M84,0))</f>
        <v/>
      </c>
      <c r="P84">
        <f>IF($S84="","",INDEX('Programme Export'!$H$7:$H$226,$S84))</f>
        <v/>
      </c>
      <c r="Q84">
        <f>IF($S84="","",INDEX('Programme Export'!$X$7:$X$226,$S84)&amp;"")</f>
        <v/>
      </c>
      <c r="R84">
        <f>IF($S84="","",INDEX('Programme Export'!$P$7:$P$226,$S84)&amp;"")</f>
        <v/>
      </c>
      <c r="S84">
        <f>IFERROR(MATCH(83,'Programme Export'!$Y$7:$Y$226,0),"")</f>
        <v/>
      </c>
    </row>
    <row r="85">
      <c r="A85">
        <f>IF($S85="","",84)</f>
        <v/>
      </c>
      <c r="B85">
        <f>IF($S85="","",1)</f>
        <v/>
      </c>
      <c r="C85">
        <f>IF($S85="","",INDEX('Programme Export'!$D$7:$D$226,$S85)&amp;"")</f>
        <v/>
      </c>
      <c r="D85">
        <f>IF($S85="","",INDEX('Programme Export'!$E$7:$E$226,$S85)&amp;"")</f>
        <v/>
      </c>
      <c r="E85">
        <f>IF($S85="","",INDEX('Programme Export'!$N$7:$N$226,$S85)&amp;"")</f>
        <v/>
      </c>
      <c r="F85">
        <f t="array" ref="F85">IF(R85="","",_xlfn.TEXTJOIN(";",TRUE,IFERROR(IF(TRIM(MID(SUBSTITUTE(SUBSTITUTE(SUBSTITUTE(R85,",",";")," ",";"),";",REPT(" ",60)),(ROW($1:$10)-1)*60+1,60))="","",MATCH(TRIM(MID(SUBSTITUTE(SUBSTITUTE(SUBSTITUTE(R85,",",";")," ",";"),";",REPT(" ",60)),(ROW($1:$10)-1)*60+1,60)),$C$2:$C$201,0)),"")))</f>
        <v/>
      </c>
      <c r="G85">
        <f>IF($S85="","",INDEX('Programme Export'!$H$7:$H$226,$S85))</f>
        <v/>
      </c>
      <c r="J85">
        <f>IF($S85="","",INDEX('Programme Export'!$R$7:$R$226,$S85)&amp;"")</f>
        <v/>
      </c>
      <c r="K85">
        <f>IF($S85="","",INDEX('Programme Export'!$C$7:$C$226,$S85)&amp;"")</f>
        <v/>
      </c>
      <c r="L85">
        <f>IF($S85="","",'Cover &amp; Instructions'!$B$38)</f>
        <v/>
      </c>
      <c r="M85">
        <f>IF($S85="","",INDEX('Programme Export'!$F$7:$F$226,$S85))</f>
        <v/>
      </c>
      <c r="N85">
        <f>IF($S85="","",INDEX('Programme Export'!$G$7:$G$226,$S85)&amp;"")</f>
        <v/>
      </c>
      <c r="O85">
        <f>IF($S85="","",IFERROR(P85/M85,0))</f>
        <v/>
      </c>
      <c r="P85">
        <f>IF($S85="","",INDEX('Programme Export'!$H$7:$H$226,$S85))</f>
        <v/>
      </c>
      <c r="Q85">
        <f>IF($S85="","",INDEX('Programme Export'!$X$7:$X$226,$S85)&amp;"")</f>
        <v/>
      </c>
      <c r="R85">
        <f>IF($S85="","",INDEX('Programme Export'!$P$7:$P$226,$S85)&amp;"")</f>
        <v/>
      </c>
      <c r="S85">
        <f>IFERROR(MATCH(84,'Programme Export'!$Y$7:$Y$226,0),"")</f>
        <v/>
      </c>
    </row>
    <row r="86">
      <c r="A86">
        <f>IF($S86="","",85)</f>
        <v/>
      </c>
      <c r="B86">
        <f>IF($S86="","",1)</f>
        <v/>
      </c>
      <c r="C86">
        <f>IF($S86="","",INDEX('Programme Export'!$D$7:$D$226,$S86)&amp;"")</f>
        <v/>
      </c>
      <c r="D86">
        <f>IF($S86="","",INDEX('Programme Export'!$E$7:$E$226,$S86)&amp;"")</f>
        <v/>
      </c>
      <c r="E86">
        <f>IF($S86="","",INDEX('Programme Export'!$N$7:$N$226,$S86)&amp;"")</f>
        <v/>
      </c>
      <c r="F86">
        <f t="array" ref="F86">IF(R86="","",_xlfn.TEXTJOIN(";",TRUE,IFERROR(IF(TRIM(MID(SUBSTITUTE(SUBSTITUTE(SUBSTITUTE(R86,",",";")," ",";"),";",REPT(" ",60)),(ROW($1:$10)-1)*60+1,60))="","",MATCH(TRIM(MID(SUBSTITUTE(SUBSTITUTE(SUBSTITUTE(R86,",",";")," ",";"),";",REPT(" ",60)),(ROW($1:$10)-1)*60+1,60)),$C$2:$C$201,0)),"")))</f>
        <v/>
      </c>
      <c r="G86">
        <f>IF($S86="","",INDEX('Programme Export'!$H$7:$H$226,$S86))</f>
        <v/>
      </c>
      <c r="J86">
        <f>IF($S86="","",INDEX('Programme Export'!$R$7:$R$226,$S86)&amp;"")</f>
        <v/>
      </c>
      <c r="K86">
        <f>IF($S86="","",INDEX('Programme Export'!$C$7:$C$226,$S86)&amp;"")</f>
        <v/>
      </c>
      <c r="L86">
        <f>IF($S86="","",'Cover &amp; Instructions'!$B$38)</f>
        <v/>
      </c>
      <c r="M86">
        <f>IF($S86="","",INDEX('Programme Export'!$F$7:$F$226,$S86))</f>
        <v/>
      </c>
      <c r="N86">
        <f>IF($S86="","",INDEX('Programme Export'!$G$7:$G$226,$S86)&amp;"")</f>
        <v/>
      </c>
      <c r="O86">
        <f>IF($S86="","",IFERROR(P86/M86,0))</f>
        <v/>
      </c>
      <c r="P86">
        <f>IF($S86="","",INDEX('Programme Export'!$H$7:$H$226,$S86))</f>
        <v/>
      </c>
      <c r="Q86">
        <f>IF($S86="","",INDEX('Programme Export'!$X$7:$X$226,$S86)&amp;"")</f>
        <v/>
      </c>
      <c r="R86">
        <f>IF($S86="","",INDEX('Programme Export'!$P$7:$P$226,$S86)&amp;"")</f>
        <v/>
      </c>
      <c r="S86">
        <f>IFERROR(MATCH(85,'Programme Export'!$Y$7:$Y$226,0),"")</f>
        <v/>
      </c>
    </row>
    <row r="87">
      <c r="A87">
        <f>IF($S87="","",86)</f>
        <v/>
      </c>
      <c r="B87">
        <f>IF($S87="","",1)</f>
        <v/>
      </c>
      <c r="C87">
        <f>IF($S87="","",INDEX('Programme Export'!$D$7:$D$226,$S87)&amp;"")</f>
        <v/>
      </c>
      <c r="D87">
        <f>IF($S87="","",INDEX('Programme Export'!$E$7:$E$226,$S87)&amp;"")</f>
        <v/>
      </c>
      <c r="E87">
        <f>IF($S87="","",INDEX('Programme Export'!$N$7:$N$226,$S87)&amp;"")</f>
        <v/>
      </c>
      <c r="F87">
        <f t="array" ref="F87">IF(R87="","",_xlfn.TEXTJOIN(";",TRUE,IFERROR(IF(TRIM(MID(SUBSTITUTE(SUBSTITUTE(SUBSTITUTE(R87,",",";")," ",";"),";",REPT(" ",60)),(ROW($1:$10)-1)*60+1,60))="","",MATCH(TRIM(MID(SUBSTITUTE(SUBSTITUTE(SUBSTITUTE(R87,",",";")," ",";"),";",REPT(" ",60)),(ROW($1:$10)-1)*60+1,60)),$C$2:$C$201,0)),"")))</f>
        <v/>
      </c>
      <c r="G87">
        <f>IF($S87="","",INDEX('Programme Export'!$H$7:$H$226,$S87))</f>
        <v/>
      </c>
      <c r="J87">
        <f>IF($S87="","",INDEX('Programme Export'!$R$7:$R$226,$S87)&amp;"")</f>
        <v/>
      </c>
      <c r="K87">
        <f>IF($S87="","",INDEX('Programme Export'!$C$7:$C$226,$S87)&amp;"")</f>
        <v/>
      </c>
      <c r="L87">
        <f>IF($S87="","",'Cover &amp; Instructions'!$B$38)</f>
        <v/>
      </c>
      <c r="M87">
        <f>IF($S87="","",INDEX('Programme Export'!$F$7:$F$226,$S87))</f>
        <v/>
      </c>
      <c r="N87">
        <f>IF($S87="","",INDEX('Programme Export'!$G$7:$G$226,$S87)&amp;"")</f>
        <v/>
      </c>
      <c r="O87">
        <f>IF($S87="","",IFERROR(P87/M87,0))</f>
        <v/>
      </c>
      <c r="P87">
        <f>IF($S87="","",INDEX('Programme Export'!$H$7:$H$226,$S87))</f>
        <v/>
      </c>
      <c r="Q87">
        <f>IF($S87="","",INDEX('Programme Export'!$X$7:$X$226,$S87)&amp;"")</f>
        <v/>
      </c>
      <c r="R87">
        <f>IF($S87="","",INDEX('Programme Export'!$P$7:$P$226,$S87)&amp;"")</f>
        <v/>
      </c>
      <c r="S87">
        <f>IFERROR(MATCH(86,'Programme Export'!$Y$7:$Y$226,0),"")</f>
        <v/>
      </c>
    </row>
    <row r="88">
      <c r="A88">
        <f>IF($S88="","",87)</f>
        <v/>
      </c>
      <c r="B88">
        <f>IF($S88="","",1)</f>
        <v/>
      </c>
      <c r="C88">
        <f>IF($S88="","",INDEX('Programme Export'!$D$7:$D$226,$S88)&amp;"")</f>
        <v/>
      </c>
      <c r="D88">
        <f>IF($S88="","",INDEX('Programme Export'!$E$7:$E$226,$S88)&amp;"")</f>
        <v/>
      </c>
      <c r="E88">
        <f>IF($S88="","",INDEX('Programme Export'!$N$7:$N$226,$S88)&amp;"")</f>
        <v/>
      </c>
      <c r="F88">
        <f t="array" ref="F88">IF(R88="","",_xlfn.TEXTJOIN(";",TRUE,IFERROR(IF(TRIM(MID(SUBSTITUTE(SUBSTITUTE(SUBSTITUTE(R88,",",";")," ",";"),";",REPT(" ",60)),(ROW($1:$10)-1)*60+1,60))="","",MATCH(TRIM(MID(SUBSTITUTE(SUBSTITUTE(SUBSTITUTE(R88,",",";")," ",";"),";",REPT(" ",60)),(ROW($1:$10)-1)*60+1,60)),$C$2:$C$201,0)),"")))</f>
        <v/>
      </c>
      <c r="G88">
        <f>IF($S88="","",INDEX('Programme Export'!$H$7:$H$226,$S88))</f>
        <v/>
      </c>
      <c r="J88">
        <f>IF($S88="","",INDEX('Programme Export'!$R$7:$R$226,$S88)&amp;"")</f>
        <v/>
      </c>
      <c r="K88">
        <f>IF($S88="","",INDEX('Programme Export'!$C$7:$C$226,$S88)&amp;"")</f>
        <v/>
      </c>
      <c r="L88">
        <f>IF($S88="","",'Cover &amp; Instructions'!$B$38)</f>
        <v/>
      </c>
      <c r="M88">
        <f>IF($S88="","",INDEX('Programme Export'!$F$7:$F$226,$S88))</f>
        <v/>
      </c>
      <c r="N88">
        <f>IF($S88="","",INDEX('Programme Export'!$G$7:$G$226,$S88)&amp;"")</f>
        <v/>
      </c>
      <c r="O88">
        <f>IF($S88="","",IFERROR(P88/M88,0))</f>
        <v/>
      </c>
      <c r="P88">
        <f>IF($S88="","",INDEX('Programme Export'!$H$7:$H$226,$S88))</f>
        <v/>
      </c>
      <c r="Q88">
        <f>IF($S88="","",INDEX('Programme Export'!$X$7:$X$226,$S88)&amp;"")</f>
        <v/>
      </c>
      <c r="R88">
        <f>IF($S88="","",INDEX('Programme Export'!$P$7:$P$226,$S88)&amp;"")</f>
        <v/>
      </c>
      <c r="S88">
        <f>IFERROR(MATCH(87,'Programme Export'!$Y$7:$Y$226,0),"")</f>
        <v/>
      </c>
    </row>
    <row r="89">
      <c r="A89">
        <f>IF($S89="","",88)</f>
        <v/>
      </c>
      <c r="B89">
        <f>IF($S89="","",1)</f>
        <v/>
      </c>
      <c r="C89">
        <f>IF($S89="","",INDEX('Programme Export'!$D$7:$D$226,$S89)&amp;"")</f>
        <v/>
      </c>
      <c r="D89">
        <f>IF($S89="","",INDEX('Programme Export'!$E$7:$E$226,$S89)&amp;"")</f>
        <v/>
      </c>
      <c r="E89">
        <f>IF($S89="","",INDEX('Programme Export'!$N$7:$N$226,$S89)&amp;"")</f>
        <v/>
      </c>
      <c r="F89">
        <f t="array" ref="F89">IF(R89="","",_xlfn.TEXTJOIN(";",TRUE,IFERROR(IF(TRIM(MID(SUBSTITUTE(SUBSTITUTE(SUBSTITUTE(R89,",",";")," ",";"),";",REPT(" ",60)),(ROW($1:$10)-1)*60+1,60))="","",MATCH(TRIM(MID(SUBSTITUTE(SUBSTITUTE(SUBSTITUTE(R89,",",";")," ",";"),";",REPT(" ",60)),(ROW($1:$10)-1)*60+1,60)),$C$2:$C$201,0)),"")))</f>
        <v/>
      </c>
      <c r="G89">
        <f>IF($S89="","",INDEX('Programme Export'!$H$7:$H$226,$S89))</f>
        <v/>
      </c>
      <c r="J89">
        <f>IF($S89="","",INDEX('Programme Export'!$R$7:$R$226,$S89)&amp;"")</f>
        <v/>
      </c>
      <c r="K89">
        <f>IF($S89="","",INDEX('Programme Export'!$C$7:$C$226,$S89)&amp;"")</f>
        <v/>
      </c>
      <c r="L89">
        <f>IF($S89="","",'Cover &amp; Instructions'!$B$38)</f>
        <v/>
      </c>
      <c r="M89">
        <f>IF($S89="","",INDEX('Programme Export'!$F$7:$F$226,$S89))</f>
        <v/>
      </c>
      <c r="N89">
        <f>IF($S89="","",INDEX('Programme Export'!$G$7:$G$226,$S89)&amp;"")</f>
        <v/>
      </c>
      <c r="O89">
        <f>IF($S89="","",IFERROR(P89/M89,0))</f>
        <v/>
      </c>
      <c r="P89">
        <f>IF($S89="","",INDEX('Programme Export'!$H$7:$H$226,$S89))</f>
        <v/>
      </c>
      <c r="Q89">
        <f>IF($S89="","",INDEX('Programme Export'!$X$7:$X$226,$S89)&amp;"")</f>
        <v/>
      </c>
      <c r="R89">
        <f>IF($S89="","",INDEX('Programme Export'!$P$7:$P$226,$S89)&amp;"")</f>
        <v/>
      </c>
      <c r="S89">
        <f>IFERROR(MATCH(88,'Programme Export'!$Y$7:$Y$226,0),"")</f>
        <v/>
      </c>
    </row>
    <row r="90">
      <c r="A90">
        <f>IF($S90="","",89)</f>
        <v/>
      </c>
      <c r="B90">
        <f>IF($S90="","",1)</f>
        <v/>
      </c>
      <c r="C90">
        <f>IF($S90="","",INDEX('Programme Export'!$D$7:$D$226,$S90)&amp;"")</f>
        <v/>
      </c>
      <c r="D90">
        <f>IF($S90="","",INDEX('Programme Export'!$E$7:$E$226,$S90)&amp;"")</f>
        <v/>
      </c>
      <c r="E90">
        <f>IF($S90="","",INDEX('Programme Export'!$N$7:$N$226,$S90)&amp;"")</f>
        <v/>
      </c>
      <c r="F90">
        <f t="array" ref="F90">IF(R90="","",_xlfn.TEXTJOIN(";",TRUE,IFERROR(IF(TRIM(MID(SUBSTITUTE(SUBSTITUTE(SUBSTITUTE(R90,",",";")," ",";"),";",REPT(" ",60)),(ROW($1:$10)-1)*60+1,60))="","",MATCH(TRIM(MID(SUBSTITUTE(SUBSTITUTE(SUBSTITUTE(R90,",",";")," ",";"),";",REPT(" ",60)),(ROW($1:$10)-1)*60+1,60)),$C$2:$C$201,0)),"")))</f>
        <v/>
      </c>
      <c r="G90">
        <f>IF($S90="","",INDEX('Programme Export'!$H$7:$H$226,$S90))</f>
        <v/>
      </c>
      <c r="J90">
        <f>IF($S90="","",INDEX('Programme Export'!$R$7:$R$226,$S90)&amp;"")</f>
        <v/>
      </c>
      <c r="K90">
        <f>IF($S90="","",INDEX('Programme Export'!$C$7:$C$226,$S90)&amp;"")</f>
        <v/>
      </c>
      <c r="L90">
        <f>IF($S90="","",'Cover &amp; Instructions'!$B$38)</f>
        <v/>
      </c>
      <c r="M90">
        <f>IF($S90="","",INDEX('Programme Export'!$F$7:$F$226,$S90))</f>
        <v/>
      </c>
      <c r="N90">
        <f>IF($S90="","",INDEX('Programme Export'!$G$7:$G$226,$S90)&amp;"")</f>
        <v/>
      </c>
      <c r="O90">
        <f>IF($S90="","",IFERROR(P90/M90,0))</f>
        <v/>
      </c>
      <c r="P90">
        <f>IF($S90="","",INDEX('Programme Export'!$H$7:$H$226,$S90))</f>
        <v/>
      </c>
      <c r="Q90">
        <f>IF($S90="","",INDEX('Programme Export'!$X$7:$X$226,$S90)&amp;"")</f>
        <v/>
      </c>
      <c r="R90">
        <f>IF($S90="","",INDEX('Programme Export'!$P$7:$P$226,$S90)&amp;"")</f>
        <v/>
      </c>
      <c r="S90">
        <f>IFERROR(MATCH(89,'Programme Export'!$Y$7:$Y$226,0),"")</f>
        <v/>
      </c>
    </row>
    <row r="91">
      <c r="A91">
        <f>IF($S91="","",90)</f>
        <v/>
      </c>
      <c r="B91">
        <f>IF($S91="","",1)</f>
        <v/>
      </c>
      <c r="C91">
        <f>IF($S91="","",INDEX('Programme Export'!$D$7:$D$226,$S91)&amp;"")</f>
        <v/>
      </c>
      <c r="D91">
        <f>IF($S91="","",INDEX('Programme Export'!$E$7:$E$226,$S91)&amp;"")</f>
        <v/>
      </c>
      <c r="E91">
        <f>IF($S91="","",INDEX('Programme Export'!$N$7:$N$226,$S91)&amp;"")</f>
        <v/>
      </c>
      <c r="F91">
        <f t="array" ref="F91">IF(R91="","",_xlfn.TEXTJOIN(";",TRUE,IFERROR(IF(TRIM(MID(SUBSTITUTE(SUBSTITUTE(SUBSTITUTE(R91,",",";")," ",";"),";",REPT(" ",60)),(ROW($1:$10)-1)*60+1,60))="","",MATCH(TRIM(MID(SUBSTITUTE(SUBSTITUTE(SUBSTITUTE(R91,",",";")," ",";"),";",REPT(" ",60)),(ROW($1:$10)-1)*60+1,60)),$C$2:$C$201,0)),"")))</f>
        <v/>
      </c>
      <c r="G91">
        <f>IF($S91="","",INDEX('Programme Export'!$H$7:$H$226,$S91))</f>
        <v/>
      </c>
      <c r="J91">
        <f>IF($S91="","",INDEX('Programme Export'!$R$7:$R$226,$S91)&amp;"")</f>
        <v/>
      </c>
      <c r="K91">
        <f>IF($S91="","",INDEX('Programme Export'!$C$7:$C$226,$S91)&amp;"")</f>
        <v/>
      </c>
      <c r="L91">
        <f>IF($S91="","",'Cover &amp; Instructions'!$B$38)</f>
        <v/>
      </c>
      <c r="M91">
        <f>IF($S91="","",INDEX('Programme Export'!$F$7:$F$226,$S91))</f>
        <v/>
      </c>
      <c r="N91">
        <f>IF($S91="","",INDEX('Programme Export'!$G$7:$G$226,$S91)&amp;"")</f>
        <v/>
      </c>
      <c r="O91">
        <f>IF($S91="","",IFERROR(P91/M91,0))</f>
        <v/>
      </c>
      <c r="P91">
        <f>IF($S91="","",INDEX('Programme Export'!$H$7:$H$226,$S91))</f>
        <v/>
      </c>
      <c r="Q91">
        <f>IF($S91="","",INDEX('Programme Export'!$X$7:$X$226,$S91)&amp;"")</f>
        <v/>
      </c>
      <c r="R91">
        <f>IF($S91="","",INDEX('Programme Export'!$P$7:$P$226,$S91)&amp;"")</f>
        <v/>
      </c>
      <c r="S91">
        <f>IFERROR(MATCH(90,'Programme Export'!$Y$7:$Y$226,0),"")</f>
        <v/>
      </c>
    </row>
    <row r="92">
      <c r="A92">
        <f>IF($S92="","",91)</f>
        <v/>
      </c>
      <c r="B92">
        <f>IF($S92="","",1)</f>
        <v/>
      </c>
      <c r="C92">
        <f>IF($S92="","",INDEX('Programme Export'!$D$7:$D$226,$S92)&amp;"")</f>
        <v/>
      </c>
      <c r="D92">
        <f>IF($S92="","",INDEX('Programme Export'!$E$7:$E$226,$S92)&amp;"")</f>
        <v/>
      </c>
      <c r="E92">
        <f>IF($S92="","",INDEX('Programme Export'!$N$7:$N$226,$S92)&amp;"")</f>
        <v/>
      </c>
      <c r="F92">
        <f t="array" ref="F92">IF(R92="","",_xlfn.TEXTJOIN(";",TRUE,IFERROR(IF(TRIM(MID(SUBSTITUTE(SUBSTITUTE(SUBSTITUTE(R92,",",";")," ",";"),";",REPT(" ",60)),(ROW($1:$10)-1)*60+1,60))="","",MATCH(TRIM(MID(SUBSTITUTE(SUBSTITUTE(SUBSTITUTE(R92,",",";")," ",";"),";",REPT(" ",60)),(ROW($1:$10)-1)*60+1,60)),$C$2:$C$201,0)),"")))</f>
        <v/>
      </c>
      <c r="G92">
        <f>IF($S92="","",INDEX('Programme Export'!$H$7:$H$226,$S92))</f>
        <v/>
      </c>
      <c r="J92">
        <f>IF($S92="","",INDEX('Programme Export'!$R$7:$R$226,$S92)&amp;"")</f>
        <v/>
      </c>
      <c r="K92">
        <f>IF($S92="","",INDEX('Programme Export'!$C$7:$C$226,$S92)&amp;"")</f>
        <v/>
      </c>
      <c r="L92">
        <f>IF($S92="","",'Cover &amp; Instructions'!$B$38)</f>
        <v/>
      </c>
      <c r="M92">
        <f>IF($S92="","",INDEX('Programme Export'!$F$7:$F$226,$S92))</f>
        <v/>
      </c>
      <c r="N92">
        <f>IF($S92="","",INDEX('Programme Export'!$G$7:$G$226,$S92)&amp;"")</f>
        <v/>
      </c>
      <c r="O92">
        <f>IF($S92="","",IFERROR(P92/M92,0))</f>
        <v/>
      </c>
      <c r="P92">
        <f>IF($S92="","",INDEX('Programme Export'!$H$7:$H$226,$S92))</f>
        <v/>
      </c>
      <c r="Q92">
        <f>IF($S92="","",INDEX('Programme Export'!$X$7:$X$226,$S92)&amp;"")</f>
        <v/>
      </c>
      <c r="R92">
        <f>IF($S92="","",INDEX('Programme Export'!$P$7:$P$226,$S92)&amp;"")</f>
        <v/>
      </c>
      <c r="S92">
        <f>IFERROR(MATCH(91,'Programme Export'!$Y$7:$Y$226,0),"")</f>
        <v/>
      </c>
    </row>
    <row r="93">
      <c r="A93">
        <f>IF($S93="","",92)</f>
        <v/>
      </c>
      <c r="B93">
        <f>IF($S93="","",1)</f>
        <v/>
      </c>
      <c r="C93">
        <f>IF($S93="","",INDEX('Programme Export'!$D$7:$D$226,$S93)&amp;"")</f>
        <v/>
      </c>
      <c r="D93">
        <f>IF($S93="","",INDEX('Programme Export'!$E$7:$E$226,$S93)&amp;"")</f>
        <v/>
      </c>
      <c r="E93">
        <f>IF($S93="","",INDEX('Programme Export'!$N$7:$N$226,$S93)&amp;"")</f>
        <v/>
      </c>
      <c r="F93">
        <f t="array" ref="F93">IF(R93="","",_xlfn.TEXTJOIN(";",TRUE,IFERROR(IF(TRIM(MID(SUBSTITUTE(SUBSTITUTE(SUBSTITUTE(R93,",",";")," ",";"),";",REPT(" ",60)),(ROW($1:$10)-1)*60+1,60))="","",MATCH(TRIM(MID(SUBSTITUTE(SUBSTITUTE(SUBSTITUTE(R93,",",";")," ",";"),";",REPT(" ",60)),(ROW($1:$10)-1)*60+1,60)),$C$2:$C$201,0)),"")))</f>
        <v/>
      </c>
      <c r="G93">
        <f>IF($S93="","",INDEX('Programme Export'!$H$7:$H$226,$S93))</f>
        <v/>
      </c>
      <c r="J93">
        <f>IF($S93="","",INDEX('Programme Export'!$R$7:$R$226,$S93)&amp;"")</f>
        <v/>
      </c>
      <c r="K93">
        <f>IF($S93="","",INDEX('Programme Export'!$C$7:$C$226,$S93)&amp;"")</f>
        <v/>
      </c>
      <c r="L93">
        <f>IF($S93="","",'Cover &amp; Instructions'!$B$38)</f>
        <v/>
      </c>
      <c r="M93">
        <f>IF($S93="","",INDEX('Programme Export'!$F$7:$F$226,$S93))</f>
        <v/>
      </c>
      <c r="N93">
        <f>IF($S93="","",INDEX('Programme Export'!$G$7:$G$226,$S93)&amp;"")</f>
        <v/>
      </c>
      <c r="O93">
        <f>IF($S93="","",IFERROR(P93/M93,0))</f>
        <v/>
      </c>
      <c r="P93">
        <f>IF($S93="","",INDEX('Programme Export'!$H$7:$H$226,$S93))</f>
        <v/>
      </c>
      <c r="Q93">
        <f>IF($S93="","",INDEX('Programme Export'!$X$7:$X$226,$S93)&amp;"")</f>
        <v/>
      </c>
      <c r="R93">
        <f>IF($S93="","",INDEX('Programme Export'!$P$7:$P$226,$S93)&amp;"")</f>
        <v/>
      </c>
      <c r="S93">
        <f>IFERROR(MATCH(92,'Programme Export'!$Y$7:$Y$226,0),"")</f>
        <v/>
      </c>
    </row>
    <row r="94">
      <c r="A94">
        <f>IF($S94="","",93)</f>
        <v/>
      </c>
      <c r="B94">
        <f>IF($S94="","",1)</f>
        <v/>
      </c>
      <c r="C94">
        <f>IF($S94="","",INDEX('Programme Export'!$D$7:$D$226,$S94)&amp;"")</f>
        <v/>
      </c>
      <c r="D94">
        <f>IF($S94="","",INDEX('Programme Export'!$E$7:$E$226,$S94)&amp;"")</f>
        <v/>
      </c>
      <c r="E94">
        <f>IF($S94="","",INDEX('Programme Export'!$N$7:$N$226,$S94)&amp;"")</f>
        <v/>
      </c>
      <c r="F94">
        <f t="array" ref="F94">IF(R94="","",_xlfn.TEXTJOIN(";",TRUE,IFERROR(IF(TRIM(MID(SUBSTITUTE(SUBSTITUTE(SUBSTITUTE(R94,",",";")," ",";"),";",REPT(" ",60)),(ROW($1:$10)-1)*60+1,60))="","",MATCH(TRIM(MID(SUBSTITUTE(SUBSTITUTE(SUBSTITUTE(R94,",",";")," ",";"),";",REPT(" ",60)),(ROW($1:$10)-1)*60+1,60)),$C$2:$C$201,0)),"")))</f>
        <v/>
      </c>
      <c r="G94">
        <f>IF($S94="","",INDEX('Programme Export'!$H$7:$H$226,$S94))</f>
        <v/>
      </c>
      <c r="J94">
        <f>IF($S94="","",INDEX('Programme Export'!$R$7:$R$226,$S94)&amp;"")</f>
        <v/>
      </c>
      <c r="K94">
        <f>IF($S94="","",INDEX('Programme Export'!$C$7:$C$226,$S94)&amp;"")</f>
        <v/>
      </c>
      <c r="L94">
        <f>IF($S94="","",'Cover &amp; Instructions'!$B$38)</f>
        <v/>
      </c>
      <c r="M94">
        <f>IF($S94="","",INDEX('Programme Export'!$F$7:$F$226,$S94))</f>
        <v/>
      </c>
      <c r="N94">
        <f>IF($S94="","",INDEX('Programme Export'!$G$7:$G$226,$S94)&amp;"")</f>
        <v/>
      </c>
      <c r="O94">
        <f>IF($S94="","",IFERROR(P94/M94,0))</f>
        <v/>
      </c>
      <c r="P94">
        <f>IF($S94="","",INDEX('Programme Export'!$H$7:$H$226,$S94))</f>
        <v/>
      </c>
      <c r="Q94">
        <f>IF($S94="","",INDEX('Programme Export'!$X$7:$X$226,$S94)&amp;"")</f>
        <v/>
      </c>
      <c r="R94">
        <f>IF($S94="","",INDEX('Programme Export'!$P$7:$P$226,$S94)&amp;"")</f>
        <v/>
      </c>
      <c r="S94">
        <f>IFERROR(MATCH(93,'Programme Export'!$Y$7:$Y$226,0),"")</f>
        <v/>
      </c>
    </row>
    <row r="95">
      <c r="A95">
        <f>IF($S95="","",94)</f>
        <v/>
      </c>
      <c r="B95">
        <f>IF($S95="","",1)</f>
        <v/>
      </c>
      <c r="C95">
        <f>IF($S95="","",INDEX('Programme Export'!$D$7:$D$226,$S95)&amp;"")</f>
        <v/>
      </c>
      <c r="D95">
        <f>IF($S95="","",INDEX('Programme Export'!$E$7:$E$226,$S95)&amp;"")</f>
        <v/>
      </c>
      <c r="E95">
        <f>IF($S95="","",INDEX('Programme Export'!$N$7:$N$226,$S95)&amp;"")</f>
        <v/>
      </c>
      <c r="F95">
        <f t="array" ref="F95">IF(R95="","",_xlfn.TEXTJOIN(";",TRUE,IFERROR(IF(TRIM(MID(SUBSTITUTE(SUBSTITUTE(SUBSTITUTE(R95,",",";")," ",";"),";",REPT(" ",60)),(ROW($1:$10)-1)*60+1,60))="","",MATCH(TRIM(MID(SUBSTITUTE(SUBSTITUTE(SUBSTITUTE(R95,",",";")," ",";"),";",REPT(" ",60)),(ROW($1:$10)-1)*60+1,60)),$C$2:$C$201,0)),"")))</f>
        <v/>
      </c>
      <c r="G95">
        <f>IF($S95="","",INDEX('Programme Export'!$H$7:$H$226,$S95))</f>
        <v/>
      </c>
      <c r="J95">
        <f>IF($S95="","",INDEX('Programme Export'!$R$7:$R$226,$S95)&amp;"")</f>
        <v/>
      </c>
      <c r="K95">
        <f>IF($S95="","",INDEX('Programme Export'!$C$7:$C$226,$S95)&amp;"")</f>
        <v/>
      </c>
      <c r="L95">
        <f>IF($S95="","",'Cover &amp; Instructions'!$B$38)</f>
        <v/>
      </c>
      <c r="M95">
        <f>IF($S95="","",INDEX('Programme Export'!$F$7:$F$226,$S95))</f>
        <v/>
      </c>
      <c r="N95">
        <f>IF($S95="","",INDEX('Programme Export'!$G$7:$G$226,$S95)&amp;"")</f>
        <v/>
      </c>
      <c r="O95">
        <f>IF($S95="","",IFERROR(P95/M95,0))</f>
        <v/>
      </c>
      <c r="P95">
        <f>IF($S95="","",INDEX('Programme Export'!$H$7:$H$226,$S95))</f>
        <v/>
      </c>
      <c r="Q95">
        <f>IF($S95="","",INDEX('Programme Export'!$X$7:$X$226,$S95)&amp;"")</f>
        <v/>
      </c>
      <c r="R95">
        <f>IF($S95="","",INDEX('Programme Export'!$P$7:$P$226,$S95)&amp;"")</f>
        <v/>
      </c>
      <c r="S95">
        <f>IFERROR(MATCH(94,'Programme Export'!$Y$7:$Y$226,0),"")</f>
        <v/>
      </c>
    </row>
    <row r="96">
      <c r="A96">
        <f>IF($S96="","",95)</f>
        <v/>
      </c>
      <c r="B96">
        <f>IF($S96="","",1)</f>
        <v/>
      </c>
      <c r="C96">
        <f>IF($S96="","",INDEX('Programme Export'!$D$7:$D$226,$S96)&amp;"")</f>
        <v/>
      </c>
      <c r="D96">
        <f>IF($S96="","",INDEX('Programme Export'!$E$7:$E$226,$S96)&amp;"")</f>
        <v/>
      </c>
      <c r="E96">
        <f>IF($S96="","",INDEX('Programme Export'!$N$7:$N$226,$S96)&amp;"")</f>
        <v/>
      </c>
      <c r="F96">
        <f t="array" ref="F96">IF(R96="","",_xlfn.TEXTJOIN(";",TRUE,IFERROR(IF(TRIM(MID(SUBSTITUTE(SUBSTITUTE(SUBSTITUTE(R96,",",";")," ",";"),";",REPT(" ",60)),(ROW($1:$10)-1)*60+1,60))="","",MATCH(TRIM(MID(SUBSTITUTE(SUBSTITUTE(SUBSTITUTE(R96,",",";")," ",";"),";",REPT(" ",60)),(ROW($1:$10)-1)*60+1,60)),$C$2:$C$201,0)),"")))</f>
        <v/>
      </c>
      <c r="G96">
        <f>IF($S96="","",INDEX('Programme Export'!$H$7:$H$226,$S96))</f>
        <v/>
      </c>
      <c r="J96">
        <f>IF($S96="","",INDEX('Programme Export'!$R$7:$R$226,$S96)&amp;"")</f>
        <v/>
      </c>
      <c r="K96">
        <f>IF($S96="","",INDEX('Programme Export'!$C$7:$C$226,$S96)&amp;"")</f>
        <v/>
      </c>
      <c r="L96">
        <f>IF($S96="","",'Cover &amp; Instructions'!$B$38)</f>
        <v/>
      </c>
      <c r="M96">
        <f>IF($S96="","",INDEX('Programme Export'!$F$7:$F$226,$S96))</f>
        <v/>
      </c>
      <c r="N96">
        <f>IF($S96="","",INDEX('Programme Export'!$G$7:$G$226,$S96)&amp;"")</f>
        <v/>
      </c>
      <c r="O96">
        <f>IF($S96="","",IFERROR(P96/M96,0))</f>
        <v/>
      </c>
      <c r="P96">
        <f>IF($S96="","",INDEX('Programme Export'!$H$7:$H$226,$S96))</f>
        <v/>
      </c>
      <c r="Q96">
        <f>IF($S96="","",INDEX('Programme Export'!$X$7:$X$226,$S96)&amp;"")</f>
        <v/>
      </c>
      <c r="R96">
        <f>IF($S96="","",INDEX('Programme Export'!$P$7:$P$226,$S96)&amp;"")</f>
        <v/>
      </c>
      <c r="S96">
        <f>IFERROR(MATCH(95,'Programme Export'!$Y$7:$Y$226,0),"")</f>
        <v/>
      </c>
    </row>
    <row r="97">
      <c r="A97">
        <f>IF($S97="","",96)</f>
        <v/>
      </c>
      <c r="B97">
        <f>IF($S97="","",1)</f>
        <v/>
      </c>
      <c r="C97">
        <f>IF($S97="","",INDEX('Programme Export'!$D$7:$D$226,$S97)&amp;"")</f>
        <v/>
      </c>
      <c r="D97">
        <f>IF($S97="","",INDEX('Programme Export'!$E$7:$E$226,$S97)&amp;"")</f>
        <v/>
      </c>
      <c r="E97">
        <f>IF($S97="","",INDEX('Programme Export'!$N$7:$N$226,$S97)&amp;"")</f>
        <v/>
      </c>
      <c r="F97">
        <f t="array" ref="F97">IF(R97="","",_xlfn.TEXTJOIN(";",TRUE,IFERROR(IF(TRIM(MID(SUBSTITUTE(SUBSTITUTE(SUBSTITUTE(R97,",",";")," ",";"),";",REPT(" ",60)),(ROW($1:$10)-1)*60+1,60))="","",MATCH(TRIM(MID(SUBSTITUTE(SUBSTITUTE(SUBSTITUTE(R97,",",";")," ",";"),";",REPT(" ",60)),(ROW($1:$10)-1)*60+1,60)),$C$2:$C$201,0)),"")))</f>
        <v/>
      </c>
      <c r="G97">
        <f>IF($S97="","",INDEX('Programme Export'!$H$7:$H$226,$S97))</f>
        <v/>
      </c>
      <c r="J97">
        <f>IF($S97="","",INDEX('Programme Export'!$R$7:$R$226,$S97)&amp;"")</f>
        <v/>
      </c>
      <c r="K97">
        <f>IF($S97="","",INDEX('Programme Export'!$C$7:$C$226,$S97)&amp;"")</f>
        <v/>
      </c>
      <c r="L97">
        <f>IF($S97="","",'Cover &amp; Instructions'!$B$38)</f>
        <v/>
      </c>
      <c r="M97">
        <f>IF($S97="","",INDEX('Programme Export'!$F$7:$F$226,$S97))</f>
        <v/>
      </c>
      <c r="N97">
        <f>IF($S97="","",INDEX('Programme Export'!$G$7:$G$226,$S97)&amp;"")</f>
        <v/>
      </c>
      <c r="O97">
        <f>IF($S97="","",IFERROR(P97/M97,0))</f>
        <v/>
      </c>
      <c r="P97">
        <f>IF($S97="","",INDEX('Programme Export'!$H$7:$H$226,$S97))</f>
        <v/>
      </c>
      <c r="Q97">
        <f>IF($S97="","",INDEX('Programme Export'!$X$7:$X$226,$S97)&amp;"")</f>
        <v/>
      </c>
      <c r="R97">
        <f>IF($S97="","",INDEX('Programme Export'!$P$7:$P$226,$S97)&amp;"")</f>
        <v/>
      </c>
      <c r="S97">
        <f>IFERROR(MATCH(96,'Programme Export'!$Y$7:$Y$226,0),"")</f>
        <v/>
      </c>
    </row>
    <row r="98">
      <c r="A98">
        <f>IF($S98="","",97)</f>
        <v/>
      </c>
      <c r="B98">
        <f>IF($S98="","",1)</f>
        <v/>
      </c>
      <c r="C98">
        <f>IF($S98="","",INDEX('Programme Export'!$D$7:$D$226,$S98)&amp;"")</f>
        <v/>
      </c>
      <c r="D98">
        <f>IF($S98="","",INDEX('Programme Export'!$E$7:$E$226,$S98)&amp;"")</f>
        <v/>
      </c>
      <c r="E98">
        <f>IF($S98="","",INDEX('Programme Export'!$N$7:$N$226,$S98)&amp;"")</f>
        <v/>
      </c>
      <c r="F98">
        <f t="array" ref="F98">IF(R98="","",_xlfn.TEXTJOIN(";",TRUE,IFERROR(IF(TRIM(MID(SUBSTITUTE(SUBSTITUTE(SUBSTITUTE(R98,",",";")," ",";"),";",REPT(" ",60)),(ROW($1:$10)-1)*60+1,60))="","",MATCH(TRIM(MID(SUBSTITUTE(SUBSTITUTE(SUBSTITUTE(R98,",",";")," ",";"),";",REPT(" ",60)),(ROW($1:$10)-1)*60+1,60)),$C$2:$C$201,0)),"")))</f>
        <v/>
      </c>
      <c r="G98">
        <f>IF($S98="","",INDEX('Programme Export'!$H$7:$H$226,$S98))</f>
        <v/>
      </c>
      <c r="J98">
        <f>IF($S98="","",INDEX('Programme Export'!$R$7:$R$226,$S98)&amp;"")</f>
        <v/>
      </c>
      <c r="K98">
        <f>IF($S98="","",INDEX('Programme Export'!$C$7:$C$226,$S98)&amp;"")</f>
        <v/>
      </c>
      <c r="L98">
        <f>IF($S98="","",'Cover &amp; Instructions'!$B$38)</f>
        <v/>
      </c>
      <c r="M98">
        <f>IF($S98="","",INDEX('Programme Export'!$F$7:$F$226,$S98))</f>
        <v/>
      </c>
      <c r="N98">
        <f>IF($S98="","",INDEX('Programme Export'!$G$7:$G$226,$S98)&amp;"")</f>
        <v/>
      </c>
      <c r="O98">
        <f>IF($S98="","",IFERROR(P98/M98,0))</f>
        <v/>
      </c>
      <c r="P98">
        <f>IF($S98="","",INDEX('Programme Export'!$H$7:$H$226,$S98))</f>
        <v/>
      </c>
      <c r="Q98">
        <f>IF($S98="","",INDEX('Programme Export'!$X$7:$X$226,$S98)&amp;"")</f>
        <v/>
      </c>
      <c r="R98">
        <f>IF($S98="","",INDEX('Programme Export'!$P$7:$P$226,$S98)&amp;"")</f>
        <v/>
      </c>
      <c r="S98">
        <f>IFERROR(MATCH(97,'Programme Export'!$Y$7:$Y$226,0),"")</f>
        <v/>
      </c>
    </row>
    <row r="99">
      <c r="A99">
        <f>IF($S99="","",98)</f>
        <v/>
      </c>
      <c r="B99">
        <f>IF($S99="","",1)</f>
        <v/>
      </c>
      <c r="C99">
        <f>IF($S99="","",INDEX('Programme Export'!$D$7:$D$226,$S99)&amp;"")</f>
        <v/>
      </c>
      <c r="D99">
        <f>IF($S99="","",INDEX('Programme Export'!$E$7:$E$226,$S99)&amp;"")</f>
        <v/>
      </c>
      <c r="E99">
        <f>IF($S99="","",INDEX('Programme Export'!$N$7:$N$226,$S99)&amp;"")</f>
        <v/>
      </c>
      <c r="F99">
        <f t="array" ref="F99">IF(R99="","",_xlfn.TEXTJOIN(";",TRUE,IFERROR(IF(TRIM(MID(SUBSTITUTE(SUBSTITUTE(SUBSTITUTE(R99,",",";")," ",";"),";",REPT(" ",60)),(ROW($1:$10)-1)*60+1,60))="","",MATCH(TRIM(MID(SUBSTITUTE(SUBSTITUTE(SUBSTITUTE(R99,",",";")," ",";"),";",REPT(" ",60)),(ROW($1:$10)-1)*60+1,60)),$C$2:$C$201,0)),"")))</f>
        <v/>
      </c>
      <c r="G99">
        <f>IF($S99="","",INDEX('Programme Export'!$H$7:$H$226,$S99))</f>
        <v/>
      </c>
      <c r="J99">
        <f>IF($S99="","",INDEX('Programme Export'!$R$7:$R$226,$S99)&amp;"")</f>
        <v/>
      </c>
      <c r="K99">
        <f>IF($S99="","",INDEX('Programme Export'!$C$7:$C$226,$S99)&amp;"")</f>
        <v/>
      </c>
      <c r="L99">
        <f>IF($S99="","",'Cover &amp; Instructions'!$B$38)</f>
        <v/>
      </c>
      <c r="M99">
        <f>IF($S99="","",INDEX('Programme Export'!$F$7:$F$226,$S99))</f>
        <v/>
      </c>
      <c r="N99">
        <f>IF($S99="","",INDEX('Programme Export'!$G$7:$G$226,$S99)&amp;"")</f>
        <v/>
      </c>
      <c r="O99">
        <f>IF($S99="","",IFERROR(P99/M99,0))</f>
        <v/>
      </c>
      <c r="P99">
        <f>IF($S99="","",INDEX('Programme Export'!$H$7:$H$226,$S99))</f>
        <v/>
      </c>
      <c r="Q99">
        <f>IF($S99="","",INDEX('Programme Export'!$X$7:$X$226,$S99)&amp;"")</f>
        <v/>
      </c>
      <c r="R99">
        <f>IF($S99="","",INDEX('Programme Export'!$P$7:$P$226,$S99)&amp;"")</f>
        <v/>
      </c>
      <c r="S99">
        <f>IFERROR(MATCH(98,'Programme Export'!$Y$7:$Y$226,0),"")</f>
        <v/>
      </c>
    </row>
    <row r="100">
      <c r="A100">
        <f>IF($S100="","",99)</f>
        <v/>
      </c>
      <c r="B100">
        <f>IF($S100="","",1)</f>
        <v/>
      </c>
      <c r="C100">
        <f>IF($S100="","",INDEX('Programme Export'!$D$7:$D$226,$S100)&amp;"")</f>
        <v/>
      </c>
      <c r="D100">
        <f>IF($S100="","",INDEX('Programme Export'!$E$7:$E$226,$S100)&amp;"")</f>
        <v/>
      </c>
      <c r="E100">
        <f>IF($S100="","",INDEX('Programme Export'!$N$7:$N$226,$S100)&amp;"")</f>
        <v/>
      </c>
      <c r="F100">
        <f t="array" ref="F100">IF(R100="","",_xlfn.TEXTJOIN(";",TRUE,IFERROR(IF(TRIM(MID(SUBSTITUTE(SUBSTITUTE(SUBSTITUTE(R100,",",";")," ",";"),";",REPT(" ",60)),(ROW($1:$10)-1)*60+1,60))="","",MATCH(TRIM(MID(SUBSTITUTE(SUBSTITUTE(SUBSTITUTE(R100,",",";")," ",";"),";",REPT(" ",60)),(ROW($1:$10)-1)*60+1,60)),$C$2:$C$201,0)),"")))</f>
        <v/>
      </c>
      <c r="G100">
        <f>IF($S100="","",INDEX('Programme Export'!$H$7:$H$226,$S100))</f>
        <v/>
      </c>
      <c r="J100">
        <f>IF($S100="","",INDEX('Programme Export'!$R$7:$R$226,$S100)&amp;"")</f>
        <v/>
      </c>
      <c r="K100">
        <f>IF($S100="","",INDEX('Programme Export'!$C$7:$C$226,$S100)&amp;"")</f>
        <v/>
      </c>
      <c r="L100">
        <f>IF($S100="","",'Cover &amp; Instructions'!$B$38)</f>
        <v/>
      </c>
      <c r="M100">
        <f>IF($S100="","",INDEX('Programme Export'!$F$7:$F$226,$S100))</f>
        <v/>
      </c>
      <c r="N100">
        <f>IF($S100="","",INDEX('Programme Export'!$G$7:$G$226,$S100)&amp;"")</f>
        <v/>
      </c>
      <c r="O100">
        <f>IF($S100="","",IFERROR(P100/M100,0))</f>
        <v/>
      </c>
      <c r="P100">
        <f>IF($S100="","",INDEX('Programme Export'!$H$7:$H$226,$S100))</f>
        <v/>
      </c>
      <c r="Q100">
        <f>IF($S100="","",INDEX('Programme Export'!$X$7:$X$226,$S100)&amp;"")</f>
        <v/>
      </c>
      <c r="R100">
        <f>IF($S100="","",INDEX('Programme Export'!$P$7:$P$226,$S100)&amp;"")</f>
        <v/>
      </c>
      <c r="S100">
        <f>IFERROR(MATCH(99,'Programme Export'!$Y$7:$Y$226,0),"")</f>
        <v/>
      </c>
    </row>
    <row r="101">
      <c r="A101">
        <f>IF($S101="","",100)</f>
        <v/>
      </c>
      <c r="B101">
        <f>IF($S101="","",1)</f>
        <v/>
      </c>
      <c r="C101">
        <f>IF($S101="","",INDEX('Programme Export'!$D$7:$D$226,$S101)&amp;"")</f>
        <v/>
      </c>
      <c r="D101">
        <f>IF($S101="","",INDEX('Programme Export'!$E$7:$E$226,$S101)&amp;"")</f>
        <v/>
      </c>
      <c r="E101">
        <f>IF($S101="","",INDEX('Programme Export'!$N$7:$N$226,$S101)&amp;"")</f>
        <v/>
      </c>
      <c r="F101">
        <f t="array" ref="F101">IF(R101="","",_xlfn.TEXTJOIN(";",TRUE,IFERROR(IF(TRIM(MID(SUBSTITUTE(SUBSTITUTE(SUBSTITUTE(R101,",",";")," ",";"),";",REPT(" ",60)),(ROW($1:$10)-1)*60+1,60))="","",MATCH(TRIM(MID(SUBSTITUTE(SUBSTITUTE(SUBSTITUTE(R101,",",";")," ",";"),";",REPT(" ",60)),(ROW($1:$10)-1)*60+1,60)),$C$2:$C$201,0)),"")))</f>
        <v/>
      </c>
      <c r="G101">
        <f>IF($S101="","",INDEX('Programme Export'!$H$7:$H$226,$S101))</f>
        <v/>
      </c>
      <c r="J101">
        <f>IF($S101="","",INDEX('Programme Export'!$R$7:$R$226,$S101)&amp;"")</f>
        <v/>
      </c>
      <c r="K101">
        <f>IF($S101="","",INDEX('Programme Export'!$C$7:$C$226,$S101)&amp;"")</f>
        <v/>
      </c>
      <c r="L101">
        <f>IF($S101="","",'Cover &amp; Instructions'!$B$38)</f>
        <v/>
      </c>
      <c r="M101">
        <f>IF($S101="","",INDEX('Programme Export'!$F$7:$F$226,$S101))</f>
        <v/>
      </c>
      <c r="N101">
        <f>IF($S101="","",INDEX('Programme Export'!$G$7:$G$226,$S101)&amp;"")</f>
        <v/>
      </c>
      <c r="O101">
        <f>IF($S101="","",IFERROR(P101/M101,0))</f>
        <v/>
      </c>
      <c r="P101">
        <f>IF($S101="","",INDEX('Programme Export'!$H$7:$H$226,$S101))</f>
        <v/>
      </c>
      <c r="Q101">
        <f>IF($S101="","",INDEX('Programme Export'!$X$7:$X$226,$S101)&amp;"")</f>
        <v/>
      </c>
      <c r="R101">
        <f>IF($S101="","",INDEX('Programme Export'!$P$7:$P$226,$S101)&amp;"")</f>
        <v/>
      </c>
      <c r="S101">
        <f>IFERROR(MATCH(100,'Programme Export'!$Y$7:$Y$226,0),"")</f>
        <v/>
      </c>
    </row>
    <row r="102">
      <c r="A102">
        <f>IF($S102="","",101)</f>
        <v/>
      </c>
      <c r="B102">
        <f>IF($S102="","",1)</f>
        <v/>
      </c>
      <c r="C102">
        <f>IF($S102="","",INDEX('Programme Export'!$D$7:$D$226,$S102)&amp;"")</f>
        <v/>
      </c>
      <c r="D102">
        <f>IF($S102="","",INDEX('Programme Export'!$E$7:$E$226,$S102)&amp;"")</f>
        <v/>
      </c>
      <c r="E102">
        <f>IF($S102="","",INDEX('Programme Export'!$N$7:$N$226,$S102)&amp;"")</f>
        <v/>
      </c>
      <c r="F102">
        <f t="array" ref="F102">IF(R102="","",_xlfn.TEXTJOIN(";",TRUE,IFERROR(IF(TRIM(MID(SUBSTITUTE(SUBSTITUTE(SUBSTITUTE(R102,",",";")," ",";"),";",REPT(" ",60)),(ROW($1:$10)-1)*60+1,60))="","",MATCH(TRIM(MID(SUBSTITUTE(SUBSTITUTE(SUBSTITUTE(R102,",",";")," ",";"),";",REPT(" ",60)),(ROW($1:$10)-1)*60+1,60)),$C$2:$C$201,0)),"")))</f>
        <v/>
      </c>
      <c r="G102">
        <f>IF($S102="","",INDEX('Programme Export'!$H$7:$H$226,$S102))</f>
        <v/>
      </c>
      <c r="J102">
        <f>IF($S102="","",INDEX('Programme Export'!$R$7:$R$226,$S102)&amp;"")</f>
        <v/>
      </c>
      <c r="K102">
        <f>IF($S102="","",INDEX('Programme Export'!$C$7:$C$226,$S102)&amp;"")</f>
        <v/>
      </c>
      <c r="L102">
        <f>IF($S102="","",'Cover &amp; Instructions'!$B$38)</f>
        <v/>
      </c>
      <c r="M102">
        <f>IF($S102="","",INDEX('Programme Export'!$F$7:$F$226,$S102))</f>
        <v/>
      </c>
      <c r="N102">
        <f>IF($S102="","",INDEX('Programme Export'!$G$7:$G$226,$S102)&amp;"")</f>
        <v/>
      </c>
      <c r="O102">
        <f>IF($S102="","",IFERROR(P102/M102,0))</f>
        <v/>
      </c>
      <c r="P102">
        <f>IF($S102="","",INDEX('Programme Export'!$H$7:$H$226,$S102))</f>
        <v/>
      </c>
      <c r="Q102">
        <f>IF($S102="","",INDEX('Programme Export'!$X$7:$X$226,$S102)&amp;"")</f>
        <v/>
      </c>
      <c r="R102">
        <f>IF($S102="","",INDEX('Programme Export'!$P$7:$P$226,$S102)&amp;"")</f>
        <v/>
      </c>
      <c r="S102">
        <f>IFERROR(MATCH(101,'Programme Export'!$Y$7:$Y$226,0),"")</f>
        <v/>
      </c>
    </row>
    <row r="103">
      <c r="A103">
        <f>IF($S103="","",102)</f>
        <v/>
      </c>
      <c r="B103">
        <f>IF($S103="","",1)</f>
        <v/>
      </c>
      <c r="C103">
        <f>IF($S103="","",INDEX('Programme Export'!$D$7:$D$226,$S103)&amp;"")</f>
        <v/>
      </c>
      <c r="D103">
        <f>IF($S103="","",INDEX('Programme Export'!$E$7:$E$226,$S103)&amp;"")</f>
        <v/>
      </c>
      <c r="E103">
        <f>IF($S103="","",INDEX('Programme Export'!$N$7:$N$226,$S103)&amp;"")</f>
        <v/>
      </c>
      <c r="F103">
        <f t="array" ref="F103">IF(R103="","",_xlfn.TEXTJOIN(";",TRUE,IFERROR(IF(TRIM(MID(SUBSTITUTE(SUBSTITUTE(SUBSTITUTE(R103,",",";")," ",";"),";",REPT(" ",60)),(ROW($1:$10)-1)*60+1,60))="","",MATCH(TRIM(MID(SUBSTITUTE(SUBSTITUTE(SUBSTITUTE(R103,",",";")," ",";"),";",REPT(" ",60)),(ROW($1:$10)-1)*60+1,60)),$C$2:$C$201,0)),"")))</f>
        <v/>
      </c>
      <c r="G103">
        <f>IF($S103="","",INDEX('Programme Export'!$H$7:$H$226,$S103))</f>
        <v/>
      </c>
      <c r="J103">
        <f>IF($S103="","",INDEX('Programme Export'!$R$7:$R$226,$S103)&amp;"")</f>
        <v/>
      </c>
      <c r="K103">
        <f>IF($S103="","",INDEX('Programme Export'!$C$7:$C$226,$S103)&amp;"")</f>
        <v/>
      </c>
      <c r="L103">
        <f>IF($S103="","",'Cover &amp; Instructions'!$B$38)</f>
        <v/>
      </c>
      <c r="M103">
        <f>IF($S103="","",INDEX('Programme Export'!$F$7:$F$226,$S103))</f>
        <v/>
      </c>
      <c r="N103">
        <f>IF($S103="","",INDEX('Programme Export'!$G$7:$G$226,$S103)&amp;"")</f>
        <v/>
      </c>
      <c r="O103">
        <f>IF($S103="","",IFERROR(P103/M103,0))</f>
        <v/>
      </c>
      <c r="P103">
        <f>IF($S103="","",INDEX('Programme Export'!$H$7:$H$226,$S103))</f>
        <v/>
      </c>
      <c r="Q103">
        <f>IF($S103="","",INDEX('Programme Export'!$X$7:$X$226,$S103)&amp;"")</f>
        <v/>
      </c>
      <c r="R103">
        <f>IF($S103="","",INDEX('Programme Export'!$P$7:$P$226,$S103)&amp;"")</f>
        <v/>
      </c>
      <c r="S103">
        <f>IFERROR(MATCH(102,'Programme Export'!$Y$7:$Y$226,0),"")</f>
        <v/>
      </c>
    </row>
    <row r="104">
      <c r="A104">
        <f>IF($S104="","",103)</f>
        <v/>
      </c>
      <c r="B104">
        <f>IF($S104="","",1)</f>
        <v/>
      </c>
      <c r="C104">
        <f>IF($S104="","",INDEX('Programme Export'!$D$7:$D$226,$S104)&amp;"")</f>
        <v/>
      </c>
      <c r="D104">
        <f>IF($S104="","",INDEX('Programme Export'!$E$7:$E$226,$S104)&amp;"")</f>
        <v/>
      </c>
      <c r="E104">
        <f>IF($S104="","",INDEX('Programme Export'!$N$7:$N$226,$S104)&amp;"")</f>
        <v/>
      </c>
      <c r="F104">
        <f t="array" ref="F104">IF(R104="","",_xlfn.TEXTJOIN(";",TRUE,IFERROR(IF(TRIM(MID(SUBSTITUTE(SUBSTITUTE(SUBSTITUTE(R104,",",";")," ",";"),";",REPT(" ",60)),(ROW($1:$10)-1)*60+1,60))="","",MATCH(TRIM(MID(SUBSTITUTE(SUBSTITUTE(SUBSTITUTE(R104,",",";")," ",";"),";",REPT(" ",60)),(ROW($1:$10)-1)*60+1,60)),$C$2:$C$201,0)),"")))</f>
        <v/>
      </c>
      <c r="G104">
        <f>IF($S104="","",INDEX('Programme Export'!$H$7:$H$226,$S104))</f>
        <v/>
      </c>
      <c r="J104">
        <f>IF($S104="","",INDEX('Programme Export'!$R$7:$R$226,$S104)&amp;"")</f>
        <v/>
      </c>
      <c r="K104">
        <f>IF($S104="","",INDEX('Programme Export'!$C$7:$C$226,$S104)&amp;"")</f>
        <v/>
      </c>
      <c r="L104">
        <f>IF($S104="","",'Cover &amp; Instructions'!$B$38)</f>
        <v/>
      </c>
      <c r="M104">
        <f>IF($S104="","",INDEX('Programme Export'!$F$7:$F$226,$S104))</f>
        <v/>
      </c>
      <c r="N104">
        <f>IF($S104="","",INDEX('Programme Export'!$G$7:$G$226,$S104)&amp;"")</f>
        <v/>
      </c>
      <c r="O104">
        <f>IF($S104="","",IFERROR(P104/M104,0))</f>
        <v/>
      </c>
      <c r="P104">
        <f>IF($S104="","",INDEX('Programme Export'!$H$7:$H$226,$S104))</f>
        <v/>
      </c>
      <c r="Q104">
        <f>IF($S104="","",INDEX('Programme Export'!$X$7:$X$226,$S104)&amp;"")</f>
        <v/>
      </c>
      <c r="R104">
        <f>IF($S104="","",INDEX('Programme Export'!$P$7:$P$226,$S104)&amp;"")</f>
        <v/>
      </c>
      <c r="S104">
        <f>IFERROR(MATCH(103,'Programme Export'!$Y$7:$Y$226,0),"")</f>
        <v/>
      </c>
    </row>
    <row r="105">
      <c r="A105">
        <f>IF($S105="","",104)</f>
        <v/>
      </c>
      <c r="B105">
        <f>IF($S105="","",1)</f>
        <v/>
      </c>
      <c r="C105">
        <f>IF($S105="","",INDEX('Programme Export'!$D$7:$D$226,$S105)&amp;"")</f>
        <v/>
      </c>
      <c r="D105">
        <f>IF($S105="","",INDEX('Programme Export'!$E$7:$E$226,$S105)&amp;"")</f>
        <v/>
      </c>
      <c r="E105">
        <f>IF($S105="","",INDEX('Programme Export'!$N$7:$N$226,$S105)&amp;"")</f>
        <v/>
      </c>
      <c r="F105">
        <f t="array" ref="F105">IF(R105="","",_xlfn.TEXTJOIN(";",TRUE,IFERROR(IF(TRIM(MID(SUBSTITUTE(SUBSTITUTE(SUBSTITUTE(R105,",",";")," ",";"),";",REPT(" ",60)),(ROW($1:$10)-1)*60+1,60))="","",MATCH(TRIM(MID(SUBSTITUTE(SUBSTITUTE(SUBSTITUTE(R105,",",";")," ",";"),";",REPT(" ",60)),(ROW($1:$10)-1)*60+1,60)),$C$2:$C$201,0)),"")))</f>
        <v/>
      </c>
      <c r="G105">
        <f>IF($S105="","",INDEX('Programme Export'!$H$7:$H$226,$S105))</f>
        <v/>
      </c>
      <c r="J105">
        <f>IF($S105="","",INDEX('Programme Export'!$R$7:$R$226,$S105)&amp;"")</f>
        <v/>
      </c>
      <c r="K105">
        <f>IF($S105="","",INDEX('Programme Export'!$C$7:$C$226,$S105)&amp;"")</f>
        <v/>
      </c>
      <c r="L105">
        <f>IF($S105="","",'Cover &amp; Instructions'!$B$38)</f>
        <v/>
      </c>
      <c r="M105">
        <f>IF($S105="","",INDEX('Programme Export'!$F$7:$F$226,$S105))</f>
        <v/>
      </c>
      <c r="N105">
        <f>IF($S105="","",INDEX('Programme Export'!$G$7:$G$226,$S105)&amp;"")</f>
        <v/>
      </c>
      <c r="O105">
        <f>IF($S105="","",IFERROR(P105/M105,0))</f>
        <v/>
      </c>
      <c r="P105">
        <f>IF($S105="","",INDEX('Programme Export'!$H$7:$H$226,$S105))</f>
        <v/>
      </c>
      <c r="Q105">
        <f>IF($S105="","",INDEX('Programme Export'!$X$7:$X$226,$S105)&amp;"")</f>
        <v/>
      </c>
      <c r="R105">
        <f>IF($S105="","",INDEX('Programme Export'!$P$7:$P$226,$S105)&amp;"")</f>
        <v/>
      </c>
      <c r="S105">
        <f>IFERROR(MATCH(104,'Programme Export'!$Y$7:$Y$226,0),"")</f>
        <v/>
      </c>
    </row>
    <row r="106">
      <c r="A106">
        <f>IF($S106="","",105)</f>
        <v/>
      </c>
      <c r="B106">
        <f>IF($S106="","",1)</f>
        <v/>
      </c>
      <c r="C106">
        <f>IF($S106="","",INDEX('Programme Export'!$D$7:$D$226,$S106)&amp;"")</f>
        <v/>
      </c>
      <c r="D106">
        <f>IF($S106="","",INDEX('Programme Export'!$E$7:$E$226,$S106)&amp;"")</f>
        <v/>
      </c>
      <c r="E106">
        <f>IF($S106="","",INDEX('Programme Export'!$N$7:$N$226,$S106)&amp;"")</f>
        <v/>
      </c>
      <c r="F106">
        <f t="array" ref="F106">IF(R106="","",_xlfn.TEXTJOIN(";",TRUE,IFERROR(IF(TRIM(MID(SUBSTITUTE(SUBSTITUTE(SUBSTITUTE(R106,",",";")," ",";"),";",REPT(" ",60)),(ROW($1:$10)-1)*60+1,60))="","",MATCH(TRIM(MID(SUBSTITUTE(SUBSTITUTE(SUBSTITUTE(R106,",",";")," ",";"),";",REPT(" ",60)),(ROW($1:$10)-1)*60+1,60)),$C$2:$C$201,0)),"")))</f>
        <v/>
      </c>
      <c r="G106">
        <f>IF($S106="","",INDEX('Programme Export'!$H$7:$H$226,$S106))</f>
        <v/>
      </c>
      <c r="J106">
        <f>IF($S106="","",INDEX('Programme Export'!$R$7:$R$226,$S106)&amp;"")</f>
        <v/>
      </c>
      <c r="K106">
        <f>IF($S106="","",INDEX('Programme Export'!$C$7:$C$226,$S106)&amp;"")</f>
        <v/>
      </c>
      <c r="L106">
        <f>IF($S106="","",'Cover &amp; Instructions'!$B$38)</f>
        <v/>
      </c>
      <c r="M106">
        <f>IF($S106="","",INDEX('Programme Export'!$F$7:$F$226,$S106))</f>
        <v/>
      </c>
      <c r="N106">
        <f>IF($S106="","",INDEX('Programme Export'!$G$7:$G$226,$S106)&amp;"")</f>
        <v/>
      </c>
      <c r="O106">
        <f>IF($S106="","",IFERROR(P106/M106,0))</f>
        <v/>
      </c>
      <c r="P106">
        <f>IF($S106="","",INDEX('Programme Export'!$H$7:$H$226,$S106))</f>
        <v/>
      </c>
      <c r="Q106">
        <f>IF($S106="","",INDEX('Programme Export'!$X$7:$X$226,$S106)&amp;"")</f>
        <v/>
      </c>
      <c r="R106">
        <f>IF($S106="","",INDEX('Programme Export'!$P$7:$P$226,$S106)&amp;"")</f>
        <v/>
      </c>
      <c r="S106">
        <f>IFERROR(MATCH(105,'Programme Export'!$Y$7:$Y$226,0),"")</f>
        <v/>
      </c>
    </row>
    <row r="107">
      <c r="A107">
        <f>IF($S107="","",106)</f>
        <v/>
      </c>
      <c r="B107">
        <f>IF($S107="","",1)</f>
        <v/>
      </c>
      <c r="C107">
        <f>IF($S107="","",INDEX('Programme Export'!$D$7:$D$226,$S107)&amp;"")</f>
        <v/>
      </c>
      <c r="D107">
        <f>IF($S107="","",INDEX('Programme Export'!$E$7:$E$226,$S107)&amp;"")</f>
        <v/>
      </c>
      <c r="E107">
        <f>IF($S107="","",INDEX('Programme Export'!$N$7:$N$226,$S107)&amp;"")</f>
        <v/>
      </c>
      <c r="F107">
        <f t="array" ref="F107">IF(R107="","",_xlfn.TEXTJOIN(";",TRUE,IFERROR(IF(TRIM(MID(SUBSTITUTE(SUBSTITUTE(SUBSTITUTE(R107,",",";")," ",";"),";",REPT(" ",60)),(ROW($1:$10)-1)*60+1,60))="","",MATCH(TRIM(MID(SUBSTITUTE(SUBSTITUTE(SUBSTITUTE(R107,",",";")," ",";"),";",REPT(" ",60)),(ROW($1:$10)-1)*60+1,60)),$C$2:$C$201,0)),"")))</f>
        <v/>
      </c>
      <c r="G107">
        <f>IF($S107="","",INDEX('Programme Export'!$H$7:$H$226,$S107))</f>
        <v/>
      </c>
      <c r="J107">
        <f>IF($S107="","",INDEX('Programme Export'!$R$7:$R$226,$S107)&amp;"")</f>
        <v/>
      </c>
      <c r="K107">
        <f>IF($S107="","",INDEX('Programme Export'!$C$7:$C$226,$S107)&amp;"")</f>
        <v/>
      </c>
      <c r="L107">
        <f>IF($S107="","",'Cover &amp; Instructions'!$B$38)</f>
        <v/>
      </c>
      <c r="M107">
        <f>IF($S107="","",INDEX('Programme Export'!$F$7:$F$226,$S107))</f>
        <v/>
      </c>
      <c r="N107">
        <f>IF($S107="","",INDEX('Programme Export'!$G$7:$G$226,$S107)&amp;"")</f>
        <v/>
      </c>
      <c r="O107">
        <f>IF($S107="","",IFERROR(P107/M107,0))</f>
        <v/>
      </c>
      <c r="P107">
        <f>IF($S107="","",INDEX('Programme Export'!$H$7:$H$226,$S107))</f>
        <v/>
      </c>
      <c r="Q107">
        <f>IF($S107="","",INDEX('Programme Export'!$X$7:$X$226,$S107)&amp;"")</f>
        <v/>
      </c>
      <c r="R107">
        <f>IF($S107="","",INDEX('Programme Export'!$P$7:$P$226,$S107)&amp;"")</f>
        <v/>
      </c>
      <c r="S107">
        <f>IFERROR(MATCH(106,'Programme Export'!$Y$7:$Y$226,0),"")</f>
        <v/>
      </c>
    </row>
    <row r="108">
      <c r="A108">
        <f>IF($S108="","",107)</f>
        <v/>
      </c>
      <c r="B108">
        <f>IF($S108="","",1)</f>
        <v/>
      </c>
      <c r="C108">
        <f>IF($S108="","",INDEX('Programme Export'!$D$7:$D$226,$S108)&amp;"")</f>
        <v/>
      </c>
      <c r="D108">
        <f>IF($S108="","",INDEX('Programme Export'!$E$7:$E$226,$S108)&amp;"")</f>
        <v/>
      </c>
      <c r="E108">
        <f>IF($S108="","",INDEX('Programme Export'!$N$7:$N$226,$S108)&amp;"")</f>
        <v/>
      </c>
      <c r="F108">
        <f t="array" ref="F108">IF(R108="","",_xlfn.TEXTJOIN(";",TRUE,IFERROR(IF(TRIM(MID(SUBSTITUTE(SUBSTITUTE(SUBSTITUTE(R108,",",";")," ",";"),";",REPT(" ",60)),(ROW($1:$10)-1)*60+1,60))="","",MATCH(TRIM(MID(SUBSTITUTE(SUBSTITUTE(SUBSTITUTE(R108,",",";")," ",";"),";",REPT(" ",60)),(ROW($1:$10)-1)*60+1,60)),$C$2:$C$201,0)),"")))</f>
        <v/>
      </c>
      <c r="G108">
        <f>IF($S108="","",INDEX('Programme Export'!$H$7:$H$226,$S108))</f>
        <v/>
      </c>
      <c r="J108">
        <f>IF($S108="","",INDEX('Programme Export'!$R$7:$R$226,$S108)&amp;"")</f>
        <v/>
      </c>
      <c r="K108">
        <f>IF($S108="","",INDEX('Programme Export'!$C$7:$C$226,$S108)&amp;"")</f>
        <v/>
      </c>
      <c r="L108">
        <f>IF($S108="","",'Cover &amp; Instructions'!$B$38)</f>
        <v/>
      </c>
      <c r="M108">
        <f>IF($S108="","",INDEX('Programme Export'!$F$7:$F$226,$S108))</f>
        <v/>
      </c>
      <c r="N108">
        <f>IF($S108="","",INDEX('Programme Export'!$G$7:$G$226,$S108)&amp;"")</f>
        <v/>
      </c>
      <c r="O108">
        <f>IF($S108="","",IFERROR(P108/M108,0))</f>
        <v/>
      </c>
      <c r="P108">
        <f>IF($S108="","",INDEX('Programme Export'!$H$7:$H$226,$S108))</f>
        <v/>
      </c>
      <c r="Q108">
        <f>IF($S108="","",INDEX('Programme Export'!$X$7:$X$226,$S108)&amp;"")</f>
        <v/>
      </c>
      <c r="R108">
        <f>IF($S108="","",INDEX('Programme Export'!$P$7:$P$226,$S108)&amp;"")</f>
        <v/>
      </c>
      <c r="S108">
        <f>IFERROR(MATCH(107,'Programme Export'!$Y$7:$Y$226,0),"")</f>
        <v/>
      </c>
    </row>
    <row r="109">
      <c r="A109">
        <f>IF($S109="","",108)</f>
        <v/>
      </c>
      <c r="B109">
        <f>IF($S109="","",1)</f>
        <v/>
      </c>
      <c r="C109">
        <f>IF($S109="","",INDEX('Programme Export'!$D$7:$D$226,$S109)&amp;"")</f>
        <v/>
      </c>
      <c r="D109">
        <f>IF($S109="","",INDEX('Programme Export'!$E$7:$E$226,$S109)&amp;"")</f>
        <v/>
      </c>
      <c r="E109">
        <f>IF($S109="","",INDEX('Programme Export'!$N$7:$N$226,$S109)&amp;"")</f>
        <v/>
      </c>
      <c r="F109">
        <f t="array" ref="F109">IF(R109="","",_xlfn.TEXTJOIN(";",TRUE,IFERROR(IF(TRIM(MID(SUBSTITUTE(SUBSTITUTE(SUBSTITUTE(R109,",",";")," ",";"),";",REPT(" ",60)),(ROW($1:$10)-1)*60+1,60))="","",MATCH(TRIM(MID(SUBSTITUTE(SUBSTITUTE(SUBSTITUTE(R109,",",";")," ",";"),";",REPT(" ",60)),(ROW($1:$10)-1)*60+1,60)),$C$2:$C$201,0)),"")))</f>
        <v/>
      </c>
      <c r="G109">
        <f>IF($S109="","",INDEX('Programme Export'!$H$7:$H$226,$S109))</f>
        <v/>
      </c>
      <c r="J109">
        <f>IF($S109="","",INDEX('Programme Export'!$R$7:$R$226,$S109)&amp;"")</f>
        <v/>
      </c>
      <c r="K109">
        <f>IF($S109="","",INDEX('Programme Export'!$C$7:$C$226,$S109)&amp;"")</f>
        <v/>
      </c>
      <c r="L109">
        <f>IF($S109="","",'Cover &amp; Instructions'!$B$38)</f>
        <v/>
      </c>
      <c r="M109">
        <f>IF($S109="","",INDEX('Programme Export'!$F$7:$F$226,$S109))</f>
        <v/>
      </c>
      <c r="N109">
        <f>IF($S109="","",INDEX('Programme Export'!$G$7:$G$226,$S109)&amp;"")</f>
        <v/>
      </c>
      <c r="O109">
        <f>IF($S109="","",IFERROR(P109/M109,0))</f>
        <v/>
      </c>
      <c r="P109">
        <f>IF($S109="","",INDEX('Programme Export'!$H$7:$H$226,$S109))</f>
        <v/>
      </c>
      <c r="Q109">
        <f>IF($S109="","",INDEX('Programme Export'!$X$7:$X$226,$S109)&amp;"")</f>
        <v/>
      </c>
      <c r="R109">
        <f>IF($S109="","",INDEX('Programme Export'!$P$7:$P$226,$S109)&amp;"")</f>
        <v/>
      </c>
      <c r="S109">
        <f>IFERROR(MATCH(108,'Programme Export'!$Y$7:$Y$226,0),"")</f>
        <v/>
      </c>
    </row>
    <row r="110">
      <c r="A110">
        <f>IF($S110="","",109)</f>
        <v/>
      </c>
      <c r="B110">
        <f>IF($S110="","",1)</f>
        <v/>
      </c>
      <c r="C110">
        <f>IF($S110="","",INDEX('Programme Export'!$D$7:$D$226,$S110)&amp;"")</f>
        <v/>
      </c>
      <c r="D110">
        <f>IF($S110="","",INDEX('Programme Export'!$E$7:$E$226,$S110)&amp;"")</f>
        <v/>
      </c>
      <c r="E110">
        <f>IF($S110="","",INDEX('Programme Export'!$N$7:$N$226,$S110)&amp;"")</f>
        <v/>
      </c>
      <c r="F110">
        <f t="array" ref="F110">IF(R110="","",_xlfn.TEXTJOIN(";",TRUE,IFERROR(IF(TRIM(MID(SUBSTITUTE(SUBSTITUTE(SUBSTITUTE(R110,",",";")," ",";"),";",REPT(" ",60)),(ROW($1:$10)-1)*60+1,60))="","",MATCH(TRIM(MID(SUBSTITUTE(SUBSTITUTE(SUBSTITUTE(R110,",",";")," ",";"),";",REPT(" ",60)),(ROW($1:$10)-1)*60+1,60)),$C$2:$C$201,0)),"")))</f>
        <v/>
      </c>
      <c r="G110">
        <f>IF($S110="","",INDEX('Programme Export'!$H$7:$H$226,$S110))</f>
        <v/>
      </c>
      <c r="J110">
        <f>IF($S110="","",INDEX('Programme Export'!$R$7:$R$226,$S110)&amp;"")</f>
        <v/>
      </c>
      <c r="K110">
        <f>IF($S110="","",INDEX('Programme Export'!$C$7:$C$226,$S110)&amp;"")</f>
        <v/>
      </c>
      <c r="L110">
        <f>IF($S110="","",'Cover &amp; Instructions'!$B$38)</f>
        <v/>
      </c>
      <c r="M110">
        <f>IF($S110="","",INDEX('Programme Export'!$F$7:$F$226,$S110))</f>
        <v/>
      </c>
      <c r="N110">
        <f>IF($S110="","",INDEX('Programme Export'!$G$7:$G$226,$S110)&amp;"")</f>
        <v/>
      </c>
      <c r="O110">
        <f>IF($S110="","",IFERROR(P110/M110,0))</f>
        <v/>
      </c>
      <c r="P110">
        <f>IF($S110="","",INDEX('Programme Export'!$H$7:$H$226,$S110))</f>
        <v/>
      </c>
      <c r="Q110">
        <f>IF($S110="","",INDEX('Programme Export'!$X$7:$X$226,$S110)&amp;"")</f>
        <v/>
      </c>
      <c r="R110">
        <f>IF($S110="","",INDEX('Programme Export'!$P$7:$P$226,$S110)&amp;"")</f>
        <v/>
      </c>
      <c r="S110">
        <f>IFERROR(MATCH(109,'Programme Export'!$Y$7:$Y$226,0),"")</f>
        <v/>
      </c>
    </row>
    <row r="111">
      <c r="A111">
        <f>IF($S111="","",110)</f>
        <v/>
      </c>
      <c r="B111">
        <f>IF($S111="","",1)</f>
        <v/>
      </c>
      <c r="C111">
        <f>IF($S111="","",INDEX('Programme Export'!$D$7:$D$226,$S111)&amp;"")</f>
        <v/>
      </c>
      <c r="D111">
        <f>IF($S111="","",INDEX('Programme Export'!$E$7:$E$226,$S111)&amp;"")</f>
        <v/>
      </c>
      <c r="E111">
        <f>IF($S111="","",INDEX('Programme Export'!$N$7:$N$226,$S111)&amp;"")</f>
        <v/>
      </c>
      <c r="F111">
        <f t="array" ref="F111">IF(R111="","",_xlfn.TEXTJOIN(";",TRUE,IFERROR(IF(TRIM(MID(SUBSTITUTE(SUBSTITUTE(SUBSTITUTE(R111,",",";")," ",";"),";",REPT(" ",60)),(ROW($1:$10)-1)*60+1,60))="","",MATCH(TRIM(MID(SUBSTITUTE(SUBSTITUTE(SUBSTITUTE(R111,",",";")," ",";"),";",REPT(" ",60)),(ROW($1:$10)-1)*60+1,60)),$C$2:$C$201,0)),"")))</f>
        <v/>
      </c>
      <c r="G111">
        <f>IF($S111="","",INDEX('Programme Export'!$H$7:$H$226,$S111))</f>
        <v/>
      </c>
      <c r="J111">
        <f>IF($S111="","",INDEX('Programme Export'!$R$7:$R$226,$S111)&amp;"")</f>
        <v/>
      </c>
      <c r="K111">
        <f>IF($S111="","",INDEX('Programme Export'!$C$7:$C$226,$S111)&amp;"")</f>
        <v/>
      </c>
      <c r="L111">
        <f>IF($S111="","",'Cover &amp; Instructions'!$B$38)</f>
        <v/>
      </c>
      <c r="M111">
        <f>IF($S111="","",INDEX('Programme Export'!$F$7:$F$226,$S111))</f>
        <v/>
      </c>
      <c r="N111">
        <f>IF($S111="","",INDEX('Programme Export'!$G$7:$G$226,$S111)&amp;"")</f>
        <v/>
      </c>
      <c r="O111">
        <f>IF($S111="","",IFERROR(P111/M111,0))</f>
        <v/>
      </c>
      <c r="P111">
        <f>IF($S111="","",INDEX('Programme Export'!$H$7:$H$226,$S111))</f>
        <v/>
      </c>
      <c r="Q111">
        <f>IF($S111="","",INDEX('Programme Export'!$X$7:$X$226,$S111)&amp;"")</f>
        <v/>
      </c>
      <c r="R111">
        <f>IF($S111="","",INDEX('Programme Export'!$P$7:$P$226,$S111)&amp;"")</f>
        <v/>
      </c>
      <c r="S111">
        <f>IFERROR(MATCH(110,'Programme Export'!$Y$7:$Y$226,0),"")</f>
        <v/>
      </c>
    </row>
    <row r="112">
      <c r="A112">
        <f>IF($S112="","",111)</f>
        <v/>
      </c>
      <c r="B112">
        <f>IF($S112="","",1)</f>
        <v/>
      </c>
      <c r="C112">
        <f>IF($S112="","",INDEX('Programme Export'!$D$7:$D$226,$S112)&amp;"")</f>
        <v/>
      </c>
      <c r="D112">
        <f>IF($S112="","",INDEX('Programme Export'!$E$7:$E$226,$S112)&amp;"")</f>
        <v/>
      </c>
      <c r="E112">
        <f>IF($S112="","",INDEX('Programme Export'!$N$7:$N$226,$S112)&amp;"")</f>
        <v/>
      </c>
      <c r="F112">
        <f t="array" ref="F112">IF(R112="","",_xlfn.TEXTJOIN(";",TRUE,IFERROR(IF(TRIM(MID(SUBSTITUTE(SUBSTITUTE(SUBSTITUTE(R112,",",";")," ",";"),";",REPT(" ",60)),(ROW($1:$10)-1)*60+1,60))="","",MATCH(TRIM(MID(SUBSTITUTE(SUBSTITUTE(SUBSTITUTE(R112,",",";")," ",";"),";",REPT(" ",60)),(ROW($1:$10)-1)*60+1,60)),$C$2:$C$201,0)),"")))</f>
        <v/>
      </c>
      <c r="G112">
        <f>IF($S112="","",INDEX('Programme Export'!$H$7:$H$226,$S112))</f>
        <v/>
      </c>
      <c r="J112">
        <f>IF($S112="","",INDEX('Programme Export'!$R$7:$R$226,$S112)&amp;"")</f>
        <v/>
      </c>
      <c r="K112">
        <f>IF($S112="","",INDEX('Programme Export'!$C$7:$C$226,$S112)&amp;"")</f>
        <v/>
      </c>
      <c r="L112">
        <f>IF($S112="","",'Cover &amp; Instructions'!$B$38)</f>
        <v/>
      </c>
      <c r="M112">
        <f>IF($S112="","",INDEX('Programme Export'!$F$7:$F$226,$S112))</f>
        <v/>
      </c>
      <c r="N112">
        <f>IF($S112="","",INDEX('Programme Export'!$G$7:$G$226,$S112)&amp;"")</f>
        <v/>
      </c>
      <c r="O112">
        <f>IF($S112="","",IFERROR(P112/M112,0))</f>
        <v/>
      </c>
      <c r="P112">
        <f>IF($S112="","",INDEX('Programme Export'!$H$7:$H$226,$S112))</f>
        <v/>
      </c>
      <c r="Q112">
        <f>IF($S112="","",INDEX('Programme Export'!$X$7:$X$226,$S112)&amp;"")</f>
        <v/>
      </c>
      <c r="R112">
        <f>IF($S112="","",INDEX('Programme Export'!$P$7:$P$226,$S112)&amp;"")</f>
        <v/>
      </c>
      <c r="S112">
        <f>IFERROR(MATCH(111,'Programme Export'!$Y$7:$Y$226,0),"")</f>
        <v/>
      </c>
    </row>
    <row r="113">
      <c r="A113">
        <f>IF($S113="","",112)</f>
        <v/>
      </c>
      <c r="B113">
        <f>IF($S113="","",1)</f>
        <v/>
      </c>
      <c r="C113">
        <f>IF($S113="","",INDEX('Programme Export'!$D$7:$D$226,$S113)&amp;"")</f>
        <v/>
      </c>
      <c r="D113">
        <f>IF($S113="","",INDEX('Programme Export'!$E$7:$E$226,$S113)&amp;"")</f>
        <v/>
      </c>
      <c r="E113">
        <f>IF($S113="","",INDEX('Programme Export'!$N$7:$N$226,$S113)&amp;"")</f>
        <v/>
      </c>
      <c r="F113">
        <f t="array" ref="F113">IF(R113="","",_xlfn.TEXTJOIN(";",TRUE,IFERROR(IF(TRIM(MID(SUBSTITUTE(SUBSTITUTE(SUBSTITUTE(R113,",",";")," ",";"),";",REPT(" ",60)),(ROW($1:$10)-1)*60+1,60))="","",MATCH(TRIM(MID(SUBSTITUTE(SUBSTITUTE(SUBSTITUTE(R113,",",";")," ",";"),";",REPT(" ",60)),(ROW($1:$10)-1)*60+1,60)),$C$2:$C$201,0)),"")))</f>
        <v/>
      </c>
      <c r="G113">
        <f>IF($S113="","",INDEX('Programme Export'!$H$7:$H$226,$S113))</f>
        <v/>
      </c>
      <c r="J113">
        <f>IF($S113="","",INDEX('Programme Export'!$R$7:$R$226,$S113)&amp;"")</f>
        <v/>
      </c>
      <c r="K113">
        <f>IF($S113="","",INDEX('Programme Export'!$C$7:$C$226,$S113)&amp;"")</f>
        <v/>
      </c>
      <c r="L113">
        <f>IF($S113="","",'Cover &amp; Instructions'!$B$38)</f>
        <v/>
      </c>
      <c r="M113">
        <f>IF($S113="","",INDEX('Programme Export'!$F$7:$F$226,$S113))</f>
        <v/>
      </c>
      <c r="N113">
        <f>IF($S113="","",INDEX('Programme Export'!$G$7:$G$226,$S113)&amp;"")</f>
        <v/>
      </c>
      <c r="O113">
        <f>IF($S113="","",IFERROR(P113/M113,0))</f>
        <v/>
      </c>
      <c r="P113">
        <f>IF($S113="","",INDEX('Programme Export'!$H$7:$H$226,$S113))</f>
        <v/>
      </c>
      <c r="Q113">
        <f>IF($S113="","",INDEX('Programme Export'!$X$7:$X$226,$S113)&amp;"")</f>
        <v/>
      </c>
      <c r="R113">
        <f>IF($S113="","",INDEX('Programme Export'!$P$7:$P$226,$S113)&amp;"")</f>
        <v/>
      </c>
      <c r="S113">
        <f>IFERROR(MATCH(112,'Programme Export'!$Y$7:$Y$226,0),"")</f>
        <v/>
      </c>
    </row>
    <row r="114">
      <c r="A114">
        <f>IF($S114="","",113)</f>
        <v/>
      </c>
      <c r="B114">
        <f>IF($S114="","",1)</f>
        <v/>
      </c>
      <c r="C114">
        <f>IF($S114="","",INDEX('Programme Export'!$D$7:$D$226,$S114)&amp;"")</f>
        <v/>
      </c>
      <c r="D114">
        <f>IF($S114="","",INDEX('Programme Export'!$E$7:$E$226,$S114)&amp;"")</f>
        <v/>
      </c>
      <c r="E114">
        <f>IF($S114="","",INDEX('Programme Export'!$N$7:$N$226,$S114)&amp;"")</f>
        <v/>
      </c>
      <c r="F114">
        <f t="array" ref="F114">IF(R114="","",_xlfn.TEXTJOIN(";",TRUE,IFERROR(IF(TRIM(MID(SUBSTITUTE(SUBSTITUTE(SUBSTITUTE(R114,",",";")," ",";"),";",REPT(" ",60)),(ROW($1:$10)-1)*60+1,60))="","",MATCH(TRIM(MID(SUBSTITUTE(SUBSTITUTE(SUBSTITUTE(R114,",",";")," ",";"),";",REPT(" ",60)),(ROW($1:$10)-1)*60+1,60)),$C$2:$C$201,0)),"")))</f>
        <v/>
      </c>
      <c r="G114">
        <f>IF($S114="","",INDEX('Programme Export'!$H$7:$H$226,$S114))</f>
        <v/>
      </c>
      <c r="J114">
        <f>IF($S114="","",INDEX('Programme Export'!$R$7:$R$226,$S114)&amp;"")</f>
        <v/>
      </c>
      <c r="K114">
        <f>IF($S114="","",INDEX('Programme Export'!$C$7:$C$226,$S114)&amp;"")</f>
        <v/>
      </c>
      <c r="L114">
        <f>IF($S114="","",'Cover &amp; Instructions'!$B$38)</f>
        <v/>
      </c>
      <c r="M114">
        <f>IF($S114="","",INDEX('Programme Export'!$F$7:$F$226,$S114))</f>
        <v/>
      </c>
      <c r="N114">
        <f>IF($S114="","",INDEX('Programme Export'!$G$7:$G$226,$S114)&amp;"")</f>
        <v/>
      </c>
      <c r="O114">
        <f>IF($S114="","",IFERROR(P114/M114,0))</f>
        <v/>
      </c>
      <c r="P114">
        <f>IF($S114="","",INDEX('Programme Export'!$H$7:$H$226,$S114))</f>
        <v/>
      </c>
      <c r="Q114">
        <f>IF($S114="","",INDEX('Programme Export'!$X$7:$X$226,$S114)&amp;"")</f>
        <v/>
      </c>
      <c r="R114">
        <f>IF($S114="","",INDEX('Programme Export'!$P$7:$P$226,$S114)&amp;"")</f>
        <v/>
      </c>
      <c r="S114">
        <f>IFERROR(MATCH(113,'Programme Export'!$Y$7:$Y$226,0),"")</f>
        <v/>
      </c>
    </row>
    <row r="115">
      <c r="A115">
        <f>IF($S115="","",114)</f>
        <v/>
      </c>
      <c r="B115">
        <f>IF($S115="","",1)</f>
        <v/>
      </c>
      <c r="C115">
        <f>IF($S115="","",INDEX('Programme Export'!$D$7:$D$226,$S115)&amp;"")</f>
        <v/>
      </c>
      <c r="D115">
        <f>IF($S115="","",INDEX('Programme Export'!$E$7:$E$226,$S115)&amp;"")</f>
        <v/>
      </c>
      <c r="E115">
        <f>IF($S115="","",INDEX('Programme Export'!$N$7:$N$226,$S115)&amp;"")</f>
        <v/>
      </c>
      <c r="F115">
        <f t="array" ref="F115">IF(R115="","",_xlfn.TEXTJOIN(";",TRUE,IFERROR(IF(TRIM(MID(SUBSTITUTE(SUBSTITUTE(SUBSTITUTE(R115,",",";")," ",";"),";",REPT(" ",60)),(ROW($1:$10)-1)*60+1,60))="","",MATCH(TRIM(MID(SUBSTITUTE(SUBSTITUTE(SUBSTITUTE(R115,",",";")," ",";"),";",REPT(" ",60)),(ROW($1:$10)-1)*60+1,60)),$C$2:$C$201,0)),"")))</f>
        <v/>
      </c>
      <c r="G115">
        <f>IF($S115="","",INDEX('Programme Export'!$H$7:$H$226,$S115))</f>
        <v/>
      </c>
      <c r="J115">
        <f>IF($S115="","",INDEX('Programme Export'!$R$7:$R$226,$S115)&amp;"")</f>
        <v/>
      </c>
      <c r="K115">
        <f>IF($S115="","",INDEX('Programme Export'!$C$7:$C$226,$S115)&amp;"")</f>
        <v/>
      </c>
      <c r="L115">
        <f>IF($S115="","",'Cover &amp; Instructions'!$B$38)</f>
        <v/>
      </c>
      <c r="M115">
        <f>IF($S115="","",INDEX('Programme Export'!$F$7:$F$226,$S115))</f>
        <v/>
      </c>
      <c r="N115">
        <f>IF($S115="","",INDEX('Programme Export'!$G$7:$G$226,$S115)&amp;"")</f>
        <v/>
      </c>
      <c r="O115">
        <f>IF($S115="","",IFERROR(P115/M115,0))</f>
        <v/>
      </c>
      <c r="P115">
        <f>IF($S115="","",INDEX('Programme Export'!$H$7:$H$226,$S115))</f>
        <v/>
      </c>
      <c r="Q115">
        <f>IF($S115="","",INDEX('Programme Export'!$X$7:$X$226,$S115)&amp;"")</f>
        <v/>
      </c>
      <c r="R115">
        <f>IF($S115="","",INDEX('Programme Export'!$P$7:$P$226,$S115)&amp;"")</f>
        <v/>
      </c>
      <c r="S115">
        <f>IFERROR(MATCH(114,'Programme Export'!$Y$7:$Y$226,0),"")</f>
        <v/>
      </c>
    </row>
    <row r="116">
      <c r="A116">
        <f>IF($S116="","",115)</f>
        <v/>
      </c>
      <c r="B116">
        <f>IF($S116="","",1)</f>
        <v/>
      </c>
      <c r="C116">
        <f>IF($S116="","",INDEX('Programme Export'!$D$7:$D$226,$S116)&amp;"")</f>
        <v/>
      </c>
      <c r="D116">
        <f>IF($S116="","",INDEX('Programme Export'!$E$7:$E$226,$S116)&amp;"")</f>
        <v/>
      </c>
      <c r="E116">
        <f>IF($S116="","",INDEX('Programme Export'!$N$7:$N$226,$S116)&amp;"")</f>
        <v/>
      </c>
      <c r="F116">
        <f t="array" ref="F116">IF(R116="","",_xlfn.TEXTJOIN(";",TRUE,IFERROR(IF(TRIM(MID(SUBSTITUTE(SUBSTITUTE(SUBSTITUTE(R116,",",";")," ",";"),";",REPT(" ",60)),(ROW($1:$10)-1)*60+1,60))="","",MATCH(TRIM(MID(SUBSTITUTE(SUBSTITUTE(SUBSTITUTE(R116,",",";")," ",";"),";",REPT(" ",60)),(ROW($1:$10)-1)*60+1,60)),$C$2:$C$201,0)),"")))</f>
        <v/>
      </c>
      <c r="G116">
        <f>IF($S116="","",INDEX('Programme Export'!$H$7:$H$226,$S116))</f>
        <v/>
      </c>
      <c r="J116">
        <f>IF($S116="","",INDEX('Programme Export'!$R$7:$R$226,$S116)&amp;"")</f>
        <v/>
      </c>
      <c r="K116">
        <f>IF($S116="","",INDEX('Programme Export'!$C$7:$C$226,$S116)&amp;"")</f>
        <v/>
      </c>
      <c r="L116">
        <f>IF($S116="","",'Cover &amp; Instructions'!$B$38)</f>
        <v/>
      </c>
      <c r="M116">
        <f>IF($S116="","",INDEX('Programme Export'!$F$7:$F$226,$S116))</f>
        <v/>
      </c>
      <c r="N116">
        <f>IF($S116="","",INDEX('Programme Export'!$G$7:$G$226,$S116)&amp;"")</f>
        <v/>
      </c>
      <c r="O116">
        <f>IF($S116="","",IFERROR(P116/M116,0))</f>
        <v/>
      </c>
      <c r="P116">
        <f>IF($S116="","",INDEX('Programme Export'!$H$7:$H$226,$S116))</f>
        <v/>
      </c>
      <c r="Q116">
        <f>IF($S116="","",INDEX('Programme Export'!$X$7:$X$226,$S116)&amp;"")</f>
        <v/>
      </c>
      <c r="R116">
        <f>IF($S116="","",INDEX('Programme Export'!$P$7:$P$226,$S116)&amp;"")</f>
        <v/>
      </c>
      <c r="S116">
        <f>IFERROR(MATCH(115,'Programme Export'!$Y$7:$Y$226,0),"")</f>
        <v/>
      </c>
    </row>
    <row r="117">
      <c r="A117">
        <f>IF($S117="","",116)</f>
        <v/>
      </c>
      <c r="B117">
        <f>IF($S117="","",1)</f>
        <v/>
      </c>
      <c r="C117">
        <f>IF($S117="","",INDEX('Programme Export'!$D$7:$D$226,$S117)&amp;"")</f>
        <v/>
      </c>
      <c r="D117">
        <f>IF($S117="","",INDEX('Programme Export'!$E$7:$E$226,$S117)&amp;"")</f>
        <v/>
      </c>
      <c r="E117">
        <f>IF($S117="","",INDEX('Programme Export'!$N$7:$N$226,$S117)&amp;"")</f>
        <v/>
      </c>
      <c r="F117">
        <f t="array" ref="F117">IF(R117="","",_xlfn.TEXTJOIN(";",TRUE,IFERROR(IF(TRIM(MID(SUBSTITUTE(SUBSTITUTE(SUBSTITUTE(R117,",",";")," ",";"),";",REPT(" ",60)),(ROW($1:$10)-1)*60+1,60))="","",MATCH(TRIM(MID(SUBSTITUTE(SUBSTITUTE(SUBSTITUTE(R117,",",";")," ",";"),";",REPT(" ",60)),(ROW($1:$10)-1)*60+1,60)),$C$2:$C$201,0)),"")))</f>
        <v/>
      </c>
      <c r="G117">
        <f>IF($S117="","",INDEX('Programme Export'!$H$7:$H$226,$S117))</f>
        <v/>
      </c>
      <c r="J117">
        <f>IF($S117="","",INDEX('Programme Export'!$R$7:$R$226,$S117)&amp;"")</f>
        <v/>
      </c>
      <c r="K117">
        <f>IF($S117="","",INDEX('Programme Export'!$C$7:$C$226,$S117)&amp;"")</f>
        <v/>
      </c>
      <c r="L117">
        <f>IF($S117="","",'Cover &amp; Instructions'!$B$38)</f>
        <v/>
      </c>
      <c r="M117">
        <f>IF($S117="","",INDEX('Programme Export'!$F$7:$F$226,$S117))</f>
        <v/>
      </c>
      <c r="N117">
        <f>IF($S117="","",INDEX('Programme Export'!$G$7:$G$226,$S117)&amp;"")</f>
        <v/>
      </c>
      <c r="O117">
        <f>IF($S117="","",IFERROR(P117/M117,0))</f>
        <v/>
      </c>
      <c r="P117">
        <f>IF($S117="","",INDEX('Programme Export'!$H$7:$H$226,$S117))</f>
        <v/>
      </c>
      <c r="Q117">
        <f>IF($S117="","",INDEX('Programme Export'!$X$7:$X$226,$S117)&amp;"")</f>
        <v/>
      </c>
      <c r="R117">
        <f>IF($S117="","",INDEX('Programme Export'!$P$7:$P$226,$S117)&amp;"")</f>
        <v/>
      </c>
      <c r="S117">
        <f>IFERROR(MATCH(116,'Programme Export'!$Y$7:$Y$226,0),"")</f>
        <v/>
      </c>
    </row>
    <row r="118">
      <c r="A118">
        <f>IF($S118="","",117)</f>
        <v/>
      </c>
      <c r="B118">
        <f>IF($S118="","",1)</f>
        <v/>
      </c>
      <c r="C118">
        <f>IF($S118="","",INDEX('Programme Export'!$D$7:$D$226,$S118)&amp;"")</f>
        <v/>
      </c>
      <c r="D118">
        <f>IF($S118="","",INDEX('Programme Export'!$E$7:$E$226,$S118)&amp;"")</f>
        <v/>
      </c>
      <c r="E118">
        <f>IF($S118="","",INDEX('Programme Export'!$N$7:$N$226,$S118)&amp;"")</f>
        <v/>
      </c>
      <c r="F118">
        <f t="array" ref="F118">IF(R118="","",_xlfn.TEXTJOIN(";",TRUE,IFERROR(IF(TRIM(MID(SUBSTITUTE(SUBSTITUTE(SUBSTITUTE(R118,",",";")," ",";"),";",REPT(" ",60)),(ROW($1:$10)-1)*60+1,60))="","",MATCH(TRIM(MID(SUBSTITUTE(SUBSTITUTE(SUBSTITUTE(R118,",",";")," ",";"),";",REPT(" ",60)),(ROW($1:$10)-1)*60+1,60)),$C$2:$C$201,0)),"")))</f>
        <v/>
      </c>
      <c r="G118">
        <f>IF($S118="","",INDEX('Programme Export'!$H$7:$H$226,$S118))</f>
        <v/>
      </c>
      <c r="J118">
        <f>IF($S118="","",INDEX('Programme Export'!$R$7:$R$226,$S118)&amp;"")</f>
        <v/>
      </c>
      <c r="K118">
        <f>IF($S118="","",INDEX('Programme Export'!$C$7:$C$226,$S118)&amp;"")</f>
        <v/>
      </c>
      <c r="L118">
        <f>IF($S118="","",'Cover &amp; Instructions'!$B$38)</f>
        <v/>
      </c>
      <c r="M118">
        <f>IF($S118="","",INDEX('Programme Export'!$F$7:$F$226,$S118))</f>
        <v/>
      </c>
      <c r="N118">
        <f>IF($S118="","",INDEX('Programme Export'!$G$7:$G$226,$S118)&amp;"")</f>
        <v/>
      </c>
      <c r="O118">
        <f>IF($S118="","",IFERROR(P118/M118,0))</f>
        <v/>
      </c>
      <c r="P118">
        <f>IF($S118="","",INDEX('Programme Export'!$H$7:$H$226,$S118))</f>
        <v/>
      </c>
      <c r="Q118">
        <f>IF($S118="","",INDEX('Programme Export'!$X$7:$X$226,$S118)&amp;"")</f>
        <v/>
      </c>
      <c r="R118">
        <f>IF($S118="","",INDEX('Programme Export'!$P$7:$P$226,$S118)&amp;"")</f>
        <v/>
      </c>
      <c r="S118">
        <f>IFERROR(MATCH(117,'Programme Export'!$Y$7:$Y$226,0),"")</f>
        <v/>
      </c>
    </row>
    <row r="119">
      <c r="A119">
        <f>IF($S119="","",118)</f>
        <v/>
      </c>
      <c r="B119">
        <f>IF($S119="","",1)</f>
        <v/>
      </c>
      <c r="C119">
        <f>IF($S119="","",INDEX('Programme Export'!$D$7:$D$226,$S119)&amp;"")</f>
        <v/>
      </c>
      <c r="D119">
        <f>IF($S119="","",INDEX('Programme Export'!$E$7:$E$226,$S119)&amp;"")</f>
        <v/>
      </c>
      <c r="E119">
        <f>IF($S119="","",INDEX('Programme Export'!$N$7:$N$226,$S119)&amp;"")</f>
        <v/>
      </c>
      <c r="F119">
        <f t="array" ref="F119">IF(R119="","",_xlfn.TEXTJOIN(";",TRUE,IFERROR(IF(TRIM(MID(SUBSTITUTE(SUBSTITUTE(SUBSTITUTE(R119,",",";")," ",";"),";",REPT(" ",60)),(ROW($1:$10)-1)*60+1,60))="","",MATCH(TRIM(MID(SUBSTITUTE(SUBSTITUTE(SUBSTITUTE(R119,",",";")," ",";"),";",REPT(" ",60)),(ROW($1:$10)-1)*60+1,60)),$C$2:$C$201,0)),"")))</f>
        <v/>
      </c>
      <c r="G119">
        <f>IF($S119="","",INDEX('Programme Export'!$H$7:$H$226,$S119))</f>
        <v/>
      </c>
      <c r="J119">
        <f>IF($S119="","",INDEX('Programme Export'!$R$7:$R$226,$S119)&amp;"")</f>
        <v/>
      </c>
      <c r="K119">
        <f>IF($S119="","",INDEX('Programme Export'!$C$7:$C$226,$S119)&amp;"")</f>
        <v/>
      </c>
      <c r="L119">
        <f>IF($S119="","",'Cover &amp; Instructions'!$B$38)</f>
        <v/>
      </c>
      <c r="M119">
        <f>IF($S119="","",INDEX('Programme Export'!$F$7:$F$226,$S119))</f>
        <v/>
      </c>
      <c r="N119">
        <f>IF($S119="","",INDEX('Programme Export'!$G$7:$G$226,$S119)&amp;"")</f>
        <v/>
      </c>
      <c r="O119">
        <f>IF($S119="","",IFERROR(P119/M119,0))</f>
        <v/>
      </c>
      <c r="P119">
        <f>IF($S119="","",INDEX('Programme Export'!$H$7:$H$226,$S119))</f>
        <v/>
      </c>
      <c r="Q119">
        <f>IF($S119="","",INDEX('Programme Export'!$X$7:$X$226,$S119)&amp;"")</f>
        <v/>
      </c>
      <c r="R119">
        <f>IF($S119="","",INDEX('Programme Export'!$P$7:$P$226,$S119)&amp;"")</f>
        <v/>
      </c>
      <c r="S119">
        <f>IFERROR(MATCH(118,'Programme Export'!$Y$7:$Y$226,0),"")</f>
        <v/>
      </c>
    </row>
    <row r="120">
      <c r="A120">
        <f>IF($S120="","",119)</f>
        <v/>
      </c>
      <c r="B120">
        <f>IF($S120="","",1)</f>
        <v/>
      </c>
      <c r="C120">
        <f>IF($S120="","",INDEX('Programme Export'!$D$7:$D$226,$S120)&amp;"")</f>
        <v/>
      </c>
      <c r="D120">
        <f>IF($S120="","",INDEX('Programme Export'!$E$7:$E$226,$S120)&amp;"")</f>
        <v/>
      </c>
      <c r="E120">
        <f>IF($S120="","",INDEX('Programme Export'!$N$7:$N$226,$S120)&amp;"")</f>
        <v/>
      </c>
      <c r="F120">
        <f t="array" ref="F120">IF(R120="","",_xlfn.TEXTJOIN(";",TRUE,IFERROR(IF(TRIM(MID(SUBSTITUTE(SUBSTITUTE(SUBSTITUTE(R120,",",";")," ",";"),";",REPT(" ",60)),(ROW($1:$10)-1)*60+1,60))="","",MATCH(TRIM(MID(SUBSTITUTE(SUBSTITUTE(SUBSTITUTE(R120,",",";")," ",";"),";",REPT(" ",60)),(ROW($1:$10)-1)*60+1,60)),$C$2:$C$201,0)),"")))</f>
        <v/>
      </c>
      <c r="G120">
        <f>IF($S120="","",INDEX('Programme Export'!$H$7:$H$226,$S120))</f>
        <v/>
      </c>
      <c r="J120">
        <f>IF($S120="","",INDEX('Programme Export'!$R$7:$R$226,$S120)&amp;"")</f>
        <v/>
      </c>
      <c r="K120">
        <f>IF($S120="","",INDEX('Programme Export'!$C$7:$C$226,$S120)&amp;"")</f>
        <v/>
      </c>
      <c r="L120">
        <f>IF($S120="","",'Cover &amp; Instructions'!$B$38)</f>
        <v/>
      </c>
      <c r="M120">
        <f>IF($S120="","",INDEX('Programme Export'!$F$7:$F$226,$S120))</f>
        <v/>
      </c>
      <c r="N120">
        <f>IF($S120="","",INDEX('Programme Export'!$G$7:$G$226,$S120)&amp;"")</f>
        <v/>
      </c>
      <c r="O120">
        <f>IF($S120="","",IFERROR(P120/M120,0))</f>
        <v/>
      </c>
      <c r="P120">
        <f>IF($S120="","",INDEX('Programme Export'!$H$7:$H$226,$S120))</f>
        <v/>
      </c>
      <c r="Q120">
        <f>IF($S120="","",INDEX('Programme Export'!$X$7:$X$226,$S120)&amp;"")</f>
        <v/>
      </c>
      <c r="R120">
        <f>IF($S120="","",INDEX('Programme Export'!$P$7:$P$226,$S120)&amp;"")</f>
        <v/>
      </c>
      <c r="S120">
        <f>IFERROR(MATCH(119,'Programme Export'!$Y$7:$Y$226,0),"")</f>
        <v/>
      </c>
    </row>
    <row r="121">
      <c r="A121">
        <f>IF($S121="","",120)</f>
        <v/>
      </c>
      <c r="B121">
        <f>IF($S121="","",1)</f>
        <v/>
      </c>
      <c r="C121">
        <f>IF($S121="","",INDEX('Programme Export'!$D$7:$D$226,$S121)&amp;"")</f>
        <v/>
      </c>
      <c r="D121">
        <f>IF($S121="","",INDEX('Programme Export'!$E$7:$E$226,$S121)&amp;"")</f>
        <v/>
      </c>
      <c r="E121">
        <f>IF($S121="","",INDEX('Programme Export'!$N$7:$N$226,$S121)&amp;"")</f>
        <v/>
      </c>
      <c r="F121">
        <f t="array" ref="F121">IF(R121="","",_xlfn.TEXTJOIN(";",TRUE,IFERROR(IF(TRIM(MID(SUBSTITUTE(SUBSTITUTE(SUBSTITUTE(R121,",",";")," ",";"),";",REPT(" ",60)),(ROW($1:$10)-1)*60+1,60))="","",MATCH(TRIM(MID(SUBSTITUTE(SUBSTITUTE(SUBSTITUTE(R121,",",";")," ",";"),";",REPT(" ",60)),(ROW($1:$10)-1)*60+1,60)),$C$2:$C$201,0)),"")))</f>
        <v/>
      </c>
      <c r="G121">
        <f>IF($S121="","",INDEX('Programme Export'!$H$7:$H$226,$S121))</f>
        <v/>
      </c>
      <c r="J121">
        <f>IF($S121="","",INDEX('Programme Export'!$R$7:$R$226,$S121)&amp;"")</f>
        <v/>
      </c>
      <c r="K121">
        <f>IF($S121="","",INDEX('Programme Export'!$C$7:$C$226,$S121)&amp;"")</f>
        <v/>
      </c>
      <c r="L121">
        <f>IF($S121="","",'Cover &amp; Instructions'!$B$38)</f>
        <v/>
      </c>
      <c r="M121">
        <f>IF($S121="","",INDEX('Programme Export'!$F$7:$F$226,$S121))</f>
        <v/>
      </c>
      <c r="N121">
        <f>IF($S121="","",INDEX('Programme Export'!$G$7:$G$226,$S121)&amp;"")</f>
        <v/>
      </c>
      <c r="O121">
        <f>IF($S121="","",IFERROR(P121/M121,0))</f>
        <v/>
      </c>
      <c r="P121">
        <f>IF($S121="","",INDEX('Programme Export'!$H$7:$H$226,$S121))</f>
        <v/>
      </c>
      <c r="Q121">
        <f>IF($S121="","",INDEX('Programme Export'!$X$7:$X$226,$S121)&amp;"")</f>
        <v/>
      </c>
      <c r="R121">
        <f>IF($S121="","",INDEX('Programme Export'!$P$7:$P$226,$S121)&amp;"")</f>
        <v/>
      </c>
      <c r="S121">
        <f>IFERROR(MATCH(120,'Programme Export'!$Y$7:$Y$226,0),"")</f>
        <v/>
      </c>
    </row>
    <row r="122">
      <c r="A122">
        <f>IF($S122="","",121)</f>
        <v/>
      </c>
      <c r="B122">
        <f>IF($S122="","",1)</f>
        <v/>
      </c>
      <c r="C122">
        <f>IF($S122="","",INDEX('Programme Export'!$D$7:$D$226,$S122)&amp;"")</f>
        <v/>
      </c>
      <c r="D122">
        <f>IF($S122="","",INDEX('Programme Export'!$E$7:$E$226,$S122)&amp;"")</f>
        <v/>
      </c>
      <c r="E122">
        <f>IF($S122="","",INDEX('Programme Export'!$N$7:$N$226,$S122)&amp;"")</f>
        <v/>
      </c>
      <c r="F122">
        <f t="array" ref="F122">IF(R122="","",_xlfn.TEXTJOIN(";",TRUE,IFERROR(IF(TRIM(MID(SUBSTITUTE(SUBSTITUTE(SUBSTITUTE(R122,",",";")," ",";"),";",REPT(" ",60)),(ROW($1:$10)-1)*60+1,60))="","",MATCH(TRIM(MID(SUBSTITUTE(SUBSTITUTE(SUBSTITUTE(R122,",",";")," ",";"),";",REPT(" ",60)),(ROW($1:$10)-1)*60+1,60)),$C$2:$C$201,0)),"")))</f>
        <v/>
      </c>
      <c r="G122">
        <f>IF($S122="","",INDEX('Programme Export'!$H$7:$H$226,$S122))</f>
        <v/>
      </c>
      <c r="J122">
        <f>IF($S122="","",INDEX('Programme Export'!$R$7:$R$226,$S122)&amp;"")</f>
        <v/>
      </c>
      <c r="K122">
        <f>IF($S122="","",INDEX('Programme Export'!$C$7:$C$226,$S122)&amp;"")</f>
        <v/>
      </c>
      <c r="L122">
        <f>IF($S122="","",'Cover &amp; Instructions'!$B$38)</f>
        <v/>
      </c>
      <c r="M122">
        <f>IF($S122="","",INDEX('Programme Export'!$F$7:$F$226,$S122))</f>
        <v/>
      </c>
      <c r="N122">
        <f>IF($S122="","",INDEX('Programme Export'!$G$7:$G$226,$S122)&amp;"")</f>
        <v/>
      </c>
      <c r="O122">
        <f>IF($S122="","",IFERROR(P122/M122,0))</f>
        <v/>
      </c>
      <c r="P122">
        <f>IF($S122="","",INDEX('Programme Export'!$H$7:$H$226,$S122))</f>
        <v/>
      </c>
      <c r="Q122">
        <f>IF($S122="","",INDEX('Programme Export'!$X$7:$X$226,$S122)&amp;"")</f>
        <v/>
      </c>
      <c r="R122">
        <f>IF($S122="","",INDEX('Programme Export'!$P$7:$P$226,$S122)&amp;"")</f>
        <v/>
      </c>
      <c r="S122">
        <f>IFERROR(MATCH(121,'Programme Export'!$Y$7:$Y$226,0),"")</f>
        <v/>
      </c>
    </row>
    <row r="123">
      <c r="A123">
        <f>IF($S123="","",122)</f>
        <v/>
      </c>
      <c r="B123">
        <f>IF($S123="","",1)</f>
        <v/>
      </c>
      <c r="C123">
        <f>IF($S123="","",INDEX('Programme Export'!$D$7:$D$226,$S123)&amp;"")</f>
        <v/>
      </c>
      <c r="D123">
        <f>IF($S123="","",INDEX('Programme Export'!$E$7:$E$226,$S123)&amp;"")</f>
        <v/>
      </c>
      <c r="E123">
        <f>IF($S123="","",INDEX('Programme Export'!$N$7:$N$226,$S123)&amp;"")</f>
        <v/>
      </c>
      <c r="F123">
        <f t="array" ref="F123">IF(R123="","",_xlfn.TEXTJOIN(";",TRUE,IFERROR(IF(TRIM(MID(SUBSTITUTE(SUBSTITUTE(SUBSTITUTE(R123,",",";")," ",";"),";",REPT(" ",60)),(ROW($1:$10)-1)*60+1,60))="","",MATCH(TRIM(MID(SUBSTITUTE(SUBSTITUTE(SUBSTITUTE(R123,",",";")," ",";"),";",REPT(" ",60)),(ROW($1:$10)-1)*60+1,60)),$C$2:$C$201,0)),"")))</f>
        <v/>
      </c>
      <c r="G123">
        <f>IF($S123="","",INDEX('Programme Export'!$H$7:$H$226,$S123))</f>
        <v/>
      </c>
      <c r="J123">
        <f>IF($S123="","",INDEX('Programme Export'!$R$7:$R$226,$S123)&amp;"")</f>
        <v/>
      </c>
      <c r="K123">
        <f>IF($S123="","",INDEX('Programme Export'!$C$7:$C$226,$S123)&amp;"")</f>
        <v/>
      </c>
      <c r="L123">
        <f>IF($S123="","",'Cover &amp; Instructions'!$B$38)</f>
        <v/>
      </c>
      <c r="M123">
        <f>IF($S123="","",INDEX('Programme Export'!$F$7:$F$226,$S123))</f>
        <v/>
      </c>
      <c r="N123">
        <f>IF($S123="","",INDEX('Programme Export'!$G$7:$G$226,$S123)&amp;"")</f>
        <v/>
      </c>
      <c r="O123">
        <f>IF($S123="","",IFERROR(P123/M123,0))</f>
        <v/>
      </c>
      <c r="P123">
        <f>IF($S123="","",INDEX('Programme Export'!$H$7:$H$226,$S123))</f>
        <v/>
      </c>
      <c r="Q123">
        <f>IF($S123="","",INDEX('Programme Export'!$X$7:$X$226,$S123)&amp;"")</f>
        <v/>
      </c>
      <c r="R123">
        <f>IF($S123="","",INDEX('Programme Export'!$P$7:$P$226,$S123)&amp;"")</f>
        <v/>
      </c>
      <c r="S123">
        <f>IFERROR(MATCH(122,'Programme Export'!$Y$7:$Y$226,0),"")</f>
        <v/>
      </c>
    </row>
    <row r="124">
      <c r="A124">
        <f>IF($S124="","",123)</f>
        <v/>
      </c>
      <c r="B124">
        <f>IF($S124="","",1)</f>
        <v/>
      </c>
      <c r="C124">
        <f>IF($S124="","",INDEX('Programme Export'!$D$7:$D$226,$S124)&amp;"")</f>
        <v/>
      </c>
      <c r="D124">
        <f>IF($S124="","",INDEX('Programme Export'!$E$7:$E$226,$S124)&amp;"")</f>
        <v/>
      </c>
      <c r="E124">
        <f>IF($S124="","",INDEX('Programme Export'!$N$7:$N$226,$S124)&amp;"")</f>
        <v/>
      </c>
      <c r="F124">
        <f t="array" ref="F124">IF(R124="","",_xlfn.TEXTJOIN(";",TRUE,IFERROR(IF(TRIM(MID(SUBSTITUTE(SUBSTITUTE(SUBSTITUTE(R124,",",";")," ",";"),";",REPT(" ",60)),(ROW($1:$10)-1)*60+1,60))="","",MATCH(TRIM(MID(SUBSTITUTE(SUBSTITUTE(SUBSTITUTE(R124,",",";")," ",";"),";",REPT(" ",60)),(ROW($1:$10)-1)*60+1,60)),$C$2:$C$201,0)),"")))</f>
        <v/>
      </c>
      <c r="G124">
        <f>IF($S124="","",INDEX('Programme Export'!$H$7:$H$226,$S124))</f>
        <v/>
      </c>
      <c r="J124">
        <f>IF($S124="","",INDEX('Programme Export'!$R$7:$R$226,$S124)&amp;"")</f>
        <v/>
      </c>
      <c r="K124">
        <f>IF($S124="","",INDEX('Programme Export'!$C$7:$C$226,$S124)&amp;"")</f>
        <v/>
      </c>
      <c r="L124">
        <f>IF($S124="","",'Cover &amp; Instructions'!$B$38)</f>
        <v/>
      </c>
      <c r="M124">
        <f>IF($S124="","",INDEX('Programme Export'!$F$7:$F$226,$S124))</f>
        <v/>
      </c>
      <c r="N124">
        <f>IF($S124="","",INDEX('Programme Export'!$G$7:$G$226,$S124)&amp;"")</f>
        <v/>
      </c>
      <c r="O124">
        <f>IF($S124="","",IFERROR(P124/M124,0))</f>
        <v/>
      </c>
      <c r="P124">
        <f>IF($S124="","",INDEX('Programme Export'!$H$7:$H$226,$S124))</f>
        <v/>
      </c>
      <c r="Q124">
        <f>IF($S124="","",INDEX('Programme Export'!$X$7:$X$226,$S124)&amp;"")</f>
        <v/>
      </c>
      <c r="R124">
        <f>IF($S124="","",INDEX('Programme Export'!$P$7:$P$226,$S124)&amp;"")</f>
        <v/>
      </c>
      <c r="S124">
        <f>IFERROR(MATCH(123,'Programme Export'!$Y$7:$Y$226,0),"")</f>
        <v/>
      </c>
    </row>
    <row r="125">
      <c r="A125">
        <f>IF($S125="","",124)</f>
        <v/>
      </c>
      <c r="B125">
        <f>IF($S125="","",1)</f>
        <v/>
      </c>
      <c r="C125">
        <f>IF($S125="","",INDEX('Programme Export'!$D$7:$D$226,$S125)&amp;"")</f>
        <v/>
      </c>
      <c r="D125">
        <f>IF($S125="","",INDEX('Programme Export'!$E$7:$E$226,$S125)&amp;"")</f>
        <v/>
      </c>
      <c r="E125">
        <f>IF($S125="","",INDEX('Programme Export'!$N$7:$N$226,$S125)&amp;"")</f>
        <v/>
      </c>
      <c r="F125">
        <f t="array" ref="F125">IF(R125="","",_xlfn.TEXTJOIN(";",TRUE,IFERROR(IF(TRIM(MID(SUBSTITUTE(SUBSTITUTE(SUBSTITUTE(R125,",",";")," ",";"),";",REPT(" ",60)),(ROW($1:$10)-1)*60+1,60))="","",MATCH(TRIM(MID(SUBSTITUTE(SUBSTITUTE(SUBSTITUTE(R125,",",";")," ",";"),";",REPT(" ",60)),(ROW($1:$10)-1)*60+1,60)),$C$2:$C$201,0)),"")))</f>
        <v/>
      </c>
      <c r="G125">
        <f>IF($S125="","",INDEX('Programme Export'!$H$7:$H$226,$S125))</f>
        <v/>
      </c>
      <c r="J125">
        <f>IF($S125="","",INDEX('Programme Export'!$R$7:$R$226,$S125)&amp;"")</f>
        <v/>
      </c>
      <c r="K125">
        <f>IF($S125="","",INDEX('Programme Export'!$C$7:$C$226,$S125)&amp;"")</f>
        <v/>
      </c>
      <c r="L125">
        <f>IF($S125="","",'Cover &amp; Instructions'!$B$38)</f>
        <v/>
      </c>
      <c r="M125">
        <f>IF($S125="","",INDEX('Programme Export'!$F$7:$F$226,$S125))</f>
        <v/>
      </c>
      <c r="N125">
        <f>IF($S125="","",INDEX('Programme Export'!$G$7:$G$226,$S125)&amp;"")</f>
        <v/>
      </c>
      <c r="O125">
        <f>IF($S125="","",IFERROR(P125/M125,0))</f>
        <v/>
      </c>
      <c r="P125">
        <f>IF($S125="","",INDEX('Programme Export'!$H$7:$H$226,$S125))</f>
        <v/>
      </c>
      <c r="Q125">
        <f>IF($S125="","",INDEX('Programme Export'!$X$7:$X$226,$S125)&amp;"")</f>
        <v/>
      </c>
      <c r="R125">
        <f>IF($S125="","",INDEX('Programme Export'!$P$7:$P$226,$S125)&amp;"")</f>
        <v/>
      </c>
      <c r="S125">
        <f>IFERROR(MATCH(124,'Programme Export'!$Y$7:$Y$226,0),"")</f>
        <v/>
      </c>
    </row>
    <row r="126">
      <c r="A126">
        <f>IF($S126="","",125)</f>
        <v/>
      </c>
      <c r="B126">
        <f>IF($S126="","",1)</f>
        <v/>
      </c>
      <c r="C126">
        <f>IF($S126="","",INDEX('Programme Export'!$D$7:$D$226,$S126)&amp;"")</f>
        <v/>
      </c>
      <c r="D126">
        <f>IF($S126="","",INDEX('Programme Export'!$E$7:$E$226,$S126)&amp;"")</f>
        <v/>
      </c>
      <c r="E126">
        <f>IF($S126="","",INDEX('Programme Export'!$N$7:$N$226,$S126)&amp;"")</f>
        <v/>
      </c>
      <c r="F126">
        <f t="array" ref="F126">IF(R126="","",_xlfn.TEXTJOIN(";",TRUE,IFERROR(IF(TRIM(MID(SUBSTITUTE(SUBSTITUTE(SUBSTITUTE(R126,",",";")," ",";"),";",REPT(" ",60)),(ROW($1:$10)-1)*60+1,60))="","",MATCH(TRIM(MID(SUBSTITUTE(SUBSTITUTE(SUBSTITUTE(R126,",",";")," ",";"),";",REPT(" ",60)),(ROW($1:$10)-1)*60+1,60)),$C$2:$C$201,0)),"")))</f>
        <v/>
      </c>
      <c r="G126">
        <f>IF($S126="","",INDEX('Programme Export'!$H$7:$H$226,$S126))</f>
        <v/>
      </c>
      <c r="J126">
        <f>IF($S126="","",INDEX('Programme Export'!$R$7:$R$226,$S126)&amp;"")</f>
        <v/>
      </c>
      <c r="K126">
        <f>IF($S126="","",INDEX('Programme Export'!$C$7:$C$226,$S126)&amp;"")</f>
        <v/>
      </c>
      <c r="L126">
        <f>IF($S126="","",'Cover &amp; Instructions'!$B$38)</f>
        <v/>
      </c>
      <c r="M126">
        <f>IF($S126="","",INDEX('Programme Export'!$F$7:$F$226,$S126))</f>
        <v/>
      </c>
      <c r="N126">
        <f>IF($S126="","",INDEX('Programme Export'!$G$7:$G$226,$S126)&amp;"")</f>
        <v/>
      </c>
      <c r="O126">
        <f>IF($S126="","",IFERROR(P126/M126,0))</f>
        <v/>
      </c>
      <c r="P126">
        <f>IF($S126="","",INDEX('Programme Export'!$H$7:$H$226,$S126))</f>
        <v/>
      </c>
      <c r="Q126">
        <f>IF($S126="","",INDEX('Programme Export'!$X$7:$X$226,$S126)&amp;"")</f>
        <v/>
      </c>
      <c r="R126">
        <f>IF($S126="","",INDEX('Programme Export'!$P$7:$P$226,$S126)&amp;"")</f>
        <v/>
      </c>
      <c r="S126">
        <f>IFERROR(MATCH(125,'Programme Export'!$Y$7:$Y$226,0),"")</f>
        <v/>
      </c>
    </row>
    <row r="127">
      <c r="A127">
        <f>IF($S127="","",126)</f>
        <v/>
      </c>
      <c r="B127">
        <f>IF($S127="","",1)</f>
        <v/>
      </c>
      <c r="C127">
        <f>IF($S127="","",INDEX('Programme Export'!$D$7:$D$226,$S127)&amp;"")</f>
        <v/>
      </c>
      <c r="D127">
        <f>IF($S127="","",INDEX('Programme Export'!$E$7:$E$226,$S127)&amp;"")</f>
        <v/>
      </c>
      <c r="E127">
        <f>IF($S127="","",INDEX('Programme Export'!$N$7:$N$226,$S127)&amp;"")</f>
        <v/>
      </c>
      <c r="F127">
        <f t="array" ref="F127">IF(R127="","",_xlfn.TEXTJOIN(";",TRUE,IFERROR(IF(TRIM(MID(SUBSTITUTE(SUBSTITUTE(SUBSTITUTE(R127,",",";")," ",";"),";",REPT(" ",60)),(ROW($1:$10)-1)*60+1,60))="","",MATCH(TRIM(MID(SUBSTITUTE(SUBSTITUTE(SUBSTITUTE(R127,",",";")," ",";"),";",REPT(" ",60)),(ROW($1:$10)-1)*60+1,60)),$C$2:$C$201,0)),"")))</f>
        <v/>
      </c>
      <c r="G127">
        <f>IF($S127="","",INDEX('Programme Export'!$H$7:$H$226,$S127))</f>
        <v/>
      </c>
      <c r="J127">
        <f>IF($S127="","",INDEX('Programme Export'!$R$7:$R$226,$S127)&amp;"")</f>
        <v/>
      </c>
      <c r="K127">
        <f>IF($S127="","",INDEX('Programme Export'!$C$7:$C$226,$S127)&amp;"")</f>
        <v/>
      </c>
      <c r="L127">
        <f>IF($S127="","",'Cover &amp; Instructions'!$B$38)</f>
        <v/>
      </c>
      <c r="M127">
        <f>IF($S127="","",INDEX('Programme Export'!$F$7:$F$226,$S127))</f>
        <v/>
      </c>
      <c r="N127">
        <f>IF($S127="","",INDEX('Programme Export'!$G$7:$G$226,$S127)&amp;"")</f>
        <v/>
      </c>
      <c r="O127">
        <f>IF($S127="","",IFERROR(P127/M127,0))</f>
        <v/>
      </c>
      <c r="P127">
        <f>IF($S127="","",INDEX('Programme Export'!$H$7:$H$226,$S127))</f>
        <v/>
      </c>
      <c r="Q127">
        <f>IF($S127="","",INDEX('Programme Export'!$X$7:$X$226,$S127)&amp;"")</f>
        <v/>
      </c>
      <c r="R127">
        <f>IF($S127="","",INDEX('Programme Export'!$P$7:$P$226,$S127)&amp;"")</f>
        <v/>
      </c>
      <c r="S127">
        <f>IFERROR(MATCH(126,'Programme Export'!$Y$7:$Y$226,0),"")</f>
        <v/>
      </c>
    </row>
    <row r="128">
      <c r="A128">
        <f>IF($S128="","",127)</f>
        <v/>
      </c>
      <c r="B128">
        <f>IF($S128="","",1)</f>
        <v/>
      </c>
      <c r="C128">
        <f>IF($S128="","",INDEX('Programme Export'!$D$7:$D$226,$S128)&amp;"")</f>
        <v/>
      </c>
      <c r="D128">
        <f>IF($S128="","",INDEX('Programme Export'!$E$7:$E$226,$S128)&amp;"")</f>
        <v/>
      </c>
      <c r="E128">
        <f>IF($S128="","",INDEX('Programme Export'!$N$7:$N$226,$S128)&amp;"")</f>
        <v/>
      </c>
      <c r="F128">
        <f t="array" ref="F128">IF(R128="","",_xlfn.TEXTJOIN(";",TRUE,IFERROR(IF(TRIM(MID(SUBSTITUTE(SUBSTITUTE(SUBSTITUTE(R128,",",";")," ",";"),";",REPT(" ",60)),(ROW($1:$10)-1)*60+1,60))="","",MATCH(TRIM(MID(SUBSTITUTE(SUBSTITUTE(SUBSTITUTE(R128,",",";")," ",";"),";",REPT(" ",60)),(ROW($1:$10)-1)*60+1,60)),$C$2:$C$201,0)),"")))</f>
        <v/>
      </c>
      <c r="G128">
        <f>IF($S128="","",INDEX('Programme Export'!$H$7:$H$226,$S128))</f>
        <v/>
      </c>
      <c r="J128">
        <f>IF($S128="","",INDEX('Programme Export'!$R$7:$R$226,$S128)&amp;"")</f>
        <v/>
      </c>
      <c r="K128">
        <f>IF($S128="","",INDEX('Programme Export'!$C$7:$C$226,$S128)&amp;"")</f>
        <v/>
      </c>
      <c r="L128">
        <f>IF($S128="","",'Cover &amp; Instructions'!$B$38)</f>
        <v/>
      </c>
      <c r="M128">
        <f>IF($S128="","",INDEX('Programme Export'!$F$7:$F$226,$S128))</f>
        <v/>
      </c>
      <c r="N128">
        <f>IF($S128="","",INDEX('Programme Export'!$G$7:$G$226,$S128)&amp;"")</f>
        <v/>
      </c>
      <c r="O128">
        <f>IF($S128="","",IFERROR(P128/M128,0))</f>
        <v/>
      </c>
      <c r="P128">
        <f>IF($S128="","",INDEX('Programme Export'!$H$7:$H$226,$S128))</f>
        <v/>
      </c>
      <c r="Q128">
        <f>IF($S128="","",INDEX('Programme Export'!$X$7:$X$226,$S128)&amp;"")</f>
        <v/>
      </c>
      <c r="R128">
        <f>IF($S128="","",INDEX('Programme Export'!$P$7:$P$226,$S128)&amp;"")</f>
        <v/>
      </c>
      <c r="S128">
        <f>IFERROR(MATCH(127,'Programme Export'!$Y$7:$Y$226,0),"")</f>
        <v/>
      </c>
    </row>
    <row r="129">
      <c r="A129">
        <f>IF($S129="","",128)</f>
        <v/>
      </c>
      <c r="B129">
        <f>IF($S129="","",1)</f>
        <v/>
      </c>
      <c r="C129">
        <f>IF($S129="","",INDEX('Programme Export'!$D$7:$D$226,$S129)&amp;"")</f>
        <v/>
      </c>
      <c r="D129">
        <f>IF($S129="","",INDEX('Programme Export'!$E$7:$E$226,$S129)&amp;"")</f>
        <v/>
      </c>
      <c r="E129">
        <f>IF($S129="","",INDEX('Programme Export'!$N$7:$N$226,$S129)&amp;"")</f>
        <v/>
      </c>
      <c r="F129">
        <f t="array" ref="F129">IF(R129="","",_xlfn.TEXTJOIN(";",TRUE,IFERROR(IF(TRIM(MID(SUBSTITUTE(SUBSTITUTE(SUBSTITUTE(R129,",",";")," ",";"),";",REPT(" ",60)),(ROW($1:$10)-1)*60+1,60))="","",MATCH(TRIM(MID(SUBSTITUTE(SUBSTITUTE(SUBSTITUTE(R129,",",";")," ",";"),";",REPT(" ",60)),(ROW($1:$10)-1)*60+1,60)),$C$2:$C$201,0)),"")))</f>
        <v/>
      </c>
      <c r="G129">
        <f>IF($S129="","",INDEX('Programme Export'!$H$7:$H$226,$S129))</f>
        <v/>
      </c>
      <c r="J129">
        <f>IF($S129="","",INDEX('Programme Export'!$R$7:$R$226,$S129)&amp;"")</f>
        <v/>
      </c>
      <c r="K129">
        <f>IF($S129="","",INDEX('Programme Export'!$C$7:$C$226,$S129)&amp;"")</f>
        <v/>
      </c>
      <c r="L129">
        <f>IF($S129="","",'Cover &amp; Instructions'!$B$38)</f>
        <v/>
      </c>
      <c r="M129">
        <f>IF($S129="","",INDEX('Programme Export'!$F$7:$F$226,$S129))</f>
        <v/>
      </c>
      <c r="N129">
        <f>IF($S129="","",INDEX('Programme Export'!$G$7:$G$226,$S129)&amp;"")</f>
        <v/>
      </c>
      <c r="O129">
        <f>IF($S129="","",IFERROR(P129/M129,0))</f>
        <v/>
      </c>
      <c r="P129">
        <f>IF($S129="","",INDEX('Programme Export'!$H$7:$H$226,$S129))</f>
        <v/>
      </c>
      <c r="Q129">
        <f>IF($S129="","",INDEX('Programme Export'!$X$7:$X$226,$S129)&amp;"")</f>
        <v/>
      </c>
      <c r="R129">
        <f>IF($S129="","",INDEX('Programme Export'!$P$7:$P$226,$S129)&amp;"")</f>
        <v/>
      </c>
      <c r="S129">
        <f>IFERROR(MATCH(128,'Programme Export'!$Y$7:$Y$226,0),"")</f>
        <v/>
      </c>
    </row>
    <row r="130">
      <c r="A130">
        <f>IF($S130="","",129)</f>
        <v/>
      </c>
      <c r="B130">
        <f>IF($S130="","",1)</f>
        <v/>
      </c>
      <c r="C130">
        <f>IF($S130="","",INDEX('Programme Export'!$D$7:$D$226,$S130)&amp;"")</f>
        <v/>
      </c>
      <c r="D130">
        <f>IF($S130="","",INDEX('Programme Export'!$E$7:$E$226,$S130)&amp;"")</f>
        <v/>
      </c>
      <c r="E130">
        <f>IF($S130="","",INDEX('Programme Export'!$N$7:$N$226,$S130)&amp;"")</f>
        <v/>
      </c>
      <c r="F130">
        <f t="array" ref="F130">IF(R130="","",_xlfn.TEXTJOIN(";",TRUE,IFERROR(IF(TRIM(MID(SUBSTITUTE(SUBSTITUTE(SUBSTITUTE(R130,",",";")," ",";"),";",REPT(" ",60)),(ROW($1:$10)-1)*60+1,60))="","",MATCH(TRIM(MID(SUBSTITUTE(SUBSTITUTE(SUBSTITUTE(R130,",",";")," ",";"),";",REPT(" ",60)),(ROW($1:$10)-1)*60+1,60)),$C$2:$C$201,0)),"")))</f>
        <v/>
      </c>
      <c r="G130">
        <f>IF($S130="","",INDEX('Programme Export'!$H$7:$H$226,$S130))</f>
        <v/>
      </c>
      <c r="J130">
        <f>IF($S130="","",INDEX('Programme Export'!$R$7:$R$226,$S130)&amp;"")</f>
        <v/>
      </c>
      <c r="K130">
        <f>IF($S130="","",INDEX('Programme Export'!$C$7:$C$226,$S130)&amp;"")</f>
        <v/>
      </c>
      <c r="L130">
        <f>IF($S130="","",'Cover &amp; Instructions'!$B$38)</f>
        <v/>
      </c>
      <c r="M130">
        <f>IF($S130="","",INDEX('Programme Export'!$F$7:$F$226,$S130))</f>
        <v/>
      </c>
      <c r="N130">
        <f>IF($S130="","",INDEX('Programme Export'!$G$7:$G$226,$S130)&amp;"")</f>
        <v/>
      </c>
      <c r="O130">
        <f>IF($S130="","",IFERROR(P130/M130,0))</f>
        <v/>
      </c>
      <c r="P130">
        <f>IF($S130="","",INDEX('Programme Export'!$H$7:$H$226,$S130))</f>
        <v/>
      </c>
      <c r="Q130">
        <f>IF($S130="","",INDEX('Programme Export'!$X$7:$X$226,$S130)&amp;"")</f>
        <v/>
      </c>
      <c r="R130">
        <f>IF($S130="","",INDEX('Programme Export'!$P$7:$P$226,$S130)&amp;"")</f>
        <v/>
      </c>
      <c r="S130">
        <f>IFERROR(MATCH(129,'Programme Export'!$Y$7:$Y$226,0),"")</f>
        <v/>
      </c>
    </row>
    <row r="131">
      <c r="A131">
        <f>IF($S131="","",130)</f>
        <v/>
      </c>
      <c r="B131">
        <f>IF($S131="","",1)</f>
        <v/>
      </c>
      <c r="C131">
        <f>IF($S131="","",INDEX('Programme Export'!$D$7:$D$226,$S131)&amp;"")</f>
        <v/>
      </c>
      <c r="D131">
        <f>IF($S131="","",INDEX('Programme Export'!$E$7:$E$226,$S131)&amp;"")</f>
        <v/>
      </c>
      <c r="E131">
        <f>IF($S131="","",INDEX('Programme Export'!$N$7:$N$226,$S131)&amp;"")</f>
        <v/>
      </c>
      <c r="F131">
        <f t="array" ref="F131">IF(R131="","",_xlfn.TEXTJOIN(";",TRUE,IFERROR(IF(TRIM(MID(SUBSTITUTE(SUBSTITUTE(SUBSTITUTE(R131,",",";")," ",";"),";",REPT(" ",60)),(ROW($1:$10)-1)*60+1,60))="","",MATCH(TRIM(MID(SUBSTITUTE(SUBSTITUTE(SUBSTITUTE(R131,",",";")," ",";"),";",REPT(" ",60)),(ROW($1:$10)-1)*60+1,60)),$C$2:$C$201,0)),"")))</f>
        <v/>
      </c>
      <c r="G131">
        <f>IF($S131="","",INDEX('Programme Export'!$H$7:$H$226,$S131))</f>
        <v/>
      </c>
      <c r="J131">
        <f>IF($S131="","",INDEX('Programme Export'!$R$7:$R$226,$S131)&amp;"")</f>
        <v/>
      </c>
      <c r="K131">
        <f>IF($S131="","",INDEX('Programme Export'!$C$7:$C$226,$S131)&amp;"")</f>
        <v/>
      </c>
      <c r="L131">
        <f>IF($S131="","",'Cover &amp; Instructions'!$B$38)</f>
        <v/>
      </c>
      <c r="M131">
        <f>IF($S131="","",INDEX('Programme Export'!$F$7:$F$226,$S131))</f>
        <v/>
      </c>
      <c r="N131">
        <f>IF($S131="","",INDEX('Programme Export'!$G$7:$G$226,$S131)&amp;"")</f>
        <v/>
      </c>
      <c r="O131">
        <f>IF($S131="","",IFERROR(P131/M131,0))</f>
        <v/>
      </c>
      <c r="P131">
        <f>IF($S131="","",INDEX('Programme Export'!$H$7:$H$226,$S131))</f>
        <v/>
      </c>
      <c r="Q131">
        <f>IF($S131="","",INDEX('Programme Export'!$X$7:$X$226,$S131)&amp;"")</f>
        <v/>
      </c>
      <c r="R131">
        <f>IF($S131="","",INDEX('Programme Export'!$P$7:$P$226,$S131)&amp;"")</f>
        <v/>
      </c>
      <c r="S131">
        <f>IFERROR(MATCH(130,'Programme Export'!$Y$7:$Y$226,0),"")</f>
        <v/>
      </c>
    </row>
    <row r="132">
      <c r="A132">
        <f>IF($S132="","",131)</f>
        <v/>
      </c>
      <c r="B132">
        <f>IF($S132="","",1)</f>
        <v/>
      </c>
      <c r="C132">
        <f>IF($S132="","",INDEX('Programme Export'!$D$7:$D$226,$S132)&amp;"")</f>
        <v/>
      </c>
      <c r="D132">
        <f>IF($S132="","",INDEX('Programme Export'!$E$7:$E$226,$S132)&amp;"")</f>
        <v/>
      </c>
      <c r="E132">
        <f>IF($S132="","",INDEX('Programme Export'!$N$7:$N$226,$S132)&amp;"")</f>
        <v/>
      </c>
      <c r="F132">
        <f t="array" ref="F132">IF(R132="","",_xlfn.TEXTJOIN(";",TRUE,IFERROR(IF(TRIM(MID(SUBSTITUTE(SUBSTITUTE(SUBSTITUTE(R132,",",";")," ",";"),";",REPT(" ",60)),(ROW($1:$10)-1)*60+1,60))="","",MATCH(TRIM(MID(SUBSTITUTE(SUBSTITUTE(SUBSTITUTE(R132,",",";")," ",";"),";",REPT(" ",60)),(ROW($1:$10)-1)*60+1,60)),$C$2:$C$201,0)),"")))</f>
        <v/>
      </c>
      <c r="G132">
        <f>IF($S132="","",INDEX('Programme Export'!$H$7:$H$226,$S132))</f>
        <v/>
      </c>
      <c r="J132">
        <f>IF($S132="","",INDEX('Programme Export'!$R$7:$R$226,$S132)&amp;"")</f>
        <v/>
      </c>
      <c r="K132">
        <f>IF($S132="","",INDEX('Programme Export'!$C$7:$C$226,$S132)&amp;"")</f>
        <v/>
      </c>
      <c r="L132">
        <f>IF($S132="","",'Cover &amp; Instructions'!$B$38)</f>
        <v/>
      </c>
      <c r="M132">
        <f>IF($S132="","",INDEX('Programme Export'!$F$7:$F$226,$S132))</f>
        <v/>
      </c>
      <c r="N132">
        <f>IF($S132="","",INDEX('Programme Export'!$G$7:$G$226,$S132)&amp;"")</f>
        <v/>
      </c>
      <c r="O132">
        <f>IF($S132="","",IFERROR(P132/M132,0))</f>
        <v/>
      </c>
      <c r="P132">
        <f>IF($S132="","",INDEX('Programme Export'!$H$7:$H$226,$S132))</f>
        <v/>
      </c>
      <c r="Q132">
        <f>IF($S132="","",INDEX('Programme Export'!$X$7:$X$226,$S132)&amp;"")</f>
        <v/>
      </c>
      <c r="R132">
        <f>IF($S132="","",INDEX('Programme Export'!$P$7:$P$226,$S132)&amp;"")</f>
        <v/>
      </c>
      <c r="S132">
        <f>IFERROR(MATCH(131,'Programme Export'!$Y$7:$Y$226,0),"")</f>
        <v/>
      </c>
    </row>
    <row r="133">
      <c r="A133">
        <f>IF($S133="","",132)</f>
        <v/>
      </c>
      <c r="B133">
        <f>IF($S133="","",1)</f>
        <v/>
      </c>
      <c r="C133">
        <f>IF($S133="","",INDEX('Programme Export'!$D$7:$D$226,$S133)&amp;"")</f>
        <v/>
      </c>
      <c r="D133">
        <f>IF($S133="","",INDEX('Programme Export'!$E$7:$E$226,$S133)&amp;"")</f>
        <v/>
      </c>
      <c r="E133">
        <f>IF($S133="","",INDEX('Programme Export'!$N$7:$N$226,$S133)&amp;"")</f>
        <v/>
      </c>
      <c r="F133">
        <f t="array" ref="F133">IF(R133="","",_xlfn.TEXTJOIN(";",TRUE,IFERROR(IF(TRIM(MID(SUBSTITUTE(SUBSTITUTE(SUBSTITUTE(R133,",",";")," ",";"),";",REPT(" ",60)),(ROW($1:$10)-1)*60+1,60))="","",MATCH(TRIM(MID(SUBSTITUTE(SUBSTITUTE(SUBSTITUTE(R133,",",";")," ",";"),";",REPT(" ",60)),(ROW($1:$10)-1)*60+1,60)),$C$2:$C$201,0)),"")))</f>
        <v/>
      </c>
      <c r="G133">
        <f>IF($S133="","",INDEX('Programme Export'!$H$7:$H$226,$S133))</f>
        <v/>
      </c>
      <c r="J133">
        <f>IF($S133="","",INDEX('Programme Export'!$R$7:$R$226,$S133)&amp;"")</f>
        <v/>
      </c>
      <c r="K133">
        <f>IF($S133="","",INDEX('Programme Export'!$C$7:$C$226,$S133)&amp;"")</f>
        <v/>
      </c>
      <c r="L133">
        <f>IF($S133="","",'Cover &amp; Instructions'!$B$38)</f>
        <v/>
      </c>
      <c r="M133">
        <f>IF($S133="","",INDEX('Programme Export'!$F$7:$F$226,$S133))</f>
        <v/>
      </c>
      <c r="N133">
        <f>IF($S133="","",INDEX('Programme Export'!$G$7:$G$226,$S133)&amp;"")</f>
        <v/>
      </c>
      <c r="O133">
        <f>IF($S133="","",IFERROR(P133/M133,0))</f>
        <v/>
      </c>
      <c r="P133">
        <f>IF($S133="","",INDEX('Programme Export'!$H$7:$H$226,$S133))</f>
        <v/>
      </c>
      <c r="Q133">
        <f>IF($S133="","",INDEX('Programme Export'!$X$7:$X$226,$S133)&amp;"")</f>
        <v/>
      </c>
      <c r="R133">
        <f>IF($S133="","",INDEX('Programme Export'!$P$7:$P$226,$S133)&amp;"")</f>
        <v/>
      </c>
      <c r="S133">
        <f>IFERROR(MATCH(132,'Programme Export'!$Y$7:$Y$226,0),"")</f>
        <v/>
      </c>
    </row>
    <row r="134">
      <c r="A134">
        <f>IF($S134="","",133)</f>
        <v/>
      </c>
      <c r="B134">
        <f>IF($S134="","",1)</f>
        <v/>
      </c>
      <c r="C134">
        <f>IF($S134="","",INDEX('Programme Export'!$D$7:$D$226,$S134)&amp;"")</f>
        <v/>
      </c>
      <c r="D134">
        <f>IF($S134="","",INDEX('Programme Export'!$E$7:$E$226,$S134)&amp;"")</f>
        <v/>
      </c>
      <c r="E134">
        <f>IF($S134="","",INDEX('Programme Export'!$N$7:$N$226,$S134)&amp;"")</f>
        <v/>
      </c>
      <c r="F134">
        <f t="array" ref="F134">IF(R134="","",_xlfn.TEXTJOIN(";",TRUE,IFERROR(IF(TRIM(MID(SUBSTITUTE(SUBSTITUTE(SUBSTITUTE(R134,",",";")," ",";"),";",REPT(" ",60)),(ROW($1:$10)-1)*60+1,60))="","",MATCH(TRIM(MID(SUBSTITUTE(SUBSTITUTE(SUBSTITUTE(R134,",",";")," ",";"),";",REPT(" ",60)),(ROW($1:$10)-1)*60+1,60)),$C$2:$C$201,0)),"")))</f>
        <v/>
      </c>
      <c r="G134">
        <f>IF($S134="","",INDEX('Programme Export'!$H$7:$H$226,$S134))</f>
        <v/>
      </c>
      <c r="J134">
        <f>IF($S134="","",INDEX('Programme Export'!$R$7:$R$226,$S134)&amp;"")</f>
        <v/>
      </c>
      <c r="K134">
        <f>IF($S134="","",INDEX('Programme Export'!$C$7:$C$226,$S134)&amp;"")</f>
        <v/>
      </c>
      <c r="L134">
        <f>IF($S134="","",'Cover &amp; Instructions'!$B$38)</f>
        <v/>
      </c>
      <c r="M134">
        <f>IF($S134="","",INDEX('Programme Export'!$F$7:$F$226,$S134))</f>
        <v/>
      </c>
      <c r="N134">
        <f>IF($S134="","",INDEX('Programme Export'!$G$7:$G$226,$S134)&amp;"")</f>
        <v/>
      </c>
      <c r="O134">
        <f>IF($S134="","",IFERROR(P134/M134,0))</f>
        <v/>
      </c>
      <c r="P134">
        <f>IF($S134="","",INDEX('Programme Export'!$H$7:$H$226,$S134))</f>
        <v/>
      </c>
      <c r="Q134">
        <f>IF($S134="","",INDEX('Programme Export'!$X$7:$X$226,$S134)&amp;"")</f>
        <v/>
      </c>
      <c r="R134">
        <f>IF($S134="","",INDEX('Programme Export'!$P$7:$P$226,$S134)&amp;"")</f>
        <v/>
      </c>
      <c r="S134">
        <f>IFERROR(MATCH(133,'Programme Export'!$Y$7:$Y$226,0),"")</f>
        <v/>
      </c>
    </row>
    <row r="135">
      <c r="A135">
        <f>IF($S135="","",134)</f>
        <v/>
      </c>
      <c r="B135">
        <f>IF($S135="","",1)</f>
        <v/>
      </c>
      <c r="C135">
        <f>IF($S135="","",INDEX('Programme Export'!$D$7:$D$226,$S135)&amp;"")</f>
        <v/>
      </c>
      <c r="D135">
        <f>IF($S135="","",INDEX('Programme Export'!$E$7:$E$226,$S135)&amp;"")</f>
        <v/>
      </c>
      <c r="E135">
        <f>IF($S135="","",INDEX('Programme Export'!$N$7:$N$226,$S135)&amp;"")</f>
        <v/>
      </c>
      <c r="F135">
        <f t="array" ref="F135">IF(R135="","",_xlfn.TEXTJOIN(";",TRUE,IFERROR(IF(TRIM(MID(SUBSTITUTE(SUBSTITUTE(SUBSTITUTE(R135,",",";")," ",";"),";",REPT(" ",60)),(ROW($1:$10)-1)*60+1,60))="","",MATCH(TRIM(MID(SUBSTITUTE(SUBSTITUTE(SUBSTITUTE(R135,",",";")," ",";"),";",REPT(" ",60)),(ROW($1:$10)-1)*60+1,60)),$C$2:$C$201,0)),"")))</f>
        <v/>
      </c>
      <c r="G135">
        <f>IF($S135="","",INDEX('Programme Export'!$H$7:$H$226,$S135))</f>
        <v/>
      </c>
      <c r="J135">
        <f>IF($S135="","",INDEX('Programme Export'!$R$7:$R$226,$S135)&amp;"")</f>
        <v/>
      </c>
      <c r="K135">
        <f>IF($S135="","",INDEX('Programme Export'!$C$7:$C$226,$S135)&amp;"")</f>
        <v/>
      </c>
      <c r="L135">
        <f>IF($S135="","",'Cover &amp; Instructions'!$B$38)</f>
        <v/>
      </c>
      <c r="M135">
        <f>IF($S135="","",INDEX('Programme Export'!$F$7:$F$226,$S135))</f>
        <v/>
      </c>
      <c r="N135">
        <f>IF($S135="","",INDEX('Programme Export'!$G$7:$G$226,$S135)&amp;"")</f>
        <v/>
      </c>
      <c r="O135">
        <f>IF($S135="","",IFERROR(P135/M135,0))</f>
        <v/>
      </c>
      <c r="P135">
        <f>IF($S135="","",INDEX('Programme Export'!$H$7:$H$226,$S135))</f>
        <v/>
      </c>
      <c r="Q135">
        <f>IF($S135="","",INDEX('Programme Export'!$X$7:$X$226,$S135)&amp;"")</f>
        <v/>
      </c>
      <c r="R135">
        <f>IF($S135="","",INDEX('Programme Export'!$P$7:$P$226,$S135)&amp;"")</f>
        <v/>
      </c>
      <c r="S135">
        <f>IFERROR(MATCH(134,'Programme Export'!$Y$7:$Y$226,0),"")</f>
        <v/>
      </c>
    </row>
    <row r="136">
      <c r="A136">
        <f>IF($S136="","",135)</f>
        <v/>
      </c>
      <c r="B136">
        <f>IF($S136="","",1)</f>
        <v/>
      </c>
      <c r="C136">
        <f>IF($S136="","",INDEX('Programme Export'!$D$7:$D$226,$S136)&amp;"")</f>
        <v/>
      </c>
      <c r="D136">
        <f>IF($S136="","",INDEX('Programme Export'!$E$7:$E$226,$S136)&amp;"")</f>
        <v/>
      </c>
      <c r="E136">
        <f>IF($S136="","",INDEX('Programme Export'!$N$7:$N$226,$S136)&amp;"")</f>
        <v/>
      </c>
      <c r="F136">
        <f t="array" ref="F136">IF(R136="","",_xlfn.TEXTJOIN(";",TRUE,IFERROR(IF(TRIM(MID(SUBSTITUTE(SUBSTITUTE(SUBSTITUTE(R136,",",";")," ",";"),";",REPT(" ",60)),(ROW($1:$10)-1)*60+1,60))="","",MATCH(TRIM(MID(SUBSTITUTE(SUBSTITUTE(SUBSTITUTE(R136,",",";")," ",";"),";",REPT(" ",60)),(ROW($1:$10)-1)*60+1,60)),$C$2:$C$201,0)),"")))</f>
        <v/>
      </c>
      <c r="G136">
        <f>IF($S136="","",INDEX('Programme Export'!$H$7:$H$226,$S136))</f>
        <v/>
      </c>
      <c r="J136">
        <f>IF($S136="","",INDEX('Programme Export'!$R$7:$R$226,$S136)&amp;"")</f>
        <v/>
      </c>
      <c r="K136">
        <f>IF($S136="","",INDEX('Programme Export'!$C$7:$C$226,$S136)&amp;"")</f>
        <v/>
      </c>
      <c r="L136">
        <f>IF($S136="","",'Cover &amp; Instructions'!$B$38)</f>
        <v/>
      </c>
      <c r="M136">
        <f>IF($S136="","",INDEX('Programme Export'!$F$7:$F$226,$S136))</f>
        <v/>
      </c>
      <c r="N136">
        <f>IF($S136="","",INDEX('Programme Export'!$G$7:$G$226,$S136)&amp;"")</f>
        <v/>
      </c>
      <c r="O136">
        <f>IF($S136="","",IFERROR(P136/M136,0))</f>
        <v/>
      </c>
      <c r="P136">
        <f>IF($S136="","",INDEX('Programme Export'!$H$7:$H$226,$S136))</f>
        <v/>
      </c>
      <c r="Q136">
        <f>IF($S136="","",INDEX('Programme Export'!$X$7:$X$226,$S136)&amp;"")</f>
        <v/>
      </c>
      <c r="R136">
        <f>IF($S136="","",INDEX('Programme Export'!$P$7:$P$226,$S136)&amp;"")</f>
        <v/>
      </c>
      <c r="S136">
        <f>IFERROR(MATCH(135,'Programme Export'!$Y$7:$Y$226,0),"")</f>
        <v/>
      </c>
    </row>
    <row r="137">
      <c r="A137">
        <f>IF($S137="","",136)</f>
        <v/>
      </c>
      <c r="B137">
        <f>IF($S137="","",1)</f>
        <v/>
      </c>
      <c r="C137">
        <f>IF($S137="","",INDEX('Programme Export'!$D$7:$D$226,$S137)&amp;"")</f>
        <v/>
      </c>
      <c r="D137">
        <f>IF($S137="","",INDEX('Programme Export'!$E$7:$E$226,$S137)&amp;"")</f>
        <v/>
      </c>
      <c r="E137">
        <f>IF($S137="","",INDEX('Programme Export'!$N$7:$N$226,$S137)&amp;"")</f>
        <v/>
      </c>
      <c r="F137">
        <f t="array" ref="F137">IF(R137="","",_xlfn.TEXTJOIN(";",TRUE,IFERROR(IF(TRIM(MID(SUBSTITUTE(SUBSTITUTE(SUBSTITUTE(R137,",",";")," ",";"),";",REPT(" ",60)),(ROW($1:$10)-1)*60+1,60))="","",MATCH(TRIM(MID(SUBSTITUTE(SUBSTITUTE(SUBSTITUTE(R137,",",";")," ",";"),";",REPT(" ",60)),(ROW($1:$10)-1)*60+1,60)),$C$2:$C$201,0)),"")))</f>
        <v/>
      </c>
      <c r="G137">
        <f>IF($S137="","",INDEX('Programme Export'!$H$7:$H$226,$S137))</f>
        <v/>
      </c>
      <c r="J137">
        <f>IF($S137="","",INDEX('Programme Export'!$R$7:$R$226,$S137)&amp;"")</f>
        <v/>
      </c>
      <c r="K137">
        <f>IF($S137="","",INDEX('Programme Export'!$C$7:$C$226,$S137)&amp;"")</f>
        <v/>
      </c>
      <c r="L137">
        <f>IF($S137="","",'Cover &amp; Instructions'!$B$38)</f>
        <v/>
      </c>
      <c r="M137">
        <f>IF($S137="","",INDEX('Programme Export'!$F$7:$F$226,$S137))</f>
        <v/>
      </c>
      <c r="N137">
        <f>IF($S137="","",INDEX('Programme Export'!$G$7:$G$226,$S137)&amp;"")</f>
        <v/>
      </c>
      <c r="O137">
        <f>IF($S137="","",IFERROR(P137/M137,0))</f>
        <v/>
      </c>
      <c r="P137">
        <f>IF($S137="","",INDEX('Programme Export'!$H$7:$H$226,$S137))</f>
        <v/>
      </c>
      <c r="Q137">
        <f>IF($S137="","",INDEX('Programme Export'!$X$7:$X$226,$S137)&amp;"")</f>
        <v/>
      </c>
      <c r="R137">
        <f>IF($S137="","",INDEX('Programme Export'!$P$7:$P$226,$S137)&amp;"")</f>
        <v/>
      </c>
      <c r="S137">
        <f>IFERROR(MATCH(136,'Programme Export'!$Y$7:$Y$226,0),"")</f>
        <v/>
      </c>
    </row>
    <row r="138">
      <c r="A138">
        <f>IF($S138="","",137)</f>
        <v/>
      </c>
      <c r="B138">
        <f>IF($S138="","",1)</f>
        <v/>
      </c>
      <c r="C138">
        <f>IF($S138="","",INDEX('Programme Export'!$D$7:$D$226,$S138)&amp;"")</f>
        <v/>
      </c>
      <c r="D138">
        <f>IF($S138="","",INDEX('Programme Export'!$E$7:$E$226,$S138)&amp;"")</f>
        <v/>
      </c>
      <c r="E138">
        <f>IF($S138="","",INDEX('Programme Export'!$N$7:$N$226,$S138)&amp;"")</f>
        <v/>
      </c>
      <c r="F138">
        <f t="array" ref="F138">IF(R138="","",_xlfn.TEXTJOIN(";",TRUE,IFERROR(IF(TRIM(MID(SUBSTITUTE(SUBSTITUTE(SUBSTITUTE(R138,",",";")," ",";"),";",REPT(" ",60)),(ROW($1:$10)-1)*60+1,60))="","",MATCH(TRIM(MID(SUBSTITUTE(SUBSTITUTE(SUBSTITUTE(R138,",",";")," ",";"),";",REPT(" ",60)),(ROW($1:$10)-1)*60+1,60)),$C$2:$C$201,0)),"")))</f>
        <v/>
      </c>
      <c r="G138">
        <f>IF($S138="","",INDEX('Programme Export'!$H$7:$H$226,$S138))</f>
        <v/>
      </c>
      <c r="J138">
        <f>IF($S138="","",INDEX('Programme Export'!$R$7:$R$226,$S138)&amp;"")</f>
        <v/>
      </c>
      <c r="K138">
        <f>IF($S138="","",INDEX('Programme Export'!$C$7:$C$226,$S138)&amp;"")</f>
        <v/>
      </c>
      <c r="L138">
        <f>IF($S138="","",'Cover &amp; Instructions'!$B$38)</f>
        <v/>
      </c>
      <c r="M138">
        <f>IF($S138="","",INDEX('Programme Export'!$F$7:$F$226,$S138))</f>
        <v/>
      </c>
      <c r="N138">
        <f>IF($S138="","",INDEX('Programme Export'!$G$7:$G$226,$S138)&amp;"")</f>
        <v/>
      </c>
      <c r="O138">
        <f>IF($S138="","",IFERROR(P138/M138,0))</f>
        <v/>
      </c>
      <c r="P138">
        <f>IF($S138="","",INDEX('Programme Export'!$H$7:$H$226,$S138))</f>
        <v/>
      </c>
      <c r="Q138">
        <f>IF($S138="","",INDEX('Programme Export'!$X$7:$X$226,$S138)&amp;"")</f>
        <v/>
      </c>
      <c r="R138">
        <f>IF($S138="","",INDEX('Programme Export'!$P$7:$P$226,$S138)&amp;"")</f>
        <v/>
      </c>
      <c r="S138">
        <f>IFERROR(MATCH(137,'Programme Export'!$Y$7:$Y$226,0),"")</f>
        <v/>
      </c>
    </row>
    <row r="139">
      <c r="A139">
        <f>IF($S139="","",138)</f>
        <v/>
      </c>
      <c r="B139">
        <f>IF($S139="","",1)</f>
        <v/>
      </c>
      <c r="C139">
        <f>IF($S139="","",INDEX('Programme Export'!$D$7:$D$226,$S139)&amp;"")</f>
        <v/>
      </c>
      <c r="D139">
        <f>IF($S139="","",INDEX('Programme Export'!$E$7:$E$226,$S139)&amp;"")</f>
        <v/>
      </c>
      <c r="E139">
        <f>IF($S139="","",INDEX('Programme Export'!$N$7:$N$226,$S139)&amp;"")</f>
        <v/>
      </c>
      <c r="F139">
        <f t="array" ref="F139">IF(R139="","",_xlfn.TEXTJOIN(";",TRUE,IFERROR(IF(TRIM(MID(SUBSTITUTE(SUBSTITUTE(SUBSTITUTE(R139,",",";")," ",";"),";",REPT(" ",60)),(ROW($1:$10)-1)*60+1,60))="","",MATCH(TRIM(MID(SUBSTITUTE(SUBSTITUTE(SUBSTITUTE(R139,",",";")," ",";"),";",REPT(" ",60)),(ROW($1:$10)-1)*60+1,60)),$C$2:$C$201,0)),"")))</f>
        <v/>
      </c>
      <c r="G139">
        <f>IF($S139="","",INDEX('Programme Export'!$H$7:$H$226,$S139))</f>
        <v/>
      </c>
      <c r="J139">
        <f>IF($S139="","",INDEX('Programme Export'!$R$7:$R$226,$S139)&amp;"")</f>
        <v/>
      </c>
      <c r="K139">
        <f>IF($S139="","",INDEX('Programme Export'!$C$7:$C$226,$S139)&amp;"")</f>
        <v/>
      </c>
      <c r="L139">
        <f>IF($S139="","",'Cover &amp; Instructions'!$B$38)</f>
        <v/>
      </c>
      <c r="M139">
        <f>IF($S139="","",INDEX('Programme Export'!$F$7:$F$226,$S139))</f>
        <v/>
      </c>
      <c r="N139">
        <f>IF($S139="","",INDEX('Programme Export'!$G$7:$G$226,$S139)&amp;"")</f>
        <v/>
      </c>
      <c r="O139">
        <f>IF($S139="","",IFERROR(P139/M139,0))</f>
        <v/>
      </c>
      <c r="P139">
        <f>IF($S139="","",INDEX('Programme Export'!$H$7:$H$226,$S139))</f>
        <v/>
      </c>
      <c r="Q139">
        <f>IF($S139="","",INDEX('Programme Export'!$X$7:$X$226,$S139)&amp;"")</f>
        <v/>
      </c>
      <c r="R139">
        <f>IF($S139="","",INDEX('Programme Export'!$P$7:$P$226,$S139)&amp;"")</f>
        <v/>
      </c>
      <c r="S139">
        <f>IFERROR(MATCH(138,'Programme Export'!$Y$7:$Y$226,0),"")</f>
        <v/>
      </c>
    </row>
    <row r="140">
      <c r="A140">
        <f>IF($S140="","",139)</f>
        <v/>
      </c>
      <c r="B140">
        <f>IF($S140="","",1)</f>
        <v/>
      </c>
      <c r="C140">
        <f>IF($S140="","",INDEX('Programme Export'!$D$7:$D$226,$S140)&amp;"")</f>
        <v/>
      </c>
      <c r="D140">
        <f>IF($S140="","",INDEX('Programme Export'!$E$7:$E$226,$S140)&amp;"")</f>
        <v/>
      </c>
      <c r="E140">
        <f>IF($S140="","",INDEX('Programme Export'!$N$7:$N$226,$S140)&amp;"")</f>
        <v/>
      </c>
      <c r="F140">
        <f t="array" ref="F140">IF(R140="","",_xlfn.TEXTJOIN(";",TRUE,IFERROR(IF(TRIM(MID(SUBSTITUTE(SUBSTITUTE(SUBSTITUTE(R140,",",";")," ",";"),";",REPT(" ",60)),(ROW($1:$10)-1)*60+1,60))="","",MATCH(TRIM(MID(SUBSTITUTE(SUBSTITUTE(SUBSTITUTE(R140,",",";")," ",";"),";",REPT(" ",60)),(ROW($1:$10)-1)*60+1,60)),$C$2:$C$201,0)),"")))</f>
        <v/>
      </c>
      <c r="G140">
        <f>IF($S140="","",INDEX('Programme Export'!$H$7:$H$226,$S140))</f>
        <v/>
      </c>
      <c r="J140">
        <f>IF($S140="","",INDEX('Programme Export'!$R$7:$R$226,$S140)&amp;"")</f>
        <v/>
      </c>
      <c r="K140">
        <f>IF($S140="","",INDEX('Programme Export'!$C$7:$C$226,$S140)&amp;"")</f>
        <v/>
      </c>
      <c r="L140">
        <f>IF($S140="","",'Cover &amp; Instructions'!$B$38)</f>
        <v/>
      </c>
      <c r="M140">
        <f>IF($S140="","",INDEX('Programme Export'!$F$7:$F$226,$S140))</f>
        <v/>
      </c>
      <c r="N140">
        <f>IF($S140="","",INDEX('Programme Export'!$G$7:$G$226,$S140)&amp;"")</f>
        <v/>
      </c>
      <c r="O140">
        <f>IF($S140="","",IFERROR(P140/M140,0))</f>
        <v/>
      </c>
      <c r="P140">
        <f>IF($S140="","",INDEX('Programme Export'!$H$7:$H$226,$S140))</f>
        <v/>
      </c>
      <c r="Q140">
        <f>IF($S140="","",INDEX('Programme Export'!$X$7:$X$226,$S140)&amp;"")</f>
        <v/>
      </c>
      <c r="R140">
        <f>IF($S140="","",INDEX('Programme Export'!$P$7:$P$226,$S140)&amp;"")</f>
        <v/>
      </c>
      <c r="S140">
        <f>IFERROR(MATCH(139,'Programme Export'!$Y$7:$Y$226,0),"")</f>
        <v/>
      </c>
    </row>
    <row r="141">
      <c r="A141">
        <f>IF($S141="","",140)</f>
        <v/>
      </c>
      <c r="B141">
        <f>IF($S141="","",1)</f>
        <v/>
      </c>
      <c r="C141">
        <f>IF($S141="","",INDEX('Programme Export'!$D$7:$D$226,$S141)&amp;"")</f>
        <v/>
      </c>
      <c r="D141">
        <f>IF($S141="","",INDEX('Programme Export'!$E$7:$E$226,$S141)&amp;"")</f>
        <v/>
      </c>
      <c r="E141">
        <f>IF($S141="","",INDEX('Programme Export'!$N$7:$N$226,$S141)&amp;"")</f>
        <v/>
      </c>
      <c r="F141">
        <f t="array" ref="F141">IF(R141="","",_xlfn.TEXTJOIN(";",TRUE,IFERROR(IF(TRIM(MID(SUBSTITUTE(SUBSTITUTE(SUBSTITUTE(R141,",",";")," ",";"),";",REPT(" ",60)),(ROW($1:$10)-1)*60+1,60))="","",MATCH(TRIM(MID(SUBSTITUTE(SUBSTITUTE(SUBSTITUTE(R141,",",";")," ",";"),";",REPT(" ",60)),(ROW($1:$10)-1)*60+1,60)),$C$2:$C$201,0)),"")))</f>
        <v/>
      </c>
      <c r="G141">
        <f>IF($S141="","",INDEX('Programme Export'!$H$7:$H$226,$S141))</f>
        <v/>
      </c>
      <c r="J141">
        <f>IF($S141="","",INDEX('Programme Export'!$R$7:$R$226,$S141)&amp;"")</f>
        <v/>
      </c>
      <c r="K141">
        <f>IF($S141="","",INDEX('Programme Export'!$C$7:$C$226,$S141)&amp;"")</f>
        <v/>
      </c>
      <c r="L141">
        <f>IF($S141="","",'Cover &amp; Instructions'!$B$38)</f>
        <v/>
      </c>
      <c r="M141">
        <f>IF($S141="","",INDEX('Programme Export'!$F$7:$F$226,$S141))</f>
        <v/>
      </c>
      <c r="N141">
        <f>IF($S141="","",INDEX('Programme Export'!$G$7:$G$226,$S141)&amp;"")</f>
        <v/>
      </c>
      <c r="O141">
        <f>IF($S141="","",IFERROR(P141/M141,0))</f>
        <v/>
      </c>
      <c r="P141">
        <f>IF($S141="","",INDEX('Programme Export'!$H$7:$H$226,$S141))</f>
        <v/>
      </c>
      <c r="Q141">
        <f>IF($S141="","",INDEX('Programme Export'!$X$7:$X$226,$S141)&amp;"")</f>
        <v/>
      </c>
      <c r="R141">
        <f>IF($S141="","",INDEX('Programme Export'!$P$7:$P$226,$S141)&amp;"")</f>
        <v/>
      </c>
      <c r="S141">
        <f>IFERROR(MATCH(140,'Programme Export'!$Y$7:$Y$226,0),"")</f>
        <v/>
      </c>
    </row>
    <row r="142">
      <c r="A142">
        <f>IF($S142="","",141)</f>
        <v/>
      </c>
      <c r="B142">
        <f>IF($S142="","",1)</f>
        <v/>
      </c>
      <c r="C142">
        <f>IF($S142="","",INDEX('Programme Export'!$D$7:$D$226,$S142)&amp;"")</f>
        <v/>
      </c>
      <c r="D142">
        <f>IF($S142="","",INDEX('Programme Export'!$E$7:$E$226,$S142)&amp;"")</f>
        <v/>
      </c>
      <c r="E142">
        <f>IF($S142="","",INDEX('Programme Export'!$N$7:$N$226,$S142)&amp;"")</f>
        <v/>
      </c>
      <c r="F142">
        <f t="array" ref="F142">IF(R142="","",_xlfn.TEXTJOIN(";",TRUE,IFERROR(IF(TRIM(MID(SUBSTITUTE(SUBSTITUTE(SUBSTITUTE(R142,",",";")," ",";"),";",REPT(" ",60)),(ROW($1:$10)-1)*60+1,60))="","",MATCH(TRIM(MID(SUBSTITUTE(SUBSTITUTE(SUBSTITUTE(R142,",",";")," ",";"),";",REPT(" ",60)),(ROW($1:$10)-1)*60+1,60)),$C$2:$C$201,0)),"")))</f>
        <v/>
      </c>
      <c r="G142">
        <f>IF($S142="","",INDEX('Programme Export'!$H$7:$H$226,$S142))</f>
        <v/>
      </c>
      <c r="J142">
        <f>IF($S142="","",INDEX('Programme Export'!$R$7:$R$226,$S142)&amp;"")</f>
        <v/>
      </c>
      <c r="K142">
        <f>IF($S142="","",INDEX('Programme Export'!$C$7:$C$226,$S142)&amp;"")</f>
        <v/>
      </c>
      <c r="L142">
        <f>IF($S142="","",'Cover &amp; Instructions'!$B$38)</f>
        <v/>
      </c>
      <c r="M142">
        <f>IF($S142="","",INDEX('Programme Export'!$F$7:$F$226,$S142))</f>
        <v/>
      </c>
      <c r="N142">
        <f>IF($S142="","",INDEX('Programme Export'!$G$7:$G$226,$S142)&amp;"")</f>
        <v/>
      </c>
      <c r="O142">
        <f>IF($S142="","",IFERROR(P142/M142,0))</f>
        <v/>
      </c>
      <c r="P142">
        <f>IF($S142="","",INDEX('Programme Export'!$H$7:$H$226,$S142))</f>
        <v/>
      </c>
      <c r="Q142">
        <f>IF($S142="","",INDEX('Programme Export'!$X$7:$X$226,$S142)&amp;"")</f>
        <v/>
      </c>
      <c r="R142">
        <f>IF($S142="","",INDEX('Programme Export'!$P$7:$P$226,$S142)&amp;"")</f>
        <v/>
      </c>
      <c r="S142">
        <f>IFERROR(MATCH(141,'Programme Export'!$Y$7:$Y$226,0),"")</f>
        <v/>
      </c>
    </row>
    <row r="143">
      <c r="A143">
        <f>IF($S143="","",142)</f>
        <v/>
      </c>
      <c r="B143">
        <f>IF($S143="","",1)</f>
        <v/>
      </c>
      <c r="C143">
        <f>IF($S143="","",INDEX('Programme Export'!$D$7:$D$226,$S143)&amp;"")</f>
        <v/>
      </c>
      <c r="D143">
        <f>IF($S143="","",INDEX('Programme Export'!$E$7:$E$226,$S143)&amp;"")</f>
        <v/>
      </c>
      <c r="E143">
        <f>IF($S143="","",INDEX('Programme Export'!$N$7:$N$226,$S143)&amp;"")</f>
        <v/>
      </c>
      <c r="F143">
        <f t="array" ref="F143">IF(R143="","",_xlfn.TEXTJOIN(";",TRUE,IFERROR(IF(TRIM(MID(SUBSTITUTE(SUBSTITUTE(SUBSTITUTE(R143,",",";")," ",";"),";",REPT(" ",60)),(ROW($1:$10)-1)*60+1,60))="","",MATCH(TRIM(MID(SUBSTITUTE(SUBSTITUTE(SUBSTITUTE(R143,",",";")," ",";"),";",REPT(" ",60)),(ROW($1:$10)-1)*60+1,60)),$C$2:$C$201,0)),"")))</f>
        <v/>
      </c>
      <c r="G143">
        <f>IF($S143="","",INDEX('Programme Export'!$H$7:$H$226,$S143))</f>
        <v/>
      </c>
      <c r="J143">
        <f>IF($S143="","",INDEX('Programme Export'!$R$7:$R$226,$S143)&amp;"")</f>
        <v/>
      </c>
      <c r="K143">
        <f>IF($S143="","",INDEX('Programme Export'!$C$7:$C$226,$S143)&amp;"")</f>
        <v/>
      </c>
      <c r="L143">
        <f>IF($S143="","",'Cover &amp; Instructions'!$B$38)</f>
        <v/>
      </c>
      <c r="M143">
        <f>IF($S143="","",INDEX('Programme Export'!$F$7:$F$226,$S143))</f>
        <v/>
      </c>
      <c r="N143">
        <f>IF($S143="","",INDEX('Programme Export'!$G$7:$G$226,$S143)&amp;"")</f>
        <v/>
      </c>
      <c r="O143">
        <f>IF($S143="","",IFERROR(P143/M143,0))</f>
        <v/>
      </c>
      <c r="P143">
        <f>IF($S143="","",INDEX('Programme Export'!$H$7:$H$226,$S143))</f>
        <v/>
      </c>
      <c r="Q143">
        <f>IF($S143="","",INDEX('Programme Export'!$X$7:$X$226,$S143)&amp;"")</f>
        <v/>
      </c>
      <c r="R143">
        <f>IF($S143="","",INDEX('Programme Export'!$P$7:$P$226,$S143)&amp;"")</f>
        <v/>
      </c>
      <c r="S143">
        <f>IFERROR(MATCH(142,'Programme Export'!$Y$7:$Y$226,0),"")</f>
        <v/>
      </c>
    </row>
    <row r="144">
      <c r="A144">
        <f>IF($S144="","",143)</f>
        <v/>
      </c>
      <c r="B144">
        <f>IF($S144="","",1)</f>
        <v/>
      </c>
      <c r="C144">
        <f>IF($S144="","",INDEX('Programme Export'!$D$7:$D$226,$S144)&amp;"")</f>
        <v/>
      </c>
      <c r="D144">
        <f>IF($S144="","",INDEX('Programme Export'!$E$7:$E$226,$S144)&amp;"")</f>
        <v/>
      </c>
      <c r="E144">
        <f>IF($S144="","",INDEX('Programme Export'!$N$7:$N$226,$S144)&amp;"")</f>
        <v/>
      </c>
      <c r="F144">
        <f t="array" ref="F144">IF(R144="","",_xlfn.TEXTJOIN(";",TRUE,IFERROR(IF(TRIM(MID(SUBSTITUTE(SUBSTITUTE(SUBSTITUTE(R144,",",";")," ",";"),";",REPT(" ",60)),(ROW($1:$10)-1)*60+1,60))="","",MATCH(TRIM(MID(SUBSTITUTE(SUBSTITUTE(SUBSTITUTE(R144,",",";")," ",";"),";",REPT(" ",60)),(ROW($1:$10)-1)*60+1,60)),$C$2:$C$201,0)),"")))</f>
        <v/>
      </c>
      <c r="G144">
        <f>IF($S144="","",INDEX('Programme Export'!$H$7:$H$226,$S144))</f>
        <v/>
      </c>
      <c r="J144">
        <f>IF($S144="","",INDEX('Programme Export'!$R$7:$R$226,$S144)&amp;"")</f>
        <v/>
      </c>
      <c r="K144">
        <f>IF($S144="","",INDEX('Programme Export'!$C$7:$C$226,$S144)&amp;"")</f>
        <v/>
      </c>
      <c r="L144">
        <f>IF($S144="","",'Cover &amp; Instructions'!$B$38)</f>
        <v/>
      </c>
      <c r="M144">
        <f>IF($S144="","",INDEX('Programme Export'!$F$7:$F$226,$S144))</f>
        <v/>
      </c>
      <c r="N144">
        <f>IF($S144="","",INDEX('Programme Export'!$G$7:$G$226,$S144)&amp;"")</f>
        <v/>
      </c>
      <c r="O144">
        <f>IF($S144="","",IFERROR(P144/M144,0))</f>
        <v/>
      </c>
      <c r="P144">
        <f>IF($S144="","",INDEX('Programme Export'!$H$7:$H$226,$S144))</f>
        <v/>
      </c>
      <c r="Q144">
        <f>IF($S144="","",INDEX('Programme Export'!$X$7:$X$226,$S144)&amp;"")</f>
        <v/>
      </c>
      <c r="R144">
        <f>IF($S144="","",INDEX('Programme Export'!$P$7:$P$226,$S144)&amp;"")</f>
        <v/>
      </c>
      <c r="S144">
        <f>IFERROR(MATCH(143,'Programme Export'!$Y$7:$Y$226,0),"")</f>
        <v/>
      </c>
    </row>
    <row r="145">
      <c r="A145">
        <f>IF($S145="","",144)</f>
        <v/>
      </c>
      <c r="B145">
        <f>IF($S145="","",1)</f>
        <v/>
      </c>
      <c r="C145">
        <f>IF($S145="","",INDEX('Programme Export'!$D$7:$D$226,$S145)&amp;"")</f>
        <v/>
      </c>
      <c r="D145">
        <f>IF($S145="","",INDEX('Programme Export'!$E$7:$E$226,$S145)&amp;"")</f>
        <v/>
      </c>
      <c r="E145">
        <f>IF($S145="","",INDEX('Programme Export'!$N$7:$N$226,$S145)&amp;"")</f>
        <v/>
      </c>
      <c r="F145">
        <f t="array" ref="F145">IF(R145="","",_xlfn.TEXTJOIN(";",TRUE,IFERROR(IF(TRIM(MID(SUBSTITUTE(SUBSTITUTE(SUBSTITUTE(R145,",",";")," ",";"),";",REPT(" ",60)),(ROW($1:$10)-1)*60+1,60))="","",MATCH(TRIM(MID(SUBSTITUTE(SUBSTITUTE(SUBSTITUTE(R145,",",";")," ",";"),";",REPT(" ",60)),(ROW($1:$10)-1)*60+1,60)),$C$2:$C$201,0)),"")))</f>
        <v/>
      </c>
      <c r="G145">
        <f>IF($S145="","",INDEX('Programme Export'!$H$7:$H$226,$S145))</f>
        <v/>
      </c>
      <c r="J145">
        <f>IF($S145="","",INDEX('Programme Export'!$R$7:$R$226,$S145)&amp;"")</f>
        <v/>
      </c>
      <c r="K145">
        <f>IF($S145="","",INDEX('Programme Export'!$C$7:$C$226,$S145)&amp;"")</f>
        <v/>
      </c>
      <c r="L145">
        <f>IF($S145="","",'Cover &amp; Instructions'!$B$38)</f>
        <v/>
      </c>
      <c r="M145">
        <f>IF($S145="","",INDEX('Programme Export'!$F$7:$F$226,$S145))</f>
        <v/>
      </c>
      <c r="N145">
        <f>IF($S145="","",INDEX('Programme Export'!$G$7:$G$226,$S145)&amp;"")</f>
        <v/>
      </c>
      <c r="O145">
        <f>IF($S145="","",IFERROR(P145/M145,0))</f>
        <v/>
      </c>
      <c r="P145">
        <f>IF($S145="","",INDEX('Programme Export'!$H$7:$H$226,$S145))</f>
        <v/>
      </c>
      <c r="Q145">
        <f>IF($S145="","",INDEX('Programme Export'!$X$7:$X$226,$S145)&amp;"")</f>
        <v/>
      </c>
      <c r="R145">
        <f>IF($S145="","",INDEX('Programme Export'!$P$7:$P$226,$S145)&amp;"")</f>
        <v/>
      </c>
      <c r="S145">
        <f>IFERROR(MATCH(144,'Programme Export'!$Y$7:$Y$226,0),"")</f>
        <v/>
      </c>
    </row>
    <row r="146">
      <c r="A146">
        <f>IF($S146="","",145)</f>
        <v/>
      </c>
      <c r="B146">
        <f>IF($S146="","",1)</f>
        <v/>
      </c>
      <c r="C146">
        <f>IF($S146="","",INDEX('Programme Export'!$D$7:$D$226,$S146)&amp;"")</f>
        <v/>
      </c>
      <c r="D146">
        <f>IF($S146="","",INDEX('Programme Export'!$E$7:$E$226,$S146)&amp;"")</f>
        <v/>
      </c>
      <c r="E146">
        <f>IF($S146="","",INDEX('Programme Export'!$N$7:$N$226,$S146)&amp;"")</f>
        <v/>
      </c>
      <c r="F146">
        <f t="array" ref="F146">IF(R146="","",_xlfn.TEXTJOIN(";",TRUE,IFERROR(IF(TRIM(MID(SUBSTITUTE(SUBSTITUTE(SUBSTITUTE(R146,",",";")," ",";"),";",REPT(" ",60)),(ROW($1:$10)-1)*60+1,60))="","",MATCH(TRIM(MID(SUBSTITUTE(SUBSTITUTE(SUBSTITUTE(R146,",",";")," ",";"),";",REPT(" ",60)),(ROW($1:$10)-1)*60+1,60)),$C$2:$C$201,0)),"")))</f>
        <v/>
      </c>
      <c r="G146">
        <f>IF($S146="","",INDEX('Programme Export'!$H$7:$H$226,$S146))</f>
        <v/>
      </c>
      <c r="J146">
        <f>IF($S146="","",INDEX('Programme Export'!$R$7:$R$226,$S146)&amp;"")</f>
        <v/>
      </c>
      <c r="K146">
        <f>IF($S146="","",INDEX('Programme Export'!$C$7:$C$226,$S146)&amp;"")</f>
        <v/>
      </c>
      <c r="L146">
        <f>IF($S146="","",'Cover &amp; Instructions'!$B$38)</f>
        <v/>
      </c>
      <c r="M146">
        <f>IF($S146="","",INDEX('Programme Export'!$F$7:$F$226,$S146))</f>
        <v/>
      </c>
      <c r="N146">
        <f>IF($S146="","",INDEX('Programme Export'!$G$7:$G$226,$S146)&amp;"")</f>
        <v/>
      </c>
      <c r="O146">
        <f>IF($S146="","",IFERROR(P146/M146,0))</f>
        <v/>
      </c>
      <c r="P146">
        <f>IF($S146="","",INDEX('Programme Export'!$H$7:$H$226,$S146))</f>
        <v/>
      </c>
      <c r="Q146">
        <f>IF($S146="","",INDEX('Programme Export'!$X$7:$X$226,$S146)&amp;"")</f>
        <v/>
      </c>
      <c r="R146">
        <f>IF($S146="","",INDEX('Programme Export'!$P$7:$P$226,$S146)&amp;"")</f>
        <v/>
      </c>
      <c r="S146">
        <f>IFERROR(MATCH(145,'Programme Export'!$Y$7:$Y$226,0),"")</f>
        <v/>
      </c>
    </row>
    <row r="147">
      <c r="A147">
        <f>IF($S147="","",146)</f>
        <v/>
      </c>
      <c r="B147">
        <f>IF($S147="","",1)</f>
        <v/>
      </c>
      <c r="C147">
        <f>IF($S147="","",INDEX('Programme Export'!$D$7:$D$226,$S147)&amp;"")</f>
        <v/>
      </c>
      <c r="D147">
        <f>IF($S147="","",INDEX('Programme Export'!$E$7:$E$226,$S147)&amp;"")</f>
        <v/>
      </c>
      <c r="E147">
        <f>IF($S147="","",INDEX('Programme Export'!$N$7:$N$226,$S147)&amp;"")</f>
        <v/>
      </c>
      <c r="F147">
        <f t="array" ref="F147">IF(R147="","",_xlfn.TEXTJOIN(";",TRUE,IFERROR(IF(TRIM(MID(SUBSTITUTE(SUBSTITUTE(SUBSTITUTE(R147,",",";")," ",";"),";",REPT(" ",60)),(ROW($1:$10)-1)*60+1,60))="","",MATCH(TRIM(MID(SUBSTITUTE(SUBSTITUTE(SUBSTITUTE(R147,",",";")," ",";"),";",REPT(" ",60)),(ROW($1:$10)-1)*60+1,60)),$C$2:$C$201,0)),"")))</f>
        <v/>
      </c>
      <c r="G147">
        <f>IF($S147="","",INDEX('Programme Export'!$H$7:$H$226,$S147))</f>
        <v/>
      </c>
      <c r="J147">
        <f>IF($S147="","",INDEX('Programme Export'!$R$7:$R$226,$S147)&amp;"")</f>
        <v/>
      </c>
      <c r="K147">
        <f>IF($S147="","",INDEX('Programme Export'!$C$7:$C$226,$S147)&amp;"")</f>
        <v/>
      </c>
      <c r="L147">
        <f>IF($S147="","",'Cover &amp; Instructions'!$B$38)</f>
        <v/>
      </c>
      <c r="M147">
        <f>IF($S147="","",INDEX('Programme Export'!$F$7:$F$226,$S147))</f>
        <v/>
      </c>
      <c r="N147">
        <f>IF($S147="","",INDEX('Programme Export'!$G$7:$G$226,$S147)&amp;"")</f>
        <v/>
      </c>
      <c r="O147">
        <f>IF($S147="","",IFERROR(P147/M147,0))</f>
        <v/>
      </c>
      <c r="P147">
        <f>IF($S147="","",INDEX('Programme Export'!$H$7:$H$226,$S147))</f>
        <v/>
      </c>
      <c r="Q147">
        <f>IF($S147="","",INDEX('Programme Export'!$X$7:$X$226,$S147)&amp;"")</f>
        <v/>
      </c>
      <c r="R147">
        <f>IF($S147="","",INDEX('Programme Export'!$P$7:$P$226,$S147)&amp;"")</f>
        <v/>
      </c>
      <c r="S147">
        <f>IFERROR(MATCH(146,'Programme Export'!$Y$7:$Y$226,0),"")</f>
        <v/>
      </c>
    </row>
    <row r="148">
      <c r="A148">
        <f>IF($S148="","",147)</f>
        <v/>
      </c>
      <c r="B148">
        <f>IF($S148="","",1)</f>
        <v/>
      </c>
      <c r="C148">
        <f>IF($S148="","",INDEX('Programme Export'!$D$7:$D$226,$S148)&amp;"")</f>
        <v/>
      </c>
      <c r="D148">
        <f>IF($S148="","",INDEX('Programme Export'!$E$7:$E$226,$S148)&amp;"")</f>
        <v/>
      </c>
      <c r="E148">
        <f>IF($S148="","",INDEX('Programme Export'!$N$7:$N$226,$S148)&amp;"")</f>
        <v/>
      </c>
      <c r="F148">
        <f t="array" ref="F148">IF(R148="","",_xlfn.TEXTJOIN(";",TRUE,IFERROR(IF(TRIM(MID(SUBSTITUTE(SUBSTITUTE(SUBSTITUTE(R148,",",";")," ",";"),";",REPT(" ",60)),(ROW($1:$10)-1)*60+1,60))="","",MATCH(TRIM(MID(SUBSTITUTE(SUBSTITUTE(SUBSTITUTE(R148,",",";")," ",";"),";",REPT(" ",60)),(ROW($1:$10)-1)*60+1,60)),$C$2:$C$201,0)),"")))</f>
        <v/>
      </c>
      <c r="G148">
        <f>IF($S148="","",INDEX('Programme Export'!$H$7:$H$226,$S148))</f>
        <v/>
      </c>
      <c r="J148">
        <f>IF($S148="","",INDEX('Programme Export'!$R$7:$R$226,$S148)&amp;"")</f>
        <v/>
      </c>
      <c r="K148">
        <f>IF($S148="","",INDEX('Programme Export'!$C$7:$C$226,$S148)&amp;"")</f>
        <v/>
      </c>
      <c r="L148">
        <f>IF($S148="","",'Cover &amp; Instructions'!$B$38)</f>
        <v/>
      </c>
      <c r="M148">
        <f>IF($S148="","",INDEX('Programme Export'!$F$7:$F$226,$S148))</f>
        <v/>
      </c>
      <c r="N148">
        <f>IF($S148="","",INDEX('Programme Export'!$G$7:$G$226,$S148)&amp;"")</f>
        <v/>
      </c>
      <c r="O148">
        <f>IF($S148="","",IFERROR(P148/M148,0))</f>
        <v/>
      </c>
      <c r="P148">
        <f>IF($S148="","",INDEX('Programme Export'!$H$7:$H$226,$S148))</f>
        <v/>
      </c>
      <c r="Q148">
        <f>IF($S148="","",INDEX('Programme Export'!$X$7:$X$226,$S148)&amp;"")</f>
        <v/>
      </c>
      <c r="R148">
        <f>IF($S148="","",INDEX('Programme Export'!$P$7:$P$226,$S148)&amp;"")</f>
        <v/>
      </c>
      <c r="S148">
        <f>IFERROR(MATCH(147,'Programme Export'!$Y$7:$Y$226,0),"")</f>
        <v/>
      </c>
    </row>
    <row r="149">
      <c r="A149">
        <f>IF($S149="","",148)</f>
        <v/>
      </c>
      <c r="B149">
        <f>IF($S149="","",1)</f>
        <v/>
      </c>
      <c r="C149">
        <f>IF($S149="","",INDEX('Programme Export'!$D$7:$D$226,$S149)&amp;"")</f>
        <v/>
      </c>
      <c r="D149">
        <f>IF($S149="","",INDEX('Programme Export'!$E$7:$E$226,$S149)&amp;"")</f>
        <v/>
      </c>
      <c r="E149">
        <f>IF($S149="","",INDEX('Programme Export'!$N$7:$N$226,$S149)&amp;"")</f>
        <v/>
      </c>
      <c r="F149">
        <f t="array" ref="F149">IF(R149="","",_xlfn.TEXTJOIN(";",TRUE,IFERROR(IF(TRIM(MID(SUBSTITUTE(SUBSTITUTE(SUBSTITUTE(R149,",",";")," ",";"),";",REPT(" ",60)),(ROW($1:$10)-1)*60+1,60))="","",MATCH(TRIM(MID(SUBSTITUTE(SUBSTITUTE(SUBSTITUTE(R149,",",";")," ",";"),";",REPT(" ",60)),(ROW($1:$10)-1)*60+1,60)),$C$2:$C$201,0)),"")))</f>
        <v/>
      </c>
      <c r="G149">
        <f>IF($S149="","",INDEX('Programme Export'!$H$7:$H$226,$S149))</f>
        <v/>
      </c>
      <c r="J149">
        <f>IF($S149="","",INDEX('Programme Export'!$R$7:$R$226,$S149)&amp;"")</f>
        <v/>
      </c>
      <c r="K149">
        <f>IF($S149="","",INDEX('Programme Export'!$C$7:$C$226,$S149)&amp;"")</f>
        <v/>
      </c>
      <c r="L149">
        <f>IF($S149="","",'Cover &amp; Instructions'!$B$38)</f>
        <v/>
      </c>
      <c r="M149">
        <f>IF($S149="","",INDEX('Programme Export'!$F$7:$F$226,$S149))</f>
        <v/>
      </c>
      <c r="N149">
        <f>IF($S149="","",INDEX('Programme Export'!$G$7:$G$226,$S149)&amp;"")</f>
        <v/>
      </c>
      <c r="O149">
        <f>IF($S149="","",IFERROR(P149/M149,0))</f>
        <v/>
      </c>
      <c r="P149">
        <f>IF($S149="","",INDEX('Programme Export'!$H$7:$H$226,$S149))</f>
        <v/>
      </c>
      <c r="Q149">
        <f>IF($S149="","",INDEX('Programme Export'!$X$7:$X$226,$S149)&amp;"")</f>
        <v/>
      </c>
      <c r="R149">
        <f>IF($S149="","",INDEX('Programme Export'!$P$7:$P$226,$S149)&amp;"")</f>
        <v/>
      </c>
      <c r="S149">
        <f>IFERROR(MATCH(148,'Programme Export'!$Y$7:$Y$226,0),"")</f>
        <v/>
      </c>
    </row>
    <row r="150">
      <c r="A150">
        <f>IF($S150="","",149)</f>
        <v/>
      </c>
      <c r="B150">
        <f>IF($S150="","",1)</f>
        <v/>
      </c>
      <c r="C150">
        <f>IF($S150="","",INDEX('Programme Export'!$D$7:$D$226,$S150)&amp;"")</f>
        <v/>
      </c>
      <c r="D150">
        <f>IF($S150="","",INDEX('Programme Export'!$E$7:$E$226,$S150)&amp;"")</f>
        <v/>
      </c>
      <c r="E150">
        <f>IF($S150="","",INDEX('Programme Export'!$N$7:$N$226,$S150)&amp;"")</f>
        <v/>
      </c>
      <c r="F150">
        <f t="array" ref="F150">IF(R150="","",_xlfn.TEXTJOIN(";",TRUE,IFERROR(IF(TRIM(MID(SUBSTITUTE(SUBSTITUTE(SUBSTITUTE(R150,",",";")," ",";"),";",REPT(" ",60)),(ROW($1:$10)-1)*60+1,60))="","",MATCH(TRIM(MID(SUBSTITUTE(SUBSTITUTE(SUBSTITUTE(R150,",",";")," ",";"),";",REPT(" ",60)),(ROW($1:$10)-1)*60+1,60)),$C$2:$C$201,0)),"")))</f>
        <v/>
      </c>
      <c r="G150">
        <f>IF($S150="","",INDEX('Programme Export'!$H$7:$H$226,$S150))</f>
        <v/>
      </c>
      <c r="J150">
        <f>IF($S150="","",INDEX('Programme Export'!$R$7:$R$226,$S150)&amp;"")</f>
        <v/>
      </c>
      <c r="K150">
        <f>IF($S150="","",INDEX('Programme Export'!$C$7:$C$226,$S150)&amp;"")</f>
        <v/>
      </c>
      <c r="L150">
        <f>IF($S150="","",'Cover &amp; Instructions'!$B$38)</f>
        <v/>
      </c>
      <c r="M150">
        <f>IF($S150="","",INDEX('Programme Export'!$F$7:$F$226,$S150))</f>
        <v/>
      </c>
      <c r="N150">
        <f>IF($S150="","",INDEX('Programme Export'!$G$7:$G$226,$S150)&amp;"")</f>
        <v/>
      </c>
      <c r="O150">
        <f>IF($S150="","",IFERROR(P150/M150,0))</f>
        <v/>
      </c>
      <c r="P150">
        <f>IF($S150="","",INDEX('Programme Export'!$H$7:$H$226,$S150))</f>
        <v/>
      </c>
      <c r="Q150">
        <f>IF($S150="","",INDEX('Programme Export'!$X$7:$X$226,$S150)&amp;"")</f>
        <v/>
      </c>
      <c r="R150">
        <f>IF($S150="","",INDEX('Programme Export'!$P$7:$P$226,$S150)&amp;"")</f>
        <v/>
      </c>
      <c r="S150">
        <f>IFERROR(MATCH(149,'Programme Export'!$Y$7:$Y$226,0),"")</f>
        <v/>
      </c>
    </row>
    <row r="151">
      <c r="A151">
        <f>IF($S151="","",150)</f>
        <v/>
      </c>
      <c r="B151">
        <f>IF($S151="","",1)</f>
        <v/>
      </c>
      <c r="C151">
        <f>IF($S151="","",INDEX('Programme Export'!$D$7:$D$226,$S151)&amp;"")</f>
        <v/>
      </c>
      <c r="D151">
        <f>IF($S151="","",INDEX('Programme Export'!$E$7:$E$226,$S151)&amp;"")</f>
        <v/>
      </c>
      <c r="E151">
        <f>IF($S151="","",INDEX('Programme Export'!$N$7:$N$226,$S151)&amp;"")</f>
        <v/>
      </c>
      <c r="F151">
        <f t="array" ref="F151">IF(R151="","",_xlfn.TEXTJOIN(";",TRUE,IFERROR(IF(TRIM(MID(SUBSTITUTE(SUBSTITUTE(SUBSTITUTE(R151,",",";")," ",";"),";",REPT(" ",60)),(ROW($1:$10)-1)*60+1,60))="","",MATCH(TRIM(MID(SUBSTITUTE(SUBSTITUTE(SUBSTITUTE(R151,",",";")," ",";"),";",REPT(" ",60)),(ROW($1:$10)-1)*60+1,60)),$C$2:$C$201,0)),"")))</f>
        <v/>
      </c>
      <c r="G151">
        <f>IF($S151="","",INDEX('Programme Export'!$H$7:$H$226,$S151))</f>
        <v/>
      </c>
      <c r="J151">
        <f>IF($S151="","",INDEX('Programme Export'!$R$7:$R$226,$S151)&amp;"")</f>
        <v/>
      </c>
      <c r="K151">
        <f>IF($S151="","",INDEX('Programme Export'!$C$7:$C$226,$S151)&amp;"")</f>
        <v/>
      </c>
      <c r="L151">
        <f>IF($S151="","",'Cover &amp; Instructions'!$B$38)</f>
        <v/>
      </c>
      <c r="M151">
        <f>IF($S151="","",INDEX('Programme Export'!$F$7:$F$226,$S151))</f>
        <v/>
      </c>
      <c r="N151">
        <f>IF($S151="","",INDEX('Programme Export'!$G$7:$G$226,$S151)&amp;"")</f>
        <v/>
      </c>
      <c r="O151">
        <f>IF($S151="","",IFERROR(P151/M151,0))</f>
        <v/>
      </c>
      <c r="P151">
        <f>IF($S151="","",INDEX('Programme Export'!$H$7:$H$226,$S151))</f>
        <v/>
      </c>
      <c r="Q151">
        <f>IF($S151="","",INDEX('Programme Export'!$X$7:$X$226,$S151)&amp;"")</f>
        <v/>
      </c>
      <c r="R151">
        <f>IF($S151="","",INDEX('Programme Export'!$P$7:$P$226,$S151)&amp;"")</f>
        <v/>
      </c>
      <c r="S151">
        <f>IFERROR(MATCH(150,'Programme Export'!$Y$7:$Y$226,0),"")</f>
        <v/>
      </c>
    </row>
    <row r="152">
      <c r="A152">
        <f>IF($S152="","",151)</f>
        <v/>
      </c>
      <c r="B152">
        <f>IF($S152="","",1)</f>
        <v/>
      </c>
      <c r="C152">
        <f>IF($S152="","",INDEX('Programme Export'!$D$7:$D$226,$S152)&amp;"")</f>
        <v/>
      </c>
      <c r="D152">
        <f>IF($S152="","",INDEX('Programme Export'!$E$7:$E$226,$S152)&amp;"")</f>
        <v/>
      </c>
      <c r="E152">
        <f>IF($S152="","",INDEX('Programme Export'!$N$7:$N$226,$S152)&amp;"")</f>
        <v/>
      </c>
      <c r="F152">
        <f t="array" ref="F152">IF(R152="","",_xlfn.TEXTJOIN(";",TRUE,IFERROR(IF(TRIM(MID(SUBSTITUTE(SUBSTITUTE(SUBSTITUTE(R152,",",";")," ",";"),";",REPT(" ",60)),(ROW($1:$10)-1)*60+1,60))="","",MATCH(TRIM(MID(SUBSTITUTE(SUBSTITUTE(SUBSTITUTE(R152,",",";")," ",";"),";",REPT(" ",60)),(ROW($1:$10)-1)*60+1,60)),$C$2:$C$201,0)),"")))</f>
        <v/>
      </c>
      <c r="G152">
        <f>IF($S152="","",INDEX('Programme Export'!$H$7:$H$226,$S152))</f>
        <v/>
      </c>
      <c r="J152">
        <f>IF($S152="","",INDEX('Programme Export'!$R$7:$R$226,$S152)&amp;"")</f>
        <v/>
      </c>
      <c r="K152">
        <f>IF($S152="","",INDEX('Programme Export'!$C$7:$C$226,$S152)&amp;"")</f>
        <v/>
      </c>
      <c r="L152">
        <f>IF($S152="","",'Cover &amp; Instructions'!$B$38)</f>
        <v/>
      </c>
      <c r="M152">
        <f>IF($S152="","",INDEX('Programme Export'!$F$7:$F$226,$S152))</f>
        <v/>
      </c>
      <c r="N152">
        <f>IF($S152="","",INDEX('Programme Export'!$G$7:$G$226,$S152)&amp;"")</f>
        <v/>
      </c>
      <c r="O152">
        <f>IF($S152="","",IFERROR(P152/M152,0))</f>
        <v/>
      </c>
      <c r="P152">
        <f>IF($S152="","",INDEX('Programme Export'!$H$7:$H$226,$S152))</f>
        <v/>
      </c>
      <c r="Q152">
        <f>IF($S152="","",INDEX('Programme Export'!$X$7:$X$226,$S152)&amp;"")</f>
        <v/>
      </c>
      <c r="R152">
        <f>IF($S152="","",INDEX('Programme Export'!$P$7:$P$226,$S152)&amp;"")</f>
        <v/>
      </c>
      <c r="S152">
        <f>IFERROR(MATCH(151,'Programme Export'!$Y$7:$Y$226,0),"")</f>
        <v/>
      </c>
    </row>
    <row r="153">
      <c r="A153">
        <f>IF($S153="","",152)</f>
        <v/>
      </c>
      <c r="B153">
        <f>IF($S153="","",1)</f>
        <v/>
      </c>
      <c r="C153">
        <f>IF($S153="","",INDEX('Programme Export'!$D$7:$D$226,$S153)&amp;"")</f>
        <v/>
      </c>
      <c r="D153">
        <f>IF($S153="","",INDEX('Programme Export'!$E$7:$E$226,$S153)&amp;"")</f>
        <v/>
      </c>
      <c r="E153">
        <f>IF($S153="","",INDEX('Programme Export'!$N$7:$N$226,$S153)&amp;"")</f>
        <v/>
      </c>
      <c r="F153">
        <f t="array" ref="F153">IF(R153="","",_xlfn.TEXTJOIN(";",TRUE,IFERROR(IF(TRIM(MID(SUBSTITUTE(SUBSTITUTE(SUBSTITUTE(R153,",",";")," ",";"),";",REPT(" ",60)),(ROW($1:$10)-1)*60+1,60))="","",MATCH(TRIM(MID(SUBSTITUTE(SUBSTITUTE(SUBSTITUTE(R153,",",";")," ",";"),";",REPT(" ",60)),(ROW($1:$10)-1)*60+1,60)),$C$2:$C$201,0)),"")))</f>
        <v/>
      </c>
      <c r="G153">
        <f>IF($S153="","",INDEX('Programme Export'!$H$7:$H$226,$S153))</f>
        <v/>
      </c>
      <c r="J153">
        <f>IF($S153="","",INDEX('Programme Export'!$R$7:$R$226,$S153)&amp;"")</f>
        <v/>
      </c>
      <c r="K153">
        <f>IF($S153="","",INDEX('Programme Export'!$C$7:$C$226,$S153)&amp;"")</f>
        <v/>
      </c>
      <c r="L153">
        <f>IF($S153="","",'Cover &amp; Instructions'!$B$38)</f>
        <v/>
      </c>
      <c r="M153">
        <f>IF($S153="","",INDEX('Programme Export'!$F$7:$F$226,$S153))</f>
        <v/>
      </c>
      <c r="N153">
        <f>IF($S153="","",INDEX('Programme Export'!$G$7:$G$226,$S153)&amp;"")</f>
        <v/>
      </c>
      <c r="O153">
        <f>IF($S153="","",IFERROR(P153/M153,0))</f>
        <v/>
      </c>
      <c r="P153">
        <f>IF($S153="","",INDEX('Programme Export'!$H$7:$H$226,$S153))</f>
        <v/>
      </c>
      <c r="Q153">
        <f>IF($S153="","",INDEX('Programme Export'!$X$7:$X$226,$S153)&amp;"")</f>
        <v/>
      </c>
      <c r="R153">
        <f>IF($S153="","",INDEX('Programme Export'!$P$7:$P$226,$S153)&amp;"")</f>
        <v/>
      </c>
      <c r="S153">
        <f>IFERROR(MATCH(152,'Programme Export'!$Y$7:$Y$226,0),"")</f>
        <v/>
      </c>
    </row>
    <row r="154">
      <c r="A154">
        <f>IF($S154="","",153)</f>
        <v/>
      </c>
      <c r="B154">
        <f>IF($S154="","",1)</f>
        <v/>
      </c>
      <c r="C154">
        <f>IF($S154="","",INDEX('Programme Export'!$D$7:$D$226,$S154)&amp;"")</f>
        <v/>
      </c>
      <c r="D154">
        <f>IF($S154="","",INDEX('Programme Export'!$E$7:$E$226,$S154)&amp;"")</f>
        <v/>
      </c>
      <c r="E154">
        <f>IF($S154="","",INDEX('Programme Export'!$N$7:$N$226,$S154)&amp;"")</f>
        <v/>
      </c>
      <c r="F154">
        <f t="array" ref="F154">IF(R154="","",_xlfn.TEXTJOIN(";",TRUE,IFERROR(IF(TRIM(MID(SUBSTITUTE(SUBSTITUTE(SUBSTITUTE(R154,",",";")," ",";"),";",REPT(" ",60)),(ROW($1:$10)-1)*60+1,60))="","",MATCH(TRIM(MID(SUBSTITUTE(SUBSTITUTE(SUBSTITUTE(R154,",",";")," ",";"),";",REPT(" ",60)),(ROW($1:$10)-1)*60+1,60)),$C$2:$C$201,0)),"")))</f>
        <v/>
      </c>
      <c r="G154">
        <f>IF($S154="","",INDEX('Programme Export'!$H$7:$H$226,$S154))</f>
        <v/>
      </c>
      <c r="J154">
        <f>IF($S154="","",INDEX('Programme Export'!$R$7:$R$226,$S154)&amp;"")</f>
        <v/>
      </c>
      <c r="K154">
        <f>IF($S154="","",INDEX('Programme Export'!$C$7:$C$226,$S154)&amp;"")</f>
        <v/>
      </c>
      <c r="L154">
        <f>IF($S154="","",'Cover &amp; Instructions'!$B$38)</f>
        <v/>
      </c>
      <c r="M154">
        <f>IF($S154="","",INDEX('Programme Export'!$F$7:$F$226,$S154))</f>
        <v/>
      </c>
      <c r="N154">
        <f>IF($S154="","",INDEX('Programme Export'!$G$7:$G$226,$S154)&amp;"")</f>
        <v/>
      </c>
      <c r="O154">
        <f>IF($S154="","",IFERROR(P154/M154,0))</f>
        <v/>
      </c>
      <c r="P154">
        <f>IF($S154="","",INDEX('Programme Export'!$H$7:$H$226,$S154))</f>
        <v/>
      </c>
      <c r="Q154">
        <f>IF($S154="","",INDEX('Programme Export'!$X$7:$X$226,$S154)&amp;"")</f>
        <v/>
      </c>
      <c r="R154">
        <f>IF($S154="","",INDEX('Programme Export'!$P$7:$P$226,$S154)&amp;"")</f>
        <v/>
      </c>
      <c r="S154">
        <f>IFERROR(MATCH(153,'Programme Export'!$Y$7:$Y$226,0),"")</f>
        <v/>
      </c>
    </row>
    <row r="155">
      <c r="A155">
        <f>IF($S155="","",154)</f>
        <v/>
      </c>
      <c r="B155">
        <f>IF($S155="","",1)</f>
        <v/>
      </c>
      <c r="C155">
        <f>IF($S155="","",INDEX('Programme Export'!$D$7:$D$226,$S155)&amp;"")</f>
        <v/>
      </c>
      <c r="D155">
        <f>IF($S155="","",INDEX('Programme Export'!$E$7:$E$226,$S155)&amp;"")</f>
        <v/>
      </c>
      <c r="E155">
        <f>IF($S155="","",INDEX('Programme Export'!$N$7:$N$226,$S155)&amp;"")</f>
        <v/>
      </c>
      <c r="F155">
        <f t="array" ref="F155">IF(R155="","",_xlfn.TEXTJOIN(";",TRUE,IFERROR(IF(TRIM(MID(SUBSTITUTE(SUBSTITUTE(SUBSTITUTE(R155,",",";")," ",";"),";",REPT(" ",60)),(ROW($1:$10)-1)*60+1,60))="","",MATCH(TRIM(MID(SUBSTITUTE(SUBSTITUTE(SUBSTITUTE(R155,",",";")," ",";"),";",REPT(" ",60)),(ROW($1:$10)-1)*60+1,60)),$C$2:$C$201,0)),"")))</f>
        <v/>
      </c>
      <c r="G155">
        <f>IF($S155="","",INDEX('Programme Export'!$H$7:$H$226,$S155))</f>
        <v/>
      </c>
      <c r="J155">
        <f>IF($S155="","",INDEX('Programme Export'!$R$7:$R$226,$S155)&amp;"")</f>
        <v/>
      </c>
      <c r="K155">
        <f>IF($S155="","",INDEX('Programme Export'!$C$7:$C$226,$S155)&amp;"")</f>
        <v/>
      </c>
      <c r="L155">
        <f>IF($S155="","",'Cover &amp; Instructions'!$B$38)</f>
        <v/>
      </c>
      <c r="M155">
        <f>IF($S155="","",INDEX('Programme Export'!$F$7:$F$226,$S155))</f>
        <v/>
      </c>
      <c r="N155">
        <f>IF($S155="","",INDEX('Programme Export'!$G$7:$G$226,$S155)&amp;"")</f>
        <v/>
      </c>
      <c r="O155">
        <f>IF($S155="","",IFERROR(P155/M155,0))</f>
        <v/>
      </c>
      <c r="P155">
        <f>IF($S155="","",INDEX('Programme Export'!$H$7:$H$226,$S155))</f>
        <v/>
      </c>
      <c r="Q155">
        <f>IF($S155="","",INDEX('Programme Export'!$X$7:$X$226,$S155)&amp;"")</f>
        <v/>
      </c>
      <c r="R155">
        <f>IF($S155="","",INDEX('Programme Export'!$P$7:$P$226,$S155)&amp;"")</f>
        <v/>
      </c>
      <c r="S155">
        <f>IFERROR(MATCH(154,'Programme Export'!$Y$7:$Y$226,0),"")</f>
        <v/>
      </c>
    </row>
    <row r="156">
      <c r="A156">
        <f>IF($S156="","",155)</f>
        <v/>
      </c>
      <c r="B156">
        <f>IF($S156="","",1)</f>
        <v/>
      </c>
      <c r="C156">
        <f>IF($S156="","",INDEX('Programme Export'!$D$7:$D$226,$S156)&amp;"")</f>
        <v/>
      </c>
      <c r="D156">
        <f>IF($S156="","",INDEX('Programme Export'!$E$7:$E$226,$S156)&amp;"")</f>
        <v/>
      </c>
      <c r="E156">
        <f>IF($S156="","",INDEX('Programme Export'!$N$7:$N$226,$S156)&amp;"")</f>
        <v/>
      </c>
      <c r="F156">
        <f t="array" ref="F156">IF(R156="","",_xlfn.TEXTJOIN(";",TRUE,IFERROR(IF(TRIM(MID(SUBSTITUTE(SUBSTITUTE(SUBSTITUTE(R156,",",";")," ",";"),";",REPT(" ",60)),(ROW($1:$10)-1)*60+1,60))="","",MATCH(TRIM(MID(SUBSTITUTE(SUBSTITUTE(SUBSTITUTE(R156,",",";")," ",";"),";",REPT(" ",60)),(ROW($1:$10)-1)*60+1,60)),$C$2:$C$201,0)),"")))</f>
        <v/>
      </c>
      <c r="G156">
        <f>IF($S156="","",INDEX('Programme Export'!$H$7:$H$226,$S156))</f>
        <v/>
      </c>
      <c r="J156">
        <f>IF($S156="","",INDEX('Programme Export'!$R$7:$R$226,$S156)&amp;"")</f>
        <v/>
      </c>
      <c r="K156">
        <f>IF($S156="","",INDEX('Programme Export'!$C$7:$C$226,$S156)&amp;"")</f>
        <v/>
      </c>
      <c r="L156">
        <f>IF($S156="","",'Cover &amp; Instructions'!$B$38)</f>
        <v/>
      </c>
      <c r="M156">
        <f>IF($S156="","",INDEX('Programme Export'!$F$7:$F$226,$S156))</f>
        <v/>
      </c>
      <c r="N156">
        <f>IF($S156="","",INDEX('Programme Export'!$G$7:$G$226,$S156)&amp;"")</f>
        <v/>
      </c>
      <c r="O156">
        <f>IF($S156="","",IFERROR(P156/M156,0))</f>
        <v/>
      </c>
      <c r="P156">
        <f>IF($S156="","",INDEX('Programme Export'!$H$7:$H$226,$S156))</f>
        <v/>
      </c>
      <c r="Q156">
        <f>IF($S156="","",INDEX('Programme Export'!$X$7:$X$226,$S156)&amp;"")</f>
        <v/>
      </c>
      <c r="R156">
        <f>IF($S156="","",INDEX('Programme Export'!$P$7:$P$226,$S156)&amp;"")</f>
        <v/>
      </c>
      <c r="S156">
        <f>IFERROR(MATCH(155,'Programme Export'!$Y$7:$Y$226,0),"")</f>
        <v/>
      </c>
    </row>
    <row r="157">
      <c r="A157">
        <f>IF($S157="","",156)</f>
        <v/>
      </c>
      <c r="B157">
        <f>IF($S157="","",1)</f>
        <v/>
      </c>
      <c r="C157">
        <f>IF($S157="","",INDEX('Programme Export'!$D$7:$D$226,$S157)&amp;"")</f>
        <v/>
      </c>
      <c r="D157">
        <f>IF($S157="","",INDEX('Programme Export'!$E$7:$E$226,$S157)&amp;"")</f>
        <v/>
      </c>
      <c r="E157">
        <f>IF($S157="","",INDEX('Programme Export'!$N$7:$N$226,$S157)&amp;"")</f>
        <v/>
      </c>
      <c r="F157">
        <f t="array" ref="F157">IF(R157="","",_xlfn.TEXTJOIN(";",TRUE,IFERROR(IF(TRIM(MID(SUBSTITUTE(SUBSTITUTE(SUBSTITUTE(R157,",",";")," ",";"),";",REPT(" ",60)),(ROW($1:$10)-1)*60+1,60))="","",MATCH(TRIM(MID(SUBSTITUTE(SUBSTITUTE(SUBSTITUTE(R157,",",";")," ",";"),";",REPT(" ",60)),(ROW($1:$10)-1)*60+1,60)),$C$2:$C$201,0)),"")))</f>
        <v/>
      </c>
      <c r="G157">
        <f>IF($S157="","",INDEX('Programme Export'!$H$7:$H$226,$S157))</f>
        <v/>
      </c>
      <c r="J157">
        <f>IF($S157="","",INDEX('Programme Export'!$R$7:$R$226,$S157)&amp;"")</f>
        <v/>
      </c>
      <c r="K157">
        <f>IF($S157="","",INDEX('Programme Export'!$C$7:$C$226,$S157)&amp;"")</f>
        <v/>
      </c>
      <c r="L157">
        <f>IF($S157="","",'Cover &amp; Instructions'!$B$38)</f>
        <v/>
      </c>
      <c r="M157">
        <f>IF($S157="","",INDEX('Programme Export'!$F$7:$F$226,$S157))</f>
        <v/>
      </c>
      <c r="N157">
        <f>IF($S157="","",INDEX('Programme Export'!$G$7:$G$226,$S157)&amp;"")</f>
        <v/>
      </c>
      <c r="O157">
        <f>IF($S157="","",IFERROR(P157/M157,0))</f>
        <v/>
      </c>
      <c r="P157">
        <f>IF($S157="","",INDEX('Programme Export'!$H$7:$H$226,$S157))</f>
        <v/>
      </c>
      <c r="Q157">
        <f>IF($S157="","",INDEX('Programme Export'!$X$7:$X$226,$S157)&amp;"")</f>
        <v/>
      </c>
      <c r="R157">
        <f>IF($S157="","",INDEX('Programme Export'!$P$7:$P$226,$S157)&amp;"")</f>
        <v/>
      </c>
      <c r="S157">
        <f>IFERROR(MATCH(156,'Programme Export'!$Y$7:$Y$226,0),"")</f>
        <v/>
      </c>
    </row>
    <row r="158">
      <c r="A158">
        <f>IF($S158="","",157)</f>
        <v/>
      </c>
      <c r="B158">
        <f>IF($S158="","",1)</f>
        <v/>
      </c>
      <c r="C158">
        <f>IF($S158="","",INDEX('Programme Export'!$D$7:$D$226,$S158)&amp;"")</f>
        <v/>
      </c>
      <c r="D158">
        <f>IF($S158="","",INDEX('Programme Export'!$E$7:$E$226,$S158)&amp;"")</f>
        <v/>
      </c>
      <c r="E158">
        <f>IF($S158="","",INDEX('Programme Export'!$N$7:$N$226,$S158)&amp;"")</f>
        <v/>
      </c>
      <c r="F158">
        <f t="array" ref="F158">IF(R158="","",_xlfn.TEXTJOIN(";",TRUE,IFERROR(IF(TRIM(MID(SUBSTITUTE(SUBSTITUTE(SUBSTITUTE(R158,",",";")," ",";"),";",REPT(" ",60)),(ROW($1:$10)-1)*60+1,60))="","",MATCH(TRIM(MID(SUBSTITUTE(SUBSTITUTE(SUBSTITUTE(R158,",",";")," ",";"),";",REPT(" ",60)),(ROW($1:$10)-1)*60+1,60)),$C$2:$C$201,0)),"")))</f>
        <v/>
      </c>
      <c r="G158">
        <f>IF($S158="","",INDEX('Programme Export'!$H$7:$H$226,$S158))</f>
        <v/>
      </c>
      <c r="J158">
        <f>IF($S158="","",INDEX('Programme Export'!$R$7:$R$226,$S158)&amp;"")</f>
        <v/>
      </c>
      <c r="K158">
        <f>IF($S158="","",INDEX('Programme Export'!$C$7:$C$226,$S158)&amp;"")</f>
        <v/>
      </c>
      <c r="L158">
        <f>IF($S158="","",'Cover &amp; Instructions'!$B$38)</f>
        <v/>
      </c>
      <c r="M158">
        <f>IF($S158="","",INDEX('Programme Export'!$F$7:$F$226,$S158))</f>
        <v/>
      </c>
      <c r="N158">
        <f>IF($S158="","",INDEX('Programme Export'!$G$7:$G$226,$S158)&amp;"")</f>
        <v/>
      </c>
      <c r="O158">
        <f>IF($S158="","",IFERROR(P158/M158,0))</f>
        <v/>
      </c>
      <c r="P158">
        <f>IF($S158="","",INDEX('Programme Export'!$H$7:$H$226,$S158))</f>
        <v/>
      </c>
      <c r="Q158">
        <f>IF($S158="","",INDEX('Programme Export'!$X$7:$X$226,$S158)&amp;"")</f>
        <v/>
      </c>
      <c r="R158">
        <f>IF($S158="","",INDEX('Programme Export'!$P$7:$P$226,$S158)&amp;"")</f>
        <v/>
      </c>
      <c r="S158">
        <f>IFERROR(MATCH(157,'Programme Export'!$Y$7:$Y$226,0),"")</f>
        <v/>
      </c>
    </row>
    <row r="159">
      <c r="A159">
        <f>IF($S159="","",158)</f>
        <v/>
      </c>
      <c r="B159">
        <f>IF($S159="","",1)</f>
        <v/>
      </c>
      <c r="C159">
        <f>IF($S159="","",INDEX('Programme Export'!$D$7:$D$226,$S159)&amp;"")</f>
        <v/>
      </c>
      <c r="D159">
        <f>IF($S159="","",INDEX('Programme Export'!$E$7:$E$226,$S159)&amp;"")</f>
        <v/>
      </c>
      <c r="E159">
        <f>IF($S159="","",INDEX('Programme Export'!$N$7:$N$226,$S159)&amp;"")</f>
        <v/>
      </c>
      <c r="F159">
        <f t="array" ref="F159">IF(R159="","",_xlfn.TEXTJOIN(";",TRUE,IFERROR(IF(TRIM(MID(SUBSTITUTE(SUBSTITUTE(SUBSTITUTE(R159,",",";")," ",";"),";",REPT(" ",60)),(ROW($1:$10)-1)*60+1,60))="","",MATCH(TRIM(MID(SUBSTITUTE(SUBSTITUTE(SUBSTITUTE(R159,",",";")," ",";"),";",REPT(" ",60)),(ROW($1:$10)-1)*60+1,60)),$C$2:$C$201,0)),"")))</f>
        <v/>
      </c>
      <c r="G159">
        <f>IF($S159="","",INDEX('Programme Export'!$H$7:$H$226,$S159))</f>
        <v/>
      </c>
      <c r="J159">
        <f>IF($S159="","",INDEX('Programme Export'!$R$7:$R$226,$S159)&amp;"")</f>
        <v/>
      </c>
      <c r="K159">
        <f>IF($S159="","",INDEX('Programme Export'!$C$7:$C$226,$S159)&amp;"")</f>
        <v/>
      </c>
      <c r="L159">
        <f>IF($S159="","",'Cover &amp; Instructions'!$B$38)</f>
        <v/>
      </c>
      <c r="M159">
        <f>IF($S159="","",INDEX('Programme Export'!$F$7:$F$226,$S159))</f>
        <v/>
      </c>
      <c r="N159">
        <f>IF($S159="","",INDEX('Programme Export'!$G$7:$G$226,$S159)&amp;"")</f>
        <v/>
      </c>
      <c r="O159">
        <f>IF($S159="","",IFERROR(P159/M159,0))</f>
        <v/>
      </c>
      <c r="P159">
        <f>IF($S159="","",INDEX('Programme Export'!$H$7:$H$226,$S159))</f>
        <v/>
      </c>
      <c r="Q159">
        <f>IF($S159="","",INDEX('Programme Export'!$X$7:$X$226,$S159)&amp;"")</f>
        <v/>
      </c>
      <c r="R159">
        <f>IF($S159="","",INDEX('Programme Export'!$P$7:$P$226,$S159)&amp;"")</f>
        <v/>
      </c>
      <c r="S159">
        <f>IFERROR(MATCH(158,'Programme Export'!$Y$7:$Y$226,0),"")</f>
        <v/>
      </c>
    </row>
    <row r="160">
      <c r="A160">
        <f>IF($S160="","",159)</f>
        <v/>
      </c>
      <c r="B160">
        <f>IF($S160="","",1)</f>
        <v/>
      </c>
      <c r="C160">
        <f>IF($S160="","",INDEX('Programme Export'!$D$7:$D$226,$S160)&amp;"")</f>
        <v/>
      </c>
      <c r="D160">
        <f>IF($S160="","",INDEX('Programme Export'!$E$7:$E$226,$S160)&amp;"")</f>
        <v/>
      </c>
      <c r="E160">
        <f>IF($S160="","",INDEX('Programme Export'!$N$7:$N$226,$S160)&amp;"")</f>
        <v/>
      </c>
      <c r="F160">
        <f t="array" ref="F160">IF(R160="","",_xlfn.TEXTJOIN(";",TRUE,IFERROR(IF(TRIM(MID(SUBSTITUTE(SUBSTITUTE(SUBSTITUTE(R160,",",";")," ",";"),";",REPT(" ",60)),(ROW($1:$10)-1)*60+1,60))="","",MATCH(TRIM(MID(SUBSTITUTE(SUBSTITUTE(SUBSTITUTE(R160,",",";")," ",";"),";",REPT(" ",60)),(ROW($1:$10)-1)*60+1,60)),$C$2:$C$201,0)),"")))</f>
        <v/>
      </c>
      <c r="G160">
        <f>IF($S160="","",INDEX('Programme Export'!$H$7:$H$226,$S160))</f>
        <v/>
      </c>
      <c r="J160">
        <f>IF($S160="","",INDEX('Programme Export'!$R$7:$R$226,$S160)&amp;"")</f>
        <v/>
      </c>
      <c r="K160">
        <f>IF($S160="","",INDEX('Programme Export'!$C$7:$C$226,$S160)&amp;"")</f>
        <v/>
      </c>
      <c r="L160">
        <f>IF($S160="","",'Cover &amp; Instructions'!$B$38)</f>
        <v/>
      </c>
      <c r="M160">
        <f>IF($S160="","",INDEX('Programme Export'!$F$7:$F$226,$S160))</f>
        <v/>
      </c>
      <c r="N160">
        <f>IF($S160="","",INDEX('Programme Export'!$G$7:$G$226,$S160)&amp;"")</f>
        <v/>
      </c>
      <c r="O160">
        <f>IF($S160="","",IFERROR(P160/M160,0))</f>
        <v/>
      </c>
      <c r="P160">
        <f>IF($S160="","",INDEX('Programme Export'!$H$7:$H$226,$S160))</f>
        <v/>
      </c>
      <c r="Q160">
        <f>IF($S160="","",INDEX('Programme Export'!$X$7:$X$226,$S160)&amp;"")</f>
        <v/>
      </c>
      <c r="R160">
        <f>IF($S160="","",INDEX('Programme Export'!$P$7:$P$226,$S160)&amp;"")</f>
        <v/>
      </c>
      <c r="S160">
        <f>IFERROR(MATCH(159,'Programme Export'!$Y$7:$Y$226,0),"")</f>
        <v/>
      </c>
    </row>
    <row r="161">
      <c r="A161">
        <f>IF($S161="","",160)</f>
        <v/>
      </c>
      <c r="B161">
        <f>IF($S161="","",1)</f>
        <v/>
      </c>
      <c r="C161">
        <f>IF($S161="","",INDEX('Programme Export'!$D$7:$D$226,$S161)&amp;"")</f>
        <v/>
      </c>
      <c r="D161">
        <f>IF($S161="","",INDEX('Programme Export'!$E$7:$E$226,$S161)&amp;"")</f>
        <v/>
      </c>
      <c r="E161">
        <f>IF($S161="","",INDEX('Programme Export'!$N$7:$N$226,$S161)&amp;"")</f>
        <v/>
      </c>
      <c r="F161">
        <f t="array" ref="F161">IF(R161="","",_xlfn.TEXTJOIN(";",TRUE,IFERROR(IF(TRIM(MID(SUBSTITUTE(SUBSTITUTE(SUBSTITUTE(R161,",",";")," ",";"),";",REPT(" ",60)),(ROW($1:$10)-1)*60+1,60))="","",MATCH(TRIM(MID(SUBSTITUTE(SUBSTITUTE(SUBSTITUTE(R161,",",";")," ",";"),";",REPT(" ",60)),(ROW($1:$10)-1)*60+1,60)),$C$2:$C$201,0)),"")))</f>
        <v/>
      </c>
      <c r="G161">
        <f>IF($S161="","",INDEX('Programme Export'!$H$7:$H$226,$S161))</f>
        <v/>
      </c>
      <c r="J161">
        <f>IF($S161="","",INDEX('Programme Export'!$R$7:$R$226,$S161)&amp;"")</f>
        <v/>
      </c>
      <c r="K161">
        <f>IF($S161="","",INDEX('Programme Export'!$C$7:$C$226,$S161)&amp;"")</f>
        <v/>
      </c>
      <c r="L161">
        <f>IF($S161="","",'Cover &amp; Instructions'!$B$38)</f>
        <v/>
      </c>
      <c r="M161">
        <f>IF($S161="","",INDEX('Programme Export'!$F$7:$F$226,$S161))</f>
        <v/>
      </c>
      <c r="N161">
        <f>IF($S161="","",INDEX('Programme Export'!$G$7:$G$226,$S161)&amp;"")</f>
        <v/>
      </c>
      <c r="O161">
        <f>IF($S161="","",IFERROR(P161/M161,0))</f>
        <v/>
      </c>
      <c r="P161">
        <f>IF($S161="","",INDEX('Programme Export'!$H$7:$H$226,$S161))</f>
        <v/>
      </c>
      <c r="Q161">
        <f>IF($S161="","",INDEX('Programme Export'!$X$7:$X$226,$S161)&amp;"")</f>
        <v/>
      </c>
      <c r="R161">
        <f>IF($S161="","",INDEX('Programme Export'!$P$7:$P$226,$S161)&amp;"")</f>
        <v/>
      </c>
      <c r="S161">
        <f>IFERROR(MATCH(160,'Programme Export'!$Y$7:$Y$226,0),"")</f>
        <v/>
      </c>
    </row>
    <row r="162">
      <c r="A162">
        <f>IF($S162="","",161)</f>
        <v/>
      </c>
      <c r="B162">
        <f>IF($S162="","",1)</f>
        <v/>
      </c>
      <c r="C162">
        <f>IF($S162="","",INDEX('Programme Export'!$D$7:$D$226,$S162)&amp;"")</f>
        <v/>
      </c>
      <c r="D162">
        <f>IF($S162="","",INDEX('Programme Export'!$E$7:$E$226,$S162)&amp;"")</f>
        <v/>
      </c>
      <c r="E162">
        <f>IF($S162="","",INDEX('Programme Export'!$N$7:$N$226,$S162)&amp;"")</f>
        <v/>
      </c>
      <c r="F162">
        <f t="array" ref="F162">IF(R162="","",_xlfn.TEXTJOIN(";",TRUE,IFERROR(IF(TRIM(MID(SUBSTITUTE(SUBSTITUTE(SUBSTITUTE(R162,",",";")," ",";"),";",REPT(" ",60)),(ROW($1:$10)-1)*60+1,60))="","",MATCH(TRIM(MID(SUBSTITUTE(SUBSTITUTE(SUBSTITUTE(R162,",",";")," ",";"),";",REPT(" ",60)),(ROW($1:$10)-1)*60+1,60)),$C$2:$C$201,0)),"")))</f>
        <v/>
      </c>
      <c r="G162">
        <f>IF($S162="","",INDEX('Programme Export'!$H$7:$H$226,$S162))</f>
        <v/>
      </c>
      <c r="J162">
        <f>IF($S162="","",INDEX('Programme Export'!$R$7:$R$226,$S162)&amp;"")</f>
        <v/>
      </c>
      <c r="K162">
        <f>IF($S162="","",INDEX('Programme Export'!$C$7:$C$226,$S162)&amp;"")</f>
        <v/>
      </c>
      <c r="L162">
        <f>IF($S162="","",'Cover &amp; Instructions'!$B$38)</f>
        <v/>
      </c>
      <c r="M162">
        <f>IF($S162="","",INDEX('Programme Export'!$F$7:$F$226,$S162))</f>
        <v/>
      </c>
      <c r="N162">
        <f>IF($S162="","",INDEX('Programme Export'!$G$7:$G$226,$S162)&amp;"")</f>
        <v/>
      </c>
      <c r="O162">
        <f>IF($S162="","",IFERROR(P162/M162,0))</f>
        <v/>
      </c>
      <c r="P162">
        <f>IF($S162="","",INDEX('Programme Export'!$H$7:$H$226,$S162))</f>
        <v/>
      </c>
      <c r="Q162">
        <f>IF($S162="","",INDEX('Programme Export'!$X$7:$X$226,$S162)&amp;"")</f>
        <v/>
      </c>
      <c r="R162">
        <f>IF($S162="","",INDEX('Programme Export'!$P$7:$P$226,$S162)&amp;"")</f>
        <v/>
      </c>
      <c r="S162">
        <f>IFERROR(MATCH(161,'Programme Export'!$Y$7:$Y$226,0),"")</f>
        <v/>
      </c>
    </row>
    <row r="163">
      <c r="A163">
        <f>IF($S163="","",162)</f>
        <v/>
      </c>
      <c r="B163">
        <f>IF($S163="","",1)</f>
        <v/>
      </c>
      <c r="C163">
        <f>IF($S163="","",INDEX('Programme Export'!$D$7:$D$226,$S163)&amp;"")</f>
        <v/>
      </c>
      <c r="D163">
        <f>IF($S163="","",INDEX('Programme Export'!$E$7:$E$226,$S163)&amp;"")</f>
        <v/>
      </c>
      <c r="E163">
        <f>IF($S163="","",INDEX('Programme Export'!$N$7:$N$226,$S163)&amp;"")</f>
        <v/>
      </c>
      <c r="F163">
        <f t="array" ref="F163">IF(R163="","",_xlfn.TEXTJOIN(";",TRUE,IFERROR(IF(TRIM(MID(SUBSTITUTE(SUBSTITUTE(SUBSTITUTE(R163,",",";")," ",";"),";",REPT(" ",60)),(ROW($1:$10)-1)*60+1,60))="","",MATCH(TRIM(MID(SUBSTITUTE(SUBSTITUTE(SUBSTITUTE(R163,",",";")," ",";"),";",REPT(" ",60)),(ROW($1:$10)-1)*60+1,60)),$C$2:$C$201,0)),"")))</f>
        <v/>
      </c>
      <c r="G163">
        <f>IF($S163="","",INDEX('Programme Export'!$H$7:$H$226,$S163))</f>
        <v/>
      </c>
      <c r="J163">
        <f>IF($S163="","",INDEX('Programme Export'!$R$7:$R$226,$S163)&amp;"")</f>
        <v/>
      </c>
      <c r="K163">
        <f>IF($S163="","",INDEX('Programme Export'!$C$7:$C$226,$S163)&amp;"")</f>
        <v/>
      </c>
      <c r="L163">
        <f>IF($S163="","",'Cover &amp; Instructions'!$B$38)</f>
        <v/>
      </c>
      <c r="M163">
        <f>IF($S163="","",INDEX('Programme Export'!$F$7:$F$226,$S163))</f>
        <v/>
      </c>
      <c r="N163">
        <f>IF($S163="","",INDEX('Programme Export'!$G$7:$G$226,$S163)&amp;"")</f>
        <v/>
      </c>
      <c r="O163">
        <f>IF($S163="","",IFERROR(P163/M163,0))</f>
        <v/>
      </c>
      <c r="P163">
        <f>IF($S163="","",INDEX('Programme Export'!$H$7:$H$226,$S163))</f>
        <v/>
      </c>
      <c r="Q163">
        <f>IF($S163="","",INDEX('Programme Export'!$X$7:$X$226,$S163)&amp;"")</f>
        <v/>
      </c>
      <c r="R163">
        <f>IF($S163="","",INDEX('Programme Export'!$P$7:$P$226,$S163)&amp;"")</f>
        <v/>
      </c>
      <c r="S163">
        <f>IFERROR(MATCH(162,'Programme Export'!$Y$7:$Y$226,0),"")</f>
        <v/>
      </c>
    </row>
    <row r="164">
      <c r="A164">
        <f>IF($S164="","",163)</f>
        <v/>
      </c>
      <c r="B164">
        <f>IF($S164="","",1)</f>
        <v/>
      </c>
      <c r="C164">
        <f>IF($S164="","",INDEX('Programme Export'!$D$7:$D$226,$S164)&amp;"")</f>
        <v/>
      </c>
      <c r="D164">
        <f>IF($S164="","",INDEX('Programme Export'!$E$7:$E$226,$S164)&amp;"")</f>
        <v/>
      </c>
      <c r="E164">
        <f>IF($S164="","",INDEX('Programme Export'!$N$7:$N$226,$S164)&amp;"")</f>
        <v/>
      </c>
      <c r="F164">
        <f t="array" ref="F164">IF(R164="","",_xlfn.TEXTJOIN(";",TRUE,IFERROR(IF(TRIM(MID(SUBSTITUTE(SUBSTITUTE(SUBSTITUTE(R164,",",";")," ",";"),";",REPT(" ",60)),(ROW($1:$10)-1)*60+1,60))="","",MATCH(TRIM(MID(SUBSTITUTE(SUBSTITUTE(SUBSTITUTE(R164,",",";")," ",";"),";",REPT(" ",60)),(ROW($1:$10)-1)*60+1,60)),$C$2:$C$201,0)),"")))</f>
        <v/>
      </c>
      <c r="G164">
        <f>IF($S164="","",INDEX('Programme Export'!$H$7:$H$226,$S164))</f>
        <v/>
      </c>
      <c r="J164">
        <f>IF($S164="","",INDEX('Programme Export'!$R$7:$R$226,$S164)&amp;"")</f>
        <v/>
      </c>
      <c r="K164">
        <f>IF($S164="","",INDEX('Programme Export'!$C$7:$C$226,$S164)&amp;"")</f>
        <v/>
      </c>
      <c r="L164">
        <f>IF($S164="","",'Cover &amp; Instructions'!$B$38)</f>
        <v/>
      </c>
      <c r="M164">
        <f>IF($S164="","",INDEX('Programme Export'!$F$7:$F$226,$S164))</f>
        <v/>
      </c>
      <c r="N164">
        <f>IF($S164="","",INDEX('Programme Export'!$G$7:$G$226,$S164)&amp;"")</f>
        <v/>
      </c>
      <c r="O164">
        <f>IF($S164="","",IFERROR(P164/M164,0))</f>
        <v/>
      </c>
      <c r="P164">
        <f>IF($S164="","",INDEX('Programme Export'!$H$7:$H$226,$S164))</f>
        <v/>
      </c>
      <c r="Q164">
        <f>IF($S164="","",INDEX('Programme Export'!$X$7:$X$226,$S164)&amp;"")</f>
        <v/>
      </c>
      <c r="R164">
        <f>IF($S164="","",INDEX('Programme Export'!$P$7:$P$226,$S164)&amp;"")</f>
        <v/>
      </c>
      <c r="S164">
        <f>IFERROR(MATCH(163,'Programme Export'!$Y$7:$Y$226,0),"")</f>
        <v/>
      </c>
    </row>
    <row r="165">
      <c r="A165">
        <f>IF($S165="","",164)</f>
        <v/>
      </c>
      <c r="B165">
        <f>IF($S165="","",1)</f>
        <v/>
      </c>
      <c r="C165">
        <f>IF($S165="","",INDEX('Programme Export'!$D$7:$D$226,$S165)&amp;"")</f>
        <v/>
      </c>
      <c r="D165">
        <f>IF($S165="","",INDEX('Programme Export'!$E$7:$E$226,$S165)&amp;"")</f>
        <v/>
      </c>
      <c r="E165">
        <f>IF($S165="","",INDEX('Programme Export'!$N$7:$N$226,$S165)&amp;"")</f>
        <v/>
      </c>
      <c r="F165">
        <f t="array" ref="F165">IF(R165="","",_xlfn.TEXTJOIN(";",TRUE,IFERROR(IF(TRIM(MID(SUBSTITUTE(SUBSTITUTE(SUBSTITUTE(R165,",",";")," ",";"),";",REPT(" ",60)),(ROW($1:$10)-1)*60+1,60))="","",MATCH(TRIM(MID(SUBSTITUTE(SUBSTITUTE(SUBSTITUTE(R165,",",";")," ",";"),";",REPT(" ",60)),(ROW($1:$10)-1)*60+1,60)),$C$2:$C$201,0)),"")))</f>
        <v/>
      </c>
      <c r="G165">
        <f>IF($S165="","",INDEX('Programme Export'!$H$7:$H$226,$S165))</f>
        <v/>
      </c>
      <c r="J165">
        <f>IF($S165="","",INDEX('Programme Export'!$R$7:$R$226,$S165)&amp;"")</f>
        <v/>
      </c>
      <c r="K165">
        <f>IF($S165="","",INDEX('Programme Export'!$C$7:$C$226,$S165)&amp;"")</f>
        <v/>
      </c>
      <c r="L165">
        <f>IF($S165="","",'Cover &amp; Instructions'!$B$38)</f>
        <v/>
      </c>
      <c r="M165">
        <f>IF($S165="","",INDEX('Programme Export'!$F$7:$F$226,$S165))</f>
        <v/>
      </c>
      <c r="N165">
        <f>IF($S165="","",INDEX('Programme Export'!$G$7:$G$226,$S165)&amp;"")</f>
        <v/>
      </c>
      <c r="O165">
        <f>IF($S165="","",IFERROR(P165/M165,0))</f>
        <v/>
      </c>
      <c r="P165">
        <f>IF($S165="","",INDEX('Programme Export'!$H$7:$H$226,$S165))</f>
        <v/>
      </c>
      <c r="Q165">
        <f>IF($S165="","",INDEX('Programme Export'!$X$7:$X$226,$S165)&amp;"")</f>
        <v/>
      </c>
      <c r="R165">
        <f>IF($S165="","",INDEX('Programme Export'!$P$7:$P$226,$S165)&amp;"")</f>
        <v/>
      </c>
      <c r="S165">
        <f>IFERROR(MATCH(164,'Programme Export'!$Y$7:$Y$226,0),"")</f>
        <v/>
      </c>
    </row>
    <row r="166">
      <c r="A166">
        <f>IF($S166="","",165)</f>
        <v/>
      </c>
      <c r="B166">
        <f>IF($S166="","",1)</f>
        <v/>
      </c>
      <c r="C166">
        <f>IF($S166="","",INDEX('Programme Export'!$D$7:$D$226,$S166)&amp;"")</f>
        <v/>
      </c>
      <c r="D166">
        <f>IF($S166="","",INDEX('Programme Export'!$E$7:$E$226,$S166)&amp;"")</f>
        <v/>
      </c>
      <c r="E166">
        <f>IF($S166="","",INDEX('Programme Export'!$N$7:$N$226,$S166)&amp;"")</f>
        <v/>
      </c>
      <c r="F166">
        <f t="array" ref="F166">IF(R166="","",_xlfn.TEXTJOIN(";",TRUE,IFERROR(IF(TRIM(MID(SUBSTITUTE(SUBSTITUTE(SUBSTITUTE(R166,",",";")," ",";"),";",REPT(" ",60)),(ROW($1:$10)-1)*60+1,60))="","",MATCH(TRIM(MID(SUBSTITUTE(SUBSTITUTE(SUBSTITUTE(R166,",",";")," ",";"),";",REPT(" ",60)),(ROW($1:$10)-1)*60+1,60)),$C$2:$C$201,0)),"")))</f>
        <v/>
      </c>
      <c r="G166">
        <f>IF($S166="","",INDEX('Programme Export'!$H$7:$H$226,$S166))</f>
        <v/>
      </c>
      <c r="J166">
        <f>IF($S166="","",INDEX('Programme Export'!$R$7:$R$226,$S166)&amp;"")</f>
        <v/>
      </c>
      <c r="K166">
        <f>IF($S166="","",INDEX('Programme Export'!$C$7:$C$226,$S166)&amp;"")</f>
        <v/>
      </c>
      <c r="L166">
        <f>IF($S166="","",'Cover &amp; Instructions'!$B$38)</f>
        <v/>
      </c>
      <c r="M166">
        <f>IF($S166="","",INDEX('Programme Export'!$F$7:$F$226,$S166))</f>
        <v/>
      </c>
      <c r="N166">
        <f>IF($S166="","",INDEX('Programme Export'!$G$7:$G$226,$S166)&amp;"")</f>
        <v/>
      </c>
      <c r="O166">
        <f>IF($S166="","",IFERROR(P166/M166,0))</f>
        <v/>
      </c>
      <c r="P166">
        <f>IF($S166="","",INDEX('Programme Export'!$H$7:$H$226,$S166))</f>
        <v/>
      </c>
      <c r="Q166">
        <f>IF($S166="","",INDEX('Programme Export'!$X$7:$X$226,$S166)&amp;"")</f>
        <v/>
      </c>
      <c r="R166">
        <f>IF($S166="","",INDEX('Programme Export'!$P$7:$P$226,$S166)&amp;"")</f>
        <v/>
      </c>
      <c r="S166">
        <f>IFERROR(MATCH(165,'Programme Export'!$Y$7:$Y$226,0),"")</f>
        <v/>
      </c>
    </row>
    <row r="167">
      <c r="A167">
        <f>IF($S167="","",166)</f>
        <v/>
      </c>
      <c r="B167">
        <f>IF($S167="","",1)</f>
        <v/>
      </c>
      <c r="C167">
        <f>IF($S167="","",INDEX('Programme Export'!$D$7:$D$226,$S167)&amp;"")</f>
        <v/>
      </c>
      <c r="D167">
        <f>IF($S167="","",INDEX('Programme Export'!$E$7:$E$226,$S167)&amp;"")</f>
        <v/>
      </c>
      <c r="E167">
        <f>IF($S167="","",INDEX('Programme Export'!$N$7:$N$226,$S167)&amp;"")</f>
        <v/>
      </c>
      <c r="F167">
        <f t="array" ref="F167">IF(R167="","",_xlfn.TEXTJOIN(";",TRUE,IFERROR(IF(TRIM(MID(SUBSTITUTE(SUBSTITUTE(SUBSTITUTE(R167,",",";")," ",";"),";",REPT(" ",60)),(ROW($1:$10)-1)*60+1,60))="","",MATCH(TRIM(MID(SUBSTITUTE(SUBSTITUTE(SUBSTITUTE(R167,",",";")," ",";"),";",REPT(" ",60)),(ROW($1:$10)-1)*60+1,60)),$C$2:$C$201,0)),"")))</f>
        <v/>
      </c>
      <c r="G167">
        <f>IF($S167="","",INDEX('Programme Export'!$H$7:$H$226,$S167))</f>
        <v/>
      </c>
      <c r="J167">
        <f>IF($S167="","",INDEX('Programme Export'!$R$7:$R$226,$S167)&amp;"")</f>
        <v/>
      </c>
      <c r="K167">
        <f>IF($S167="","",INDEX('Programme Export'!$C$7:$C$226,$S167)&amp;"")</f>
        <v/>
      </c>
      <c r="L167">
        <f>IF($S167="","",'Cover &amp; Instructions'!$B$38)</f>
        <v/>
      </c>
      <c r="M167">
        <f>IF($S167="","",INDEX('Programme Export'!$F$7:$F$226,$S167))</f>
        <v/>
      </c>
      <c r="N167">
        <f>IF($S167="","",INDEX('Programme Export'!$G$7:$G$226,$S167)&amp;"")</f>
        <v/>
      </c>
      <c r="O167">
        <f>IF($S167="","",IFERROR(P167/M167,0))</f>
        <v/>
      </c>
      <c r="P167">
        <f>IF($S167="","",INDEX('Programme Export'!$H$7:$H$226,$S167))</f>
        <v/>
      </c>
      <c r="Q167">
        <f>IF($S167="","",INDEX('Programme Export'!$X$7:$X$226,$S167)&amp;"")</f>
        <v/>
      </c>
      <c r="R167">
        <f>IF($S167="","",INDEX('Programme Export'!$P$7:$P$226,$S167)&amp;"")</f>
        <v/>
      </c>
      <c r="S167">
        <f>IFERROR(MATCH(166,'Programme Export'!$Y$7:$Y$226,0),"")</f>
        <v/>
      </c>
    </row>
    <row r="168">
      <c r="A168">
        <f>IF($S168="","",167)</f>
        <v/>
      </c>
      <c r="B168">
        <f>IF($S168="","",1)</f>
        <v/>
      </c>
      <c r="C168">
        <f>IF($S168="","",INDEX('Programme Export'!$D$7:$D$226,$S168)&amp;"")</f>
        <v/>
      </c>
      <c r="D168">
        <f>IF($S168="","",INDEX('Programme Export'!$E$7:$E$226,$S168)&amp;"")</f>
        <v/>
      </c>
      <c r="E168">
        <f>IF($S168="","",INDEX('Programme Export'!$N$7:$N$226,$S168)&amp;"")</f>
        <v/>
      </c>
      <c r="F168">
        <f t="array" ref="F168">IF(R168="","",_xlfn.TEXTJOIN(";",TRUE,IFERROR(IF(TRIM(MID(SUBSTITUTE(SUBSTITUTE(SUBSTITUTE(R168,",",";")," ",";"),";",REPT(" ",60)),(ROW($1:$10)-1)*60+1,60))="","",MATCH(TRIM(MID(SUBSTITUTE(SUBSTITUTE(SUBSTITUTE(R168,",",";")," ",";"),";",REPT(" ",60)),(ROW($1:$10)-1)*60+1,60)),$C$2:$C$201,0)),"")))</f>
        <v/>
      </c>
      <c r="G168">
        <f>IF($S168="","",INDEX('Programme Export'!$H$7:$H$226,$S168))</f>
        <v/>
      </c>
      <c r="J168">
        <f>IF($S168="","",INDEX('Programme Export'!$R$7:$R$226,$S168)&amp;"")</f>
        <v/>
      </c>
      <c r="K168">
        <f>IF($S168="","",INDEX('Programme Export'!$C$7:$C$226,$S168)&amp;"")</f>
        <v/>
      </c>
      <c r="L168">
        <f>IF($S168="","",'Cover &amp; Instructions'!$B$38)</f>
        <v/>
      </c>
      <c r="M168">
        <f>IF($S168="","",INDEX('Programme Export'!$F$7:$F$226,$S168))</f>
        <v/>
      </c>
      <c r="N168">
        <f>IF($S168="","",INDEX('Programme Export'!$G$7:$G$226,$S168)&amp;"")</f>
        <v/>
      </c>
      <c r="O168">
        <f>IF($S168="","",IFERROR(P168/M168,0))</f>
        <v/>
      </c>
      <c r="P168">
        <f>IF($S168="","",INDEX('Programme Export'!$H$7:$H$226,$S168))</f>
        <v/>
      </c>
      <c r="Q168">
        <f>IF($S168="","",INDEX('Programme Export'!$X$7:$X$226,$S168)&amp;"")</f>
        <v/>
      </c>
      <c r="R168">
        <f>IF($S168="","",INDEX('Programme Export'!$P$7:$P$226,$S168)&amp;"")</f>
        <v/>
      </c>
      <c r="S168">
        <f>IFERROR(MATCH(167,'Programme Export'!$Y$7:$Y$226,0),"")</f>
        <v/>
      </c>
    </row>
    <row r="169">
      <c r="A169">
        <f>IF($S169="","",168)</f>
        <v/>
      </c>
      <c r="B169">
        <f>IF($S169="","",1)</f>
        <v/>
      </c>
      <c r="C169">
        <f>IF($S169="","",INDEX('Programme Export'!$D$7:$D$226,$S169)&amp;"")</f>
        <v/>
      </c>
      <c r="D169">
        <f>IF($S169="","",INDEX('Programme Export'!$E$7:$E$226,$S169)&amp;"")</f>
        <v/>
      </c>
      <c r="E169">
        <f>IF($S169="","",INDEX('Programme Export'!$N$7:$N$226,$S169)&amp;"")</f>
        <v/>
      </c>
      <c r="F169">
        <f t="array" ref="F169">IF(R169="","",_xlfn.TEXTJOIN(";",TRUE,IFERROR(IF(TRIM(MID(SUBSTITUTE(SUBSTITUTE(SUBSTITUTE(R169,",",";")," ",";"),";",REPT(" ",60)),(ROW($1:$10)-1)*60+1,60))="","",MATCH(TRIM(MID(SUBSTITUTE(SUBSTITUTE(SUBSTITUTE(R169,",",";")," ",";"),";",REPT(" ",60)),(ROW($1:$10)-1)*60+1,60)),$C$2:$C$201,0)),"")))</f>
        <v/>
      </c>
      <c r="G169">
        <f>IF($S169="","",INDEX('Programme Export'!$H$7:$H$226,$S169))</f>
        <v/>
      </c>
      <c r="J169">
        <f>IF($S169="","",INDEX('Programme Export'!$R$7:$R$226,$S169)&amp;"")</f>
        <v/>
      </c>
      <c r="K169">
        <f>IF($S169="","",INDEX('Programme Export'!$C$7:$C$226,$S169)&amp;"")</f>
        <v/>
      </c>
      <c r="L169">
        <f>IF($S169="","",'Cover &amp; Instructions'!$B$38)</f>
        <v/>
      </c>
      <c r="M169">
        <f>IF($S169="","",INDEX('Programme Export'!$F$7:$F$226,$S169))</f>
        <v/>
      </c>
      <c r="N169">
        <f>IF($S169="","",INDEX('Programme Export'!$G$7:$G$226,$S169)&amp;"")</f>
        <v/>
      </c>
      <c r="O169">
        <f>IF($S169="","",IFERROR(P169/M169,0))</f>
        <v/>
      </c>
      <c r="P169">
        <f>IF($S169="","",INDEX('Programme Export'!$H$7:$H$226,$S169))</f>
        <v/>
      </c>
      <c r="Q169">
        <f>IF($S169="","",INDEX('Programme Export'!$X$7:$X$226,$S169)&amp;"")</f>
        <v/>
      </c>
      <c r="R169">
        <f>IF($S169="","",INDEX('Programme Export'!$P$7:$P$226,$S169)&amp;"")</f>
        <v/>
      </c>
      <c r="S169">
        <f>IFERROR(MATCH(168,'Programme Export'!$Y$7:$Y$226,0),"")</f>
        <v/>
      </c>
    </row>
    <row r="170">
      <c r="A170">
        <f>IF($S170="","",169)</f>
        <v/>
      </c>
      <c r="B170">
        <f>IF($S170="","",1)</f>
        <v/>
      </c>
      <c r="C170">
        <f>IF($S170="","",INDEX('Programme Export'!$D$7:$D$226,$S170)&amp;"")</f>
        <v/>
      </c>
      <c r="D170">
        <f>IF($S170="","",INDEX('Programme Export'!$E$7:$E$226,$S170)&amp;"")</f>
        <v/>
      </c>
      <c r="E170">
        <f>IF($S170="","",INDEX('Programme Export'!$N$7:$N$226,$S170)&amp;"")</f>
        <v/>
      </c>
      <c r="F170">
        <f t="array" ref="F170">IF(R170="","",_xlfn.TEXTJOIN(";",TRUE,IFERROR(IF(TRIM(MID(SUBSTITUTE(SUBSTITUTE(SUBSTITUTE(R170,",",";")," ",";"),";",REPT(" ",60)),(ROW($1:$10)-1)*60+1,60))="","",MATCH(TRIM(MID(SUBSTITUTE(SUBSTITUTE(SUBSTITUTE(R170,",",";")," ",";"),";",REPT(" ",60)),(ROW($1:$10)-1)*60+1,60)),$C$2:$C$201,0)),"")))</f>
        <v/>
      </c>
      <c r="G170">
        <f>IF($S170="","",INDEX('Programme Export'!$H$7:$H$226,$S170))</f>
        <v/>
      </c>
      <c r="J170">
        <f>IF($S170="","",INDEX('Programme Export'!$R$7:$R$226,$S170)&amp;"")</f>
        <v/>
      </c>
      <c r="K170">
        <f>IF($S170="","",INDEX('Programme Export'!$C$7:$C$226,$S170)&amp;"")</f>
        <v/>
      </c>
      <c r="L170">
        <f>IF($S170="","",'Cover &amp; Instructions'!$B$38)</f>
        <v/>
      </c>
      <c r="M170">
        <f>IF($S170="","",INDEX('Programme Export'!$F$7:$F$226,$S170))</f>
        <v/>
      </c>
      <c r="N170">
        <f>IF($S170="","",INDEX('Programme Export'!$G$7:$G$226,$S170)&amp;"")</f>
        <v/>
      </c>
      <c r="O170">
        <f>IF($S170="","",IFERROR(P170/M170,0))</f>
        <v/>
      </c>
      <c r="P170">
        <f>IF($S170="","",INDEX('Programme Export'!$H$7:$H$226,$S170))</f>
        <v/>
      </c>
      <c r="Q170">
        <f>IF($S170="","",INDEX('Programme Export'!$X$7:$X$226,$S170)&amp;"")</f>
        <v/>
      </c>
      <c r="R170">
        <f>IF($S170="","",INDEX('Programme Export'!$P$7:$P$226,$S170)&amp;"")</f>
        <v/>
      </c>
      <c r="S170">
        <f>IFERROR(MATCH(169,'Programme Export'!$Y$7:$Y$226,0),"")</f>
        <v/>
      </c>
    </row>
    <row r="171">
      <c r="A171">
        <f>IF($S171="","",170)</f>
        <v/>
      </c>
      <c r="B171">
        <f>IF($S171="","",1)</f>
        <v/>
      </c>
      <c r="C171">
        <f>IF($S171="","",INDEX('Programme Export'!$D$7:$D$226,$S171)&amp;"")</f>
        <v/>
      </c>
      <c r="D171">
        <f>IF($S171="","",INDEX('Programme Export'!$E$7:$E$226,$S171)&amp;"")</f>
        <v/>
      </c>
      <c r="E171">
        <f>IF($S171="","",INDEX('Programme Export'!$N$7:$N$226,$S171)&amp;"")</f>
        <v/>
      </c>
      <c r="F171">
        <f t="array" ref="F171">IF(R171="","",_xlfn.TEXTJOIN(";",TRUE,IFERROR(IF(TRIM(MID(SUBSTITUTE(SUBSTITUTE(SUBSTITUTE(R171,",",";")," ",";"),";",REPT(" ",60)),(ROW($1:$10)-1)*60+1,60))="","",MATCH(TRIM(MID(SUBSTITUTE(SUBSTITUTE(SUBSTITUTE(R171,",",";")," ",";"),";",REPT(" ",60)),(ROW($1:$10)-1)*60+1,60)),$C$2:$C$201,0)),"")))</f>
        <v/>
      </c>
      <c r="G171">
        <f>IF($S171="","",INDEX('Programme Export'!$H$7:$H$226,$S171))</f>
        <v/>
      </c>
      <c r="J171">
        <f>IF($S171="","",INDEX('Programme Export'!$R$7:$R$226,$S171)&amp;"")</f>
        <v/>
      </c>
      <c r="K171">
        <f>IF($S171="","",INDEX('Programme Export'!$C$7:$C$226,$S171)&amp;"")</f>
        <v/>
      </c>
      <c r="L171">
        <f>IF($S171="","",'Cover &amp; Instructions'!$B$38)</f>
        <v/>
      </c>
      <c r="M171">
        <f>IF($S171="","",INDEX('Programme Export'!$F$7:$F$226,$S171))</f>
        <v/>
      </c>
      <c r="N171">
        <f>IF($S171="","",INDEX('Programme Export'!$G$7:$G$226,$S171)&amp;"")</f>
        <v/>
      </c>
      <c r="O171">
        <f>IF($S171="","",IFERROR(P171/M171,0))</f>
        <v/>
      </c>
      <c r="P171">
        <f>IF($S171="","",INDEX('Programme Export'!$H$7:$H$226,$S171))</f>
        <v/>
      </c>
      <c r="Q171">
        <f>IF($S171="","",INDEX('Programme Export'!$X$7:$X$226,$S171)&amp;"")</f>
        <v/>
      </c>
      <c r="R171">
        <f>IF($S171="","",INDEX('Programme Export'!$P$7:$P$226,$S171)&amp;"")</f>
        <v/>
      </c>
      <c r="S171">
        <f>IFERROR(MATCH(170,'Programme Export'!$Y$7:$Y$226,0),"")</f>
        <v/>
      </c>
    </row>
    <row r="172">
      <c r="A172">
        <f>IF($S172="","",171)</f>
        <v/>
      </c>
      <c r="B172">
        <f>IF($S172="","",1)</f>
        <v/>
      </c>
      <c r="C172">
        <f>IF($S172="","",INDEX('Programme Export'!$D$7:$D$226,$S172)&amp;"")</f>
        <v/>
      </c>
      <c r="D172">
        <f>IF($S172="","",INDEX('Programme Export'!$E$7:$E$226,$S172)&amp;"")</f>
        <v/>
      </c>
      <c r="E172">
        <f>IF($S172="","",INDEX('Programme Export'!$N$7:$N$226,$S172)&amp;"")</f>
        <v/>
      </c>
      <c r="F172">
        <f t="array" ref="F172">IF(R172="","",_xlfn.TEXTJOIN(";",TRUE,IFERROR(IF(TRIM(MID(SUBSTITUTE(SUBSTITUTE(SUBSTITUTE(R172,",",";")," ",";"),";",REPT(" ",60)),(ROW($1:$10)-1)*60+1,60))="","",MATCH(TRIM(MID(SUBSTITUTE(SUBSTITUTE(SUBSTITUTE(R172,",",";")," ",";"),";",REPT(" ",60)),(ROW($1:$10)-1)*60+1,60)),$C$2:$C$201,0)),"")))</f>
        <v/>
      </c>
      <c r="G172">
        <f>IF($S172="","",INDEX('Programme Export'!$H$7:$H$226,$S172))</f>
        <v/>
      </c>
      <c r="J172">
        <f>IF($S172="","",INDEX('Programme Export'!$R$7:$R$226,$S172)&amp;"")</f>
        <v/>
      </c>
      <c r="K172">
        <f>IF($S172="","",INDEX('Programme Export'!$C$7:$C$226,$S172)&amp;"")</f>
        <v/>
      </c>
      <c r="L172">
        <f>IF($S172="","",'Cover &amp; Instructions'!$B$38)</f>
        <v/>
      </c>
      <c r="M172">
        <f>IF($S172="","",INDEX('Programme Export'!$F$7:$F$226,$S172))</f>
        <v/>
      </c>
      <c r="N172">
        <f>IF($S172="","",INDEX('Programme Export'!$G$7:$G$226,$S172)&amp;"")</f>
        <v/>
      </c>
      <c r="O172">
        <f>IF($S172="","",IFERROR(P172/M172,0))</f>
        <v/>
      </c>
      <c r="P172">
        <f>IF($S172="","",INDEX('Programme Export'!$H$7:$H$226,$S172))</f>
        <v/>
      </c>
      <c r="Q172">
        <f>IF($S172="","",INDEX('Programme Export'!$X$7:$X$226,$S172)&amp;"")</f>
        <v/>
      </c>
      <c r="R172">
        <f>IF($S172="","",INDEX('Programme Export'!$P$7:$P$226,$S172)&amp;"")</f>
        <v/>
      </c>
      <c r="S172">
        <f>IFERROR(MATCH(171,'Programme Export'!$Y$7:$Y$226,0),"")</f>
        <v/>
      </c>
    </row>
    <row r="173">
      <c r="A173">
        <f>IF($S173="","",172)</f>
        <v/>
      </c>
      <c r="B173">
        <f>IF($S173="","",1)</f>
        <v/>
      </c>
      <c r="C173">
        <f>IF($S173="","",INDEX('Programme Export'!$D$7:$D$226,$S173)&amp;"")</f>
        <v/>
      </c>
      <c r="D173">
        <f>IF($S173="","",INDEX('Programme Export'!$E$7:$E$226,$S173)&amp;"")</f>
        <v/>
      </c>
      <c r="E173">
        <f>IF($S173="","",INDEX('Programme Export'!$N$7:$N$226,$S173)&amp;"")</f>
        <v/>
      </c>
      <c r="F173">
        <f t="array" ref="F173">IF(R173="","",_xlfn.TEXTJOIN(";",TRUE,IFERROR(IF(TRIM(MID(SUBSTITUTE(SUBSTITUTE(SUBSTITUTE(R173,",",";")," ",";"),";",REPT(" ",60)),(ROW($1:$10)-1)*60+1,60))="","",MATCH(TRIM(MID(SUBSTITUTE(SUBSTITUTE(SUBSTITUTE(R173,",",";")," ",";"),";",REPT(" ",60)),(ROW($1:$10)-1)*60+1,60)),$C$2:$C$201,0)),"")))</f>
        <v/>
      </c>
      <c r="G173">
        <f>IF($S173="","",INDEX('Programme Export'!$H$7:$H$226,$S173))</f>
        <v/>
      </c>
      <c r="J173">
        <f>IF($S173="","",INDEX('Programme Export'!$R$7:$R$226,$S173)&amp;"")</f>
        <v/>
      </c>
      <c r="K173">
        <f>IF($S173="","",INDEX('Programme Export'!$C$7:$C$226,$S173)&amp;"")</f>
        <v/>
      </c>
      <c r="L173">
        <f>IF($S173="","",'Cover &amp; Instructions'!$B$38)</f>
        <v/>
      </c>
      <c r="M173">
        <f>IF($S173="","",INDEX('Programme Export'!$F$7:$F$226,$S173))</f>
        <v/>
      </c>
      <c r="N173">
        <f>IF($S173="","",INDEX('Programme Export'!$G$7:$G$226,$S173)&amp;"")</f>
        <v/>
      </c>
      <c r="O173">
        <f>IF($S173="","",IFERROR(P173/M173,0))</f>
        <v/>
      </c>
      <c r="P173">
        <f>IF($S173="","",INDEX('Programme Export'!$H$7:$H$226,$S173))</f>
        <v/>
      </c>
      <c r="Q173">
        <f>IF($S173="","",INDEX('Programme Export'!$X$7:$X$226,$S173)&amp;"")</f>
        <v/>
      </c>
      <c r="R173">
        <f>IF($S173="","",INDEX('Programme Export'!$P$7:$P$226,$S173)&amp;"")</f>
        <v/>
      </c>
      <c r="S173">
        <f>IFERROR(MATCH(172,'Programme Export'!$Y$7:$Y$226,0),"")</f>
        <v/>
      </c>
    </row>
    <row r="174">
      <c r="A174">
        <f>IF($S174="","",173)</f>
        <v/>
      </c>
      <c r="B174">
        <f>IF($S174="","",1)</f>
        <v/>
      </c>
      <c r="C174">
        <f>IF($S174="","",INDEX('Programme Export'!$D$7:$D$226,$S174)&amp;"")</f>
        <v/>
      </c>
      <c r="D174">
        <f>IF($S174="","",INDEX('Programme Export'!$E$7:$E$226,$S174)&amp;"")</f>
        <v/>
      </c>
      <c r="E174">
        <f>IF($S174="","",INDEX('Programme Export'!$N$7:$N$226,$S174)&amp;"")</f>
        <v/>
      </c>
      <c r="F174">
        <f t="array" ref="F174">IF(R174="","",_xlfn.TEXTJOIN(";",TRUE,IFERROR(IF(TRIM(MID(SUBSTITUTE(SUBSTITUTE(SUBSTITUTE(R174,",",";")," ",";"),";",REPT(" ",60)),(ROW($1:$10)-1)*60+1,60))="","",MATCH(TRIM(MID(SUBSTITUTE(SUBSTITUTE(SUBSTITUTE(R174,",",";")," ",";"),";",REPT(" ",60)),(ROW($1:$10)-1)*60+1,60)),$C$2:$C$201,0)),"")))</f>
        <v/>
      </c>
      <c r="G174">
        <f>IF($S174="","",INDEX('Programme Export'!$H$7:$H$226,$S174))</f>
        <v/>
      </c>
      <c r="J174">
        <f>IF($S174="","",INDEX('Programme Export'!$R$7:$R$226,$S174)&amp;"")</f>
        <v/>
      </c>
      <c r="K174">
        <f>IF($S174="","",INDEX('Programme Export'!$C$7:$C$226,$S174)&amp;"")</f>
        <v/>
      </c>
      <c r="L174">
        <f>IF($S174="","",'Cover &amp; Instructions'!$B$38)</f>
        <v/>
      </c>
      <c r="M174">
        <f>IF($S174="","",INDEX('Programme Export'!$F$7:$F$226,$S174))</f>
        <v/>
      </c>
      <c r="N174">
        <f>IF($S174="","",INDEX('Programme Export'!$G$7:$G$226,$S174)&amp;"")</f>
        <v/>
      </c>
      <c r="O174">
        <f>IF($S174="","",IFERROR(P174/M174,0))</f>
        <v/>
      </c>
      <c r="P174">
        <f>IF($S174="","",INDEX('Programme Export'!$H$7:$H$226,$S174))</f>
        <v/>
      </c>
      <c r="Q174">
        <f>IF($S174="","",INDEX('Programme Export'!$X$7:$X$226,$S174)&amp;"")</f>
        <v/>
      </c>
      <c r="R174">
        <f>IF($S174="","",INDEX('Programme Export'!$P$7:$P$226,$S174)&amp;"")</f>
        <v/>
      </c>
      <c r="S174">
        <f>IFERROR(MATCH(173,'Programme Export'!$Y$7:$Y$226,0),"")</f>
        <v/>
      </c>
    </row>
    <row r="175">
      <c r="A175">
        <f>IF($S175="","",174)</f>
        <v/>
      </c>
      <c r="B175">
        <f>IF($S175="","",1)</f>
        <v/>
      </c>
      <c r="C175">
        <f>IF($S175="","",INDEX('Programme Export'!$D$7:$D$226,$S175)&amp;"")</f>
        <v/>
      </c>
      <c r="D175">
        <f>IF($S175="","",INDEX('Programme Export'!$E$7:$E$226,$S175)&amp;"")</f>
        <v/>
      </c>
      <c r="E175">
        <f>IF($S175="","",INDEX('Programme Export'!$N$7:$N$226,$S175)&amp;"")</f>
        <v/>
      </c>
      <c r="F175">
        <f t="array" ref="F175">IF(R175="","",_xlfn.TEXTJOIN(";",TRUE,IFERROR(IF(TRIM(MID(SUBSTITUTE(SUBSTITUTE(SUBSTITUTE(R175,",",";")," ",";"),";",REPT(" ",60)),(ROW($1:$10)-1)*60+1,60))="","",MATCH(TRIM(MID(SUBSTITUTE(SUBSTITUTE(SUBSTITUTE(R175,",",";")," ",";"),";",REPT(" ",60)),(ROW($1:$10)-1)*60+1,60)),$C$2:$C$201,0)),"")))</f>
        <v/>
      </c>
      <c r="G175">
        <f>IF($S175="","",INDEX('Programme Export'!$H$7:$H$226,$S175))</f>
        <v/>
      </c>
      <c r="J175">
        <f>IF($S175="","",INDEX('Programme Export'!$R$7:$R$226,$S175)&amp;"")</f>
        <v/>
      </c>
      <c r="K175">
        <f>IF($S175="","",INDEX('Programme Export'!$C$7:$C$226,$S175)&amp;"")</f>
        <v/>
      </c>
      <c r="L175">
        <f>IF($S175="","",'Cover &amp; Instructions'!$B$38)</f>
        <v/>
      </c>
      <c r="M175">
        <f>IF($S175="","",INDEX('Programme Export'!$F$7:$F$226,$S175))</f>
        <v/>
      </c>
      <c r="N175">
        <f>IF($S175="","",INDEX('Programme Export'!$G$7:$G$226,$S175)&amp;"")</f>
        <v/>
      </c>
      <c r="O175">
        <f>IF($S175="","",IFERROR(P175/M175,0))</f>
        <v/>
      </c>
      <c r="P175">
        <f>IF($S175="","",INDEX('Programme Export'!$H$7:$H$226,$S175))</f>
        <v/>
      </c>
      <c r="Q175">
        <f>IF($S175="","",INDEX('Programme Export'!$X$7:$X$226,$S175)&amp;"")</f>
        <v/>
      </c>
      <c r="R175">
        <f>IF($S175="","",INDEX('Programme Export'!$P$7:$P$226,$S175)&amp;"")</f>
        <v/>
      </c>
      <c r="S175">
        <f>IFERROR(MATCH(174,'Programme Export'!$Y$7:$Y$226,0),"")</f>
        <v/>
      </c>
    </row>
    <row r="176">
      <c r="A176">
        <f>IF($S176="","",175)</f>
        <v/>
      </c>
      <c r="B176">
        <f>IF($S176="","",1)</f>
        <v/>
      </c>
      <c r="C176">
        <f>IF($S176="","",INDEX('Programme Export'!$D$7:$D$226,$S176)&amp;"")</f>
        <v/>
      </c>
      <c r="D176">
        <f>IF($S176="","",INDEX('Programme Export'!$E$7:$E$226,$S176)&amp;"")</f>
        <v/>
      </c>
      <c r="E176">
        <f>IF($S176="","",INDEX('Programme Export'!$N$7:$N$226,$S176)&amp;"")</f>
        <v/>
      </c>
      <c r="F176">
        <f t="array" ref="F176">IF(R176="","",_xlfn.TEXTJOIN(";",TRUE,IFERROR(IF(TRIM(MID(SUBSTITUTE(SUBSTITUTE(SUBSTITUTE(R176,",",";")," ",";"),";",REPT(" ",60)),(ROW($1:$10)-1)*60+1,60))="","",MATCH(TRIM(MID(SUBSTITUTE(SUBSTITUTE(SUBSTITUTE(R176,",",";")," ",";"),";",REPT(" ",60)),(ROW($1:$10)-1)*60+1,60)),$C$2:$C$201,0)),"")))</f>
        <v/>
      </c>
      <c r="G176">
        <f>IF($S176="","",INDEX('Programme Export'!$H$7:$H$226,$S176))</f>
        <v/>
      </c>
      <c r="J176">
        <f>IF($S176="","",INDEX('Programme Export'!$R$7:$R$226,$S176)&amp;"")</f>
        <v/>
      </c>
      <c r="K176">
        <f>IF($S176="","",INDEX('Programme Export'!$C$7:$C$226,$S176)&amp;"")</f>
        <v/>
      </c>
      <c r="L176">
        <f>IF($S176="","",'Cover &amp; Instructions'!$B$38)</f>
        <v/>
      </c>
      <c r="M176">
        <f>IF($S176="","",INDEX('Programme Export'!$F$7:$F$226,$S176))</f>
        <v/>
      </c>
      <c r="N176">
        <f>IF($S176="","",INDEX('Programme Export'!$G$7:$G$226,$S176)&amp;"")</f>
        <v/>
      </c>
      <c r="O176">
        <f>IF($S176="","",IFERROR(P176/M176,0))</f>
        <v/>
      </c>
      <c r="P176">
        <f>IF($S176="","",INDEX('Programme Export'!$H$7:$H$226,$S176))</f>
        <v/>
      </c>
      <c r="Q176">
        <f>IF($S176="","",INDEX('Programme Export'!$X$7:$X$226,$S176)&amp;"")</f>
        <v/>
      </c>
      <c r="R176">
        <f>IF($S176="","",INDEX('Programme Export'!$P$7:$P$226,$S176)&amp;"")</f>
        <v/>
      </c>
      <c r="S176">
        <f>IFERROR(MATCH(175,'Programme Export'!$Y$7:$Y$226,0),"")</f>
        <v/>
      </c>
    </row>
    <row r="177">
      <c r="A177">
        <f>IF($S177="","",176)</f>
        <v/>
      </c>
      <c r="B177">
        <f>IF($S177="","",1)</f>
        <v/>
      </c>
      <c r="C177">
        <f>IF($S177="","",INDEX('Programme Export'!$D$7:$D$226,$S177)&amp;"")</f>
        <v/>
      </c>
      <c r="D177">
        <f>IF($S177="","",INDEX('Programme Export'!$E$7:$E$226,$S177)&amp;"")</f>
        <v/>
      </c>
      <c r="E177">
        <f>IF($S177="","",INDEX('Programme Export'!$N$7:$N$226,$S177)&amp;"")</f>
        <v/>
      </c>
      <c r="F177">
        <f t="array" ref="F177">IF(R177="","",_xlfn.TEXTJOIN(";",TRUE,IFERROR(IF(TRIM(MID(SUBSTITUTE(SUBSTITUTE(SUBSTITUTE(R177,",",";")," ",";"),";",REPT(" ",60)),(ROW($1:$10)-1)*60+1,60))="","",MATCH(TRIM(MID(SUBSTITUTE(SUBSTITUTE(SUBSTITUTE(R177,",",";")," ",";"),";",REPT(" ",60)),(ROW($1:$10)-1)*60+1,60)),$C$2:$C$201,0)),"")))</f>
        <v/>
      </c>
      <c r="G177">
        <f>IF($S177="","",INDEX('Programme Export'!$H$7:$H$226,$S177))</f>
        <v/>
      </c>
      <c r="J177">
        <f>IF($S177="","",INDEX('Programme Export'!$R$7:$R$226,$S177)&amp;"")</f>
        <v/>
      </c>
      <c r="K177">
        <f>IF($S177="","",INDEX('Programme Export'!$C$7:$C$226,$S177)&amp;"")</f>
        <v/>
      </c>
      <c r="L177">
        <f>IF($S177="","",'Cover &amp; Instructions'!$B$38)</f>
        <v/>
      </c>
      <c r="M177">
        <f>IF($S177="","",INDEX('Programme Export'!$F$7:$F$226,$S177))</f>
        <v/>
      </c>
      <c r="N177">
        <f>IF($S177="","",INDEX('Programme Export'!$G$7:$G$226,$S177)&amp;"")</f>
        <v/>
      </c>
      <c r="O177">
        <f>IF($S177="","",IFERROR(P177/M177,0))</f>
        <v/>
      </c>
      <c r="P177">
        <f>IF($S177="","",INDEX('Programme Export'!$H$7:$H$226,$S177))</f>
        <v/>
      </c>
      <c r="Q177">
        <f>IF($S177="","",INDEX('Programme Export'!$X$7:$X$226,$S177)&amp;"")</f>
        <v/>
      </c>
      <c r="R177">
        <f>IF($S177="","",INDEX('Programme Export'!$P$7:$P$226,$S177)&amp;"")</f>
        <v/>
      </c>
      <c r="S177">
        <f>IFERROR(MATCH(176,'Programme Export'!$Y$7:$Y$226,0),"")</f>
        <v/>
      </c>
    </row>
    <row r="178">
      <c r="A178">
        <f>IF($S178="","",177)</f>
        <v/>
      </c>
      <c r="B178">
        <f>IF($S178="","",1)</f>
        <v/>
      </c>
      <c r="C178">
        <f>IF($S178="","",INDEX('Programme Export'!$D$7:$D$226,$S178)&amp;"")</f>
        <v/>
      </c>
      <c r="D178">
        <f>IF($S178="","",INDEX('Programme Export'!$E$7:$E$226,$S178)&amp;"")</f>
        <v/>
      </c>
      <c r="E178">
        <f>IF($S178="","",INDEX('Programme Export'!$N$7:$N$226,$S178)&amp;"")</f>
        <v/>
      </c>
      <c r="F178">
        <f t="array" ref="F178">IF(R178="","",_xlfn.TEXTJOIN(";",TRUE,IFERROR(IF(TRIM(MID(SUBSTITUTE(SUBSTITUTE(SUBSTITUTE(R178,",",";")," ",";"),";",REPT(" ",60)),(ROW($1:$10)-1)*60+1,60))="","",MATCH(TRIM(MID(SUBSTITUTE(SUBSTITUTE(SUBSTITUTE(R178,",",";")," ",";"),";",REPT(" ",60)),(ROW($1:$10)-1)*60+1,60)),$C$2:$C$201,0)),"")))</f>
        <v/>
      </c>
      <c r="G178">
        <f>IF($S178="","",INDEX('Programme Export'!$H$7:$H$226,$S178))</f>
        <v/>
      </c>
      <c r="J178">
        <f>IF($S178="","",INDEX('Programme Export'!$R$7:$R$226,$S178)&amp;"")</f>
        <v/>
      </c>
      <c r="K178">
        <f>IF($S178="","",INDEX('Programme Export'!$C$7:$C$226,$S178)&amp;"")</f>
        <v/>
      </c>
      <c r="L178">
        <f>IF($S178="","",'Cover &amp; Instructions'!$B$38)</f>
        <v/>
      </c>
      <c r="M178">
        <f>IF($S178="","",INDEX('Programme Export'!$F$7:$F$226,$S178))</f>
        <v/>
      </c>
      <c r="N178">
        <f>IF($S178="","",INDEX('Programme Export'!$G$7:$G$226,$S178)&amp;"")</f>
        <v/>
      </c>
      <c r="O178">
        <f>IF($S178="","",IFERROR(P178/M178,0))</f>
        <v/>
      </c>
      <c r="P178">
        <f>IF($S178="","",INDEX('Programme Export'!$H$7:$H$226,$S178))</f>
        <v/>
      </c>
      <c r="Q178">
        <f>IF($S178="","",INDEX('Programme Export'!$X$7:$X$226,$S178)&amp;"")</f>
        <v/>
      </c>
      <c r="R178">
        <f>IF($S178="","",INDEX('Programme Export'!$P$7:$P$226,$S178)&amp;"")</f>
        <v/>
      </c>
      <c r="S178">
        <f>IFERROR(MATCH(177,'Programme Export'!$Y$7:$Y$226,0),"")</f>
        <v/>
      </c>
    </row>
    <row r="179">
      <c r="A179">
        <f>IF($S179="","",178)</f>
        <v/>
      </c>
      <c r="B179">
        <f>IF($S179="","",1)</f>
        <v/>
      </c>
      <c r="C179">
        <f>IF($S179="","",INDEX('Programme Export'!$D$7:$D$226,$S179)&amp;"")</f>
        <v/>
      </c>
      <c r="D179">
        <f>IF($S179="","",INDEX('Programme Export'!$E$7:$E$226,$S179)&amp;"")</f>
        <v/>
      </c>
      <c r="E179">
        <f>IF($S179="","",INDEX('Programme Export'!$N$7:$N$226,$S179)&amp;"")</f>
        <v/>
      </c>
      <c r="F179">
        <f t="array" ref="F179">IF(R179="","",_xlfn.TEXTJOIN(";",TRUE,IFERROR(IF(TRIM(MID(SUBSTITUTE(SUBSTITUTE(SUBSTITUTE(R179,",",";")," ",";"),";",REPT(" ",60)),(ROW($1:$10)-1)*60+1,60))="","",MATCH(TRIM(MID(SUBSTITUTE(SUBSTITUTE(SUBSTITUTE(R179,",",";")," ",";"),";",REPT(" ",60)),(ROW($1:$10)-1)*60+1,60)),$C$2:$C$201,0)),"")))</f>
        <v/>
      </c>
      <c r="G179">
        <f>IF($S179="","",INDEX('Programme Export'!$H$7:$H$226,$S179))</f>
        <v/>
      </c>
      <c r="J179">
        <f>IF($S179="","",INDEX('Programme Export'!$R$7:$R$226,$S179)&amp;"")</f>
        <v/>
      </c>
      <c r="K179">
        <f>IF($S179="","",INDEX('Programme Export'!$C$7:$C$226,$S179)&amp;"")</f>
        <v/>
      </c>
      <c r="L179">
        <f>IF($S179="","",'Cover &amp; Instructions'!$B$38)</f>
        <v/>
      </c>
      <c r="M179">
        <f>IF($S179="","",INDEX('Programme Export'!$F$7:$F$226,$S179))</f>
        <v/>
      </c>
      <c r="N179">
        <f>IF($S179="","",INDEX('Programme Export'!$G$7:$G$226,$S179)&amp;"")</f>
        <v/>
      </c>
      <c r="O179">
        <f>IF($S179="","",IFERROR(P179/M179,0))</f>
        <v/>
      </c>
      <c r="P179">
        <f>IF($S179="","",INDEX('Programme Export'!$H$7:$H$226,$S179))</f>
        <v/>
      </c>
      <c r="Q179">
        <f>IF($S179="","",INDEX('Programme Export'!$X$7:$X$226,$S179)&amp;"")</f>
        <v/>
      </c>
      <c r="R179">
        <f>IF($S179="","",INDEX('Programme Export'!$P$7:$P$226,$S179)&amp;"")</f>
        <v/>
      </c>
      <c r="S179">
        <f>IFERROR(MATCH(178,'Programme Export'!$Y$7:$Y$226,0),"")</f>
        <v/>
      </c>
    </row>
    <row r="180">
      <c r="A180">
        <f>IF($S180="","",179)</f>
        <v/>
      </c>
      <c r="B180">
        <f>IF($S180="","",1)</f>
        <v/>
      </c>
      <c r="C180">
        <f>IF($S180="","",INDEX('Programme Export'!$D$7:$D$226,$S180)&amp;"")</f>
        <v/>
      </c>
      <c r="D180">
        <f>IF($S180="","",INDEX('Programme Export'!$E$7:$E$226,$S180)&amp;"")</f>
        <v/>
      </c>
      <c r="E180">
        <f>IF($S180="","",INDEX('Programme Export'!$N$7:$N$226,$S180)&amp;"")</f>
        <v/>
      </c>
      <c r="F180">
        <f t="array" ref="F180">IF(R180="","",_xlfn.TEXTJOIN(";",TRUE,IFERROR(IF(TRIM(MID(SUBSTITUTE(SUBSTITUTE(SUBSTITUTE(R180,",",";")," ",";"),";",REPT(" ",60)),(ROW($1:$10)-1)*60+1,60))="","",MATCH(TRIM(MID(SUBSTITUTE(SUBSTITUTE(SUBSTITUTE(R180,",",";")," ",";"),";",REPT(" ",60)),(ROW($1:$10)-1)*60+1,60)),$C$2:$C$201,0)),"")))</f>
        <v/>
      </c>
      <c r="G180">
        <f>IF($S180="","",INDEX('Programme Export'!$H$7:$H$226,$S180))</f>
        <v/>
      </c>
      <c r="J180">
        <f>IF($S180="","",INDEX('Programme Export'!$R$7:$R$226,$S180)&amp;"")</f>
        <v/>
      </c>
      <c r="K180">
        <f>IF($S180="","",INDEX('Programme Export'!$C$7:$C$226,$S180)&amp;"")</f>
        <v/>
      </c>
      <c r="L180">
        <f>IF($S180="","",'Cover &amp; Instructions'!$B$38)</f>
        <v/>
      </c>
      <c r="M180">
        <f>IF($S180="","",INDEX('Programme Export'!$F$7:$F$226,$S180))</f>
        <v/>
      </c>
      <c r="N180">
        <f>IF($S180="","",INDEX('Programme Export'!$G$7:$G$226,$S180)&amp;"")</f>
        <v/>
      </c>
      <c r="O180">
        <f>IF($S180="","",IFERROR(P180/M180,0))</f>
        <v/>
      </c>
      <c r="P180">
        <f>IF($S180="","",INDEX('Programme Export'!$H$7:$H$226,$S180))</f>
        <v/>
      </c>
      <c r="Q180">
        <f>IF($S180="","",INDEX('Programme Export'!$X$7:$X$226,$S180)&amp;"")</f>
        <v/>
      </c>
      <c r="R180">
        <f>IF($S180="","",INDEX('Programme Export'!$P$7:$P$226,$S180)&amp;"")</f>
        <v/>
      </c>
      <c r="S180">
        <f>IFERROR(MATCH(179,'Programme Export'!$Y$7:$Y$226,0),"")</f>
        <v/>
      </c>
    </row>
    <row r="181">
      <c r="A181">
        <f>IF($S181="","",180)</f>
        <v/>
      </c>
      <c r="B181">
        <f>IF($S181="","",1)</f>
        <v/>
      </c>
      <c r="C181">
        <f>IF($S181="","",INDEX('Programme Export'!$D$7:$D$226,$S181)&amp;"")</f>
        <v/>
      </c>
      <c r="D181">
        <f>IF($S181="","",INDEX('Programme Export'!$E$7:$E$226,$S181)&amp;"")</f>
        <v/>
      </c>
      <c r="E181">
        <f>IF($S181="","",INDEX('Programme Export'!$N$7:$N$226,$S181)&amp;"")</f>
        <v/>
      </c>
      <c r="F181">
        <f t="array" ref="F181">IF(R181="","",_xlfn.TEXTJOIN(";",TRUE,IFERROR(IF(TRIM(MID(SUBSTITUTE(SUBSTITUTE(SUBSTITUTE(R181,",",";")," ",";"),";",REPT(" ",60)),(ROW($1:$10)-1)*60+1,60))="","",MATCH(TRIM(MID(SUBSTITUTE(SUBSTITUTE(SUBSTITUTE(R181,",",";")," ",";"),";",REPT(" ",60)),(ROW($1:$10)-1)*60+1,60)),$C$2:$C$201,0)),"")))</f>
        <v/>
      </c>
      <c r="G181">
        <f>IF($S181="","",INDEX('Programme Export'!$H$7:$H$226,$S181))</f>
        <v/>
      </c>
      <c r="J181">
        <f>IF($S181="","",INDEX('Programme Export'!$R$7:$R$226,$S181)&amp;"")</f>
        <v/>
      </c>
      <c r="K181">
        <f>IF($S181="","",INDEX('Programme Export'!$C$7:$C$226,$S181)&amp;"")</f>
        <v/>
      </c>
      <c r="L181">
        <f>IF($S181="","",'Cover &amp; Instructions'!$B$38)</f>
        <v/>
      </c>
      <c r="M181">
        <f>IF($S181="","",INDEX('Programme Export'!$F$7:$F$226,$S181))</f>
        <v/>
      </c>
      <c r="N181">
        <f>IF($S181="","",INDEX('Programme Export'!$G$7:$G$226,$S181)&amp;"")</f>
        <v/>
      </c>
      <c r="O181">
        <f>IF($S181="","",IFERROR(P181/M181,0))</f>
        <v/>
      </c>
      <c r="P181">
        <f>IF($S181="","",INDEX('Programme Export'!$H$7:$H$226,$S181))</f>
        <v/>
      </c>
      <c r="Q181">
        <f>IF($S181="","",INDEX('Programme Export'!$X$7:$X$226,$S181)&amp;"")</f>
        <v/>
      </c>
      <c r="R181">
        <f>IF($S181="","",INDEX('Programme Export'!$P$7:$P$226,$S181)&amp;"")</f>
        <v/>
      </c>
      <c r="S181">
        <f>IFERROR(MATCH(180,'Programme Export'!$Y$7:$Y$226,0),"")</f>
        <v/>
      </c>
    </row>
    <row r="182">
      <c r="A182">
        <f>IF($S182="","",181)</f>
        <v/>
      </c>
      <c r="B182">
        <f>IF($S182="","",1)</f>
        <v/>
      </c>
      <c r="C182">
        <f>IF($S182="","",INDEX('Programme Export'!$D$7:$D$226,$S182)&amp;"")</f>
        <v/>
      </c>
      <c r="D182">
        <f>IF($S182="","",INDEX('Programme Export'!$E$7:$E$226,$S182)&amp;"")</f>
        <v/>
      </c>
      <c r="E182">
        <f>IF($S182="","",INDEX('Programme Export'!$N$7:$N$226,$S182)&amp;"")</f>
        <v/>
      </c>
      <c r="F182">
        <f t="array" ref="F182">IF(R182="","",_xlfn.TEXTJOIN(";",TRUE,IFERROR(IF(TRIM(MID(SUBSTITUTE(SUBSTITUTE(SUBSTITUTE(R182,",",";")," ",";"),";",REPT(" ",60)),(ROW($1:$10)-1)*60+1,60))="","",MATCH(TRIM(MID(SUBSTITUTE(SUBSTITUTE(SUBSTITUTE(R182,",",";")," ",";"),";",REPT(" ",60)),(ROW($1:$10)-1)*60+1,60)),$C$2:$C$201,0)),"")))</f>
        <v/>
      </c>
      <c r="G182">
        <f>IF($S182="","",INDEX('Programme Export'!$H$7:$H$226,$S182))</f>
        <v/>
      </c>
      <c r="J182">
        <f>IF($S182="","",INDEX('Programme Export'!$R$7:$R$226,$S182)&amp;"")</f>
        <v/>
      </c>
      <c r="K182">
        <f>IF($S182="","",INDEX('Programme Export'!$C$7:$C$226,$S182)&amp;"")</f>
        <v/>
      </c>
      <c r="L182">
        <f>IF($S182="","",'Cover &amp; Instructions'!$B$38)</f>
        <v/>
      </c>
      <c r="M182">
        <f>IF($S182="","",INDEX('Programme Export'!$F$7:$F$226,$S182))</f>
        <v/>
      </c>
      <c r="N182">
        <f>IF($S182="","",INDEX('Programme Export'!$G$7:$G$226,$S182)&amp;"")</f>
        <v/>
      </c>
      <c r="O182">
        <f>IF($S182="","",IFERROR(P182/M182,0))</f>
        <v/>
      </c>
      <c r="P182">
        <f>IF($S182="","",INDEX('Programme Export'!$H$7:$H$226,$S182))</f>
        <v/>
      </c>
      <c r="Q182">
        <f>IF($S182="","",INDEX('Programme Export'!$X$7:$X$226,$S182)&amp;"")</f>
        <v/>
      </c>
      <c r="R182">
        <f>IF($S182="","",INDEX('Programme Export'!$P$7:$P$226,$S182)&amp;"")</f>
        <v/>
      </c>
      <c r="S182">
        <f>IFERROR(MATCH(181,'Programme Export'!$Y$7:$Y$226,0),"")</f>
        <v/>
      </c>
    </row>
    <row r="183">
      <c r="A183">
        <f>IF($S183="","",182)</f>
        <v/>
      </c>
      <c r="B183">
        <f>IF($S183="","",1)</f>
        <v/>
      </c>
      <c r="C183">
        <f>IF($S183="","",INDEX('Programme Export'!$D$7:$D$226,$S183)&amp;"")</f>
        <v/>
      </c>
      <c r="D183">
        <f>IF($S183="","",INDEX('Programme Export'!$E$7:$E$226,$S183)&amp;"")</f>
        <v/>
      </c>
      <c r="E183">
        <f>IF($S183="","",INDEX('Programme Export'!$N$7:$N$226,$S183)&amp;"")</f>
        <v/>
      </c>
      <c r="F183">
        <f t="array" ref="F183">IF(R183="","",_xlfn.TEXTJOIN(";",TRUE,IFERROR(IF(TRIM(MID(SUBSTITUTE(SUBSTITUTE(SUBSTITUTE(R183,",",";")," ",";"),";",REPT(" ",60)),(ROW($1:$10)-1)*60+1,60))="","",MATCH(TRIM(MID(SUBSTITUTE(SUBSTITUTE(SUBSTITUTE(R183,",",";")," ",";"),";",REPT(" ",60)),(ROW($1:$10)-1)*60+1,60)),$C$2:$C$201,0)),"")))</f>
        <v/>
      </c>
      <c r="G183">
        <f>IF($S183="","",INDEX('Programme Export'!$H$7:$H$226,$S183))</f>
        <v/>
      </c>
      <c r="J183">
        <f>IF($S183="","",INDEX('Programme Export'!$R$7:$R$226,$S183)&amp;"")</f>
        <v/>
      </c>
      <c r="K183">
        <f>IF($S183="","",INDEX('Programme Export'!$C$7:$C$226,$S183)&amp;"")</f>
        <v/>
      </c>
      <c r="L183">
        <f>IF($S183="","",'Cover &amp; Instructions'!$B$38)</f>
        <v/>
      </c>
      <c r="M183">
        <f>IF($S183="","",INDEX('Programme Export'!$F$7:$F$226,$S183))</f>
        <v/>
      </c>
      <c r="N183">
        <f>IF($S183="","",INDEX('Programme Export'!$G$7:$G$226,$S183)&amp;"")</f>
        <v/>
      </c>
      <c r="O183">
        <f>IF($S183="","",IFERROR(P183/M183,0))</f>
        <v/>
      </c>
      <c r="P183">
        <f>IF($S183="","",INDEX('Programme Export'!$H$7:$H$226,$S183))</f>
        <v/>
      </c>
      <c r="Q183">
        <f>IF($S183="","",INDEX('Programme Export'!$X$7:$X$226,$S183)&amp;"")</f>
        <v/>
      </c>
      <c r="R183">
        <f>IF($S183="","",INDEX('Programme Export'!$P$7:$P$226,$S183)&amp;"")</f>
        <v/>
      </c>
      <c r="S183">
        <f>IFERROR(MATCH(182,'Programme Export'!$Y$7:$Y$226,0),"")</f>
        <v/>
      </c>
    </row>
    <row r="184">
      <c r="A184">
        <f>IF($S184="","",183)</f>
        <v/>
      </c>
      <c r="B184">
        <f>IF($S184="","",1)</f>
        <v/>
      </c>
      <c r="C184">
        <f>IF($S184="","",INDEX('Programme Export'!$D$7:$D$226,$S184)&amp;"")</f>
        <v/>
      </c>
      <c r="D184">
        <f>IF($S184="","",INDEX('Programme Export'!$E$7:$E$226,$S184)&amp;"")</f>
        <v/>
      </c>
      <c r="E184">
        <f>IF($S184="","",INDEX('Programme Export'!$N$7:$N$226,$S184)&amp;"")</f>
        <v/>
      </c>
      <c r="F184">
        <f t="array" ref="F184">IF(R184="","",_xlfn.TEXTJOIN(";",TRUE,IFERROR(IF(TRIM(MID(SUBSTITUTE(SUBSTITUTE(SUBSTITUTE(R184,",",";")," ",";"),";",REPT(" ",60)),(ROW($1:$10)-1)*60+1,60))="","",MATCH(TRIM(MID(SUBSTITUTE(SUBSTITUTE(SUBSTITUTE(R184,",",";")," ",";"),";",REPT(" ",60)),(ROW($1:$10)-1)*60+1,60)),$C$2:$C$201,0)),"")))</f>
        <v/>
      </c>
      <c r="G184">
        <f>IF($S184="","",INDEX('Programme Export'!$H$7:$H$226,$S184))</f>
        <v/>
      </c>
      <c r="J184">
        <f>IF($S184="","",INDEX('Programme Export'!$R$7:$R$226,$S184)&amp;"")</f>
        <v/>
      </c>
      <c r="K184">
        <f>IF($S184="","",INDEX('Programme Export'!$C$7:$C$226,$S184)&amp;"")</f>
        <v/>
      </c>
      <c r="L184">
        <f>IF($S184="","",'Cover &amp; Instructions'!$B$38)</f>
        <v/>
      </c>
      <c r="M184">
        <f>IF($S184="","",INDEX('Programme Export'!$F$7:$F$226,$S184))</f>
        <v/>
      </c>
      <c r="N184">
        <f>IF($S184="","",INDEX('Programme Export'!$G$7:$G$226,$S184)&amp;"")</f>
        <v/>
      </c>
      <c r="O184">
        <f>IF($S184="","",IFERROR(P184/M184,0))</f>
        <v/>
      </c>
      <c r="P184">
        <f>IF($S184="","",INDEX('Programme Export'!$H$7:$H$226,$S184))</f>
        <v/>
      </c>
      <c r="Q184">
        <f>IF($S184="","",INDEX('Programme Export'!$X$7:$X$226,$S184)&amp;"")</f>
        <v/>
      </c>
      <c r="R184">
        <f>IF($S184="","",INDEX('Programme Export'!$P$7:$P$226,$S184)&amp;"")</f>
        <v/>
      </c>
      <c r="S184">
        <f>IFERROR(MATCH(183,'Programme Export'!$Y$7:$Y$226,0),"")</f>
        <v/>
      </c>
    </row>
    <row r="185">
      <c r="A185">
        <f>IF($S185="","",184)</f>
        <v/>
      </c>
      <c r="B185">
        <f>IF($S185="","",1)</f>
        <v/>
      </c>
      <c r="C185">
        <f>IF($S185="","",INDEX('Programme Export'!$D$7:$D$226,$S185)&amp;"")</f>
        <v/>
      </c>
      <c r="D185">
        <f>IF($S185="","",INDEX('Programme Export'!$E$7:$E$226,$S185)&amp;"")</f>
        <v/>
      </c>
      <c r="E185">
        <f>IF($S185="","",INDEX('Programme Export'!$N$7:$N$226,$S185)&amp;"")</f>
        <v/>
      </c>
      <c r="F185">
        <f t="array" ref="F185">IF(R185="","",_xlfn.TEXTJOIN(";",TRUE,IFERROR(IF(TRIM(MID(SUBSTITUTE(SUBSTITUTE(SUBSTITUTE(R185,",",";")," ",";"),";",REPT(" ",60)),(ROW($1:$10)-1)*60+1,60))="","",MATCH(TRIM(MID(SUBSTITUTE(SUBSTITUTE(SUBSTITUTE(R185,",",";")," ",";"),";",REPT(" ",60)),(ROW($1:$10)-1)*60+1,60)),$C$2:$C$201,0)),"")))</f>
        <v/>
      </c>
      <c r="G185">
        <f>IF($S185="","",INDEX('Programme Export'!$H$7:$H$226,$S185))</f>
        <v/>
      </c>
      <c r="J185">
        <f>IF($S185="","",INDEX('Programme Export'!$R$7:$R$226,$S185)&amp;"")</f>
        <v/>
      </c>
      <c r="K185">
        <f>IF($S185="","",INDEX('Programme Export'!$C$7:$C$226,$S185)&amp;"")</f>
        <v/>
      </c>
      <c r="L185">
        <f>IF($S185="","",'Cover &amp; Instructions'!$B$38)</f>
        <v/>
      </c>
      <c r="M185">
        <f>IF($S185="","",INDEX('Programme Export'!$F$7:$F$226,$S185))</f>
        <v/>
      </c>
      <c r="N185">
        <f>IF($S185="","",INDEX('Programme Export'!$G$7:$G$226,$S185)&amp;"")</f>
        <v/>
      </c>
      <c r="O185">
        <f>IF($S185="","",IFERROR(P185/M185,0))</f>
        <v/>
      </c>
      <c r="P185">
        <f>IF($S185="","",INDEX('Programme Export'!$H$7:$H$226,$S185))</f>
        <v/>
      </c>
      <c r="Q185">
        <f>IF($S185="","",INDEX('Programme Export'!$X$7:$X$226,$S185)&amp;"")</f>
        <v/>
      </c>
      <c r="R185">
        <f>IF($S185="","",INDEX('Programme Export'!$P$7:$P$226,$S185)&amp;"")</f>
        <v/>
      </c>
      <c r="S185">
        <f>IFERROR(MATCH(184,'Programme Export'!$Y$7:$Y$226,0),"")</f>
        <v/>
      </c>
    </row>
    <row r="186">
      <c r="A186">
        <f>IF($S186="","",185)</f>
        <v/>
      </c>
      <c r="B186">
        <f>IF($S186="","",1)</f>
        <v/>
      </c>
      <c r="C186">
        <f>IF($S186="","",INDEX('Programme Export'!$D$7:$D$226,$S186)&amp;"")</f>
        <v/>
      </c>
      <c r="D186">
        <f>IF($S186="","",INDEX('Programme Export'!$E$7:$E$226,$S186)&amp;"")</f>
        <v/>
      </c>
      <c r="E186">
        <f>IF($S186="","",INDEX('Programme Export'!$N$7:$N$226,$S186)&amp;"")</f>
        <v/>
      </c>
      <c r="F186">
        <f t="array" ref="F186">IF(R186="","",_xlfn.TEXTJOIN(";",TRUE,IFERROR(IF(TRIM(MID(SUBSTITUTE(SUBSTITUTE(SUBSTITUTE(R186,",",";")," ",";"),";",REPT(" ",60)),(ROW($1:$10)-1)*60+1,60))="","",MATCH(TRIM(MID(SUBSTITUTE(SUBSTITUTE(SUBSTITUTE(R186,",",";")," ",";"),";",REPT(" ",60)),(ROW($1:$10)-1)*60+1,60)),$C$2:$C$201,0)),"")))</f>
        <v/>
      </c>
      <c r="G186">
        <f>IF($S186="","",INDEX('Programme Export'!$H$7:$H$226,$S186))</f>
        <v/>
      </c>
      <c r="J186">
        <f>IF($S186="","",INDEX('Programme Export'!$R$7:$R$226,$S186)&amp;"")</f>
        <v/>
      </c>
      <c r="K186">
        <f>IF($S186="","",INDEX('Programme Export'!$C$7:$C$226,$S186)&amp;"")</f>
        <v/>
      </c>
      <c r="L186">
        <f>IF($S186="","",'Cover &amp; Instructions'!$B$38)</f>
        <v/>
      </c>
      <c r="M186">
        <f>IF($S186="","",INDEX('Programme Export'!$F$7:$F$226,$S186))</f>
        <v/>
      </c>
      <c r="N186">
        <f>IF($S186="","",INDEX('Programme Export'!$G$7:$G$226,$S186)&amp;"")</f>
        <v/>
      </c>
      <c r="O186">
        <f>IF($S186="","",IFERROR(P186/M186,0))</f>
        <v/>
      </c>
      <c r="P186">
        <f>IF($S186="","",INDEX('Programme Export'!$H$7:$H$226,$S186))</f>
        <v/>
      </c>
      <c r="Q186">
        <f>IF($S186="","",INDEX('Programme Export'!$X$7:$X$226,$S186)&amp;"")</f>
        <v/>
      </c>
      <c r="R186">
        <f>IF($S186="","",INDEX('Programme Export'!$P$7:$P$226,$S186)&amp;"")</f>
        <v/>
      </c>
      <c r="S186">
        <f>IFERROR(MATCH(185,'Programme Export'!$Y$7:$Y$226,0),"")</f>
        <v/>
      </c>
    </row>
    <row r="187">
      <c r="A187">
        <f>IF($S187="","",186)</f>
        <v/>
      </c>
      <c r="B187">
        <f>IF($S187="","",1)</f>
        <v/>
      </c>
      <c r="C187">
        <f>IF($S187="","",INDEX('Programme Export'!$D$7:$D$226,$S187)&amp;"")</f>
        <v/>
      </c>
      <c r="D187">
        <f>IF($S187="","",INDEX('Programme Export'!$E$7:$E$226,$S187)&amp;"")</f>
        <v/>
      </c>
      <c r="E187">
        <f>IF($S187="","",INDEX('Programme Export'!$N$7:$N$226,$S187)&amp;"")</f>
        <v/>
      </c>
      <c r="F187">
        <f t="array" ref="F187">IF(R187="","",_xlfn.TEXTJOIN(";",TRUE,IFERROR(IF(TRIM(MID(SUBSTITUTE(SUBSTITUTE(SUBSTITUTE(R187,",",";")," ",";"),";",REPT(" ",60)),(ROW($1:$10)-1)*60+1,60))="","",MATCH(TRIM(MID(SUBSTITUTE(SUBSTITUTE(SUBSTITUTE(R187,",",";")," ",";"),";",REPT(" ",60)),(ROW($1:$10)-1)*60+1,60)),$C$2:$C$201,0)),"")))</f>
        <v/>
      </c>
      <c r="G187">
        <f>IF($S187="","",INDEX('Programme Export'!$H$7:$H$226,$S187))</f>
        <v/>
      </c>
      <c r="J187">
        <f>IF($S187="","",INDEX('Programme Export'!$R$7:$R$226,$S187)&amp;"")</f>
        <v/>
      </c>
      <c r="K187">
        <f>IF($S187="","",INDEX('Programme Export'!$C$7:$C$226,$S187)&amp;"")</f>
        <v/>
      </c>
      <c r="L187">
        <f>IF($S187="","",'Cover &amp; Instructions'!$B$38)</f>
        <v/>
      </c>
      <c r="M187">
        <f>IF($S187="","",INDEX('Programme Export'!$F$7:$F$226,$S187))</f>
        <v/>
      </c>
      <c r="N187">
        <f>IF($S187="","",INDEX('Programme Export'!$G$7:$G$226,$S187)&amp;"")</f>
        <v/>
      </c>
      <c r="O187">
        <f>IF($S187="","",IFERROR(P187/M187,0))</f>
        <v/>
      </c>
      <c r="P187">
        <f>IF($S187="","",INDEX('Programme Export'!$H$7:$H$226,$S187))</f>
        <v/>
      </c>
      <c r="Q187">
        <f>IF($S187="","",INDEX('Programme Export'!$X$7:$X$226,$S187)&amp;"")</f>
        <v/>
      </c>
      <c r="R187">
        <f>IF($S187="","",INDEX('Programme Export'!$P$7:$P$226,$S187)&amp;"")</f>
        <v/>
      </c>
      <c r="S187">
        <f>IFERROR(MATCH(186,'Programme Export'!$Y$7:$Y$226,0),"")</f>
        <v/>
      </c>
    </row>
    <row r="188">
      <c r="A188">
        <f>IF($S188="","",187)</f>
        <v/>
      </c>
      <c r="B188">
        <f>IF($S188="","",1)</f>
        <v/>
      </c>
      <c r="C188">
        <f>IF($S188="","",INDEX('Programme Export'!$D$7:$D$226,$S188)&amp;"")</f>
        <v/>
      </c>
      <c r="D188">
        <f>IF($S188="","",INDEX('Programme Export'!$E$7:$E$226,$S188)&amp;"")</f>
        <v/>
      </c>
      <c r="E188">
        <f>IF($S188="","",INDEX('Programme Export'!$N$7:$N$226,$S188)&amp;"")</f>
        <v/>
      </c>
      <c r="F188">
        <f t="array" ref="F188">IF(R188="","",_xlfn.TEXTJOIN(";",TRUE,IFERROR(IF(TRIM(MID(SUBSTITUTE(SUBSTITUTE(SUBSTITUTE(R188,",",";")," ",";"),";",REPT(" ",60)),(ROW($1:$10)-1)*60+1,60))="","",MATCH(TRIM(MID(SUBSTITUTE(SUBSTITUTE(SUBSTITUTE(R188,",",";")," ",";"),";",REPT(" ",60)),(ROW($1:$10)-1)*60+1,60)),$C$2:$C$201,0)),"")))</f>
        <v/>
      </c>
      <c r="G188">
        <f>IF($S188="","",INDEX('Programme Export'!$H$7:$H$226,$S188))</f>
        <v/>
      </c>
      <c r="J188">
        <f>IF($S188="","",INDEX('Programme Export'!$R$7:$R$226,$S188)&amp;"")</f>
        <v/>
      </c>
      <c r="K188">
        <f>IF($S188="","",INDEX('Programme Export'!$C$7:$C$226,$S188)&amp;"")</f>
        <v/>
      </c>
      <c r="L188">
        <f>IF($S188="","",'Cover &amp; Instructions'!$B$38)</f>
        <v/>
      </c>
      <c r="M188">
        <f>IF($S188="","",INDEX('Programme Export'!$F$7:$F$226,$S188))</f>
        <v/>
      </c>
      <c r="N188">
        <f>IF($S188="","",INDEX('Programme Export'!$G$7:$G$226,$S188)&amp;"")</f>
        <v/>
      </c>
      <c r="O188">
        <f>IF($S188="","",IFERROR(P188/M188,0))</f>
        <v/>
      </c>
      <c r="P188">
        <f>IF($S188="","",INDEX('Programme Export'!$H$7:$H$226,$S188))</f>
        <v/>
      </c>
      <c r="Q188">
        <f>IF($S188="","",INDEX('Programme Export'!$X$7:$X$226,$S188)&amp;"")</f>
        <v/>
      </c>
      <c r="R188">
        <f>IF($S188="","",INDEX('Programme Export'!$P$7:$P$226,$S188)&amp;"")</f>
        <v/>
      </c>
      <c r="S188">
        <f>IFERROR(MATCH(187,'Programme Export'!$Y$7:$Y$226,0),"")</f>
        <v/>
      </c>
    </row>
    <row r="189">
      <c r="A189">
        <f>IF($S189="","",188)</f>
        <v/>
      </c>
      <c r="B189">
        <f>IF($S189="","",1)</f>
        <v/>
      </c>
      <c r="C189">
        <f>IF($S189="","",INDEX('Programme Export'!$D$7:$D$226,$S189)&amp;"")</f>
        <v/>
      </c>
      <c r="D189">
        <f>IF($S189="","",INDEX('Programme Export'!$E$7:$E$226,$S189)&amp;"")</f>
        <v/>
      </c>
      <c r="E189">
        <f>IF($S189="","",INDEX('Programme Export'!$N$7:$N$226,$S189)&amp;"")</f>
        <v/>
      </c>
      <c r="F189">
        <f t="array" ref="F189">IF(R189="","",_xlfn.TEXTJOIN(";",TRUE,IFERROR(IF(TRIM(MID(SUBSTITUTE(SUBSTITUTE(SUBSTITUTE(R189,",",";")," ",";"),";",REPT(" ",60)),(ROW($1:$10)-1)*60+1,60))="","",MATCH(TRIM(MID(SUBSTITUTE(SUBSTITUTE(SUBSTITUTE(R189,",",";")," ",";"),";",REPT(" ",60)),(ROW($1:$10)-1)*60+1,60)),$C$2:$C$201,0)),"")))</f>
        <v/>
      </c>
      <c r="G189">
        <f>IF($S189="","",INDEX('Programme Export'!$H$7:$H$226,$S189))</f>
        <v/>
      </c>
      <c r="J189">
        <f>IF($S189="","",INDEX('Programme Export'!$R$7:$R$226,$S189)&amp;"")</f>
        <v/>
      </c>
      <c r="K189">
        <f>IF($S189="","",INDEX('Programme Export'!$C$7:$C$226,$S189)&amp;"")</f>
        <v/>
      </c>
      <c r="L189">
        <f>IF($S189="","",'Cover &amp; Instructions'!$B$38)</f>
        <v/>
      </c>
      <c r="M189">
        <f>IF($S189="","",INDEX('Programme Export'!$F$7:$F$226,$S189))</f>
        <v/>
      </c>
      <c r="N189">
        <f>IF($S189="","",INDEX('Programme Export'!$G$7:$G$226,$S189)&amp;"")</f>
        <v/>
      </c>
      <c r="O189">
        <f>IF($S189="","",IFERROR(P189/M189,0))</f>
        <v/>
      </c>
      <c r="P189">
        <f>IF($S189="","",INDEX('Programme Export'!$H$7:$H$226,$S189))</f>
        <v/>
      </c>
      <c r="Q189">
        <f>IF($S189="","",INDEX('Programme Export'!$X$7:$X$226,$S189)&amp;"")</f>
        <v/>
      </c>
      <c r="R189">
        <f>IF($S189="","",INDEX('Programme Export'!$P$7:$P$226,$S189)&amp;"")</f>
        <v/>
      </c>
      <c r="S189">
        <f>IFERROR(MATCH(188,'Programme Export'!$Y$7:$Y$226,0),"")</f>
        <v/>
      </c>
    </row>
    <row r="190">
      <c r="A190">
        <f>IF($S190="","",189)</f>
        <v/>
      </c>
      <c r="B190">
        <f>IF($S190="","",1)</f>
        <v/>
      </c>
      <c r="C190">
        <f>IF($S190="","",INDEX('Programme Export'!$D$7:$D$226,$S190)&amp;"")</f>
        <v/>
      </c>
      <c r="D190">
        <f>IF($S190="","",INDEX('Programme Export'!$E$7:$E$226,$S190)&amp;"")</f>
        <v/>
      </c>
      <c r="E190">
        <f>IF($S190="","",INDEX('Programme Export'!$N$7:$N$226,$S190)&amp;"")</f>
        <v/>
      </c>
      <c r="F190">
        <f t="array" ref="F190">IF(R190="","",_xlfn.TEXTJOIN(";",TRUE,IFERROR(IF(TRIM(MID(SUBSTITUTE(SUBSTITUTE(SUBSTITUTE(R190,",",";")," ",";"),";",REPT(" ",60)),(ROW($1:$10)-1)*60+1,60))="","",MATCH(TRIM(MID(SUBSTITUTE(SUBSTITUTE(SUBSTITUTE(R190,",",";")," ",";"),";",REPT(" ",60)),(ROW($1:$10)-1)*60+1,60)),$C$2:$C$201,0)),"")))</f>
        <v/>
      </c>
      <c r="G190">
        <f>IF($S190="","",INDEX('Programme Export'!$H$7:$H$226,$S190))</f>
        <v/>
      </c>
      <c r="J190">
        <f>IF($S190="","",INDEX('Programme Export'!$R$7:$R$226,$S190)&amp;"")</f>
        <v/>
      </c>
      <c r="K190">
        <f>IF($S190="","",INDEX('Programme Export'!$C$7:$C$226,$S190)&amp;"")</f>
        <v/>
      </c>
      <c r="L190">
        <f>IF($S190="","",'Cover &amp; Instructions'!$B$38)</f>
        <v/>
      </c>
      <c r="M190">
        <f>IF($S190="","",INDEX('Programme Export'!$F$7:$F$226,$S190))</f>
        <v/>
      </c>
      <c r="N190">
        <f>IF($S190="","",INDEX('Programme Export'!$G$7:$G$226,$S190)&amp;"")</f>
        <v/>
      </c>
      <c r="O190">
        <f>IF($S190="","",IFERROR(P190/M190,0))</f>
        <v/>
      </c>
      <c r="P190">
        <f>IF($S190="","",INDEX('Programme Export'!$H$7:$H$226,$S190))</f>
        <v/>
      </c>
      <c r="Q190">
        <f>IF($S190="","",INDEX('Programme Export'!$X$7:$X$226,$S190)&amp;"")</f>
        <v/>
      </c>
      <c r="R190">
        <f>IF($S190="","",INDEX('Programme Export'!$P$7:$P$226,$S190)&amp;"")</f>
        <v/>
      </c>
      <c r="S190">
        <f>IFERROR(MATCH(189,'Programme Export'!$Y$7:$Y$226,0),"")</f>
        <v/>
      </c>
    </row>
    <row r="191">
      <c r="A191">
        <f>IF($S191="","",190)</f>
        <v/>
      </c>
      <c r="B191">
        <f>IF($S191="","",1)</f>
        <v/>
      </c>
      <c r="C191">
        <f>IF($S191="","",INDEX('Programme Export'!$D$7:$D$226,$S191)&amp;"")</f>
        <v/>
      </c>
      <c r="D191">
        <f>IF($S191="","",INDEX('Programme Export'!$E$7:$E$226,$S191)&amp;"")</f>
        <v/>
      </c>
      <c r="E191">
        <f>IF($S191="","",INDEX('Programme Export'!$N$7:$N$226,$S191)&amp;"")</f>
        <v/>
      </c>
      <c r="F191">
        <f t="array" ref="F191">IF(R191="","",_xlfn.TEXTJOIN(";",TRUE,IFERROR(IF(TRIM(MID(SUBSTITUTE(SUBSTITUTE(SUBSTITUTE(R191,",",";")," ",";"),";",REPT(" ",60)),(ROW($1:$10)-1)*60+1,60))="","",MATCH(TRIM(MID(SUBSTITUTE(SUBSTITUTE(SUBSTITUTE(R191,",",";")," ",";"),";",REPT(" ",60)),(ROW($1:$10)-1)*60+1,60)),$C$2:$C$201,0)),"")))</f>
        <v/>
      </c>
      <c r="G191">
        <f>IF($S191="","",INDEX('Programme Export'!$H$7:$H$226,$S191))</f>
        <v/>
      </c>
      <c r="J191">
        <f>IF($S191="","",INDEX('Programme Export'!$R$7:$R$226,$S191)&amp;"")</f>
        <v/>
      </c>
      <c r="K191">
        <f>IF($S191="","",INDEX('Programme Export'!$C$7:$C$226,$S191)&amp;"")</f>
        <v/>
      </c>
      <c r="L191">
        <f>IF($S191="","",'Cover &amp; Instructions'!$B$38)</f>
        <v/>
      </c>
      <c r="M191">
        <f>IF($S191="","",INDEX('Programme Export'!$F$7:$F$226,$S191))</f>
        <v/>
      </c>
      <c r="N191">
        <f>IF($S191="","",INDEX('Programme Export'!$G$7:$G$226,$S191)&amp;"")</f>
        <v/>
      </c>
      <c r="O191">
        <f>IF($S191="","",IFERROR(P191/M191,0))</f>
        <v/>
      </c>
      <c r="P191">
        <f>IF($S191="","",INDEX('Programme Export'!$H$7:$H$226,$S191))</f>
        <v/>
      </c>
      <c r="Q191">
        <f>IF($S191="","",INDEX('Programme Export'!$X$7:$X$226,$S191)&amp;"")</f>
        <v/>
      </c>
      <c r="R191">
        <f>IF($S191="","",INDEX('Programme Export'!$P$7:$P$226,$S191)&amp;"")</f>
        <v/>
      </c>
      <c r="S191">
        <f>IFERROR(MATCH(190,'Programme Export'!$Y$7:$Y$226,0),"")</f>
        <v/>
      </c>
    </row>
    <row r="192">
      <c r="A192">
        <f>IF($S192="","",191)</f>
        <v/>
      </c>
      <c r="B192">
        <f>IF($S192="","",1)</f>
        <v/>
      </c>
      <c r="C192">
        <f>IF($S192="","",INDEX('Programme Export'!$D$7:$D$226,$S192)&amp;"")</f>
        <v/>
      </c>
      <c r="D192">
        <f>IF($S192="","",INDEX('Programme Export'!$E$7:$E$226,$S192)&amp;"")</f>
        <v/>
      </c>
      <c r="E192">
        <f>IF($S192="","",INDEX('Programme Export'!$N$7:$N$226,$S192)&amp;"")</f>
        <v/>
      </c>
      <c r="F192">
        <f t="array" ref="F192">IF(R192="","",_xlfn.TEXTJOIN(";",TRUE,IFERROR(IF(TRIM(MID(SUBSTITUTE(SUBSTITUTE(SUBSTITUTE(R192,",",";")," ",";"),";",REPT(" ",60)),(ROW($1:$10)-1)*60+1,60))="","",MATCH(TRIM(MID(SUBSTITUTE(SUBSTITUTE(SUBSTITUTE(R192,",",";")," ",";"),";",REPT(" ",60)),(ROW($1:$10)-1)*60+1,60)),$C$2:$C$201,0)),"")))</f>
        <v/>
      </c>
      <c r="G192">
        <f>IF($S192="","",INDEX('Programme Export'!$H$7:$H$226,$S192))</f>
        <v/>
      </c>
      <c r="J192">
        <f>IF($S192="","",INDEX('Programme Export'!$R$7:$R$226,$S192)&amp;"")</f>
        <v/>
      </c>
      <c r="K192">
        <f>IF($S192="","",INDEX('Programme Export'!$C$7:$C$226,$S192)&amp;"")</f>
        <v/>
      </c>
      <c r="L192">
        <f>IF($S192="","",'Cover &amp; Instructions'!$B$38)</f>
        <v/>
      </c>
      <c r="M192">
        <f>IF($S192="","",INDEX('Programme Export'!$F$7:$F$226,$S192))</f>
        <v/>
      </c>
      <c r="N192">
        <f>IF($S192="","",INDEX('Programme Export'!$G$7:$G$226,$S192)&amp;"")</f>
        <v/>
      </c>
      <c r="O192">
        <f>IF($S192="","",IFERROR(P192/M192,0))</f>
        <v/>
      </c>
      <c r="P192">
        <f>IF($S192="","",INDEX('Programme Export'!$H$7:$H$226,$S192))</f>
        <v/>
      </c>
      <c r="Q192">
        <f>IF($S192="","",INDEX('Programme Export'!$X$7:$X$226,$S192)&amp;"")</f>
        <v/>
      </c>
      <c r="R192">
        <f>IF($S192="","",INDEX('Programme Export'!$P$7:$P$226,$S192)&amp;"")</f>
        <v/>
      </c>
      <c r="S192">
        <f>IFERROR(MATCH(191,'Programme Export'!$Y$7:$Y$226,0),"")</f>
        <v/>
      </c>
    </row>
    <row r="193">
      <c r="A193">
        <f>IF($S193="","",192)</f>
        <v/>
      </c>
      <c r="B193">
        <f>IF($S193="","",1)</f>
        <v/>
      </c>
      <c r="C193">
        <f>IF($S193="","",INDEX('Programme Export'!$D$7:$D$226,$S193)&amp;"")</f>
        <v/>
      </c>
      <c r="D193">
        <f>IF($S193="","",INDEX('Programme Export'!$E$7:$E$226,$S193)&amp;"")</f>
        <v/>
      </c>
      <c r="E193">
        <f>IF($S193="","",INDEX('Programme Export'!$N$7:$N$226,$S193)&amp;"")</f>
        <v/>
      </c>
      <c r="F193">
        <f t="array" ref="F193">IF(R193="","",_xlfn.TEXTJOIN(";",TRUE,IFERROR(IF(TRIM(MID(SUBSTITUTE(SUBSTITUTE(SUBSTITUTE(R193,",",";")," ",";"),";",REPT(" ",60)),(ROW($1:$10)-1)*60+1,60))="","",MATCH(TRIM(MID(SUBSTITUTE(SUBSTITUTE(SUBSTITUTE(R193,",",";")," ",";"),";",REPT(" ",60)),(ROW($1:$10)-1)*60+1,60)),$C$2:$C$201,0)),"")))</f>
        <v/>
      </c>
      <c r="G193">
        <f>IF($S193="","",INDEX('Programme Export'!$H$7:$H$226,$S193))</f>
        <v/>
      </c>
      <c r="J193">
        <f>IF($S193="","",INDEX('Programme Export'!$R$7:$R$226,$S193)&amp;"")</f>
        <v/>
      </c>
      <c r="K193">
        <f>IF($S193="","",INDEX('Programme Export'!$C$7:$C$226,$S193)&amp;"")</f>
        <v/>
      </c>
      <c r="L193">
        <f>IF($S193="","",'Cover &amp; Instructions'!$B$38)</f>
        <v/>
      </c>
      <c r="M193">
        <f>IF($S193="","",INDEX('Programme Export'!$F$7:$F$226,$S193))</f>
        <v/>
      </c>
      <c r="N193">
        <f>IF($S193="","",INDEX('Programme Export'!$G$7:$G$226,$S193)&amp;"")</f>
        <v/>
      </c>
      <c r="O193">
        <f>IF($S193="","",IFERROR(P193/M193,0))</f>
        <v/>
      </c>
      <c r="P193">
        <f>IF($S193="","",INDEX('Programme Export'!$H$7:$H$226,$S193))</f>
        <v/>
      </c>
      <c r="Q193">
        <f>IF($S193="","",INDEX('Programme Export'!$X$7:$X$226,$S193)&amp;"")</f>
        <v/>
      </c>
      <c r="R193">
        <f>IF($S193="","",INDEX('Programme Export'!$P$7:$P$226,$S193)&amp;"")</f>
        <v/>
      </c>
      <c r="S193">
        <f>IFERROR(MATCH(192,'Programme Export'!$Y$7:$Y$226,0),"")</f>
        <v/>
      </c>
    </row>
    <row r="194">
      <c r="A194">
        <f>IF($S194="","",193)</f>
        <v/>
      </c>
      <c r="B194">
        <f>IF($S194="","",1)</f>
        <v/>
      </c>
      <c r="C194">
        <f>IF($S194="","",INDEX('Programme Export'!$D$7:$D$226,$S194)&amp;"")</f>
        <v/>
      </c>
      <c r="D194">
        <f>IF($S194="","",INDEX('Programme Export'!$E$7:$E$226,$S194)&amp;"")</f>
        <v/>
      </c>
      <c r="E194">
        <f>IF($S194="","",INDEX('Programme Export'!$N$7:$N$226,$S194)&amp;"")</f>
        <v/>
      </c>
      <c r="F194">
        <f t="array" ref="F194">IF(R194="","",_xlfn.TEXTJOIN(";",TRUE,IFERROR(IF(TRIM(MID(SUBSTITUTE(SUBSTITUTE(SUBSTITUTE(R194,",",";")," ",";"),";",REPT(" ",60)),(ROW($1:$10)-1)*60+1,60))="","",MATCH(TRIM(MID(SUBSTITUTE(SUBSTITUTE(SUBSTITUTE(R194,",",";")," ",";"),";",REPT(" ",60)),(ROW($1:$10)-1)*60+1,60)),$C$2:$C$201,0)),"")))</f>
        <v/>
      </c>
      <c r="G194">
        <f>IF($S194="","",INDEX('Programme Export'!$H$7:$H$226,$S194))</f>
        <v/>
      </c>
      <c r="J194">
        <f>IF($S194="","",INDEX('Programme Export'!$R$7:$R$226,$S194)&amp;"")</f>
        <v/>
      </c>
      <c r="K194">
        <f>IF($S194="","",INDEX('Programme Export'!$C$7:$C$226,$S194)&amp;"")</f>
        <v/>
      </c>
      <c r="L194">
        <f>IF($S194="","",'Cover &amp; Instructions'!$B$38)</f>
        <v/>
      </c>
      <c r="M194">
        <f>IF($S194="","",INDEX('Programme Export'!$F$7:$F$226,$S194))</f>
        <v/>
      </c>
      <c r="N194">
        <f>IF($S194="","",INDEX('Programme Export'!$G$7:$G$226,$S194)&amp;"")</f>
        <v/>
      </c>
      <c r="O194">
        <f>IF($S194="","",IFERROR(P194/M194,0))</f>
        <v/>
      </c>
      <c r="P194">
        <f>IF($S194="","",INDEX('Programme Export'!$H$7:$H$226,$S194))</f>
        <v/>
      </c>
      <c r="Q194">
        <f>IF($S194="","",INDEX('Programme Export'!$X$7:$X$226,$S194)&amp;"")</f>
        <v/>
      </c>
      <c r="R194">
        <f>IF($S194="","",INDEX('Programme Export'!$P$7:$P$226,$S194)&amp;"")</f>
        <v/>
      </c>
      <c r="S194">
        <f>IFERROR(MATCH(193,'Programme Export'!$Y$7:$Y$226,0),"")</f>
        <v/>
      </c>
    </row>
    <row r="195">
      <c r="A195">
        <f>IF($S195="","",194)</f>
        <v/>
      </c>
      <c r="B195">
        <f>IF($S195="","",1)</f>
        <v/>
      </c>
      <c r="C195">
        <f>IF($S195="","",INDEX('Programme Export'!$D$7:$D$226,$S195)&amp;"")</f>
        <v/>
      </c>
      <c r="D195">
        <f>IF($S195="","",INDEX('Programme Export'!$E$7:$E$226,$S195)&amp;"")</f>
        <v/>
      </c>
      <c r="E195">
        <f>IF($S195="","",INDEX('Programme Export'!$N$7:$N$226,$S195)&amp;"")</f>
        <v/>
      </c>
      <c r="F195">
        <f t="array" ref="F195">IF(R195="","",_xlfn.TEXTJOIN(";",TRUE,IFERROR(IF(TRIM(MID(SUBSTITUTE(SUBSTITUTE(SUBSTITUTE(R195,",",";")," ",";"),";",REPT(" ",60)),(ROW($1:$10)-1)*60+1,60))="","",MATCH(TRIM(MID(SUBSTITUTE(SUBSTITUTE(SUBSTITUTE(R195,",",";")," ",";"),";",REPT(" ",60)),(ROW($1:$10)-1)*60+1,60)),$C$2:$C$201,0)),"")))</f>
        <v/>
      </c>
      <c r="G195">
        <f>IF($S195="","",INDEX('Programme Export'!$H$7:$H$226,$S195))</f>
        <v/>
      </c>
      <c r="J195">
        <f>IF($S195="","",INDEX('Programme Export'!$R$7:$R$226,$S195)&amp;"")</f>
        <v/>
      </c>
      <c r="K195">
        <f>IF($S195="","",INDEX('Programme Export'!$C$7:$C$226,$S195)&amp;"")</f>
        <v/>
      </c>
      <c r="L195">
        <f>IF($S195="","",'Cover &amp; Instructions'!$B$38)</f>
        <v/>
      </c>
      <c r="M195">
        <f>IF($S195="","",INDEX('Programme Export'!$F$7:$F$226,$S195))</f>
        <v/>
      </c>
      <c r="N195">
        <f>IF($S195="","",INDEX('Programme Export'!$G$7:$G$226,$S195)&amp;"")</f>
        <v/>
      </c>
      <c r="O195">
        <f>IF($S195="","",IFERROR(P195/M195,0))</f>
        <v/>
      </c>
      <c r="P195">
        <f>IF($S195="","",INDEX('Programme Export'!$H$7:$H$226,$S195))</f>
        <v/>
      </c>
      <c r="Q195">
        <f>IF($S195="","",INDEX('Programme Export'!$X$7:$X$226,$S195)&amp;"")</f>
        <v/>
      </c>
      <c r="R195">
        <f>IF($S195="","",INDEX('Programme Export'!$P$7:$P$226,$S195)&amp;"")</f>
        <v/>
      </c>
      <c r="S195">
        <f>IFERROR(MATCH(194,'Programme Export'!$Y$7:$Y$226,0),"")</f>
        <v/>
      </c>
    </row>
    <row r="196">
      <c r="A196">
        <f>IF($S196="","",195)</f>
        <v/>
      </c>
      <c r="B196">
        <f>IF($S196="","",1)</f>
        <v/>
      </c>
      <c r="C196">
        <f>IF($S196="","",INDEX('Programme Export'!$D$7:$D$226,$S196)&amp;"")</f>
        <v/>
      </c>
      <c r="D196">
        <f>IF($S196="","",INDEX('Programme Export'!$E$7:$E$226,$S196)&amp;"")</f>
        <v/>
      </c>
      <c r="E196">
        <f>IF($S196="","",INDEX('Programme Export'!$N$7:$N$226,$S196)&amp;"")</f>
        <v/>
      </c>
      <c r="F196">
        <f t="array" ref="F196">IF(R196="","",_xlfn.TEXTJOIN(";",TRUE,IFERROR(IF(TRIM(MID(SUBSTITUTE(SUBSTITUTE(SUBSTITUTE(R196,",",";")," ",";"),";",REPT(" ",60)),(ROW($1:$10)-1)*60+1,60))="","",MATCH(TRIM(MID(SUBSTITUTE(SUBSTITUTE(SUBSTITUTE(R196,",",";")," ",";"),";",REPT(" ",60)),(ROW($1:$10)-1)*60+1,60)),$C$2:$C$201,0)),"")))</f>
        <v/>
      </c>
      <c r="G196">
        <f>IF($S196="","",INDEX('Programme Export'!$H$7:$H$226,$S196))</f>
        <v/>
      </c>
      <c r="J196">
        <f>IF($S196="","",INDEX('Programme Export'!$R$7:$R$226,$S196)&amp;"")</f>
        <v/>
      </c>
      <c r="K196">
        <f>IF($S196="","",INDEX('Programme Export'!$C$7:$C$226,$S196)&amp;"")</f>
        <v/>
      </c>
      <c r="L196">
        <f>IF($S196="","",'Cover &amp; Instructions'!$B$38)</f>
        <v/>
      </c>
      <c r="M196">
        <f>IF($S196="","",INDEX('Programme Export'!$F$7:$F$226,$S196))</f>
        <v/>
      </c>
      <c r="N196">
        <f>IF($S196="","",INDEX('Programme Export'!$G$7:$G$226,$S196)&amp;"")</f>
        <v/>
      </c>
      <c r="O196">
        <f>IF($S196="","",IFERROR(P196/M196,0))</f>
        <v/>
      </c>
      <c r="P196">
        <f>IF($S196="","",INDEX('Programme Export'!$H$7:$H$226,$S196))</f>
        <v/>
      </c>
      <c r="Q196">
        <f>IF($S196="","",INDEX('Programme Export'!$X$7:$X$226,$S196)&amp;"")</f>
        <v/>
      </c>
      <c r="R196">
        <f>IF($S196="","",INDEX('Programme Export'!$P$7:$P$226,$S196)&amp;"")</f>
        <v/>
      </c>
      <c r="S196">
        <f>IFERROR(MATCH(195,'Programme Export'!$Y$7:$Y$226,0),"")</f>
        <v/>
      </c>
    </row>
    <row r="197">
      <c r="A197">
        <f>IF($S197="","",196)</f>
        <v/>
      </c>
      <c r="B197">
        <f>IF($S197="","",1)</f>
        <v/>
      </c>
      <c r="C197">
        <f>IF($S197="","",INDEX('Programme Export'!$D$7:$D$226,$S197)&amp;"")</f>
        <v/>
      </c>
      <c r="D197">
        <f>IF($S197="","",INDEX('Programme Export'!$E$7:$E$226,$S197)&amp;"")</f>
        <v/>
      </c>
      <c r="E197">
        <f>IF($S197="","",INDEX('Programme Export'!$N$7:$N$226,$S197)&amp;"")</f>
        <v/>
      </c>
      <c r="F197">
        <f t="array" ref="F197">IF(R197="","",_xlfn.TEXTJOIN(";",TRUE,IFERROR(IF(TRIM(MID(SUBSTITUTE(SUBSTITUTE(SUBSTITUTE(R197,",",";")," ",";"),";",REPT(" ",60)),(ROW($1:$10)-1)*60+1,60))="","",MATCH(TRIM(MID(SUBSTITUTE(SUBSTITUTE(SUBSTITUTE(R197,",",";")," ",";"),";",REPT(" ",60)),(ROW($1:$10)-1)*60+1,60)),$C$2:$C$201,0)),"")))</f>
        <v/>
      </c>
      <c r="G197">
        <f>IF($S197="","",INDEX('Programme Export'!$H$7:$H$226,$S197))</f>
        <v/>
      </c>
      <c r="J197">
        <f>IF($S197="","",INDEX('Programme Export'!$R$7:$R$226,$S197)&amp;"")</f>
        <v/>
      </c>
      <c r="K197">
        <f>IF($S197="","",INDEX('Programme Export'!$C$7:$C$226,$S197)&amp;"")</f>
        <v/>
      </c>
      <c r="L197">
        <f>IF($S197="","",'Cover &amp; Instructions'!$B$38)</f>
        <v/>
      </c>
      <c r="M197">
        <f>IF($S197="","",INDEX('Programme Export'!$F$7:$F$226,$S197))</f>
        <v/>
      </c>
      <c r="N197">
        <f>IF($S197="","",INDEX('Programme Export'!$G$7:$G$226,$S197)&amp;"")</f>
        <v/>
      </c>
      <c r="O197">
        <f>IF($S197="","",IFERROR(P197/M197,0))</f>
        <v/>
      </c>
      <c r="P197">
        <f>IF($S197="","",INDEX('Programme Export'!$H$7:$H$226,$S197))</f>
        <v/>
      </c>
      <c r="Q197">
        <f>IF($S197="","",INDEX('Programme Export'!$X$7:$X$226,$S197)&amp;"")</f>
        <v/>
      </c>
      <c r="R197">
        <f>IF($S197="","",INDEX('Programme Export'!$P$7:$P$226,$S197)&amp;"")</f>
        <v/>
      </c>
      <c r="S197">
        <f>IFERROR(MATCH(196,'Programme Export'!$Y$7:$Y$226,0),"")</f>
        <v/>
      </c>
    </row>
    <row r="198">
      <c r="A198">
        <f>IF($S198="","",197)</f>
        <v/>
      </c>
      <c r="B198">
        <f>IF($S198="","",1)</f>
        <v/>
      </c>
      <c r="C198">
        <f>IF($S198="","",INDEX('Programme Export'!$D$7:$D$226,$S198)&amp;"")</f>
        <v/>
      </c>
      <c r="D198">
        <f>IF($S198="","",INDEX('Programme Export'!$E$7:$E$226,$S198)&amp;"")</f>
        <v/>
      </c>
      <c r="E198">
        <f>IF($S198="","",INDEX('Programme Export'!$N$7:$N$226,$S198)&amp;"")</f>
        <v/>
      </c>
      <c r="F198">
        <f t="array" ref="F198">IF(R198="","",_xlfn.TEXTJOIN(";",TRUE,IFERROR(IF(TRIM(MID(SUBSTITUTE(SUBSTITUTE(SUBSTITUTE(R198,",",";")," ",";"),";",REPT(" ",60)),(ROW($1:$10)-1)*60+1,60))="","",MATCH(TRIM(MID(SUBSTITUTE(SUBSTITUTE(SUBSTITUTE(R198,",",";")," ",";"),";",REPT(" ",60)),(ROW($1:$10)-1)*60+1,60)),$C$2:$C$201,0)),"")))</f>
        <v/>
      </c>
      <c r="G198">
        <f>IF($S198="","",INDEX('Programme Export'!$H$7:$H$226,$S198))</f>
        <v/>
      </c>
      <c r="J198">
        <f>IF($S198="","",INDEX('Programme Export'!$R$7:$R$226,$S198)&amp;"")</f>
        <v/>
      </c>
      <c r="K198">
        <f>IF($S198="","",INDEX('Programme Export'!$C$7:$C$226,$S198)&amp;"")</f>
        <v/>
      </c>
      <c r="L198">
        <f>IF($S198="","",'Cover &amp; Instructions'!$B$38)</f>
        <v/>
      </c>
      <c r="M198">
        <f>IF($S198="","",INDEX('Programme Export'!$F$7:$F$226,$S198))</f>
        <v/>
      </c>
      <c r="N198">
        <f>IF($S198="","",INDEX('Programme Export'!$G$7:$G$226,$S198)&amp;"")</f>
        <v/>
      </c>
      <c r="O198">
        <f>IF($S198="","",IFERROR(P198/M198,0))</f>
        <v/>
      </c>
      <c r="P198">
        <f>IF($S198="","",INDEX('Programme Export'!$H$7:$H$226,$S198))</f>
        <v/>
      </c>
      <c r="Q198">
        <f>IF($S198="","",INDEX('Programme Export'!$X$7:$X$226,$S198)&amp;"")</f>
        <v/>
      </c>
      <c r="R198">
        <f>IF($S198="","",INDEX('Programme Export'!$P$7:$P$226,$S198)&amp;"")</f>
        <v/>
      </c>
      <c r="S198">
        <f>IFERROR(MATCH(197,'Programme Export'!$Y$7:$Y$226,0),"")</f>
        <v/>
      </c>
    </row>
    <row r="199">
      <c r="A199">
        <f>IF($S199="","",198)</f>
        <v/>
      </c>
      <c r="B199">
        <f>IF($S199="","",1)</f>
        <v/>
      </c>
      <c r="C199">
        <f>IF($S199="","",INDEX('Programme Export'!$D$7:$D$226,$S199)&amp;"")</f>
        <v/>
      </c>
      <c r="D199">
        <f>IF($S199="","",INDEX('Programme Export'!$E$7:$E$226,$S199)&amp;"")</f>
        <v/>
      </c>
      <c r="E199">
        <f>IF($S199="","",INDEX('Programme Export'!$N$7:$N$226,$S199)&amp;"")</f>
        <v/>
      </c>
      <c r="F199">
        <f t="array" ref="F199">IF(R199="","",_xlfn.TEXTJOIN(";",TRUE,IFERROR(IF(TRIM(MID(SUBSTITUTE(SUBSTITUTE(SUBSTITUTE(R199,",",";")," ",";"),";",REPT(" ",60)),(ROW($1:$10)-1)*60+1,60))="","",MATCH(TRIM(MID(SUBSTITUTE(SUBSTITUTE(SUBSTITUTE(R199,",",";")," ",";"),";",REPT(" ",60)),(ROW($1:$10)-1)*60+1,60)),$C$2:$C$201,0)),"")))</f>
        <v/>
      </c>
      <c r="G199">
        <f>IF($S199="","",INDEX('Programme Export'!$H$7:$H$226,$S199))</f>
        <v/>
      </c>
      <c r="J199">
        <f>IF($S199="","",INDEX('Programme Export'!$R$7:$R$226,$S199)&amp;"")</f>
        <v/>
      </c>
      <c r="K199">
        <f>IF($S199="","",INDEX('Programme Export'!$C$7:$C$226,$S199)&amp;"")</f>
        <v/>
      </c>
      <c r="L199">
        <f>IF($S199="","",'Cover &amp; Instructions'!$B$38)</f>
        <v/>
      </c>
      <c r="M199">
        <f>IF($S199="","",INDEX('Programme Export'!$F$7:$F$226,$S199))</f>
        <v/>
      </c>
      <c r="N199">
        <f>IF($S199="","",INDEX('Programme Export'!$G$7:$G$226,$S199)&amp;"")</f>
        <v/>
      </c>
      <c r="O199">
        <f>IF($S199="","",IFERROR(P199/M199,0))</f>
        <v/>
      </c>
      <c r="P199">
        <f>IF($S199="","",INDEX('Programme Export'!$H$7:$H$226,$S199))</f>
        <v/>
      </c>
      <c r="Q199">
        <f>IF($S199="","",INDEX('Programme Export'!$X$7:$X$226,$S199)&amp;"")</f>
        <v/>
      </c>
      <c r="R199">
        <f>IF($S199="","",INDEX('Programme Export'!$P$7:$P$226,$S199)&amp;"")</f>
        <v/>
      </c>
      <c r="S199">
        <f>IFERROR(MATCH(198,'Programme Export'!$Y$7:$Y$226,0),"")</f>
        <v/>
      </c>
    </row>
    <row r="200">
      <c r="A200">
        <f>IF($S200="","",199)</f>
        <v/>
      </c>
      <c r="B200">
        <f>IF($S200="","",1)</f>
        <v/>
      </c>
      <c r="C200">
        <f>IF($S200="","",INDEX('Programme Export'!$D$7:$D$226,$S200)&amp;"")</f>
        <v/>
      </c>
      <c r="D200">
        <f>IF($S200="","",INDEX('Programme Export'!$E$7:$E$226,$S200)&amp;"")</f>
        <v/>
      </c>
      <c r="E200">
        <f>IF($S200="","",INDEX('Programme Export'!$N$7:$N$226,$S200)&amp;"")</f>
        <v/>
      </c>
      <c r="F200">
        <f t="array" ref="F200">IF(R200="","",_xlfn.TEXTJOIN(";",TRUE,IFERROR(IF(TRIM(MID(SUBSTITUTE(SUBSTITUTE(SUBSTITUTE(R200,",",";")," ",";"),";",REPT(" ",60)),(ROW($1:$10)-1)*60+1,60))="","",MATCH(TRIM(MID(SUBSTITUTE(SUBSTITUTE(SUBSTITUTE(R200,",",";")," ",";"),";",REPT(" ",60)),(ROW($1:$10)-1)*60+1,60)),$C$2:$C$201,0)),"")))</f>
        <v/>
      </c>
      <c r="G200">
        <f>IF($S200="","",INDEX('Programme Export'!$H$7:$H$226,$S200))</f>
        <v/>
      </c>
      <c r="J200">
        <f>IF($S200="","",INDEX('Programme Export'!$R$7:$R$226,$S200)&amp;"")</f>
        <v/>
      </c>
      <c r="K200">
        <f>IF($S200="","",INDEX('Programme Export'!$C$7:$C$226,$S200)&amp;"")</f>
        <v/>
      </c>
      <c r="L200">
        <f>IF($S200="","",'Cover &amp; Instructions'!$B$38)</f>
        <v/>
      </c>
      <c r="M200">
        <f>IF($S200="","",INDEX('Programme Export'!$F$7:$F$226,$S200))</f>
        <v/>
      </c>
      <c r="N200">
        <f>IF($S200="","",INDEX('Programme Export'!$G$7:$G$226,$S200)&amp;"")</f>
        <v/>
      </c>
      <c r="O200">
        <f>IF($S200="","",IFERROR(P200/M200,0))</f>
        <v/>
      </c>
      <c r="P200">
        <f>IF($S200="","",INDEX('Programme Export'!$H$7:$H$226,$S200))</f>
        <v/>
      </c>
      <c r="Q200">
        <f>IF($S200="","",INDEX('Programme Export'!$X$7:$X$226,$S200)&amp;"")</f>
        <v/>
      </c>
      <c r="R200">
        <f>IF($S200="","",INDEX('Programme Export'!$P$7:$P$226,$S200)&amp;"")</f>
        <v/>
      </c>
      <c r="S200">
        <f>IFERROR(MATCH(199,'Programme Export'!$Y$7:$Y$226,0),"")</f>
        <v/>
      </c>
    </row>
    <row r="201">
      <c r="A201">
        <f>IF($S201="","",200)</f>
        <v/>
      </c>
      <c r="B201">
        <f>IF($S201="","",1)</f>
        <v/>
      </c>
      <c r="C201">
        <f>IF($S201="","",INDEX('Programme Export'!$D$7:$D$226,$S201)&amp;"")</f>
        <v/>
      </c>
      <c r="D201">
        <f>IF($S201="","",INDEX('Programme Export'!$E$7:$E$226,$S201)&amp;"")</f>
        <v/>
      </c>
      <c r="E201">
        <f>IF($S201="","",INDEX('Programme Export'!$N$7:$N$226,$S201)&amp;"")</f>
        <v/>
      </c>
      <c r="F201">
        <f t="array" ref="F201">IF(R201="","",_xlfn.TEXTJOIN(";",TRUE,IFERROR(IF(TRIM(MID(SUBSTITUTE(SUBSTITUTE(SUBSTITUTE(R201,",",";")," ",";"),";",REPT(" ",60)),(ROW($1:$10)-1)*60+1,60))="","",MATCH(TRIM(MID(SUBSTITUTE(SUBSTITUTE(SUBSTITUTE(R201,",",";")," ",";"),";",REPT(" ",60)),(ROW($1:$10)-1)*60+1,60)),$C$2:$C$201,0)),"")))</f>
        <v/>
      </c>
      <c r="G201">
        <f>IF($S201="","",INDEX('Programme Export'!$H$7:$H$226,$S201))</f>
        <v/>
      </c>
      <c r="J201">
        <f>IF($S201="","",INDEX('Programme Export'!$R$7:$R$226,$S201)&amp;"")</f>
        <v/>
      </c>
      <c r="K201">
        <f>IF($S201="","",INDEX('Programme Export'!$C$7:$C$226,$S201)&amp;"")</f>
        <v/>
      </c>
      <c r="L201">
        <f>IF($S201="","",'Cover &amp; Instructions'!$B$38)</f>
        <v/>
      </c>
      <c r="M201">
        <f>IF($S201="","",INDEX('Programme Export'!$F$7:$F$226,$S201))</f>
        <v/>
      </c>
      <c r="N201">
        <f>IF($S201="","",INDEX('Programme Export'!$G$7:$G$226,$S201)&amp;"")</f>
        <v/>
      </c>
      <c r="O201">
        <f>IF($S201="","",IFERROR(P201/M201,0))</f>
        <v/>
      </c>
      <c r="P201">
        <f>IF($S201="","",INDEX('Programme Export'!$H$7:$H$226,$S201))</f>
        <v/>
      </c>
      <c r="Q201">
        <f>IF($S201="","",INDEX('Programme Export'!$X$7:$X$226,$S201)&amp;"")</f>
        <v/>
      </c>
      <c r="R201">
        <f>IF($S201="","",INDEX('Programme Export'!$P$7:$P$226,$S201)&amp;"")</f>
        <v/>
      </c>
      <c r="S201">
        <f>IFERROR(MATCH(200,'Programme Export'!$Y$7:$Y$226,0),"")</f>
        <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7" customWidth="1" style="491" min="1" max="1"/>
    <col width="40" customWidth="1" style="491" min="2" max="2"/>
    <col width="13" customWidth="1" style="491" min="3" max="3"/>
    <col width="16" customWidth="1" style="491" min="4" max="4"/>
    <col width="22" customWidth="1" style="491" min="5" max="5"/>
    <col width="18" customWidth="1" style="491" min="6" max="6"/>
    <col width="48" customWidth="1" style="491" min="7" max="7"/>
    <col width="48" customWidth="1" style="491" min="8" max="8"/>
  </cols>
  <sheetData>
    <row r="1" ht="92.40000152587891" customHeight="1" s="491">
      <c r="A1" s="915" t="inlineStr">
        <is>
          <t>BOARD-ADJUDICATED PROGRAMME LOGIC</t>
        </is>
      </c>
      <c r="B1" s="915" t="n"/>
      <c r="C1" s="915" t="n"/>
      <c r="D1" s="915" t="n"/>
      <c r="E1" s="915" t="n"/>
      <c r="F1" s="915" t="n"/>
      <c r="G1" s="915" t="n"/>
      <c r="H1" s="915" t="n"/>
    </row>
    <row r="2"/>
    <row r="3" ht="15" customHeight="1" s="491">
      <c r="A3" s="914" t="inlineStr">
        <is>
          <t>Seq</t>
        </is>
      </c>
      <c r="B3" s="914" t="inlineStr">
        <is>
          <t>Activity</t>
        </is>
      </c>
      <c r="C3" s="914" t="inlineStr">
        <is>
          <t>Duration WD</t>
        </is>
      </c>
      <c r="D3" s="914" t="inlineStr">
        <is>
          <t>Predecessor</t>
        </is>
      </c>
      <c r="E3" s="914" t="inlineStr">
        <is>
          <t>Workfront</t>
        </is>
      </c>
      <c r="F3" s="914" t="inlineStr">
        <is>
          <t>Productive cost?</t>
        </is>
      </c>
      <c r="G3" s="914" t="inlineStr">
        <is>
          <t>Evidence / adjudication</t>
        </is>
      </c>
      <c r="H3" s="914" t="inlineStr">
        <is>
          <t>Notes</t>
        </is>
      </c>
    </row>
    <row r="4" ht="15" customHeight="1" s="491"/>
    <row r="5" ht="15" customHeight="1" s="491"/>
    <row r="6" ht="15" customHeight="1" s="491"/>
    <row r="7" ht="15" customHeight="1" s="491"/>
    <row r="8" ht="15" customHeight="1" s="491"/>
    <row r="9" ht="15" customHeight="1" s="491"/>
    <row r="10" ht="15" customHeight="1" s="491"/>
    <row r="11" ht="15" customHeight="1" s="491"/>
    <row r="12" ht="15" customHeight="1" s="491"/>
    <row r="13" ht="15" customHeight="1" s="491"/>
    <row r="14"/>
    <row r="15" ht="15" customHeight="1" s="491"/>
    <row r="16" ht="15" customHeight="1" s="491"/>
    <row r="17" ht="15" customHeight="1" s="491"/>
    <row r="18" ht="15" customHeight="1" s="491"/>
    <row r="19" ht="15" customHeight="1" s="491"/>
    <row r="20" ht="15" customHeight="1" s="491">
      <c r="A20" s="1477" t="n"/>
      <c r="B20" s="242" t="n"/>
      <c r="C20" s="242" t="n"/>
      <c r="D20" s="242" t="n"/>
      <c r="E20" s="242" t="n"/>
      <c r="F20" s="242" t="n"/>
      <c r="G20" s="242" t="n"/>
      <c r="H20" s="242" t="n"/>
    </row>
    <row r="21" ht="26.39999961853027" customHeight="1" s="491">
      <c r="A21" s="757" t="n"/>
      <c r="B21" s="757" t="n"/>
      <c r="C21" s="757" t="n"/>
      <c r="D21" s="757" t="n"/>
      <c r="E21" s="757" t="n"/>
      <c r="F21" s="757" t="n"/>
      <c r="G21" s="757" t="n"/>
      <c r="H21" s="757" t="n"/>
    </row>
    <row r="22" ht="52.79999923706055" customHeight="1" s="491">
      <c r="A22" s="211" t="n"/>
      <c r="B22" s="211" t="n"/>
      <c r="C22" s="1415" t="n"/>
      <c r="D22" s="1415" t="n"/>
      <c r="E22" s="1415" t="n"/>
      <c r="F22" s="1415" t="n"/>
      <c r="G22" s="1415" t="n"/>
      <c r="H22" s="211" t="n"/>
    </row>
    <row r="23" ht="66" customHeight="1" s="491">
      <c r="A23" s="211" t="n"/>
      <c r="B23" s="211" t="n"/>
      <c r="C23" s="1415" t="n"/>
      <c r="D23" s="1415" t="n"/>
      <c r="E23" s="1415" t="n"/>
      <c r="F23" s="1415" t="n"/>
      <c r="G23" s="1415" t="n"/>
      <c r="H23" s="211" t="n"/>
    </row>
    <row r="24" ht="66" customHeight="1" s="491">
      <c r="A24" s="211" t="n"/>
      <c r="B24" s="211" t="n"/>
      <c r="C24" s="211" t="n"/>
      <c r="D24" s="211" t="n"/>
      <c r="E24" s="211" t="n"/>
      <c r="F24" s="211" t="n"/>
      <c r="G24" s="211" t="n"/>
      <c r="H24" s="211" t="n"/>
    </row>
  </sheetData>
  <mergeCells count="1">
    <mergeCell ref="A20:H20"/>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style="491" min="1" max="1"/>
    <col width="110" customWidth="1" style="491" min="2" max="2"/>
  </cols>
  <sheetData>
    <row r="1" ht="26.39999961853027" customHeight="1" s="491">
      <c r="A1" s="930" t="inlineStr">
        <is>
          <t>MICROSOFT PROJECT HANDOFF / PROGRAMME NOTES</t>
        </is>
      </c>
      <c r="B1" s="930" t="str"/>
    </row>
    <row r="2" ht="15" customHeight="1" s="491">
      <c r="A2" t="inlineStr">
        <is>
          <t>Dry tender baseline</t>
        </is>
      </c>
    </row>
    <row r="3" ht="15" customHeight="1" s="491">
      <c r="A3" t="inlineStr">
        <is>
          <t>Weather</t>
        </is>
      </c>
    </row>
    <row r="4" ht="15" customHeight="1" s="491">
      <c r="A4" t="inlineStr">
        <is>
          <t>Calendar / start date</t>
        </is>
      </c>
    </row>
    <row r="5" ht="15" customHeight="1" s="491">
      <c r="A5" t="inlineStr">
        <is>
          <t>Key interfaces</t>
        </is>
      </c>
    </row>
    <row r="6" ht="15" customHeight="1" s="491">
      <c r="A6" t="inlineStr">
        <is>
          <t>Procurement lead times</t>
        </is>
      </c>
    </row>
    <row r="7" ht="15" customHeight="1" s="491">
      <c r="A7" t="inlineStr">
        <is>
          <t>Holds</t>
        </is>
      </c>
    </row>
    <row r="8" ht="15" customHeight="1" s="491"/>
    <row r="9" ht="15" customHeight="1" s="491"/>
    <row r="10" ht="15" customHeight="1" s="491"/>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N91"/>
  <sheetViews>
    <sheetView workbookViewId="0">
      <selection activeCell="A1" sqref="A1"/>
    </sheetView>
  </sheetViews>
  <sheetFormatPr baseColWidth="8" defaultRowHeight="15"/>
  <cols>
    <col width="34" customWidth="1" style="491" min="1" max="1"/>
    <col width="48" customWidth="1" style="491" min="2" max="2"/>
    <col width="4" customWidth="1" style="491" min="3" max="3"/>
    <col width="36" customWidth="1" style="491" min="4" max="4"/>
    <col width="58" customWidth="1" style="491" min="5" max="5"/>
    <col width="10" customWidth="1" style="491" min="6" max="6"/>
    <col width="15" customWidth="1" style="491" min="7" max="7"/>
    <col width="15" customWidth="1" style="491" min="8" max="8"/>
    <col width="14" customWidth="1" style="491" min="9" max="9"/>
    <col width="13" customWidth="1" style="491" min="10" max="10"/>
    <col width="14" customWidth="1" style="491" min="11" max="11"/>
    <col width="14" customWidth="1" style="491" min="12" max="12"/>
    <col width="14" customWidth="1" style="491" min="13" max="13"/>
    <col width="14" customWidth="1" style="491" min="14" max="14"/>
  </cols>
  <sheetData>
    <row r="1" ht="26" customHeight="1" s="491">
      <c r="A1" s="1478" t="inlineStr">
        <is>
          <t>WEATHER RISK — CURRENT LIVE PROJECT BASIS</t>
        </is>
      </c>
      <c r="B1" s="242" t="n"/>
      <c r="C1" s="242" t="n"/>
      <c r="D1" s="242" t="n"/>
      <c r="E1" s="242" t="n"/>
      <c r="F1" s="242" t="n"/>
      <c r="G1" s="242" t="n"/>
      <c r="H1" s="242" t="n"/>
      <c r="I1" s="1313" t="n"/>
      <c r="J1" s="1313" t="n"/>
      <c r="K1" s="1117" t="n"/>
      <c r="L1" s="1117" t="n"/>
      <c r="M1" s="1117" t="n"/>
      <c r="N1" s="1117" t="n"/>
    </row>
    <row r="2" ht="38" customHeight="1" s="491">
      <c r="A2" s="1479" t="inlineStr">
        <is>
          <t>This is the only current weather sheet for the estimate. It links the approved NZ Weather Risk Estimating Tool basis to live resources, programme, CA10, tender and cashflow. Historical run tabs are archived below for audit only.</t>
        </is>
      </c>
      <c r="B2" s="242" t="n"/>
      <c r="C2" s="242" t="n"/>
      <c r="D2" s="242" t="n"/>
      <c r="E2" s="242" t="n"/>
      <c r="F2" s="242" t="n"/>
      <c r="G2" s="242" t="n"/>
      <c r="H2" s="242" t="n"/>
      <c r="I2" s="1313" t="n"/>
      <c r="J2" s="1313" t="n"/>
      <c r="K2" s="1117" t="n"/>
      <c r="L2" s="1117" t="n"/>
      <c r="M2" s="1117" t="n"/>
      <c r="N2" s="1117" t="n"/>
    </row>
    <row r="3">
      <c r="A3" s="1132" t="n"/>
      <c r="B3" s="1132" t="n"/>
      <c r="C3" s="1132" t="n"/>
      <c r="D3" s="1132" t="n"/>
      <c r="E3" s="1132" t="n"/>
      <c r="F3" s="1132" t="n"/>
      <c r="G3" s="1132" t="n"/>
      <c r="H3" s="1132" t="n"/>
      <c r="I3" s="1132" t="n"/>
      <c r="J3" s="1132" t="n"/>
      <c r="K3" s="1119" t="n"/>
      <c r="L3" s="1119" t="n"/>
      <c r="M3" s="1119" t="n"/>
      <c r="N3" s="1119" t="n"/>
    </row>
    <row r="4">
      <c r="A4" s="1480" t="inlineStr">
        <is>
          <t>LIVE PROJECT / PROGRAMME INPUTS</t>
        </is>
      </c>
      <c r="B4" s="242" t="n"/>
      <c r="C4" s="1132" t="n"/>
      <c r="D4" s="1480" t="inlineStr">
        <is>
          <t>INTEGRATION / RELEASE CONTROLS</t>
        </is>
      </c>
      <c r="E4" s="242" t="n"/>
      <c r="F4" s="242" t="n"/>
      <c r="G4" s="242" t="n"/>
      <c r="H4" s="242" t="n"/>
      <c r="I4" s="1132" t="n"/>
      <c r="J4" s="1132" t="n"/>
      <c r="K4" s="1119" t="n"/>
      <c r="L4" s="1119" t="n"/>
      <c r="M4" s="1119" t="n"/>
      <c r="N4" s="1119" t="n"/>
    </row>
    <row r="5">
      <c r="A5" s="1132" t="inlineStr">
        <is>
          <t>Project location</t>
        </is>
      </c>
      <c r="B5" s="1379">
        <f>'Cover &amp; Instructions'!E38</f>
        <v/>
      </c>
      <c r="C5" s="1132" t="n"/>
      <c r="D5" s="1132" t="inlineStr">
        <is>
          <t>1</t>
        </is>
      </c>
      <c r="E5" s="1353" t="inlineStr">
        <is>
          <t>Weather tool remains the approved climate/task calculation source; this workbook does not replace NIWA/tool logic.</t>
        </is>
      </c>
      <c r="F5" s="242" t="n"/>
      <c r="G5" s="242" t="n"/>
      <c r="H5" s="242" t="n"/>
      <c r="I5" s="1132" t="n"/>
      <c r="J5" s="1132" t="n"/>
      <c r="K5" s="1119" t="n"/>
      <c r="L5" s="1119" t="n"/>
      <c r="M5" s="1119" t="n"/>
      <c r="N5" s="1119" t="n"/>
    </row>
    <row r="6">
      <c r="A6" s="1132" t="inlineStr">
        <is>
          <t>Weather station / representative location</t>
        </is>
      </c>
      <c r="B6" s="1481" t="n"/>
      <c r="C6" s="1132" t="n"/>
      <c r="D6" s="1132" t="inlineStr">
        <is>
          <t>2</t>
        </is>
      </c>
      <c r="E6" s="1353" t="inlineStr">
        <is>
          <t>CA10 is formula-linked to Selected Weather Allowance. Do not re-enter a flat weather percentage in Commercial Inputs.</t>
        </is>
      </c>
      <c r="F6" s="242" t="n"/>
      <c r="G6" s="242" t="n"/>
      <c r="H6" s="242" t="n"/>
      <c r="I6" s="1132" t="n"/>
      <c r="J6" s="1132" t="n"/>
      <c r="K6" s="1119" t="n"/>
      <c r="L6" s="1119" t="n"/>
      <c r="M6" s="1119" t="n"/>
      <c r="N6" s="1119" t="n"/>
    </row>
    <row r="7">
      <c r="A7" s="1132" t="inlineStr">
        <is>
          <t>Assumed construction start</t>
        </is>
      </c>
      <c r="B7" s="1482" t="n"/>
      <c r="C7" s="1132" t="n"/>
      <c r="D7" s="1132" t="inlineStr">
        <is>
          <t>3</t>
        </is>
      </c>
      <c r="E7" s="1353" t="inlineStr">
        <is>
          <t>Direct productivity applies only to Resource Build-Up Labour/Plant rows tagged Weather Exposed = Yes. Current exposed pool is $50,807.75; PC packages with no labour/plant split affect delay only where they sit on the critical path.</t>
        </is>
      </c>
      <c r="F7" s="242" t="n"/>
      <c r="G7" s="242" t="n"/>
      <c r="H7" s="242" t="n"/>
      <c r="I7" s="1132" t="n"/>
      <c r="J7" s="1132" t="n"/>
      <c r="K7" s="1119" t="n"/>
      <c r="L7" s="1119" t="n"/>
      <c r="M7" s="1119" t="n"/>
      <c r="N7" s="1119" t="n"/>
    </row>
    <row r="8">
      <c r="A8" s="1132" t="inlineStr">
        <is>
          <t>Baseline working days</t>
        </is>
      </c>
      <c r="B8" s="1483" t="n"/>
      <c r="C8" s="1132" t="n"/>
      <c r="D8" s="1132" t="inlineStr">
        <is>
          <t>4</t>
        </is>
      </c>
      <c r="E8" s="1353" t="inlineStr">
        <is>
          <t>Critical-path delay is not summed across concurrent tasks. Update the external Weather Tool when sequence or critical path changes.</t>
        </is>
      </c>
      <c r="F8" s="242" t="n"/>
      <c r="G8" s="242" t="n"/>
      <c r="H8" s="242" t="n"/>
      <c r="I8" s="1132" t="n"/>
      <c r="J8" s="1132" t="n"/>
      <c r="K8" s="1119" t="n"/>
      <c r="L8" s="1119" t="n"/>
      <c r="M8" s="1119" t="n"/>
      <c r="N8" s="1119" t="n"/>
    </row>
    <row r="9">
      <c r="A9" s="1132" t="inlineStr">
        <is>
          <t>Working days per week</t>
        </is>
      </c>
      <c r="B9" s="1484" t="n"/>
      <c r="C9" s="1132" t="n"/>
      <c r="D9" s="1132" t="inlineStr">
        <is>
          <t>5</t>
        </is>
      </c>
      <c r="E9" s="1353" t="inlineStr">
        <is>
          <t>Daily time-related preliminaries come from the Build-Up row linked in B13; weekly billed hire from the rows linked in B14.</t>
        </is>
      </c>
      <c r="F9" s="242" t="n"/>
      <c r="G9" s="242" t="n"/>
      <c r="H9" s="242" t="n"/>
      <c r="I9" s="1132" t="n"/>
      <c r="J9" s="1132" t="n"/>
      <c r="K9" s="1119" t="n"/>
      <c r="L9" s="1119" t="n"/>
      <c r="M9" s="1119" t="n"/>
      <c r="N9" s="1119" t="n"/>
    </row>
    <row r="10">
      <c r="A10" s="1132" t="inlineStr">
        <is>
          <t>Weather-tool weekday-only base finish</t>
        </is>
      </c>
      <c r="B10" s="1485">
        <f>IF(OR(B7="",B8=""),"",WORKDAY(B7,B8-1))</f>
        <v/>
      </c>
      <c r="C10" s="1132" t="n"/>
      <c r="D10" s="1132" t="inlineStr">
        <is>
          <t>6</t>
        </is>
      </c>
      <c r="E10" s="1353" t="inlineStr">
        <is>
          <t>CA09 dewatering remains separate. Recovery/remediation in this sheet defaults to zero to avoid double counting unless project-specific evidence justifies it.</t>
        </is>
      </c>
      <c r="F10" s="242" t="n"/>
      <c r="G10" s="242" t="n"/>
      <c r="H10" s="242" t="n"/>
      <c r="I10" s="1132" t="n"/>
      <c r="J10" s="1132" t="n"/>
      <c r="K10" s="1119" t="n"/>
      <c r="L10" s="1119" t="n"/>
      <c r="M10" s="1119" t="n"/>
      <c r="N10" s="1119" t="n"/>
    </row>
    <row r="11">
      <c r="A11" s="1132" t="inlineStr">
        <is>
          <t>Public holiday / entered shutdown adjusted base finish</t>
        </is>
      </c>
      <c r="B11" s="1485">
        <f>IF(OR(B7="",B8=""),"",WORKDAY(B7,B8-1,$F$55:$F$70))</f>
        <v/>
      </c>
      <c r="C11" s="1132" t="n"/>
      <c r="D11" s="1132" t="inlineStr">
        <is>
          <t>7</t>
        </is>
      </c>
      <c r="E11" s="1353" t="inlineStr">
        <is>
          <t>Wind proxy is excluded by default and remains AMBER unless a project-specific wind basis is verified.</t>
        </is>
      </c>
      <c r="F11" s="242" t="n"/>
      <c r="G11" s="242" t="n"/>
      <c r="H11" s="242" t="n"/>
      <c r="I11" s="1132" t="n"/>
      <c r="J11" s="1132" t="n"/>
      <c r="K11" s="1119" t="n"/>
      <c r="L11" s="1119" t="n"/>
      <c r="M11" s="1119" t="n"/>
      <c r="N11" s="1119" t="n"/>
    </row>
    <row r="12">
      <c r="A12" s="1132" t="inlineStr">
        <is>
          <t>Weather-exposed labour + plant cost</t>
        </is>
      </c>
      <c r="B12" s="1373">
        <f>SUM('Resource Build-Up'!$AN$7:$AN$306)</f>
        <v/>
      </c>
      <c r="C12" s="1132" t="n"/>
      <c r="D12" s="1132" t="inlineStr">
        <is>
          <t>8</t>
        </is>
      </c>
      <c r="E12" s="1353" t="inlineStr">
        <is>
          <t>Rerun the Weather Tool when start date, baseline duration, exposed cost mix, work calendar or critical path materially changes.</t>
        </is>
      </c>
      <c r="F12" s="242" t="n"/>
      <c r="G12" s="242" t="n"/>
      <c r="H12" s="242" t="n"/>
      <c r="I12" s="1132" t="n"/>
      <c r="J12" s="1132" t="n"/>
      <c r="K12" s="1119" t="n"/>
      <c r="L12" s="1119" t="n"/>
      <c r="M12" s="1119" t="n"/>
      <c r="N12" s="1119" t="n"/>
    </row>
    <row r="13">
      <c r="A13" s="1132" t="inlineStr">
        <is>
          <t>Daily time-related preliminaries</t>
        </is>
      </c>
      <c r="B13" s="1373">
        <f>0</f>
        <v/>
      </c>
      <c r="C13" s="1132" t="n"/>
      <c r="D13" s="1132" t="inlineStr">
        <is>
          <t>9</t>
        </is>
      </c>
      <c r="E13" s="1353" t="inlineStr">
        <is>
          <t>Entered statutory holidays/shutdowns affect calendar completion only; they are not weather delay.</t>
        </is>
      </c>
      <c r="F13" s="242" t="n"/>
      <c r="G13" s="242" t="n"/>
      <c r="H13" s="242" t="n"/>
      <c r="I13" s="1132" t="n"/>
      <c r="J13" s="1132" t="n"/>
      <c r="K13" s="1119" t="n"/>
      <c r="L13" s="1119" t="n"/>
      <c r="M13" s="1119" t="n"/>
      <c r="N13" s="1119" t="n"/>
    </row>
    <row r="14">
      <c r="A14" s="1132" t="inlineStr">
        <is>
          <t>Weekly billed hire / facilities</t>
        </is>
      </c>
      <c r="B14" s="1373">
        <f>0</f>
        <v/>
      </c>
      <c r="C14" s="1132" t="n"/>
      <c r="D14" s="1132" t="n"/>
      <c r="E14" s="1132" t="n"/>
      <c r="F14" s="1132" t="n"/>
      <c r="G14" s="1132" t="n"/>
      <c r="H14" s="1132" t="n"/>
      <c r="I14" s="1132" t="n"/>
      <c r="J14" s="1132" t="n"/>
      <c r="K14" s="1119" t="n"/>
      <c r="L14" s="1119" t="n"/>
      <c r="M14" s="1119" t="n"/>
      <c r="N14" s="1119" t="n"/>
    </row>
    <row r="15">
      <c r="A15" s="1132" t="inlineStr">
        <is>
          <t>Baseline billed weeks</t>
        </is>
      </c>
      <c r="B15" s="1483">
        <f>IF(OR(B8="",B9="",B9=0),0,ROUNDUP(B8/B9,0))</f>
        <v/>
      </c>
      <c r="C15" s="1132" t="n"/>
      <c r="D15" s="1321" t="inlineStr">
        <is>
          <t>Source / evidence</t>
        </is>
      </c>
      <c r="E15" s="1486" t="inlineStr">
        <is>
          <t>NIWA 1991-2020 climate normals via NZ_Weather_Risk_Estimating_Tool_Rev2; public holiday dates via Employment New Zealand.</t>
        </is>
      </c>
      <c r="F15" s="242" t="n"/>
      <c r="G15" s="242" t="n"/>
      <c r="H15" s="242" t="n"/>
      <c r="I15" s="1132" t="n"/>
      <c r="J15" s="1132" t="n"/>
      <c r="K15" s="1119" t="n"/>
      <c r="L15" s="1119" t="n"/>
      <c r="M15" s="1119" t="n"/>
      <c r="N15" s="1119" t="n"/>
    </row>
    <row r="16">
      <c r="A16" s="1132" t="inlineStr">
        <is>
          <t>Project-specific recovery / remediation allowance</t>
        </is>
      </c>
      <c r="B16" s="1487" t="n">
        <v>0</v>
      </c>
      <c r="C16" s="1132" t="n"/>
      <c r="D16" s="1132" t="inlineStr">
        <is>
          <t>Holiday source URL</t>
        </is>
      </c>
      <c r="E16" s="1353" t="inlineStr">
        <is>
          <t>https://www.employment.govt.nz/leave-and-holidays/public-holidays/public-holidays-and-anniversary-dates</t>
        </is>
      </c>
      <c r="F16" s="242" t="n"/>
      <c r="G16" s="242" t="n"/>
      <c r="H16" s="242" t="n"/>
      <c r="I16" s="1132" t="n"/>
      <c r="J16" s="1132" t="n"/>
      <c r="K16" s="1119" t="n"/>
      <c r="L16" s="1119" t="n"/>
      <c r="M16" s="1119" t="n"/>
      <c r="N16" s="1119" t="n"/>
    </row>
    <row r="17">
      <c r="A17" s="1132" t="n"/>
      <c r="B17" s="1132" t="n"/>
      <c r="C17" s="1132" t="n"/>
      <c r="D17" s="1132" t="n"/>
      <c r="E17" s="1132" t="n"/>
      <c r="F17" s="1132" t="n"/>
      <c r="G17" s="1132" t="n"/>
      <c r="H17" s="1132" t="n"/>
      <c r="I17" s="1132" t="n"/>
      <c r="J17" s="1132" t="n"/>
      <c r="K17" s="1119" t="n"/>
      <c r="L17" s="1119" t="n"/>
      <c r="M17" s="1119" t="n"/>
      <c r="N17" s="1119" t="n"/>
    </row>
    <row r="18">
      <c r="A18" s="1480" t="inlineStr">
        <is>
          <t>WEATHER RUN RECORD (from the approved weather tool, if a run has been made)</t>
        </is>
      </c>
      <c r="B18" s="242" t="n"/>
      <c r="C18" s="1132" t="n"/>
      <c r="D18" s="1480" t="inlineStr">
        <is>
          <t>WEATHER / TENDER RECONCILIATION</t>
        </is>
      </c>
      <c r="E18" s="242" t="n"/>
      <c r="F18" s="242" t="n"/>
      <c r="G18" s="242" t="n"/>
      <c r="H18" s="242" t="n"/>
      <c r="I18" s="1132" t="n"/>
      <c r="J18" s="1132" t="n"/>
      <c r="K18" s="1119" t="n"/>
      <c r="L18" s="1119" t="n"/>
      <c r="M18" s="1119" t="n"/>
      <c r="N18" s="1119" t="n"/>
    </row>
    <row r="19">
      <c r="A19" s="1132" t="inlineStr">
        <is>
          <t>Approved tool version</t>
        </is>
      </c>
      <c r="B19" s="1132" t="inlineStr">
        <is>
          <t>NZ_Weather_Risk_Estimating_Tool_Rev2.xlsx</t>
        </is>
      </c>
      <c r="C19" s="1132" t="n"/>
      <c r="D19" s="1132" t="inlineStr">
        <is>
          <t>Current exposed-cost difference vs tool run</t>
        </is>
      </c>
      <c r="E19" s="1379">
        <f>B12-B23</f>
        <v/>
      </c>
      <c r="F19" s="1132" t="n"/>
      <c r="G19" s="1132" t="n"/>
      <c r="H19" s="1132" t="n"/>
      <c r="I19" s="1132" t="n"/>
      <c r="J19" s="1132" t="n"/>
      <c r="K19" s="1119" t="n"/>
      <c r="L19" s="1119" t="n"/>
      <c r="M19" s="1119" t="n"/>
      <c r="N19" s="1119" t="n"/>
    </row>
    <row r="20">
      <c r="A20" s="1132" t="inlineStr">
        <is>
          <t>Tool run station</t>
        </is>
      </c>
      <c r="B20" s="1139" t="n"/>
      <c r="C20" s="1132" t="n"/>
      <c r="D20" s="1132" t="inlineStr">
        <is>
          <t>Current start vs tool run</t>
        </is>
      </c>
      <c r="E20" s="1379">
        <f>B7-B21</f>
        <v/>
      </c>
      <c r="F20" s="1132" t="n"/>
      <c r="G20" s="1132" t="n"/>
      <c r="H20" s="1132" t="n"/>
      <c r="I20" s="1132" t="n"/>
      <c r="J20" s="1132" t="n"/>
      <c r="K20" s="1119" t="n"/>
      <c r="L20" s="1119" t="n"/>
      <c r="M20" s="1119" t="n"/>
      <c r="N20" s="1119" t="n"/>
    </row>
    <row r="21">
      <c r="A21" s="1132" t="inlineStr">
        <is>
          <t>Tool run start date</t>
        </is>
      </c>
      <c r="B21" s="1482" t="n"/>
      <c r="C21" s="1132" t="n"/>
      <c r="D21" s="1132" t="inlineStr">
        <is>
          <t>Current baseline WD vs tool run</t>
        </is>
      </c>
      <c r="E21" s="1379">
        <f>B8-B22</f>
        <v/>
      </c>
      <c r="F21" s="1132" t="n"/>
      <c r="G21" s="1132" t="n"/>
      <c r="H21" s="1132" t="n"/>
      <c r="I21" s="1132" t="n"/>
      <c r="J21" s="1132" t="n"/>
      <c r="K21" s="1119" t="n"/>
      <c r="L21" s="1119" t="n"/>
      <c r="M21" s="1119" t="n"/>
      <c r="N21" s="1119" t="n"/>
    </row>
    <row r="22">
      <c r="A22" s="1132" t="inlineStr">
        <is>
          <t>Tool run baseline working days</t>
        </is>
      </c>
      <c r="B22" s="1139" t="n"/>
      <c r="C22" s="1132" t="n"/>
      <c r="D22" s="1132" t="inlineStr">
        <is>
          <t>Retained manual CA10 PC reference minus live Weather Engine output</t>
        </is>
      </c>
      <c r="E22" s="1379">
        <f>'Commercial Inputs'!$E$14-B40</f>
        <v/>
      </c>
      <c r="F22" s="1132" t="n"/>
      <c r="G22" s="1132" t="n"/>
      <c r="H22" s="1132" t="n"/>
      <c r="I22" s="1132" t="n"/>
      <c r="J22" s="1132" t="n"/>
      <c r="K22" s="1119" t="n"/>
      <c r="L22" s="1119" t="n"/>
      <c r="M22" s="1119" t="n"/>
      <c r="N22" s="1119" t="n"/>
    </row>
    <row r="23">
      <c r="A23" s="1132" t="inlineStr">
        <is>
          <t>Tool run exposed labour + plant cost</t>
        </is>
      </c>
      <c r="B23" s="1487" t="n"/>
      <c r="C23" s="1132" t="n"/>
      <c r="D23" s="1132" t="inlineStr">
        <is>
          <t>Selected wind status</t>
        </is>
      </c>
      <c r="E23" s="1132">
        <f>IF(B29="Yes","AMBER - included","AMBER - sensitivity only / excluded")</f>
        <v/>
      </c>
      <c r="F23" s="1132" t="n"/>
      <c r="G23" s="1132" t="n"/>
      <c r="H23" s="1132" t="n"/>
      <c r="I23" s="1132" t="n"/>
      <c r="J23" s="1132" t="n"/>
      <c r="K23" s="1119" t="n"/>
      <c r="L23" s="1119" t="n"/>
      <c r="M23" s="1119" t="n"/>
      <c r="N23" s="1119" t="n"/>
    </row>
    <row r="24">
      <c r="A24" s="1132" t="inlineStr">
        <is>
          <t>Rain / wet-ground direct productivity output</t>
        </is>
      </c>
      <c r="B24" s="1487" t="n"/>
      <c r="C24" s="1132" t="n"/>
      <c r="D24" s="1132" t="n"/>
      <c r="E24" s="1132" t="n"/>
      <c r="F24" s="1132" t="n"/>
      <c r="G24" s="1132" t="n"/>
      <c r="H24" s="1132" t="n"/>
      <c r="I24" s="1132" t="n"/>
      <c r="J24" s="1132" t="n"/>
      <c r="K24" s="1119" t="n"/>
      <c r="L24" s="1119" t="n"/>
      <c r="M24" s="1119" t="n"/>
      <c r="N24" s="1119" t="n"/>
    </row>
    <row r="25">
      <c r="A25" s="1132" t="inlineStr">
        <is>
          <t>Direct productivity impact rate</t>
        </is>
      </c>
      <c r="B25" s="1488" t="n"/>
      <c r="C25" s="1132" t="n"/>
      <c r="D25" s="1132" t="n"/>
      <c r="E25" s="1132" t="n"/>
      <c r="F25" s="1132" t="n"/>
      <c r="G25" s="1132" t="n"/>
      <c r="H25" s="1132" t="n"/>
      <c r="I25" s="1132" t="n"/>
      <c r="J25" s="1132" t="n"/>
      <c r="K25" s="1119" t="n"/>
      <c r="L25" s="1119" t="n"/>
      <c r="M25" s="1119" t="n"/>
      <c r="N25" s="1119" t="n"/>
    </row>
    <row r="26">
      <c r="A26" s="1132" t="inlineStr">
        <is>
          <t>Critical-path weather delay working days</t>
        </is>
      </c>
      <c r="B26" s="1489" t="n"/>
      <c r="C26" s="1132" t="n"/>
      <c r="D26" s="1132" t="n"/>
      <c r="E26" s="1132" t="n"/>
      <c r="F26" s="1132" t="n"/>
      <c r="G26" s="1132" t="n"/>
      <c r="H26" s="1132" t="n"/>
      <c r="I26" s="1132" t="n"/>
      <c r="J26" s="1132" t="n"/>
      <c r="K26" s="1119" t="n"/>
      <c r="L26" s="1119" t="n"/>
      <c r="M26" s="1119" t="n"/>
      <c r="N26" s="1119" t="n"/>
    </row>
    <row r="27">
      <c r="A27" s="1132" t="inlineStr">
        <is>
          <t>Additional billed hire weeks</t>
        </is>
      </c>
      <c r="B27" s="1489" t="n"/>
      <c r="C27" s="1132" t="n"/>
      <c r="D27" s="1132" t="n"/>
      <c r="E27" s="1132" t="n"/>
      <c r="F27" s="1132" t="n"/>
      <c r="G27" s="1132" t="n"/>
      <c r="H27" s="1132" t="n"/>
      <c r="I27" s="1132" t="n"/>
      <c r="J27" s="1132" t="n"/>
      <c r="K27" s="1119" t="n"/>
      <c r="L27" s="1119" t="n"/>
      <c r="M27" s="1119" t="n"/>
      <c r="N27" s="1119" t="n"/>
    </row>
    <row r="28">
      <c r="A28" s="1132" t="inlineStr">
        <is>
          <t>Wind proxy sensitivity - additional cost</t>
        </is>
      </c>
      <c r="B28" s="1487" t="n"/>
      <c r="C28" s="1132" t="n"/>
      <c r="D28" s="1132" t="n"/>
      <c r="E28" s="1132" t="n"/>
      <c r="F28" s="1132" t="n"/>
      <c r="G28" s="1132" t="n"/>
      <c r="H28" s="1132" t="n"/>
      <c r="I28" s="1132" t="n"/>
      <c r="J28" s="1132" t="n"/>
      <c r="K28" s="1119" t="n"/>
      <c r="L28" s="1119" t="n"/>
      <c r="M28" s="1119" t="n"/>
      <c r="N28" s="1119" t="n"/>
    </row>
    <row r="29">
      <c r="A29" s="1132" t="inlineStr">
        <is>
          <t>Include AMBER wind proxy?</t>
        </is>
      </c>
      <c r="B29" s="1139" t="inlineStr">
        <is>
          <t>No</t>
        </is>
      </c>
      <c r="C29" s="1132" t="n"/>
      <c r="D29" s="1132" t="n"/>
      <c r="E29" s="1132" t="n"/>
      <c r="F29" s="1132" t="n"/>
      <c r="G29" s="1132" t="n"/>
      <c r="H29" s="1132" t="n"/>
      <c r="I29" s="1132" t="n"/>
      <c r="J29" s="1132" t="n"/>
      <c r="K29" s="1119" t="n"/>
      <c r="L29" s="1119" t="n"/>
      <c r="M29" s="1119" t="n"/>
      <c r="N29" s="1119" t="n"/>
    </row>
    <row r="30" ht="64" customHeight="1" s="491">
      <c r="A30" s="1132" t="inlineStr">
        <is>
          <t>Tool output confidence</t>
        </is>
      </c>
      <c r="B30" s="1139" t="n"/>
      <c r="C30" s="1132" t="n"/>
      <c r="D30" s="1132" t="n"/>
      <c r="E30" s="1132" t="n"/>
      <c r="F30" s="1132" t="n"/>
      <c r="G30" s="1132" t="n"/>
      <c r="H30" s="1132" t="n"/>
      <c r="I30" s="1132" t="n"/>
      <c r="J30" s="1132" t="n"/>
      <c r="K30" s="1119" t="n"/>
      <c r="L30" s="1119" t="n"/>
      <c r="M30" s="1119" t="n"/>
      <c r="N30" s="1119" t="n"/>
    </row>
    <row r="31" ht="42" customHeight="1" s="491">
      <c r="A31" s="1132" t="inlineStr">
        <is>
          <t>Tool rerun status</t>
        </is>
      </c>
      <c r="B31" s="1250" t="n"/>
      <c r="C31" s="1132" t="n"/>
      <c r="D31" s="1132" t="n"/>
      <c r="E31" s="1132" t="n"/>
      <c r="F31" s="1132" t="n"/>
      <c r="G31" s="1132" t="n"/>
      <c r="H31" s="1132" t="n"/>
      <c r="I31" s="1132" t="n"/>
      <c r="J31" s="1132" t="n"/>
      <c r="K31" s="1119" t="n"/>
      <c r="L31" s="1119" t="n"/>
      <c r="M31" s="1119" t="n"/>
      <c r="N31" s="1119" t="n"/>
    </row>
    <row r="32">
      <c r="A32" s="1132" t="n"/>
      <c r="B32" s="1132" t="n"/>
      <c r="C32" s="1132" t="n"/>
      <c r="D32" s="1132" t="n"/>
      <c r="E32" s="1132" t="n"/>
      <c r="F32" s="1132" t="n"/>
      <c r="G32" s="1132" t="n"/>
      <c r="H32" s="1132" t="n"/>
      <c r="I32" s="1132" t="n"/>
      <c r="J32" s="1132" t="n"/>
      <c r="K32" s="1119" t="n"/>
      <c r="L32" s="1119" t="n"/>
      <c r="M32" s="1119" t="n"/>
      <c r="N32" s="1119" t="n"/>
    </row>
    <row r="33">
      <c r="A33" s="1480" t="inlineStr">
        <is>
          <t>LIVE WEATHER COST INTEGRATION</t>
        </is>
      </c>
      <c r="B33" s="242" t="n"/>
      <c r="C33" s="1132" t="n"/>
      <c r="D33" s="1132" t="n"/>
      <c r="E33" s="1132" t="n"/>
      <c r="F33" s="1132" t="n"/>
      <c r="G33" s="1132" t="n"/>
      <c r="H33" s="1132" t="n"/>
      <c r="I33" s="1132" t="n"/>
      <c r="J33" s="1132" t="n"/>
      <c r="K33" s="1119" t="n"/>
      <c r="L33" s="1119" t="n"/>
      <c r="M33" s="1119" t="n"/>
      <c r="N33" s="1119" t="n"/>
    </row>
    <row r="34">
      <c r="A34" s="1132" t="inlineStr">
        <is>
          <t>Direct productivity allowance - resource linked</t>
        </is>
      </c>
      <c r="B34" s="1373">
        <f>IFERROR(B24*(B12/B23),0)</f>
        <v/>
      </c>
      <c r="C34" s="1132" t="n"/>
      <c r="D34" s="1132" t="n"/>
      <c r="E34" s="1132" t="n"/>
      <c r="F34" s="1132" t="n"/>
      <c r="G34" s="1132" t="n"/>
      <c r="H34" s="1132" t="n"/>
      <c r="I34" s="1132" t="n"/>
      <c r="J34" s="1132" t="n"/>
      <c r="K34" s="1119" t="n"/>
      <c r="L34" s="1119" t="n"/>
      <c r="M34" s="1119" t="n"/>
      <c r="N34" s="1119" t="n"/>
    </row>
    <row r="35">
      <c r="A35" s="1132" t="inlineStr">
        <is>
          <t>Critical-path time-related preliminaries</t>
        </is>
      </c>
      <c r="B35" s="1373">
        <f>B26*B13</f>
        <v/>
      </c>
      <c r="C35" s="1132" t="n"/>
      <c r="D35" s="1132" t="n"/>
      <c r="E35" s="1132" t="n"/>
      <c r="F35" s="1132" t="n"/>
      <c r="G35" s="1132" t="n"/>
      <c r="H35" s="1132" t="n"/>
      <c r="I35" s="1132" t="n"/>
      <c r="J35" s="1132" t="n"/>
      <c r="K35" s="1119" t="n"/>
      <c r="L35" s="1119" t="n"/>
      <c r="M35" s="1119" t="n"/>
      <c r="N35" s="1119" t="n"/>
    </row>
    <row r="36">
      <c r="A36" s="1132" t="inlineStr">
        <is>
          <t>Additional billed hire / facilities</t>
        </is>
      </c>
      <c r="B36" s="1373">
        <f>B27*B14</f>
        <v/>
      </c>
      <c r="C36" s="1132" t="n"/>
      <c r="D36" s="1132" t="n"/>
      <c r="E36" s="1132" t="n"/>
      <c r="F36" s="1132" t="n"/>
      <c r="G36" s="1132" t="n"/>
      <c r="H36" s="1132" t="n"/>
      <c r="I36" s="1132" t="n"/>
      <c r="J36" s="1132" t="n"/>
      <c r="K36" s="1119" t="n"/>
      <c r="L36" s="1119" t="n"/>
      <c r="M36" s="1119" t="n"/>
      <c r="N36" s="1119" t="n"/>
    </row>
    <row r="37">
      <c r="A37" s="1132" t="inlineStr">
        <is>
          <t>Project recovery / remediation</t>
        </is>
      </c>
      <c r="B37" s="1373">
        <f>B16</f>
        <v/>
      </c>
      <c r="C37" s="1132" t="n"/>
      <c r="D37" s="1132" t="n"/>
      <c r="E37" s="1132" t="n"/>
      <c r="F37" s="1132" t="n"/>
      <c r="G37" s="1132" t="n"/>
      <c r="H37" s="1132" t="n"/>
      <c r="I37" s="1132" t="n"/>
      <c r="J37" s="1132" t="n"/>
      <c r="K37" s="1119" t="n"/>
      <c r="L37" s="1119" t="n"/>
      <c r="M37" s="1119" t="n"/>
      <c r="N37" s="1119" t="n"/>
    </row>
    <row r="38">
      <c r="A38" s="1132" t="inlineStr">
        <is>
          <t>Rain + wet-ground allowance</t>
        </is>
      </c>
      <c r="B38" s="1373">
        <f>SUM(B34:B37)</f>
        <v/>
      </c>
      <c r="C38" s="1132" t="n"/>
      <c r="D38" s="1132" t="n"/>
      <c r="E38" s="1132" t="n"/>
      <c r="F38" s="1132" t="n"/>
      <c r="G38" s="1132" t="n"/>
      <c r="H38" s="1132" t="n"/>
      <c r="I38" s="1132" t="n"/>
      <c r="J38" s="1132" t="n"/>
      <c r="K38" s="1119" t="n"/>
      <c r="L38" s="1119" t="n"/>
      <c r="M38" s="1119" t="n"/>
      <c r="N38" s="1119" t="n"/>
    </row>
    <row r="39">
      <c r="A39" s="1132" t="inlineStr">
        <is>
          <t>AMBER wind proxy sensitivity</t>
        </is>
      </c>
      <c r="B39" s="1373">
        <f>B28</f>
        <v/>
      </c>
      <c r="C39" s="1132" t="n"/>
      <c r="D39" s="1132" t="n"/>
      <c r="E39" s="1132" t="n"/>
      <c r="F39" s="1132" t="n"/>
      <c r="G39" s="1132" t="n"/>
      <c r="H39" s="1132" t="n"/>
      <c r="I39" s="1132" t="n"/>
      <c r="J39" s="1132" t="n"/>
      <c r="K39" s="1119" t="n"/>
      <c r="L39" s="1119" t="n"/>
      <c r="M39" s="1119" t="n"/>
      <c r="N39" s="1119" t="n"/>
    </row>
    <row r="40">
      <c r="A40" s="1250" t="inlineStr">
        <is>
          <t>WEATHER ENGINE OUTPUT -&gt; Commercial Inputs CA10 Engine Amount (audit only)</t>
        </is>
      </c>
      <c r="B40" s="1490">
        <f>B38+IF(B29="Yes",B39,0)</f>
        <v/>
      </c>
      <c r="C40" s="1132" t="n"/>
      <c r="D40" s="1132" t="n"/>
      <c r="E40" s="1132" t="n"/>
      <c r="F40" s="1132" t="n"/>
      <c r="G40" s="1132" t="n"/>
      <c r="H40" s="1132" t="n"/>
      <c r="I40" s="1132" t="n"/>
      <c r="J40" s="1132" t="n"/>
      <c r="K40" s="1119" t="n"/>
      <c r="L40" s="1119" t="n"/>
      <c r="M40" s="1119" t="n"/>
      <c r="N40" s="1119" t="n"/>
    </row>
    <row r="41">
      <c r="A41" s="1132" t="inlineStr">
        <is>
          <t>Weather Engine audit output as % of base direct cost</t>
        </is>
      </c>
      <c r="B41" s="1488">
        <f>IFERROR(B40/'Tender Build-Up'!$B$20,0)</f>
        <v/>
      </c>
      <c r="C41" s="1132" t="n"/>
      <c r="D41" s="1132" t="n"/>
      <c r="E41" s="1132" t="n"/>
      <c r="F41" s="1132" t="n"/>
      <c r="G41" s="1132" t="n"/>
      <c r="H41" s="1132" t="n"/>
      <c r="I41" s="1132" t="n"/>
      <c r="J41" s="1132" t="n"/>
      <c r="K41" s="1119" t="n"/>
      <c r="L41" s="1119" t="n"/>
      <c r="M41" s="1119" t="n"/>
      <c r="N41" s="1119" t="n"/>
    </row>
    <row r="42" ht="30" customHeight="1" s="491">
      <c r="A42" s="1132" t="inlineStr">
        <is>
          <t>Independent time-related P&amp;G benchmark - daily</t>
        </is>
      </c>
      <c r="B42" s="1373" t="n"/>
      <c r="C42" s="1132" t="n"/>
      <c r="D42" s="1132" t="inlineStr">
        <is>
          <t>Benchmark source</t>
        </is>
      </c>
      <c r="E42" s="1132" t="n"/>
      <c r="F42" s="1132" t="n"/>
      <c r="G42" s="1132" t="n"/>
      <c r="H42" s="1132" t="n"/>
      <c r="I42" s="1132" t="n"/>
      <c r="J42" s="1132" t="n"/>
      <c r="K42" s="1119" t="n"/>
      <c r="L42" s="1119" t="n"/>
      <c r="M42" s="1119" t="n"/>
      <c r="N42" s="1119" t="n"/>
    </row>
    <row r="43" ht="36" customHeight="1" s="491">
      <c r="A43" s="1132" t="inlineStr">
        <is>
          <t>Weather delay cost at benchmark daily P&amp;G</t>
        </is>
      </c>
      <c r="B43" s="1373" t="n"/>
      <c r="C43" s="1132" t="n"/>
      <c r="D43" s="1132" t="inlineStr">
        <is>
          <t>Benchmark status</t>
        </is>
      </c>
      <c r="E43" s="1132" t="n"/>
      <c r="F43" s="1132" t="n"/>
      <c r="G43" s="1132" t="n"/>
      <c r="H43" s="1132" t="n"/>
      <c r="I43" s="1132" t="n"/>
      <c r="J43" s="1132" t="n"/>
      <c r="K43" s="1119" t="n"/>
      <c r="L43" s="1119" t="n"/>
      <c r="M43" s="1119" t="n"/>
      <c r="N43" s="1119" t="n"/>
    </row>
    <row r="44" ht="44" customHeight="1" s="491">
      <c r="A44" s="1132" t="inlineStr">
        <is>
          <t>Direct rain/wet productivity + independent benchmark</t>
        </is>
      </c>
      <c r="B44" s="1373" t="n"/>
      <c r="C44" s="1132" t="n"/>
      <c r="D44" s="1132" t="inlineStr">
        <is>
          <t>Tender decision</t>
        </is>
      </c>
      <c r="E44" s="1132" t="n"/>
      <c r="F44" s="1132" t="n"/>
      <c r="G44" s="1132" t="n"/>
      <c r="H44" s="1132" t="n"/>
      <c r="I44" s="1132" t="n"/>
      <c r="J44" s="1132" t="n"/>
      <c r="K44" s="1119" t="n"/>
      <c r="L44" s="1119" t="n"/>
      <c r="M44" s="1119" t="n"/>
      <c r="N44" s="1119" t="n"/>
    </row>
    <row r="45" ht="36" customHeight="1" s="491">
      <c r="A45" s="1132" t="inlineStr">
        <is>
          <t>Live CA10 Weather Engine difference vs benchmark</t>
        </is>
      </c>
      <c r="B45" s="1373" t="n"/>
      <c r="C45" s="1132" t="n"/>
      <c r="D45" s="1132" t="inlineStr">
        <is>
          <t>Rerun trigger</t>
        </is>
      </c>
      <c r="E45" s="1132" t="n"/>
      <c r="F45" s="1132" t="n"/>
      <c r="G45" s="1132" t="n"/>
      <c r="H45" s="1132" t="n"/>
      <c r="I45" s="1132" t="n"/>
      <c r="J45" s="1132" t="n"/>
      <c r="K45" s="1119" t="n"/>
      <c r="L45" s="1119" t="n"/>
      <c r="M45" s="1119" t="n"/>
      <c r="N45" s="1119" t="n"/>
    </row>
    <row r="46">
      <c r="A46" s="1132" t="inlineStr">
        <is>
          <t>Tender delta vs previous approved</t>
        </is>
      </c>
      <c r="B46" s="1373">
        <f>B45-B44</f>
        <v/>
      </c>
      <c r="C46" s="1132" t="n"/>
      <c r="D46" s="1132" t="n"/>
      <c r="E46" s="1132" t="n"/>
      <c r="F46" s="1132" t="n"/>
      <c r="G46" s="1132" t="n"/>
      <c r="H46" s="1132" t="n"/>
      <c r="I46" s="1132" t="n"/>
      <c r="J46" s="1132" t="n"/>
      <c r="K46" s="1119" t="n"/>
      <c r="L46" s="1119" t="n"/>
      <c r="M46" s="1119" t="n"/>
      <c r="N46" s="1119" t="n"/>
    </row>
    <row r="47">
      <c r="A47" s="1132" t="inlineStr">
        <is>
          <t>Weather-adjusted completion incl. entered non-working dates</t>
        </is>
      </c>
      <c r="B47" s="1485">
        <f>IF(OR(B11="",B26=""),"",WORKDAY(B11,ROUNDUP(B26,0),$F$55:$F$70))</f>
        <v/>
      </c>
      <c r="C47" s="1132" t="n"/>
      <c r="D47" s="1132" t="n"/>
      <c r="E47" s="1132" t="n"/>
      <c r="F47" s="1132" t="n"/>
      <c r="G47" s="1132" t="n"/>
      <c r="H47" s="1132" t="n"/>
      <c r="I47" s="1132" t="n"/>
      <c r="J47" s="1132" t="n"/>
      <c r="K47" s="1119" t="n"/>
      <c r="L47" s="1119" t="n"/>
      <c r="M47" s="1119" t="n"/>
      <c r="N47" s="1119" t="n"/>
    </row>
    <row r="48">
      <c r="A48" s="1132" t="inlineStr">
        <is>
          <t>Elapsed calendar days from assumed start</t>
        </is>
      </c>
      <c r="B48" s="1483">
        <f>IF(OR(B47="",B7=""),"",B47-B7+1)</f>
        <v/>
      </c>
      <c r="C48" s="1132" t="n"/>
      <c r="D48" s="1132" t="n"/>
      <c r="E48" s="1132" t="n"/>
      <c r="F48" s="1132" t="n"/>
      <c r="G48" s="1132" t="n"/>
      <c r="H48" s="1132" t="n"/>
      <c r="I48" s="1132" t="n"/>
      <c r="J48" s="1132" t="n"/>
      <c r="K48" s="1119" t="n"/>
      <c r="L48" s="1119" t="n"/>
      <c r="M48" s="1119" t="n"/>
      <c r="N48" s="1119" t="n"/>
    </row>
    <row r="49">
      <c r="A49" s="1132" t="n"/>
      <c r="B49" s="1132" t="n"/>
      <c r="C49" s="1132" t="n"/>
      <c r="D49" s="1132" t="n"/>
      <c r="E49" s="1132" t="n"/>
      <c r="F49" s="1132" t="n"/>
      <c r="G49" s="1132" t="n"/>
      <c r="H49" s="1132" t="n"/>
      <c r="I49" s="1132" t="n"/>
      <c r="J49" s="1132" t="n"/>
      <c r="K49" s="1119" t="n"/>
      <c r="L49" s="1119" t="n"/>
      <c r="M49" s="1119" t="n"/>
      <c r="N49" s="1119" t="n"/>
    </row>
    <row r="50">
      <c r="A50" s="1132" t="inlineStr">
        <is>
          <t>TENDER WEATHER INPUT PACKAGE</t>
        </is>
      </c>
      <c r="B50" s="1132" t="n"/>
      <c r="C50" s="1132" t="n"/>
      <c r="D50" s="1132" t="n"/>
      <c r="E50" s="1132" t="n"/>
      <c r="F50" s="1132" t="n"/>
      <c r="G50" s="1132" t="n"/>
      <c r="H50" s="1132" t="n"/>
      <c r="I50" s="1132" t="n"/>
      <c r="J50" s="1132" t="n"/>
      <c r="K50" s="1119" t="n"/>
      <c r="L50" s="1119" t="n"/>
      <c r="M50" s="1119" t="n"/>
      <c r="N50" s="1119" t="n"/>
    </row>
    <row r="51">
      <c r="A51" s="1132" t="inlineStr">
        <is>
          <t>Programme controlling path</t>
        </is>
      </c>
      <c r="B51" s="1132" t="n"/>
      <c r="C51" s="1132" t="n"/>
      <c r="D51" s="1132" t="n"/>
      <c r="E51" s="1132" t="n"/>
      <c r="F51" s="1132" t="n"/>
      <c r="G51" s="1132" t="n"/>
      <c r="H51" s="1132" t="n"/>
      <c r="I51" s="1132" t="n"/>
      <c r="J51" s="1132" t="n"/>
      <c r="K51" s="1119" t="n"/>
      <c r="L51" s="1119" t="n"/>
      <c r="M51" s="1119" t="n"/>
      <c r="N51" s="1119" t="n"/>
    </row>
    <row r="52">
      <c r="A52" s="1132" t="inlineStr">
        <is>
          <t>Derived critical-path working days</t>
        </is>
      </c>
      <c r="B52" s="1132" t="n"/>
      <c r="C52" s="1132" t="n"/>
      <c r="D52" s="1132" t="n"/>
      <c r="E52" s="1132" t="n"/>
      <c r="F52" s="1132" t="n"/>
      <c r="G52" s="1132" t="n"/>
      <c r="H52" s="1132" t="n"/>
      <c r="I52" s="1132" t="n"/>
      <c r="J52" s="1132" t="n"/>
      <c r="K52" s="1119" t="n"/>
      <c r="L52" s="1119" t="n"/>
      <c r="M52" s="1119" t="n"/>
      <c r="N52" s="1119" t="n"/>
    </row>
    <row r="53">
      <c r="A53" s="1132" t="inlineStr">
        <is>
          <t>Tender baseline working days</t>
        </is>
      </c>
      <c r="B53" s="1132" t="n"/>
      <c r="C53" s="1132" t="n"/>
      <c r="D53" s="1132" t="n"/>
      <c r="E53" s="1132" t="n"/>
      <c r="F53" s="1480" t="inlineStr">
        <is>
          <t>NON-WORKING DATE REGISTER - affects calendar span, not weather probability</t>
        </is>
      </c>
      <c r="G53" s="242" t="n"/>
      <c r="H53" s="242" t="n"/>
      <c r="I53" s="1132" t="n"/>
      <c r="J53" s="1315" t="inlineStr">
        <is>
          <t>Weather Task Type - approved tool library</t>
        </is>
      </c>
      <c r="K53" s="1119" t="n"/>
      <c r="L53" s="1119" t="n"/>
      <c r="M53" s="1119" t="n"/>
      <c r="N53" s="1119" t="n"/>
    </row>
    <row r="54">
      <c r="A54" s="1132" t="inlineStr">
        <is>
          <t>Weather-sensitive critical-path scope</t>
        </is>
      </c>
      <c r="B54" s="1132" t="n"/>
      <c r="C54" s="1132" t="n"/>
      <c r="D54" s="1132" t="n"/>
      <c r="E54" s="1132" t="n"/>
      <c r="F54" s="1135" t="inlineStr">
        <is>
          <t>Non-working date</t>
        </is>
      </c>
      <c r="G54" s="1135" t="inlineStr">
        <is>
          <t>Type / reason</t>
        </is>
      </c>
      <c r="H54" s="1135" t="inlineStr">
        <is>
          <t>Evidence / note</t>
        </is>
      </c>
      <c r="I54" s="1132" t="n"/>
      <c r="J54" s="1321" t="inlineStr">
        <is>
          <t>Erosion &amp; sediment controls</t>
        </is>
      </c>
      <c r="K54" s="1119" t="n"/>
      <c r="L54" s="1119" t="n"/>
      <c r="M54" s="1119" t="n"/>
      <c r="N54" s="1119" t="n"/>
    </row>
    <row r="55">
      <c r="A55" s="1132" t="inlineStr">
        <is>
          <t>Tender-season assumed start / finish</t>
        </is>
      </c>
      <c r="B55" s="1132" t="n"/>
      <c r="C55" s="1132" t="n"/>
      <c r="D55" s="1132" t="n"/>
      <c r="E55" s="1132" t="n"/>
      <c r="F55" s="1485" t="n"/>
      <c r="G55" s="1132" t="inlineStr">
        <is>
          <t>Project non-working date / shutdown - enter if applicable</t>
        </is>
      </c>
      <c r="H55" s="1132" t="inlineStr">
        <is>
          <t>Estimator / contract calendar evidence</t>
        </is>
      </c>
      <c r="I55" s="1132" t="n"/>
      <c r="J55" s="1321" t="inlineStr">
        <is>
          <t>Bulk earthworks</t>
        </is>
      </c>
      <c r="K55" s="1119" t="n"/>
      <c r="L55" s="1119" t="n"/>
      <c r="M55" s="1119" t="n"/>
      <c r="N55" s="1119" t="n"/>
    </row>
    <row r="56">
      <c r="A56" s="1132" t="inlineStr">
        <is>
          <t>Elapsed calendar span</t>
        </is>
      </c>
      <c r="B56" s="1132" t="n"/>
      <c r="C56" s="1132" t="n"/>
      <c r="D56" s="1132" t="n"/>
      <c r="E56" s="1132" t="n"/>
      <c r="F56" s="1485" t="n"/>
      <c r="G56" s="1132" t="n"/>
      <c r="H56" s="1132" t="n"/>
      <c r="I56" s="1132" t="n"/>
      <c r="J56" s="1321" t="inlineStr">
        <is>
          <t>Detailed earthworks / trim subgrade</t>
        </is>
      </c>
      <c r="K56" s="1119" t="n"/>
      <c r="L56" s="1119" t="n"/>
      <c r="M56" s="1119" t="n"/>
      <c r="N56" s="1119" t="n"/>
    </row>
    <row r="57">
      <c r="A57" s="1132" t="inlineStr">
        <is>
          <t>Holiday treatment</t>
        </is>
      </c>
      <c r="B57" s="1132" t="n"/>
      <c r="C57" s="1132" t="n"/>
      <c r="D57" s="1132" t="n"/>
      <c r="E57" s="1132" t="n"/>
      <c r="F57" s="1485" t="n"/>
      <c r="G57" s="1132" t="n"/>
      <c r="H57" s="1132" t="n"/>
      <c r="I57" s="1132" t="n"/>
      <c r="J57" s="1321" t="inlineStr">
        <is>
          <t>Cut to fill / cartage</t>
        </is>
      </c>
      <c r="K57" s="1119" t="n"/>
      <c r="L57" s="1119" t="n"/>
      <c r="M57" s="1119" t="n"/>
      <c r="N57" s="1119" t="n"/>
    </row>
    <row r="58">
      <c r="A58" s="1132" t="n"/>
      <c r="B58" s="1132" t="n"/>
      <c r="C58" s="1132" t="n"/>
      <c r="D58" s="1132" t="n"/>
      <c r="E58" s="1132" t="n"/>
      <c r="F58" s="1485" t="n"/>
      <c r="G58" s="1132" t="n"/>
      <c r="H58" s="1132" t="n"/>
      <c r="I58" s="1132" t="n"/>
      <c r="J58" s="1321" t="inlineStr">
        <is>
          <t>Building platform / pad prep</t>
        </is>
      </c>
      <c r="K58" s="1119" t="n"/>
      <c r="L58" s="1119" t="n"/>
      <c r="M58" s="1119" t="n"/>
      <c r="N58" s="1119" t="n"/>
    </row>
    <row r="59">
      <c r="A59" s="1132" t="n"/>
      <c r="B59" s="1132" t="n"/>
      <c r="C59" s="1132" t="n"/>
      <c r="D59" s="1132" t="n"/>
      <c r="E59" s="1132" t="n"/>
      <c r="F59" s="1485" t="n"/>
      <c r="G59" s="1132" t="n"/>
      <c r="H59" s="1132" t="n"/>
      <c r="I59" s="1132" t="n"/>
      <c r="J59" s="1321" t="inlineStr">
        <is>
          <t>Drainage trenching</t>
        </is>
      </c>
      <c r="K59" s="1119" t="n"/>
      <c r="L59" s="1119" t="n"/>
      <c r="M59" s="1119" t="n"/>
      <c r="N59" s="1119" t="n"/>
    </row>
    <row r="60">
      <c r="A60" s="1132" t="n"/>
      <c r="B60" s="1132" t="n"/>
      <c r="C60" s="1132" t="n"/>
      <c r="D60" s="1132" t="n"/>
      <c r="E60" s="1132" t="n"/>
      <c r="F60" s="1485" t="n"/>
      <c r="G60" s="1132" t="n"/>
      <c r="H60" s="1132" t="n"/>
      <c r="I60" s="1132" t="n"/>
      <c r="J60" s="1321" t="inlineStr">
        <is>
          <t>Manholes / chambers</t>
        </is>
      </c>
      <c r="K60" s="1119" t="n"/>
      <c r="L60" s="1119" t="n"/>
      <c r="M60" s="1119" t="n"/>
      <c r="N60" s="1119" t="n"/>
    </row>
    <row r="61">
      <c r="A61" s="1132" t="n"/>
      <c r="B61" s="1132" t="n"/>
      <c r="C61" s="1132" t="n"/>
      <c r="D61" s="1132" t="n"/>
      <c r="E61" s="1132" t="n"/>
      <c r="F61" s="1485" t="n"/>
      <c r="G61" s="1132" t="n"/>
      <c r="H61" s="1132" t="n"/>
      <c r="I61" s="1132" t="n"/>
      <c r="J61" s="1321" t="inlineStr">
        <is>
          <t>Service trenches / ducting</t>
        </is>
      </c>
      <c r="K61" s="1119" t="n"/>
      <c r="L61" s="1119" t="n"/>
      <c r="M61" s="1119" t="n"/>
      <c r="N61" s="1119" t="n"/>
    </row>
    <row r="62">
      <c r="A62" s="1132" t="n"/>
      <c r="B62" s="1132" t="n"/>
      <c r="C62" s="1132" t="n"/>
      <c r="D62" s="1132" t="n"/>
      <c r="E62" s="1132" t="n"/>
      <c r="F62" s="1482" t="n"/>
      <c r="G62" s="1139" t="n"/>
      <c r="H62" s="1139" t="n"/>
      <c r="I62" s="1132" t="n"/>
      <c r="J62" s="1321" t="inlineStr">
        <is>
          <t>Retaining wall excavation</t>
        </is>
      </c>
      <c r="K62" s="1119" t="n"/>
      <c r="L62" s="1119" t="n"/>
      <c r="M62" s="1119" t="n"/>
      <c r="N62" s="1119" t="n"/>
    </row>
    <row r="63">
      <c r="A63" s="1132" t="n"/>
      <c r="B63" s="1132" t="n"/>
      <c r="C63" s="1132" t="n"/>
      <c r="D63" s="1132" t="n"/>
      <c r="E63" s="1132" t="n"/>
      <c r="F63" s="1482" t="n"/>
      <c r="G63" s="1139" t="n"/>
      <c r="H63" s="1139" t="n"/>
      <c r="I63" s="1132" t="n"/>
      <c r="J63" s="1321" t="inlineStr">
        <is>
          <t>Retaining wall installation</t>
        </is>
      </c>
      <c r="K63" s="1119" t="n"/>
      <c r="L63" s="1119" t="n"/>
      <c r="M63" s="1119" t="n"/>
      <c r="N63" s="1119" t="n"/>
    </row>
    <row r="64">
      <c r="A64" s="1132" t="n"/>
      <c r="B64" s="1132" t="n"/>
      <c r="C64" s="1132" t="n"/>
      <c r="D64" s="1132" t="n"/>
      <c r="E64" s="1132" t="n"/>
      <c r="F64" s="1482" t="n"/>
      <c r="G64" s="1139" t="n"/>
      <c r="H64" s="1139" t="n"/>
      <c r="I64" s="1132" t="n"/>
      <c r="J64" s="1321" t="inlineStr">
        <is>
          <t>External concrete placing</t>
        </is>
      </c>
      <c r="K64" s="1119" t="n"/>
      <c r="L64" s="1119" t="n"/>
      <c r="M64" s="1119" t="n"/>
      <c r="N64" s="1119" t="n"/>
    </row>
    <row r="65">
      <c r="A65" s="1132" t="n"/>
      <c r="B65" s="1132" t="n"/>
      <c r="C65" s="1132" t="n"/>
      <c r="D65" s="1132" t="n"/>
      <c r="E65" s="1132" t="n"/>
      <c r="F65" s="1482" t="n"/>
      <c r="G65" s="1139" t="n"/>
      <c r="H65" s="1139" t="n"/>
      <c r="I65" s="1132" t="n"/>
      <c r="J65" s="1321" t="inlineStr">
        <is>
          <t>External concrete finishing</t>
        </is>
      </c>
      <c r="K65" s="1119" t="n"/>
      <c r="L65" s="1119" t="n"/>
      <c r="M65" s="1119" t="n"/>
      <c r="N65" s="1119" t="n"/>
    </row>
    <row r="66">
      <c r="A66" s="1132" t="n"/>
      <c r="B66" s="1132" t="n"/>
      <c r="C66" s="1132" t="n"/>
      <c r="D66" s="1132" t="n"/>
      <c r="E66" s="1132" t="n"/>
      <c r="F66" s="1482" t="n"/>
      <c r="G66" s="1139" t="n"/>
      <c r="H66" s="1139" t="n"/>
      <c r="I66" s="1132" t="n"/>
      <c r="J66" s="1321" t="inlineStr">
        <is>
          <t>Kerb &amp; channel</t>
        </is>
      </c>
      <c r="K66" s="1119" t="n"/>
      <c r="L66" s="1119" t="n"/>
      <c r="M66" s="1119" t="n"/>
      <c r="N66" s="1119" t="n"/>
    </row>
    <row r="67">
      <c r="A67" s="1132" t="n"/>
      <c r="B67" s="1132" t="n"/>
      <c r="C67" s="1132" t="n"/>
      <c r="D67" s="1132" t="n"/>
      <c r="E67" s="1132" t="n"/>
      <c r="F67" s="1482" t="n"/>
      <c r="G67" s="1139" t="n"/>
      <c r="H67" s="1139" t="n"/>
      <c r="I67" s="1132" t="n"/>
      <c r="J67" s="1321" t="inlineStr">
        <is>
          <t>Subbase / pavement prep</t>
        </is>
      </c>
      <c r="K67" s="1119" t="n"/>
      <c r="L67" s="1119" t="n"/>
      <c r="M67" s="1119" t="n"/>
      <c r="N67" s="1119" t="n"/>
    </row>
    <row r="68">
      <c r="A68" s="1132" t="n"/>
      <c r="B68" s="1132" t="n"/>
      <c r="C68" s="1132" t="n"/>
      <c r="D68" s="1132" t="n"/>
      <c r="E68" s="1132" t="n"/>
      <c r="F68" s="1482" t="n"/>
      <c r="G68" s="1139" t="n"/>
      <c r="H68" s="1139" t="n"/>
      <c r="I68" s="1132" t="n"/>
      <c r="J68" s="1321" t="inlineStr">
        <is>
          <t>Asphalt / sealing</t>
        </is>
      </c>
      <c r="K68" s="1119" t="n"/>
      <c r="L68" s="1119" t="n"/>
      <c r="M68" s="1119" t="n"/>
      <c r="N68" s="1119" t="n"/>
    </row>
    <row r="69">
      <c r="A69" s="1132" t="n"/>
      <c r="B69" s="1132" t="n"/>
      <c r="C69" s="1132" t="n"/>
      <c r="D69" s="1132" t="n"/>
      <c r="E69" s="1132" t="n"/>
      <c r="F69" s="1482" t="n"/>
      <c r="G69" s="1139" t="n"/>
      <c r="H69" s="1139" t="n"/>
      <c r="I69" s="1132" t="n"/>
      <c r="J69" s="1321" t="inlineStr">
        <is>
          <t>Landscaping / topsoil / grassing</t>
        </is>
      </c>
      <c r="K69" s="1119" t="n"/>
      <c r="L69" s="1119" t="n"/>
      <c r="M69" s="1119" t="n"/>
      <c r="N69" s="1119" t="n"/>
    </row>
    <row r="70">
      <c r="A70" s="1132" t="n"/>
      <c r="B70" s="1132" t="n"/>
      <c r="C70" s="1132" t="n"/>
      <c r="D70" s="1132" t="n"/>
      <c r="E70" s="1132" t="n"/>
      <c r="F70" s="1482" t="n"/>
      <c r="G70" s="1139" t="n"/>
      <c r="H70" s="1139" t="n"/>
      <c r="I70" s="1132" t="n"/>
      <c r="J70" s="1321" t="inlineStr">
        <is>
          <t>Site establishment / temp fencing</t>
        </is>
      </c>
      <c r="K70" s="1119" t="n"/>
      <c r="L70" s="1119" t="n"/>
      <c r="M70" s="1119" t="n"/>
      <c r="N70" s="1119" t="n"/>
    </row>
    <row r="71">
      <c r="A71" s="1132" t="n"/>
      <c r="B71" s="1132" t="n"/>
      <c r="C71" s="1132" t="n"/>
      <c r="D71" s="1132" t="n"/>
      <c r="E71" s="1132" t="n"/>
      <c r="F71" s="1132" t="n"/>
      <c r="G71" s="1132" t="n"/>
      <c r="H71" s="1132" t="n"/>
      <c r="I71" s="1132" t="n"/>
      <c r="J71" s="1321" t="inlineStr">
        <is>
          <t>External painting / coatings</t>
        </is>
      </c>
      <c r="K71" s="1119" t="n"/>
      <c r="L71" s="1119" t="n"/>
      <c r="M71" s="1119" t="n"/>
      <c r="N71" s="1119" t="n"/>
    </row>
    <row r="72">
      <c r="A72" s="1132" t="n"/>
      <c r="B72" s="1132" t="n"/>
      <c r="C72" s="1132" t="n"/>
      <c r="D72" s="1132" t="n"/>
      <c r="E72" s="1132" t="n"/>
      <c r="F72" s="1132" t="n"/>
      <c r="G72" s="1132" t="n"/>
      <c r="H72" s="1132" t="n"/>
      <c r="I72" s="1132" t="n"/>
      <c r="J72" s="1132" t="n"/>
      <c r="K72" s="1119" t="n"/>
      <c r="L72" s="1119" t="n"/>
      <c r="M72" s="1119" t="n"/>
      <c r="N72" s="1119" t="n"/>
    </row>
    <row r="73">
      <c r="A73" s="1140" t="inlineStr">
        <is>
          <t>QS Code</t>
        </is>
      </c>
      <c r="B73" s="1140" t="inlineStr">
        <is>
          <t>Weather task type</t>
        </is>
      </c>
      <c r="C73" s="1140" t="inlineStr">
        <is>
          <t>Start</t>
        </is>
      </c>
      <c r="D73" s="1140" t="inlineStr">
        <is>
          <t>Finish</t>
        </is>
      </c>
      <c r="E73" s="1140" t="inlineStr">
        <is>
          <t>Critical path?</t>
        </is>
      </c>
      <c r="F73" s="1140" t="inlineStr">
        <is>
          <t>Workdays</t>
        </is>
      </c>
      <c r="G73" s="1140" t="inlineStr">
        <is>
          <t>Exposed labour $</t>
        </is>
      </c>
      <c r="H73" s="1140" t="inlineStr">
        <is>
          <t>Exposed plant $</t>
        </is>
      </c>
      <c r="I73" s="1140" t="inlineStr">
        <is>
          <t>Avg wet probability</t>
        </is>
      </c>
      <c r="J73" s="1140" t="inlineStr">
        <is>
          <t>Rain/wet impact</t>
        </is>
      </c>
      <c r="K73" s="1140" t="inlineStr">
        <is>
          <t>Rain direct $</t>
        </is>
      </c>
      <c r="L73" s="1140" t="inlineStr">
        <is>
          <t>Rain CP delay WD</t>
        </is>
      </c>
      <c r="M73" s="1140" t="inlineStr">
        <is>
          <t>Wind direct $</t>
        </is>
      </c>
      <c r="N73" s="1140" t="inlineStr">
        <is>
          <t>Wind CP delay WD</t>
        </is>
      </c>
    </row>
    <row r="74">
      <c r="A74" s="1132" t="n"/>
      <c r="B74" s="1132" t="n"/>
      <c r="C74" s="1485" t="n"/>
      <c r="D74" s="1485" t="n"/>
      <c r="E74" s="1132" t="n"/>
      <c r="F74" s="1132" t="n"/>
      <c r="G74" s="1373" t="n"/>
      <c r="H74" s="1373" t="n"/>
      <c r="I74" s="1491" t="n">
        <v>0.3721198156682028</v>
      </c>
      <c r="J74" s="1491" t="n">
        <v>0.1315443548387097</v>
      </c>
      <c r="K74" s="1373" t="n">
        <v>506.7155216304471</v>
      </c>
      <c r="L74" s="1492" t="n">
        <v>0.394633064516129</v>
      </c>
      <c r="M74" s="1373" t="n">
        <v>0</v>
      </c>
      <c r="N74" s="1492" t="n">
        <v>0.04516129032258065</v>
      </c>
    </row>
    <row r="75">
      <c r="A75" s="1132" t="n"/>
      <c r="B75" s="1132" t="n"/>
      <c r="C75" s="1485" t="n"/>
      <c r="D75" s="1485" t="n"/>
      <c r="E75" s="1132" t="n"/>
      <c r="F75" s="1132" t="n"/>
      <c r="G75" s="1373" t="n"/>
      <c r="H75" s="1373" t="n"/>
      <c r="I75" s="1491" t="n">
        <v>0.3721198156682028</v>
      </c>
      <c r="J75" s="1491" t="n">
        <v>0.2846716589861751</v>
      </c>
      <c r="K75" s="1373" t="n">
        <v>1408.199529089862</v>
      </c>
      <c r="L75" s="1492" t="n">
        <v>1.138686635944701</v>
      </c>
      <c r="M75" s="1373" t="n">
        <v>94.94568548387096</v>
      </c>
      <c r="N75" s="1492" t="n">
        <v>0.07677419354838709</v>
      </c>
    </row>
    <row r="76">
      <c r="A76" s="1132" t="n"/>
      <c r="B76" s="1132" t="n"/>
      <c r="C76" s="1485" t="n"/>
      <c r="D76" s="1485" t="n"/>
      <c r="E76" s="1132" t="n"/>
      <c r="F76" s="1132" t="n"/>
      <c r="G76" s="1373" t="n"/>
      <c r="H76" s="1373" t="n"/>
      <c r="I76" s="1491" t="n">
        <v>0.3721198156682028</v>
      </c>
      <c r="J76" s="1491" t="n">
        <v>0.2846716589861751</v>
      </c>
      <c r="K76" s="1373" t="n">
        <v>5842.107698156682</v>
      </c>
      <c r="L76" s="1492" t="n">
        <v>2.562044930875576</v>
      </c>
      <c r="M76" s="1373" t="n">
        <v>393.8951182795698</v>
      </c>
      <c r="N76" s="1492" t="n">
        <v>0.172741935483871</v>
      </c>
    </row>
    <row r="77">
      <c r="A77" s="1132" t="n"/>
      <c r="B77" s="1132" t="n"/>
      <c r="C77" s="1485" t="n"/>
      <c r="D77" s="1485" t="n"/>
      <c r="E77" s="1132" t="n"/>
      <c r="F77" s="1132" t="n"/>
      <c r="G77" s="1373" t="n"/>
      <c r="H77" s="1373" t="n"/>
      <c r="I77" s="1491" t="n">
        <v>0.3721198156682028</v>
      </c>
      <c r="J77" s="1491" t="n">
        <v>0.3516532258064516</v>
      </c>
      <c r="K77" s="1373" t="n">
        <v>912.9503830645162</v>
      </c>
      <c r="L77" s="1492" t="n">
        <v>1.054959677419355</v>
      </c>
      <c r="M77" s="1373" t="n">
        <v>60.29806451612905</v>
      </c>
      <c r="N77" s="1492" t="n">
        <v>0.06967741935483872</v>
      </c>
    </row>
    <row r="78">
      <c r="A78" s="1132" t="n"/>
      <c r="B78" s="1132" t="n"/>
      <c r="C78" s="1485" t="n"/>
      <c r="D78" s="1485" t="n"/>
      <c r="E78" s="1132" t="n"/>
      <c r="F78" s="1132" t="n"/>
      <c r="G78" s="1373" t="n"/>
      <c r="H78" s="1373" t="n"/>
      <c r="I78" s="1491" t="n">
        <v>0.3477163338453661</v>
      </c>
      <c r="J78" s="1491" t="n">
        <v>0.1669038402457757</v>
      </c>
      <c r="K78" s="1373" t="n">
        <v>0</v>
      </c>
      <c r="L78" s="1492" t="n">
        <v>0.8345192012288785</v>
      </c>
      <c r="M78" s="1373" t="n">
        <v>0</v>
      </c>
      <c r="N78" s="1492" t="n">
        <v>0.04903225806451614</v>
      </c>
    </row>
    <row r="79">
      <c r="A79" s="1132" t="n"/>
      <c r="B79" s="1132" t="n"/>
      <c r="C79" s="1485" t="n"/>
      <c r="D79" s="1485" t="n"/>
      <c r="E79" s="1132" t="n"/>
      <c r="F79" s="1132" t="n"/>
      <c r="G79" s="1373" t="n"/>
      <c r="H79" s="1373" t="n"/>
      <c r="I79" s="1491" t="n">
        <v>0.3111111111111111</v>
      </c>
      <c r="J79" s="1491" t="n">
        <v>0.1890777777777778</v>
      </c>
      <c r="K79" s="1373" t="n">
        <v>3752.891364444445</v>
      </c>
      <c r="L79" s="1492" t="n">
        <v>1.890777777777778</v>
      </c>
      <c r="M79" s="1373" t="n">
        <v>262.4399555555556</v>
      </c>
      <c r="N79" s="1492" t="n">
        <v>0.1322222222222222</v>
      </c>
    </row>
    <row r="80">
      <c r="A80" s="1132" t="n"/>
      <c r="B80" s="1132" t="n"/>
      <c r="C80" s="1485" t="n"/>
      <c r="D80" s="1485" t="n"/>
      <c r="E80" s="1132" t="n"/>
      <c r="F80" s="1132" t="n"/>
      <c r="G80" s="1373" t="n"/>
      <c r="H80" s="1373" t="n"/>
      <c r="I80" s="1491" t="n">
        <v>0.3111111111111111</v>
      </c>
      <c r="J80" s="1491" t="n">
        <v>0.1890777777777778</v>
      </c>
      <c r="K80" s="1373" t="n">
        <v>0</v>
      </c>
      <c r="L80" s="1492" t="n">
        <v>0.9453888888888889</v>
      </c>
      <c r="M80" s="1373" t="n">
        <v>0</v>
      </c>
      <c r="N80" s="1492" t="n">
        <v>0.06611111111111112</v>
      </c>
    </row>
    <row r="81">
      <c r="A81" s="1132" t="n"/>
      <c r="B81" s="1132" t="n"/>
      <c r="C81" s="1485" t="n"/>
      <c r="D81" s="1485" t="n"/>
      <c r="E81" s="1132" t="n"/>
      <c r="F81" s="1132" t="n"/>
      <c r="G81" s="1373" t="n"/>
      <c r="H81" s="1373" t="n"/>
      <c r="I81" s="1491" t="n">
        <v>0.3721198156682028</v>
      </c>
      <c r="J81" s="1491" t="n">
        <v>0.2688565668202765</v>
      </c>
      <c r="K81" s="1373" t="n">
        <v>0</v>
      </c>
      <c r="L81" s="1492" t="n">
        <v>0</v>
      </c>
      <c r="M81" s="1373" t="n">
        <v>0</v>
      </c>
      <c r="N81" s="1492" t="n">
        <v>0</v>
      </c>
    </row>
    <row r="82">
      <c r="A82" s="1132" t="n"/>
      <c r="B82" s="1132" t="n"/>
      <c r="C82" s="1485" t="n"/>
      <c r="D82" s="1485" t="n"/>
      <c r="E82" s="1132" t="n"/>
      <c r="F82" s="1132" t="n"/>
      <c r="G82" s="1373" t="n"/>
      <c r="H82" s="1373" t="n"/>
      <c r="I82" s="1491" t="n">
        <v>0.3721198156682028</v>
      </c>
      <c r="J82" s="1491" t="n">
        <v>0.2688565668202765</v>
      </c>
      <c r="K82" s="1373" t="n">
        <v>297.3553629032258</v>
      </c>
      <c r="L82" s="1492" t="n">
        <v>0</v>
      </c>
      <c r="M82" s="1373" t="n">
        <v>21.22806451612903</v>
      </c>
      <c r="N82" s="1492" t="n">
        <v>0</v>
      </c>
    </row>
    <row r="83">
      <c r="A83" s="1135" t="n"/>
      <c r="B83" s="1135" t="str"/>
      <c r="C83" s="1135" t="str"/>
      <c r="D83" s="1135" t="str"/>
      <c r="E83" s="1135" t="str"/>
      <c r="F83" s="1135" t="n"/>
      <c r="G83" s="1493" t="n"/>
      <c r="H83" s="1493" t="n"/>
      <c r="I83" s="1135" t="n"/>
      <c r="J83" s="1135" t="n"/>
      <c r="K83" s="1493" t="n">
        <v>12213.50433765873</v>
      </c>
      <c r="L83" s="1494" t="n">
        <v>8.821010176651304</v>
      </c>
      <c r="M83" s="1493" t="n">
        <v>832.8068883512544</v>
      </c>
      <c r="N83" s="1494" t="n">
        <v>0.611720430107527</v>
      </c>
    </row>
    <row r="84">
      <c r="A84" s="1132" t="n"/>
      <c r="B84" s="1132" t="n"/>
      <c r="C84" s="1132" t="n"/>
      <c r="D84" s="1132" t="n"/>
      <c r="E84" s="1132" t="n"/>
      <c r="F84" s="1132" t="n"/>
      <c r="G84" s="1132" t="n"/>
      <c r="H84" s="1132" t="n"/>
      <c r="I84" s="1132" t="n"/>
      <c r="J84" s="1132" t="n"/>
      <c r="K84" s="1119" t="n"/>
      <c r="L84" s="1119" t="n"/>
      <c r="M84" s="1119" t="n"/>
      <c r="N84" s="1119" t="n"/>
    </row>
    <row r="85">
      <c r="A85" s="1140" t="inlineStr">
        <is>
          <t>Weather activity run conclusion</t>
        </is>
      </c>
      <c r="B85" s="1140" t="str"/>
      <c r="C85" s="1132" t="n"/>
      <c r="D85" s="1132" t="n"/>
      <c r="E85" s="1132" t="n"/>
      <c r="F85" s="1132" t="n"/>
      <c r="G85" s="1132" t="n"/>
      <c r="H85" s="1132" t="n"/>
      <c r="I85" s="1132" t="n"/>
      <c r="J85" s="1132" t="n"/>
      <c r="K85" s="1119" t="n"/>
      <c r="L85" s="1119" t="n"/>
      <c r="M85" s="1119" t="n"/>
      <c r="N85" s="1119" t="n"/>
    </row>
    <row r="86">
      <c r="A86" s="1132" t="inlineStr">
        <is>
          <t>Rain / wet-ground direct productivity</t>
        </is>
      </c>
      <c r="B86" s="1373" t="n"/>
      <c r="C86" s="1132" t="n"/>
      <c r="D86" s="1132" t="n"/>
      <c r="E86" s="1132" t="n"/>
      <c r="F86" s="1132" t="n"/>
      <c r="G86" s="1132" t="n"/>
      <c r="H86" s="1132" t="n"/>
      <c r="I86" s="1132" t="n"/>
      <c r="J86" s="1132" t="n"/>
      <c r="K86" s="1119" t="n"/>
      <c r="L86" s="1119" t="n"/>
      <c r="M86" s="1119" t="n"/>
      <c r="N86" s="1119" t="n"/>
    </row>
    <row r="87">
      <c r="A87" s="1132" t="inlineStr">
        <is>
          <t>Critical-path rain / wet-ground delay WD</t>
        </is>
      </c>
      <c r="B87" s="1492" t="n"/>
      <c r="C87" s="1132" t="n"/>
      <c r="D87" s="1132" t="n"/>
      <c r="E87" s="1132" t="n"/>
      <c r="F87" s="1132" t="n"/>
      <c r="G87" s="1132" t="n"/>
      <c r="H87" s="1132" t="n"/>
      <c r="I87" s="1132" t="n"/>
      <c r="J87" s="1132" t="n"/>
      <c r="K87" s="1119" t="n"/>
      <c r="L87" s="1119" t="n"/>
      <c r="M87" s="1119" t="n"/>
      <c r="N87" s="1119" t="n"/>
    </row>
    <row r="88">
      <c r="A88" s="1132" t="inlineStr">
        <is>
          <t>Time-related prelims using current AMBER $1,625/day proxy</t>
        </is>
      </c>
      <c r="B88" s="1373" t="n"/>
      <c r="C88" s="1132" t="n"/>
      <c r="D88" s="1132" t="n"/>
      <c r="E88" s="1132" t="n"/>
      <c r="F88" s="1132" t="n"/>
      <c r="G88" s="1132" t="n"/>
      <c r="H88" s="1132" t="n"/>
      <c r="I88" s="1132" t="n"/>
      <c r="J88" s="1132" t="n"/>
      <c r="K88" s="1119" t="n"/>
      <c r="L88" s="1119" t="n"/>
      <c r="M88" s="1119" t="n"/>
      <c r="N88" s="1119" t="n"/>
    </row>
    <row r="89">
      <c r="A89" s="1132" t="inlineStr">
        <is>
          <t>Additional billed hire / facilities</t>
        </is>
      </c>
      <c r="B89" s="1373" t="n"/>
      <c r="C89" s="1132" t="n"/>
      <c r="D89" s="1132" t="n"/>
      <c r="E89" s="1132" t="n"/>
      <c r="F89" s="1132" t="n"/>
      <c r="G89" s="1132" t="n"/>
      <c r="H89" s="1132" t="n"/>
      <c r="I89" s="1132" t="n"/>
      <c r="J89" s="1132" t="n"/>
      <c r="K89" s="1119" t="n"/>
      <c r="L89" s="1119" t="n"/>
      <c r="M89" s="1119" t="n"/>
      <c r="N89" s="1119" t="n"/>
    </row>
    <row r="90">
      <c r="A90" s="1132" t="inlineStr">
        <is>
          <t>Modelled rain + wet-ground allowance (NOT YET PROMOTED)</t>
        </is>
      </c>
      <c r="B90" s="1373" t="n"/>
      <c r="C90" s="1132" t="n"/>
      <c r="D90" s="1132" t="n"/>
      <c r="E90" s="1132" t="n"/>
      <c r="F90" s="1132" t="n"/>
      <c r="G90" s="1132" t="n"/>
      <c r="H90" s="1132" t="n"/>
      <c r="I90" s="1132" t="n"/>
      <c r="J90" s="1132" t="n"/>
      <c r="K90" s="1119" t="n"/>
      <c r="L90" s="1119" t="n"/>
      <c r="M90" s="1119" t="n"/>
      <c r="N90" s="1119" t="n"/>
    </row>
    <row r="91">
      <c r="A91" s="1119" t="inlineStr">
        <is>
          <t>AMBER wind proxy sensitivity (excluded)</t>
        </is>
      </c>
      <c r="B91" s="1495" t="n"/>
      <c r="C91" s="1119" t="n"/>
      <c r="D91" s="1119" t="n"/>
      <c r="E91" s="1119" t="n"/>
      <c r="F91" s="1119" t="n"/>
      <c r="G91" s="1119" t="n"/>
      <c r="H91" s="1119" t="n"/>
      <c r="I91" s="1119" t="n"/>
      <c r="J91" s="1119" t="n"/>
      <c r="K91" s="1119" t="n"/>
      <c r="L91" s="1119" t="n"/>
      <c r="M91" s="1119" t="n"/>
      <c r="N91" s="1119" t="n"/>
    </row>
  </sheetData>
  <mergeCells count="19">
    <mergeCell ref="E16:H16"/>
    <mergeCell ref="E7:H7"/>
    <mergeCell ref="A1:H1"/>
    <mergeCell ref="E12:H12"/>
    <mergeCell ref="A18:B18"/>
    <mergeCell ref="E5:H5"/>
    <mergeCell ref="E8:H8"/>
    <mergeCell ref="A33:B33"/>
    <mergeCell ref="A2:H2"/>
    <mergeCell ref="F53:H53"/>
    <mergeCell ref="D4:H4"/>
    <mergeCell ref="D18:H18"/>
    <mergeCell ref="E10:H10"/>
    <mergeCell ref="E13:H13"/>
    <mergeCell ref="A4:B4"/>
    <mergeCell ref="E9:H9"/>
    <mergeCell ref="E6:H6"/>
    <mergeCell ref="E15:H15"/>
    <mergeCell ref="E11:H11"/>
  </mergeCells>
  <dataValidations count="1">
    <dataValidation sqref="B29" showDropDown="0" showInputMessage="0" showErrorMessage="0" allowBlank="0" type="list">
      <formula1>"Yes,No"</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AD81"/>
  <sheetViews>
    <sheetView workbookViewId="0">
      <selection activeCell="A1" sqref="A1"/>
    </sheetView>
  </sheetViews>
  <sheetFormatPr baseColWidth="8" defaultRowHeight="15"/>
  <cols>
    <col width="29" customWidth="1" style="491" min="1" max="1"/>
    <col width="52" customWidth="1" style="491" min="2" max="2"/>
    <col width="48" customWidth="1" style="491" min="3" max="3"/>
    <col width="14" customWidth="1" style="491" min="4" max="4"/>
    <col width="68" customWidth="1" style="491" min="5" max="5"/>
    <col width="18" customWidth="1" style="491" min="6" max="6"/>
    <col width="34" customWidth="1" style="491" min="7" max="7"/>
    <col width="18" customWidth="1" style="491" min="8" max="8"/>
    <col width="31" customWidth="1" style="491" min="9" max="9"/>
    <col width="18" customWidth="1" style="491" min="10" max="10"/>
    <col width="14" customWidth="1" style="491" min="11" max="11"/>
    <col width="17" customWidth="1" style="491" min="12" max="12"/>
    <col width="12" customWidth="1" style="491" min="13" max="13"/>
    <col width="18" customWidth="1" style="491" min="14" max="14"/>
    <col width="18" customWidth="1" style="491" min="15" max="15"/>
    <col width="18" customWidth="1" style="491" min="16" max="16"/>
    <col width="15" customWidth="1" style="491" min="17" max="17"/>
    <col width="18" customWidth="1" style="491" min="18" max="18"/>
    <col width="17" customWidth="1" style="491" min="19" max="19"/>
    <col width="18" customWidth="1" style="491" min="20" max="20"/>
    <col width="24" customWidth="1" style="491" min="21" max="21"/>
    <col width="25" customWidth="1" style="491" min="22" max="22"/>
    <col width="14" customWidth="1" style="491" min="23" max="23"/>
    <col width="24" customWidth="1" style="491" min="24" max="24"/>
    <col width="18" customWidth="1" style="491" min="25" max="25"/>
    <col width="14" customWidth="1" style="491" min="26" max="26"/>
    <col width="58" customWidth="1" style="491" min="27" max="27"/>
    <col width="48" customWidth="1" style="491" min="28" max="28"/>
    <col width="42" customWidth="1" style="491" min="29" max="29"/>
  </cols>
  <sheetData>
    <row r="1" ht="28" customHeight="1" s="491">
      <c r="A1" s="1496" t="inlineStr">
        <is>
          <t>RISK TRUTH ENGINE - MASTER ESTIMATE WORKBOOK</t>
        </is>
      </c>
      <c r="B1" s="242" t="n"/>
      <c r="C1" s="242" t="n"/>
      <c r="D1" s="242" t="n"/>
      <c r="E1" s="242" t="n"/>
      <c r="F1" s="242" t="n"/>
      <c r="G1" s="242" t="n"/>
      <c r="H1" s="242" t="n"/>
      <c r="I1" s="242" t="n"/>
      <c r="J1" s="242" t="n"/>
      <c r="K1" s="242" t="n"/>
      <c r="L1" s="671" t="n"/>
      <c r="M1" s="671" t="n"/>
      <c r="N1" s="671" t="n"/>
      <c r="O1" s="671" t="n"/>
      <c r="P1" s="671" t="n"/>
      <c r="Q1" s="671" t="n"/>
      <c r="R1" s="671" t="n"/>
      <c r="S1" s="671" t="n"/>
      <c r="T1" s="671" t="n"/>
      <c r="U1" s="671" t="n"/>
      <c r="V1" s="671" t="n"/>
      <c r="W1" s="671" t="n"/>
      <c r="X1" s="671" t="n"/>
      <c r="Y1" s="671" t="n"/>
      <c r="Z1" s="671" t="n"/>
      <c r="AA1" s="671" t="n"/>
      <c r="AB1" s="671" t="n"/>
      <c r="AC1" s="671" t="n"/>
    </row>
    <row r="2" ht="36" customHeight="1" s="491">
      <c r="A2" s="1497" t="inlineStr">
        <is>
          <t>Permanent risk-control and reconciliation module. Record tender baseline before residual exposure. Quantifiable physical consequences return to Resource Build-Up / QS Takeoff; specialist engines remain separate. CA01/CA02 receive residual cross-cutting provisions only and are never default project-value percentages.</t>
        </is>
      </c>
      <c r="B2" s="242" t="n"/>
      <c r="C2" s="242" t="n"/>
      <c r="D2" s="242" t="n"/>
      <c r="E2" s="242" t="n"/>
      <c r="F2" s="242" t="n"/>
      <c r="G2" s="242" t="n"/>
      <c r="H2" s="242" t="n"/>
      <c r="I2" s="242" t="n"/>
      <c r="J2" s="242" t="n"/>
      <c r="K2" s="242" t="n"/>
      <c r="L2" s="674" t="n"/>
      <c r="M2" s="674" t="n"/>
      <c r="N2" s="674" t="n"/>
      <c r="O2" s="674" t="n"/>
      <c r="P2" s="674" t="n"/>
      <c r="Q2" s="674" t="n"/>
      <c r="R2" s="674" t="n"/>
      <c r="S2" s="674" t="n"/>
      <c r="T2" s="674" t="n"/>
      <c r="U2" s="674" t="n"/>
      <c r="V2" s="674" t="n"/>
      <c r="W2" s="674" t="n"/>
      <c r="X2" s="674" t="n"/>
      <c r="Y2" s="674" t="n"/>
      <c r="Z2" s="674" t="n"/>
      <c r="AA2" s="674" t="n"/>
      <c r="AB2" s="674" t="n"/>
      <c r="AC2" s="674" t="n"/>
    </row>
    <row r="3"/>
    <row r="4">
      <c r="A4" s="678" t="inlineStr">
        <is>
          <t>RISK TRUTH / RELEASE CONTROL</t>
        </is>
      </c>
      <c r="B4" s="678" t="inlineStr">
        <is>
          <t>Value / Status</t>
        </is>
      </c>
      <c r="D4" s="1498" t="inlineStr">
        <is>
          <t>INTEGRATION RULES</t>
        </is>
      </c>
      <c r="E4" s="242" t="n"/>
      <c r="F4" s="242" t="n"/>
      <c r="G4" s="242" t="n"/>
      <c r="I4" s="719" t="inlineStr">
        <is>
          <t>RISK TRUTH COMMERCIAL RECALC</t>
        </is>
      </c>
      <c r="J4" s="719" t="inlineStr">
        <is>
          <t>Value</t>
        </is>
      </c>
    </row>
    <row r="5">
      <c r="A5" s="681" t="inlineStr">
        <is>
          <t>Previous approved tender total (optional)</t>
        </is>
      </c>
      <c r="B5" s="1423" t="n">
        <v>0</v>
      </c>
      <c r="D5" s="681" t="inlineStr">
        <is>
          <t>1</t>
        </is>
      </c>
      <c r="E5" s="211" t="inlineStr">
        <is>
          <t>Likelihood / impact prioritise management; they never create dollars automatically.</t>
        </is>
      </c>
      <c r="I5" s="722" t="inlineStr">
        <is>
          <t>Subtotal before commercial adjustments</t>
        </is>
      </c>
      <c r="J5" s="1499">
        <f>'Tender Build-Up'!$B$40</f>
        <v/>
      </c>
    </row>
    <row r="6">
      <c r="A6" s="681" t="inlineStr">
        <is>
          <t>Current live tender total</t>
        </is>
      </c>
      <c r="B6" s="1500">
        <f>'Tender Build-Up'!$B$47</f>
        <v/>
      </c>
      <c r="D6" s="681" t="inlineStr">
        <is>
          <t>2</t>
        </is>
      </c>
      <c r="E6" s="211" t="inlineStr">
        <is>
          <t>Every exposure identifies where the risk is already treated before any residual is considered.</t>
        </is>
      </c>
      <c r="I6" s="722" t="inlineStr">
        <is>
          <t>CA17 overhead</t>
        </is>
      </c>
      <c r="J6" s="1499">
        <f>IF('Commercial Inputs'!$F$21&lt;&gt;"Yes",0,IF('Commercial Inputs'!$C$21="Markup %",J5*N('Commercial Inputs'!$D$21),IF('Commercial Inputs'!$C$21="Fixed Amount",N('Commercial Inputs'!$E$21),0)))</f>
        <v/>
      </c>
    </row>
    <row r="7">
      <c r="A7" s="681" t="inlineStr">
        <is>
          <t>Previous approved CA01 (optional)</t>
        </is>
      </c>
      <c r="B7" s="1500" t="n">
        <v>0</v>
      </c>
      <c r="D7" s="681" t="inlineStr">
        <is>
          <t>3</t>
        </is>
      </c>
      <c r="E7" s="211" t="inlineStr">
        <is>
          <t>Quantifiable physical work returns to Resource Build-Up / QS Takeoff.</t>
        </is>
      </c>
      <c r="I7" s="722" t="inlineStr">
        <is>
          <t>CA19 bonds</t>
        </is>
      </c>
      <c r="J7" s="1499">
        <f>IF('Commercial Inputs'!$F$23&lt;&gt;"Yes",0,IF('Commercial Inputs'!$C$23="%",J5*N('Commercial Inputs'!$D$23),IF('Commercial Inputs'!$C$23="PC Sum",N('Commercial Inputs'!$E$23),0)))</f>
        <v/>
      </c>
    </row>
    <row r="8">
      <c r="A8" s="681" t="inlineStr">
        <is>
          <t>Previous approved CA02 (optional)</t>
        </is>
      </c>
      <c r="B8" s="1500" t="n">
        <v>0</v>
      </c>
      <c r="D8" s="681" t="inlineStr">
        <is>
          <t>4</t>
        </is>
      </c>
      <c r="E8" s="211" t="inlineStr">
        <is>
          <t>CA01 / CA02 receive residual cross-cutting provisions only when a more direct cost location is not truthful.</t>
        </is>
      </c>
      <c r="I8" s="722" t="inlineStr">
        <is>
          <t>CA20 retention finance</t>
        </is>
      </c>
      <c r="J8" s="1499">
        <f>IF('Commercial Inputs'!$F$24&lt;&gt;"Yes",0,IF('Commercial Inputs'!$C$24="%",J5*N('Commercial Inputs'!$D$24),IF('Commercial Inputs'!$C$24="PC Sum",N('Commercial Inputs'!$E$24),0)))</f>
        <v/>
      </c>
    </row>
    <row r="9">
      <c r="A9" s="681" t="inlineStr">
        <is>
          <t>Risk Truth CA01 design/scope residual total</t>
        </is>
      </c>
      <c r="B9" s="1500">
        <f>SUMIFS($T$41:$T$61,$R$41:$R$61,"CA01",$S$41:$S$61,"Yes")</f>
        <v/>
      </c>
      <c r="D9" s="681" t="inlineStr">
        <is>
          <t>5</t>
        </is>
      </c>
      <c r="E9" s="211" t="inlineStr">
        <is>
          <t>Weather remains Weather Risk -&gt; CA10. Dewatering remains CA09 unless separately changed.</t>
        </is>
      </c>
      <c r="I9" s="722" t="inlineStr">
        <is>
          <t>CA18 profit</t>
        </is>
      </c>
      <c r="J9" s="1499">
        <f>IF('Commercial Inputs'!$F$22&lt;&gt;"Yes",0,IF('Commercial Inputs'!$C$22="Margin %",(J5+J6+J7+J8)/(1-N('Commercial Inputs'!$D$22))-(J5+J6+J7+J8),IF('Commercial Inputs'!$C$22="Markup %",(J5+J6+J7+J8)*N('Commercial Inputs'!$D$22),IF('Commercial Inputs'!$C$22="Fixed Amount",N('Commercial Inputs'!$E$22),0))))</f>
        <v/>
      </c>
    </row>
    <row r="10">
      <c r="A10" s="681" t="inlineStr">
        <is>
          <t>Risk Truth CA02 construction/execution residual total</t>
        </is>
      </c>
      <c r="B10" s="1500">
        <f>SUMIFS($T$41:$T$61,$R$41:$R$61,"CA02",$S$41:$S$61,"Yes")</f>
        <v/>
      </c>
      <c r="D10" s="681" t="inlineStr">
        <is>
          <t>6</t>
        </is>
      </c>
      <c r="E10" s="211" t="inlineStr">
        <is>
          <t>Any RED exposure, unproven duplicate or incomplete programme dependency blocks final release.</t>
        </is>
      </c>
      <c r="I10" s="722" t="inlineStr">
        <is>
          <t>Recalculated tender total</t>
        </is>
      </c>
      <c r="J10" s="1499">
        <f>SUM(J5:J9)</f>
        <v/>
      </c>
    </row>
    <row r="11">
      <c r="A11" s="681" t="inlineStr">
        <is>
          <t>Risk Truth recalculated tender total</t>
        </is>
      </c>
      <c r="B11" s="1500">
        <f>$J$10</f>
        <v/>
      </c>
      <c r="D11" s="681" t="inlineStr">
        <is>
          <t>7</t>
        </is>
      </c>
      <c r="E11" s="211" t="inlineStr">
        <is>
          <t>One cost can have several contributing risks, but only one PRIMARY cost-treatment owner.</t>
        </is>
      </c>
    </row>
    <row r="12">
      <c r="A12" s="681" t="inlineStr">
        <is>
          <t>Live CA01 feed -&gt; Commercial Inputs</t>
        </is>
      </c>
      <c r="B12" s="1500">
        <f>$B$9</f>
        <v/>
      </c>
      <c r="D12" s="681" t="inlineStr">
        <is>
          <t>8</t>
        </is>
      </c>
      <c r="E12" s="211" t="inlineStr">
        <is>
          <t>Actual outcomes are retained later for estimate-v-actual calibration; historic tender assumptions are not overwritten.</t>
        </is>
      </c>
    </row>
    <row r="13">
      <c r="A13" s="681" t="inlineStr">
        <is>
          <t>Live CA02 feed -&gt; Commercial Inputs</t>
        </is>
      </c>
      <c r="B13" s="1500">
        <f>$B$10</f>
        <v/>
      </c>
      <c r="D13" t="inlineStr">
        <is>
          <t>9</t>
        </is>
      </c>
      <c r="E13" s="211" t="inlineStr">
        <is>
          <t>CA16 Management Reserve is a separate PROVIDED/AMBER tender-adjudication commercial provision. It does not feed CA01/CA02, is not a Risk Truth contingency, and does not close RED exposures.</t>
        </is>
      </c>
    </row>
    <row r="14">
      <c r="A14" s="681" t="inlineStr">
        <is>
          <t>Current Risk Truth residual total</t>
        </is>
      </c>
      <c r="B14" s="1500">
        <f>$B$9+$B$10</f>
        <v/>
      </c>
      <c r="D14" s="1498" t="n"/>
      <c r="E14" s="242" t="n"/>
      <c r="F14" s="242" t="n"/>
      <c r="G14" s="242" t="n"/>
    </row>
    <row r="15">
      <c r="A15" s="681" t="inlineStr">
        <is>
          <t>Risk Truth release gate</t>
        </is>
      </c>
      <c r="B15" s="683">
        <f>IF(OR(B16&gt;0,B17&gt;0,B18&lt;&gt;"OK",LEFT(B19,3)="RED"),"HOLD - RED ITEMS / INTEGRATION CHECK","PASS")</f>
        <v/>
      </c>
      <c r="D15" s="211" t="n"/>
      <c r="E15" s="1500" t="n"/>
      <c r="F15" s="211" t="n"/>
      <c r="G15" s="211" t="n"/>
    </row>
    <row r="16">
      <c r="A16" s="681" t="inlineStr">
        <is>
          <t>RED risk count</t>
        </is>
      </c>
      <c r="B16" s="683">
        <f>COUNTIF($K$25:$K$39,"RED")</f>
        <v/>
      </c>
      <c r="D16" s="211" t="n"/>
      <c r="E16" s="1500" t="n"/>
      <c r="F16" s="211" t="n"/>
      <c r="G16" s="211" t="n"/>
    </row>
    <row r="17">
      <c r="A17" s="681" t="inlineStr">
        <is>
          <t>RED exposure count</t>
        </is>
      </c>
      <c r="B17" s="683">
        <f>COUNTIF($Z$41:$Z$61,"RED")</f>
        <v/>
      </c>
      <c r="D17" s="211" t="n"/>
      <c r="E17" s="1500" t="n"/>
      <c r="F17" s="211" t="n"/>
      <c r="G17" s="211" t="n"/>
    </row>
    <row r="18">
      <c r="A18" s="681" t="inlineStr">
        <is>
          <t>Duplicate-cost gate</t>
        </is>
      </c>
      <c r="B18" s="683">
        <f>IF(OR(COUNTIF($X$41:$X$61,"RED - RESIDUAL NOT DISTINCT")&gt;0,COUNTIF($X$41:$X$61,"RED - UNDECLARED OVERLAP")&gt;0),"RED","OK")</f>
        <v/>
      </c>
      <c r="D18" s="211" t="n"/>
      <c r="E18" s="1500" t="n"/>
      <c r="F18" s="211" t="n"/>
      <c r="G18" s="211" t="n"/>
    </row>
    <row r="19">
      <c r="A19" s="681" t="inlineStr">
        <is>
          <t>Programme dependency gate</t>
        </is>
      </c>
      <c r="B19" s="684">
        <f>IF(COUNTIF('Programme Export'!$U$7:$U$226,"CHECK")&gt;0,"RED - PROGRAMME COST RECONCILIATION","OK")</f>
        <v/>
      </c>
      <c r="D19" s="211" t="n"/>
      <c r="E19" s="1500" t="n"/>
      <c r="F19" s="211" t="n"/>
      <c r="G19" s="211" t="n"/>
    </row>
    <row r="20">
      <c r="A20" s="681" t="inlineStr">
        <is>
          <t>Tender delta vs previous approved</t>
        </is>
      </c>
      <c r="B20" s="1500">
        <f>IF(B5=0,"",B6-B5)</f>
        <v/>
      </c>
      <c r="D20" s="211" t="n"/>
      <c r="E20" s="1500" t="n"/>
      <c r="F20" s="211" t="n"/>
      <c r="G20" s="211" t="n"/>
    </row>
    <row r="21">
      <c r="A21" s="681" t="inlineStr">
        <is>
          <t>Current tender equals Risk Truth recalculation?</t>
        </is>
      </c>
      <c r="B21" s="1500">
        <f>IF(ABS(B6-B11)&lt;0.01,"YES","NO")</f>
        <v/>
      </c>
      <c r="D21" s="211" t="n"/>
      <c r="E21" s="1500" t="n"/>
      <c r="F21" s="211" t="n"/>
      <c r="G21" s="211" t="n"/>
    </row>
    <row r="22">
      <c r="A22" s="681" t="inlineStr">
        <is>
          <t>Risk Truth calculation difference</t>
        </is>
      </c>
      <c r="B22" s="1500">
        <f>B6-B11</f>
        <v/>
      </c>
    </row>
    <row r="23"/>
    <row r="24">
      <c r="A24" s="678" t="inlineStr">
        <is>
          <t>Risk ID</t>
        </is>
      </c>
      <c r="B24" s="678" t="inlineStr">
        <is>
          <t>Risk Description</t>
        </is>
      </c>
      <c r="C24" s="678" t="inlineStr">
        <is>
          <t>Primary Class</t>
        </is>
      </c>
      <c r="D24" s="678" t="inlineStr">
        <is>
          <t>Likelihood</t>
        </is>
      </c>
      <c r="E24" s="678" t="inlineStr">
        <is>
          <t>Impact</t>
        </is>
      </c>
      <c r="F24" s="678" t="inlineStr">
        <is>
          <t>Rating</t>
        </is>
      </c>
      <c r="G24" s="678" t="inlineStr">
        <is>
          <t>Current Response</t>
        </is>
      </c>
      <c r="H24" s="678" t="inlineStr">
        <is>
          <t>Owner</t>
        </is>
      </c>
      <c r="I24" s="678" t="inlineStr">
        <is>
          <t>RFI / Action</t>
        </is>
      </c>
      <c r="J24" s="678" t="inlineStr">
        <is>
          <t>Tender Baseline</t>
        </is>
      </c>
      <c r="K24" s="678" t="inlineStr">
        <is>
          <t>Overall Status</t>
        </is>
      </c>
    </row>
    <row r="25">
      <c r="A25" s="211" t="n"/>
      <c r="B25" s="211" t="n"/>
      <c r="C25" s="211" t="n"/>
      <c r="D25" s="211" t="n"/>
      <c r="E25" s="211" t="n"/>
      <c r="F25" s="211" t="n"/>
      <c r="G25" s="211" t="n"/>
      <c r="H25" s="211" t="n"/>
      <c r="I25" s="211" t="n"/>
      <c r="J25" s="211" t="n"/>
      <c r="K25" s="211" t="n"/>
    </row>
    <row r="26">
      <c r="A26" s="211" t="n"/>
      <c r="B26" s="211" t="n"/>
      <c r="C26" s="211" t="n"/>
      <c r="D26" s="211" t="n"/>
      <c r="E26" s="211" t="n"/>
      <c r="F26" s="211" t="n"/>
      <c r="G26" s="211" t="n"/>
      <c r="H26" s="211" t="n"/>
      <c r="I26" s="211" t="n"/>
      <c r="J26" s="211" t="n"/>
      <c r="K26" s="211" t="n"/>
    </row>
    <row r="27">
      <c r="A27" s="211" t="n"/>
      <c r="B27" s="211" t="n"/>
      <c r="C27" s="211" t="n"/>
      <c r="D27" s="211" t="n"/>
      <c r="E27" s="211" t="n"/>
      <c r="F27" s="211" t="n"/>
      <c r="G27" s="211" t="n"/>
      <c r="H27" s="211" t="n"/>
      <c r="I27" s="211" t="n"/>
      <c r="J27" s="211" t="n"/>
      <c r="K27" s="211" t="n"/>
    </row>
    <row r="28">
      <c r="A28" s="211" t="n"/>
      <c r="B28" s="211" t="n"/>
      <c r="C28" s="211" t="n"/>
      <c r="D28" s="211" t="n"/>
      <c r="E28" s="211" t="n"/>
      <c r="F28" s="211" t="n"/>
      <c r="G28" s="211" t="n"/>
      <c r="H28" s="211" t="n"/>
      <c r="I28" s="211" t="n"/>
      <c r="J28" s="211" t="n"/>
      <c r="K28" s="211" t="n"/>
    </row>
    <row r="29">
      <c r="A29" s="211" t="n"/>
      <c r="B29" s="211" t="n"/>
      <c r="C29" s="211" t="n"/>
      <c r="D29" s="211" t="n"/>
      <c r="E29" s="211" t="n"/>
      <c r="F29" s="211" t="n"/>
      <c r="G29" s="211" t="n"/>
      <c r="H29" s="211" t="n"/>
      <c r="I29" s="211" t="n"/>
      <c r="J29" s="211" t="n"/>
      <c r="K29" s="211" t="n"/>
    </row>
    <row r="30">
      <c r="A30" s="211" t="n"/>
      <c r="B30" s="211" t="n"/>
      <c r="C30" s="211" t="n"/>
      <c r="D30" s="211" t="n"/>
      <c r="E30" s="211" t="n"/>
      <c r="F30" s="211" t="n"/>
      <c r="G30" s="211" t="n"/>
      <c r="H30" s="211" t="n"/>
      <c r="I30" s="211" t="n"/>
      <c r="J30" s="211" t="n"/>
      <c r="K30" s="211" t="n"/>
    </row>
    <row r="31">
      <c r="A31" s="211" t="n"/>
      <c r="B31" s="211" t="n"/>
      <c r="C31" s="211" t="n"/>
      <c r="D31" s="211" t="n"/>
      <c r="E31" s="211" t="n"/>
      <c r="F31" s="211" t="n"/>
      <c r="G31" s="211" t="n"/>
      <c r="H31" s="211" t="n"/>
      <c r="I31" s="211" t="n"/>
      <c r="J31" s="211" t="n"/>
      <c r="K31" s="211" t="n"/>
    </row>
    <row r="32">
      <c r="A32" s="211" t="n"/>
      <c r="B32" s="211" t="n"/>
      <c r="C32" s="211" t="n"/>
      <c r="D32" s="211" t="n"/>
      <c r="E32" s="211" t="n"/>
      <c r="F32" s="211" t="n"/>
      <c r="G32" s="211" t="n"/>
      <c r="H32" s="211" t="n"/>
      <c r="I32" s="211" t="n"/>
      <c r="J32" s="211" t="n"/>
      <c r="K32" s="211" t="n"/>
    </row>
    <row r="33">
      <c r="A33" s="211" t="n"/>
      <c r="B33" s="211" t="n"/>
      <c r="C33" s="211" t="n"/>
      <c r="D33" s="211" t="n"/>
      <c r="E33" s="211" t="n"/>
      <c r="F33" s="211" t="n"/>
      <c r="G33" s="211" t="n"/>
      <c r="H33" s="211" t="n"/>
      <c r="I33" s="211" t="n"/>
      <c r="J33" s="211" t="n"/>
      <c r="K33" s="211" t="n"/>
    </row>
    <row r="34">
      <c r="A34" s="211" t="n"/>
      <c r="B34" s="211" t="n"/>
      <c r="C34" s="211" t="n"/>
      <c r="D34" s="211" t="n"/>
      <c r="E34" s="211" t="n"/>
      <c r="F34" s="211" t="n"/>
      <c r="G34" s="211" t="n"/>
      <c r="H34" s="211" t="n"/>
      <c r="I34" s="211" t="n"/>
      <c r="J34" s="211" t="n"/>
      <c r="K34" s="211" t="n"/>
    </row>
    <row r="35">
      <c r="A35" s="211" t="n"/>
      <c r="B35" s="211" t="n"/>
      <c r="C35" s="211" t="n"/>
      <c r="D35" s="211" t="n"/>
      <c r="E35" s="211" t="n"/>
      <c r="F35" s="211" t="n"/>
      <c r="G35" s="211" t="n"/>
      <c r="H35" s="211" t="n"/>
      <c r="I35" s="211" t="n"/>
      <c r="J35" s="211" t="n"/>
      <c r="K35" s="211" t="n"/>
    </row>
    <row r="36">
      <c r="A36" s="211" t="n"/>
      <c r="B36" s="211" t="n"/>
      <c r="C36" s="211" t="n"/>
      <c r="D36" s="211" t="n"/>
      <c r="E36" s="211" t="n"/>
      <c r="F36" s="211" t="n"/>
      <c r="G36" s="211" t="n"/>
      <c r="H36" s="211" t="n"/>
      <c r="I36" s="211" t="n"/>
      <c r="J36" s="211" t="n"/>
      <c r="K36" s="211" t="n"/>
    </row>
    <row r="37"/>
    <row r="38"/>
    <row r="39" ht="57" customHeight="1" s="491">
      <c r="A39" s="211" t="n"/>
      <c r="B39" s="211" t="n"/>
      <c r="C39" s="211" t="n"/>
      <c r="D39" s="211" t="n"/>
      <c r="E39" s="211" t="n"/>
      <c r="F39" s="211" t="n"/>
      <c r="G39" s="211" t="n"/>
      <c r="H39" s="211" t="n"/>
      <c r="I39" s="211" t="n"/>
      <c r="J39" s="211" t="n"/>
      <c r="K39" s="211" t="n"/>
    </row>
    <row r="40" ht="50" customHeight="1" s="491">
      <c r="A40" s="678" t="inlineStr">
        <is>
          <t>Exposure ID</t>
        </is>
      </c>
      <c r="B40" s="678" t="n"/>
      <c r="C40" s="678" t="n"/>
      <c r="D40" s="678" t="n"/>
      <c r="E40" s="678" t="n"/>
      <c r="F40" s="678" t="n"/>
      <c r="G40" s="678" t="n"/>
      <c r="H40" s="678" t="n"/>
      <c r="I40" s="678" t="n"/>
      <c r="J40" s="678" t="n"/>
      <c r="K40" s="678" t="n"/>
      <c r="L40" s="678" t="n"/>
      <c r="M40" s="678" t="n"/>
      <c r="N40" s="678" t="n"/>
      <c r="O40" s="678" t="n"/>
      <c r="P40" s="678" t="n"/>
      <c r="Q40" s="678" t="n"/>
      <c r="R40" s="678" t="n"/>
      <c r="S40" s="678" t="n"/>
      <c r="T40" s="678" t="n"/>
      <c r="U40" s="678" t="n"/>
      <c r="V40" s="678" t="n"/>
      <c r="W40" s="678" t="n"/>
      <c r="X40" s="678" t="n"/>
      <c r="Y40" s="678" t="n"/>
      <c r="Z40" s="678" t="n"/>
      <c r="AA40" s="678" t="n"/>
      <c r="AB40" s="678" t="n"/>
      <c r="AC40" s="678" t="n"/>
    </row>
    <row r="41">
      <c r="A41" s="211" t="n"/>
      <c r="B41" s="211" t="n"/>
      <c r="C41" s="211" t="n"/>
      <c r="D41" s="211" t="n"/>
      <c r="E41" s="211" t="n"/>
      <c r="F41" s="211" t="n"/>
      <c r="G41" s="1500" t="n"/>
      <c r="H41" s="211" t="n"/>
      <c r="I41" s="211" t="n"/>
      <c r="J41" s="685" t="n"/>
      <c r="K41" s="685" t="n"/>
      <c r="L41" s="1500" t="n"/>
      <c r="M41" s="1501" t="n"/>
      <c r="N41" s="1500">
        <f>IF(I41="Already in Base / No Add",0,IF(I41="Unit Rate Delta",IF(OR(J41="",L41=""),"",J41*L41),IF(I41="Probability x Impact",IF(OR(M41="",L41=""),"",M41*L41),IF(I41="Fixed Allowance",O41,IF(I41="Specialist Engine",O41,IF(I41="By Others / Excluded",0,""))))))</f>
        <v/>
      </c>
      <c r="O41" s="1502" t="n"/>
      <c r="P41" s="685" t="n"/>
      <c r="Q41" s="685" t="n"/>
      <c r="R41" s="685" t="n"/>
      <c r="S41" s="685" t="n"/>
      <c r="T41" s="1500">
        <f>IF(S41="Yes",N(O41),0)</f>
        <v/>
      </c>
      <c r="U41" s="211" t="n"/>
      <c r="V41" s="685" t="n"/>
      <c r="W41" s="685" t="n"/>
      <c r="X41" s="683">
        <f>IF(AND(S41="Yes",N(O41)&gt;0,Q41&lt;&gt;"Yes"),"RED - RESIDUAL NOT DISTINCT",IF(AND(COUNTIF($E$41:$E$61,E41)&gt;1,U41=""),"RED - UNDECLARED OVERLAP",IF(COUNTIF($E$41:$E$61,E41)&gt;1,"DECLARED OVERLAP","OK")))</f>
        <v/>
      </c>
      <c r="Y41" s="685" t="n"/>
      <c r="Z41" s="683">
        <f>IF(LEFT(X41,3)="RED","RED",IF(OR(W41="RED",I41="RFI Hold",AND(I41="Unit Rate Delta",ISBLANK(J41))),"RED",IF(OR(W41="AMBER",LEFT(V41,5)="CHECK"),"AMBER","GREEN")))</f>
        <v/>
      </c>
      <c r="AA41" s="211" t="n"/>
      <c r="AB41" s="211" t="n"/>
      <c r="AC41" s="211" t="n"/>
    </row>
    <row r="42">
      <c r="A42" s="211" t="n"/>
      <c r="B42" s="211" t="n"/>
      <c r="C42" s="211" t="n"/>
      <c r="D42" s="211" t="n"/>
      <c r="E42" s="211" t="n"/>
      <c r="F42" s="211" t="n"/>
      <c r="G42" s="1500" t="n"/>
      <c r="H42" s="211" t="n"/>
      <c r="I42" s="211" t="n"/>
      <c r="J42" s="685" t="n"/>
      <c r="K42" s="685" t="n"/>
      <c r="L42" s="1500" t="n"/>
      <c r="M42" s="1501" t="n"/>
      <c r="N42" s="1500">
        <f>IF(I42="Already in Base / No Add",0,IF(I42="Unit Rate Delta",IF(OR(J42="",L42=""),"",J42*L42),IF(I42="Probability x Impact",IF(OR(M42="",L42=""),"",M42*L42),IF(I42="Fixed Allowance",O42,IF(I42="Specialist Engine",O42,IF(I42="By Others / Excluded",0,""))))))</f>
        <v/>
      </c>
      <c r="O42" s="1502" t="n"/>
      <c r="P42" s="685" t="n"/>
      <c r="Q42" s="685" t="n"/>
      <c r="R42" s="685" t="n"/>
      <c r="S42" s="685" t="n"/>
      <c r="T42" s="1500">
        <f>IF(S42="Yes",N(O42),0)</f>
        <v/>
      </c>
      <c r="U42" s="211" t="n"/>
      <c r="V42" s="685" t="n"/>
      <c r="W42" s="685" t="n"/>
      <c r="X42" s="683">
        <f>IF(AND(S42="Yes",N(O42)&gt;0,Q42&lt;&gt;"Yes"),"RED - RESIDUAL NOT DISTINCT",IF(AND(COUNTIF($E$41:$E$61,E42)&gt;1,U42=""),"RED - UNDECLARED OVERLAP",IF(COUNTIF($E$41:$E$61,E42)&gt;1,"DECLARED OVERLAP","OK")))</f>
        <v/>
      </c>
      <c r="Y42" s="685" t="n"/>
      <c r="Z42" s="683">
        <f>IF(LEFT(X42,3)="RED","RED",IF(OR(W42="RED",I42="RFI Hold",AND(I42="Unit Rate Delta",ISBLANK(J42))),"RED",IF(OR(W42="AMBER",LEFT(V42,5)="CHECK"),"AMBER","GREEN")))</f>
        <v/>
      </c>
      <c r="AA42" s="211" t="n"/>
      <c r="AB42" s="211" t="n"/>
      <c r="AC42" s="211" t="n"/>
    </row>
    <row r="43">
      <c r="A43" s="211" t="n"/>
      <c r="B43" s="211" t="n"/>
      <c r="C43" s="211" t="n"/>
      <c r="D43" s="211" t="n"/>
      <c r="E43" s="211" t="n"/>
      <c r="F43" s="211" t="n"/>
      <c r="G43" s="1500" t="n"/>
      <c r="H43" s="211" t="n"/>
      <c r="I43" s="211" t="n"/>
      <c r="J43" s="685" t="n"/>
      <c r="K43" s="685" t="n"/>
      <c r="L43" s="1500" t="n"/>
      <c r="M43" s="1501" t="n"/>
      <c r="N43" s="1500">
        <f>IF(I43="Already in Base / No Add",0,IF(I43="Unit Rate Delta",IF(OR(J43="",L43=""),"",J43*L43),IF(I43="Probability x Impact",IF(OR(M43="",L43=""),"",M43*L43),IF(I43="Fixed Allowance",O43,IF(I43="Specialist Engine",O43,IF(I43="By Others / Excluded",0,""))))))</f>
        <v/>
      </c>
      <c r="O43" s="1502" t="n"/>
      <c r="P43" s="685" t="n"/>
      <c r="Q43" s="685" t="n"/>
      <c r="R43" s="685" t="n"/>
      <c r="S43" s="685" t="n"/>
      <c r="T43" s="1500">
        <f>IF(S43="Yes",N(O43),0)</f>
        <v/>
      </c>
      <c r="U43" s="211" t="n"/>
      <c r="V43" s="685" t="n"/>
      <c r="W43" s="685" t="n"/>
      <c r="X43" s="683">
        <f>IF(AND(S43="Yes",N(O43)&gt;0,Q43&lt;&gt;"Yes"),"RED - RESIDUAL NOT DISTINCT",IF(AND(COUNTIF($E$41:$E$61,E43)&gt;1,U43=""),"RED - UNDECLARED OVERLAP",IF(COUNTIF($E$41:$E$61,E43)&gt;1,"DECLARED OVERLAP","OK")))</f>
        <v/>
      </c>
      <c r="Y43" s="685" t="n"/>
      <c r="Z43" s="683">
        <f>IF(LEFT(X43,3)="RED","RED",IF(OR(W43="RED",I43="RFI Hold",AND(I43="Unit Rate Delta",ISBLANK(J43))),"RED",IF(OR(W43="AMBER",LEFT(V43,5)="CHECK"),"AMBER","GREEN")))</f>
        <v/>
      </c>
      <c r="AA43" s="211" t="n"/>
      <c r="AB43" s="211" t="n"/>
      <c r="AC43" s="211" t="n"/>
    </row>
    <row r="44">
      <c r="A44" s="211" t="n"/>
      <c r="B44" s="211" t="n"/>
      <c r="C44" s="211" t="n"/>
      <c r="D44" s="211" t="n"/>
      <c r="E44" s="211" t="n"/>
      <c r="F44" s="211" t="n"/>
      <c r="G44" s="1500" t="n"/>
      <c r="H44" s="211" t="n"/>
      <c r="I44" s="211" t="n"/>
      <c r="J44" s="685" t="n"/>
      <c r="K44" s="685" t="n"/>
      <c r="L44" s="1500" t="n"/>
      <c r="M44" s="1501" t="n"/>
      <c r="N44" s="1500">
        <f>IF(I44="Already in Base / No Add",0,IF(I44="Unit Rate Delta",IF(OR(J44="",L44=""),"",J44*L44),IF(I44="Probability x Impact",IF(OR(M44="",L44=""),"",M44*L44),IF(I44="Fixed Allowance",O44,IF(I44="Specialist Engine",O44,IF(I44="By Others / Excluded",0,""))))))</f>
        <v/>
      </c>
      <c r="O44" s="1502" t="n"/>
      <c r="P44" s="685" t="n"/>
      <c r="Q44" s="685" t="n"/>
      <c r="R44" s="685" t="n"/>
      <c r="S44" s="685" t="n"/>
      <c r="T44" s="1500">
        <f>IF(S44="Yes",N(O44),0)</f>
        <v/>
      </c>
      <c r="U44" s="211" t="n"/>
      <c r="V44" s="685" t="n"/>
      <c r="W44" s="685" t="n"/>
      <c r="X44" s="683">
        <f>IF(AND(S44="Yes",N(O44)&gt;0,Q44&lt;&gt;"Yes"),"RED - RESIDUAL NOT DISTINCT",IF(AND(COUNTIF($E$41:$E$61,E44)&gt;1,U44=""),"RED - UNDECLARED OVERLAP",IF(COUNTIF($E$41:$E$61,E44)&gt;1,"DECLARED OVERLAP","OK")))</f>
        <v/>
      </c>
      <c r="Y44" s="685" t="n"/>
      <c r="Z44" s="683">
        <f>IF(LEFT(X44,3)="RED","RED",IF(OR(W44="RED",I44="RFI Hold",AND(I44="Unit Rate Delta",ISBLANK(J44))),"RED",IF(OR(W44="AMBER",LEFT(V44,5)="CHECK"),"AMBER","GREEN")))</f>
        <v/>
      </c>
      <c r="AA44" s="211" t="n"/>
      <c r="AB44" s="211" t="n"/>
      <c r="AC44" s="211" t="n"/>
    </row>
    <row r="45">
      <c r="A45" s="211" t="n"/>
      <c r="B45" s="211" t="n"/>
      <c r="C45" s="211" t="n"/>
      <c r="D45" s="211" t="n"/>
      <c r="E45" s="211" t="n"/>
      <c r="F45" s="211" t="n"/>
      <c r="G45" s="1500" t="n"/>
      <c r="H45" s="211" t="n"/>
      <c r="I45" s="211" t="n"/>
      <c r="J45" s="685" t="n"/>
      <c r="K45" s="685" t="n"/>
      <c r="L45" s="1500" t="n"/>
      <c r="M45" s="1501" t="n"/>
      <c r="N45" s="1500">
        <f>IF(I45="Already in Base / No Add",0,IF(I45="Unit Rate Delta",IF(OR(J45="",L45=""),"",J45*L45),IF(I45="Probability x Impact",IF(OR(M45="",L45=""),"",M45*L45),IF(I45="Fixed Allowance",O45,IF(I45="Specialist Engine",O45,IF(I45="By Others / Excluded",0,""))))))</f>
        <v/>
      </c>
      <c r="O45" s="1502" t="n"/>
      <c r="P45" s="685" t="n"/>
      <c r="Q45" s="685" t="n"/>
      <c r="R45" s="685" t="n"/>
      <c r="S45" s="685" t="n"/>
      <c r="T45" s="1500">
        <f>IF(S45="Yes",N(O45),0)</f>
        <v/>
      </c>
      <c r="U45" s="211" t="n"/>
      <c r="V45" s="685" t="n"/>
      <c r="W45" s="685" t="n"/>
      <c r="X45" s="683">
        <f>IF(AND(S45="Yes",N(O45)&gt;0,Q45&lt;&gt;"Yes"),"RED - RESIDUAL NOT DISTINCT",IF(AND(COUNTIF($E$41:$E$61,E45)&gt;1,U45=""),"RED - UNDECLARED OVERLAP",IF(COUNTIF($E$41:$E$61,E45)&gt;1,"DECLARED OVERLAP","OK")))</f>
        <v/>
      </c>
      <c r="Y45" s="685" t="n"/>
      <c r="Z45" s="683">
        <f>IF(LEFT(X45,3)="RED","RED",IF(OR(W45="RED",I45="RFI Hold",AND(I45="Unit Rate Delta",ISBLANK(J45))),"RED",IF(OR(W45="AMBER",LEFT(V45,5)="CHECK"),"AMBER","GREEN")))</f>
        <v/>
      </c>
      <c r="AA45" s="211" t="n"/>
      <c r="AB45" s="211" t="n"/>
      <c r="AC45" s="211" t="n"/>
    </row>
    <row r="46">
      <c r="A46" s="211" t="n"/>
      <c r="B46" s="211" t="n"/>
      <c r="C46" s="211" t="n"/>
      <c r="D46" s="211" t="n"/>
      <c r="E46" s="211" t="n"/>
      <c r="F46" s="211" t="n"/>
      <c r="G46" s="1500" t="n"/>
      <c r="H46" s="211" t="n"/>
      <c r="I46" s="211" t="n"/>
      <c r="J46" s="685" t="n"/>
      <c r="K46" s="685" t="n"/>
      <c r="L46" s="1500" t="n"/>
      <c r="M46" s="1501" t="n"/>
      <c r="N46" s="1500">
        <f>IF(I46="Already in Base / No Add",0,IF(I46="Unit Rate Delta",IF(OR(J46="",L46=""),"",J46*L46),IF(I46="Probability x Impact",IF(OR(M46="",L46=""),"",M46*L46),IF(I46="Fixed Allowance",O46,IF(I46="Specialist Engine",O46,IF(I46="By Others / Excluded",0,""))))))</f>
        <v/>
      </c>
      <c r="O46" s="1502" t="n"/>
      <c r="P46" s="685" t="n"/>
      <c r="Q46" s="685" t="n"/>
      <c r="R46" s="685" t="n"/>
      <c r="S46" s="685" t="n"/>
      <c r="T46" s="1500">
        <f>IF(S46="Yes",N(O46),0)</f>
        <v/>
      </c>
      <c r="U46" s="211" t="n"/>
      <c r="V46" s="685" t="n"/>
      <c r="W46" s="685" t="n"/>
      <c r="X46" s="683">
        <f>IF(AND(S46="Yes",N(O46)&gt;0,Q46&lt;&gt;"Yes"),"RED - RESIDUAL NOT DISTINCT",IF(AND(COUNTIF($E$41:$E$61,E46)&gt;1,U46=""),"RED - UNDECLARED OVERLAP",IF(COUNTIF($E$41:$E$61,E46)&gt;1,"DECLARED OVERLAP","OK")))</f>
        <v/>
      </c>
      <c r="Y46" s="685" t="n"/>
      <c r="Z46" s="683">
        <f>IF(LEFT(X46,3)="RED","RED",IF(OR(W46="RED",I46="RFI Hold",AND(I46="Unit Rate Delta",ISBLANK(J46))),"RED",IF(OR(W46="AMBER",LEFT(V46,5)="CHECK"),"AMBER","GREEN")))</f>
        <v/>
      </c>
      <c r="AA46" s="211" t="n"/>
      <c r="AB46" s="211" t="n"/>
      <c r="AC46" s="211" t="n"/>
    </row>
    <row r="47">
      <c r="A47" s="211" t="n"/>
      <c r="B47" s="211" t="n"/>
      <c r="C47" s="211" t="n"/>
      <c r="D47" s="211" t="n"/>
      <c r="E47" s="211" t="n"/>
      <c r="F47" s="211" t="n"/>
      <c r="G47" s="1500" t="n"/>
      <c r="H47" s="211" t="n"/>
      <c r="I47" s="211" t="n"/>
      <c r="J47" s="685" t="n"/>
      <c r="K47" s="685" t="n"/>
      <c r="L47" s="1500" t="n"/>
      <c r="M47" s="1501" t="n"/>
      <c r="N47" s="1500">
        <f>IF(I47="Already in Base / No Add",0,IF(I47="Unit Rate Delta",IF(OR(J47="",L47=""),"",J47*L47),IF(I47="Probability x Impact",IF(OR(M47="",L47=""),"",M47*L47),IF(I47="Fixed Allowance",O47,IF(I47="Specialist Engine",O47,IF(I47="By Others / Excluded",0,""))))))</f>
        <v/>
      </c>
      <c r="O47" s="1502" t="n"/>
      <c r="P47" s="685" t="n"/>
      <c r="Q47" s="685" t="n"/>
      <c r="R47" s="685" t="n"/>
      <c r="S47" s="685" t="n"/>
      <c r="T47" s="1500">
        <f>IF(S47="Yes",N(O47),0)</f>
        <v/>
      </c>
      <c r="U47" s="211" t="n"/>
      <c r="V47" s="685" t="n"/>
      <c r="W47" s="685" t="n"/>
      <c r="X47" s="683">
        <f>IF(AND(S47="Yes",N(O47)&gt;0,Q47&lt;&gt;"Yes"),"RED - RESIDUAL NOT DISTINCT",IF(AND(COUNTIF($E$41:$E$61,E47)&gt;1,U47=""),"RED - UNDECLARED OVERLAP",IF(COUNTIF($E$41:$E$61,E47)&gt;1,"DECLARED OVERLAP","OK")))</f>
        <v/>
      </c>
      <c r="Y47" s="685" t="n"/>
      <c r="Z47" s="683">
        <f>IF(LEFT(X47,3)="RED","RED",IF(OR(W47="RED",I47="RFI Hold",AND(I47="Unit Rate Delta",ISBLANK(J47))),"RED",IF(OR(W47="AMBER",LEFT(V47,5)="CHECK"),"AMBER","GREEN")))</f>
        <v/>
      </c>
      <c r="AA47" s="211" t="n"/>
      <c r="AB47" s="211" t="n"/>
      <c r="AC47" s="211" t="n"/>
    </row>
    <row r="48">
      <c r="A48" s="211" t="n"/>
      <c r="B48" s="211" t="n"/>
      <c r="C48" s="211" t="n"/>
      <c r="D48" s="211" t="n"/>
      <c r="E48" s="211" t="n"/>
      <c r="F48" s="211" t="n"/>
      <c r="G48" s="1500" t="n"/>
      <c r="H48" s="211" t="n"/>
      <c r="I48" s="211" t="n"/>
      <c r="J48" s="685" t="n"/>
      <c r="K48" s="685" t="n"/>
      <c r="L48" s="1500" t="n"/>
      <c r="M48" s="1501" t="n"/>
      <c r="N48" s="1500">
        <f>IF(I48="Already in Base / No Add",0,IF(I48="Unit Rate Delta",IF(OR(J48="",L48=""),"",J48*L48),IF(I48="Probability x Impact",IF(OR(M48="",L48=""),"",M48*L48),IF(I48="Fixed Allowance",O48,IF(I48="Specialist Engine",O48,IF(I48="By Others / Excluded",0,""))))))</f>
        <v/>
      </c>
      <c r="O48" s="1502" t="n"/>
      <c r="P48" s="685" t="n"/>
      <c r="Q48" s="685" t="n"/>
      <c r="R48" s="685" t="n"/>
      <c r="S48" s="685" t="n"/>
      <c r="T48" s="1500">
        <f>IF(S48="Yes",N(O48),0)</f>
        <v/>
      </c>
      <c r="U48" s="211" t="n"/>
      <c r="V48" s="685" t="n"/>
      <c r="W48" s="685" t="n"/>
      <c r="X48" s="683">
        <f>IF(AND(S48="Yes",N(O48)&gt;0,Q48&lt;&gt;"Yes"),"RED - RESIDUAL NOT DISTINCT",IF(AND(COUNTIF($E$41:$E$61,E48)&gt;1,U48=""),"RED - UNDECLARED OVERLAP",IF(COUNTIF($E$41:$E$61,E48)&gt;1,"DECLARED OVERLAP","OK")))</f>
        <v/>
      </c>
      <c r="Y48" s="685" t="n"/>
      <c r="Z48" s="683">
        <f>IF(LEFT(X48,3)="RED","RED",IF(OR(W48="RED",I48="RFI Hold",AND(I48="Unit Rate Delta",ISBLANK(J48))),"RED",IF(OR(W48="AMBER",LEFT(V48,5)="CHECK"),"AMBER","GREEN")))</f>
        <v/>
      </c>
      <c r="AA48" s="211" t="n"/>
      <c r="AB48" s="211" t="n"/>
      <c r="AC48" s="211" t="n"/>
    </row>
    <row r="49">
      <c r="A49" s="211" t="n"/>
      <c r="B49" s="211" t="n"/>
      <c r="C49" s="211" t="n"/>
      <c r="D49" s="211" t="n"/>
      <c r="E49" s="211" t="n"/>
      <c r="F49" s="211" t="n"/>
      <c r="G49" s="1500" t="n"/>
      <c r="H49" s="211" t="n"/>
      <c r="I49" s="211" t="n"/>
      <c r="J49" s="685" t="n"/>
      <c r="K49" s="685" t="n"/>
      <c r="L49" s="1500" t="n"/>
      <c r="M49" s="1501" t="n"/>
      <c r="N49" s="1500">
        <f>IF(I49="Already in Base / No Add",0,IF(I49="Unit Rate Delta",IF(OR(J49="",L49=""),"",J49*L49),IF(I49="Probability x Impact",IF(OR(M49="",L49=""),"",M49*L49),IF(I49="Fixed Allowance",O49,IF(I49="Specialist Engine",O49,IF(I49="By Others / Excluded",0,""))))))</f>
        <v/>
      </c>
      <c r="O49" s="1502" t="n"/>
      <c r="P49" s="685" t="n"/>
      <c r="Q49" s="685" t="n"/>
      <c r="R49" s="685" t="n"/>
      <c r="S49" s="685" t="n"/>
      <c r="T49" s="1500">
        <f>IF(S49="Yes",N(O49),0)</f>
        <v/>
      </c>
      <c r="U49" s="211" t="n"/>
      <c r="V49" s="685" t="n"/>
      <c r="W49" s="685" t="n"/>
      <c r="X49" s="683">
        <f>IF(AND(S49="Yes",N(O49)&gt;0,Q49&lt;&gt;"Yes"),"RED - RESIDUAL NOT DISTINCT",IF(AND(COUNTIF($E$41:$E$61,E49)&gt;1,U49=""),"RED - UNDECLARED OVERLAP",IF(COUNTIF($E$41:$E$61,E49)&gt;1,"DECLARED OVERLAP","OK")))</f>
        <v/>
      </c>
      <c r="Y49" s="685" t="n"/>
      <c r="Z49" s="683">
        <f>IF(LEFT(X49,3)="RED","RED",IF(OR(W49="RED",I49="RFI Hold",AND(I49="Unit Rate Delta",ISBLANK(J49))),"RED",IF(OR(W49="AMBER",LEFT(V49,5)="CHECK"),"AMBER","GREEN")))</f>
        <v/>
      </c>
      <c r="AA49" s="211" t="n"/>
      <c r="AB49" s="211" t="n"/>
      <c r="AC49" s="211" t="n"/>
    </row>
    <row r="50">
      <c r="A50" s="211" t="n"/>
      <c r="B50" s="211" t="n"/>
      <c r="C50" s="211" t="n"/>
      <c r="D50" s="211" t="n"/>
      <c r="E50" s="211" t="n"/>
      <c r="F50" s="211" t="n"/>
      <c r="G50" s="1500" t="n"/>
      <c r="H50" s="211" t="n"/>
      <c r="I50" s="211" t="n"/>
      <c r="J50" s="685" t="n"/>
      <c r="K50" s="685" t="n"/>
      <c r="L50" s="1500" t="n"/>
      <c r="M50" s="1501" t="n"/>
      <c r="N50" s="1500">
        <f>IF(I50="Already in Base / No Add",0,IF(I50="Unit Rate Delta",IF(OR(J50="",L50=""),"",J50*L50),IF(I50="Probability x Impact",IF(OR(M50="",L50=""),"",M50*L50),IF(I50="Fixed Allowance",O50,IF(I50="Specialist Engine",O50,IF(I50="By Others / Excluded",0,""))))))</f>
        <v/>
      </c>
      <c r="O50" s="1502" t="n"/>
      <c r="P50" s="685" t="n"/>
      <c r="Q50" s="685" t="n"/>
      <c r="R50" s="685" t="n"/>
      <c r="S50" s="685" t="n"/>
      <c r="T50" s="1500">
        <f>IF(S50="Yes",N(O50),0)</f>
        <v/>
      </c>
      <c r="U50" s="211" t="n"/>
      <c r="V50" s="685" t="n"/>
      <c r="W50" s="685" t="n"/>
      <c r="X50" s="683">
        <f>IF(AND(S50="Yes",N(O50)&gt;0,Q50&lt;&gt;"Yes"),"RED - RESIDUAL NOT DISTINCT",IF(AND(COUNTIF($E$41:$E$61,E50)&gt;1,U50=""),"RED - UNDECLARED OVERLAP",IF(COUNTIF($E$41:$E$61,E50)&gt;1,"DECLARED OVERLAP","OK")))</f>
        <v/>
      </c>
      <c r="Y50" s="685" t="n"/>
      <c r="Z50" s="683">
        <f>IF(LEFT(X50,3)="RED","RED",IF(OR(W50="RED",I50="RFI Hold",AND(I50="Unit Rate Delta",ISBLANK(J50))),"RED",IF(OR(W50="AMBER",LEFT(V50,5)="CHECK"),"AMBER","GREEN")))</f>
        <v/>
      </c>
      <c r="AA50" s="211" t="n"/>
      <c r="AB50" s="211" t="n"/>
      <c r="AC50" s="211" t="n"/>
    </row>
    <row r="51">
      <c r="A51" s="211" t="n"/>
      <c r="B51" s="211" t="n"/>
      <c r="C51" s="211" t="n"/>
      <c r="D51" s="211" t="n"/>
      <c r="E51" s="211" t="n"/>
      <c r="F51" s="211" t="n"/>
      <c r="G51" s="1500" t="n"/>
      <c r="H51" s="211" t="n"/>
      <c r="I51" s="211" t="n"/>
      <c r="J51" s="685" t="n"/>
      <c r="K51" s="685" t="n"/>
      <c r="L51" s="1500" t="n"/>
      <c r="M51" s="1501" t="n"/>
      <c r="N51" s="1500">
        <f>IF(I51="Already in Base / No Add",0,IF(I51="Unit Rate Delta",IF(OR(J51="",L51=""),"",J51*L51),IF(I51="Probability x Impact",IF(OR(M51="",L51=""),"",M51*L51),IF(I51="Fixed Allowance",O51,IF(I51="Specialist Engine",O51,IF(I51="By Others / Excluded",0,""))))))</f>
        <v/>
      </c>
      <c r="O51" s="1502" t="n"/>
      <c r="P51" s="685" t="n"/>
      <c r="Q51" s="685" t="n"/>
      <c r="R51" s="685" t="n"/>
      <c r="S51" s="685" t="n"/>
      <c r="T51" s="1500">
        <f>IF(S51="Yes",N(O51),0)</f>
        <v/>
      </c>
      <c r="U51" s="211" t="n"/>
      <c r="V51" s="685" t="n"/>
      <c r="W51" s="685" t="n"/>
      <c r="X51" s="683">
        <f>IF(AND(S51="Yes",N(O51)&gt;0,Q51&lt;&gt;"Yes"),"RED - RESIDUAL NOT DISTINCT",IF(AND(COUNTIF($E$41:$E$61,E51)&gt;1,U51=""),"RED - UNDECLARED OVERLAP",IF(COUNTIF($E$41:$E$61,E51)&gt;1,"DECLARED OVERLAP","OK")))</f>
        <v/>
      </c>
      <c r="Y51" s="685" t="n"/>
      <c r="Z51" s="683">
        <f>IF(LEFT(X51,3)="RED","RED",IF(OR(W51="RED",I51="RFI Hold",AND(I51="Unit Rate Delta",ISBLANK(J51))),"RED",IF(OR(W51="AMBER",LEFT(V51,5)="CHECK"),"AMBER","GREEN")))</f>
        <v/>
      </c>
      <c r="AA51" s="211" t="n"/>
      <c r="AB51" s="211" t="n"/>
      <c r="AC51" s="211" t="n"/>
    </row>
    <row r="52">
      <c r="A52" s="211" t="n"/>
      <c r="B52" s="211" t="n"/>
      <c r="C52" s="211" t="n"/>
      <c r="D52" s="211" t="n"/>
      <c r="E52" s="211" t="n"/>
      <c r="F52" s="211" t="n"/>
      <c r="G52" s="1500" t="n"/>
      <c r="H52" s="211" t="n"/>
      <c r="I52" s="211" t="n"/>
      <c r="J52" s="685" t="n"/>
      <c r="K52" s="685" t="n"/>
      <c r="L52" s="1500" t="n"/>
      <c r="M52" s="1501" t="n"/>
      <c r="N52" s="1500">
        <f>IF(I52="Already in Base / No Add",0,IF(I52="Unit Rate Delta",IF(OR(J52="",L52=""),"",J52*L52),IF(I52="Probability x Impact",IF(OR(M52="",L52=""),"",M52*L52),IF(I52="Fixed Allowance",O52,IF(I52="Specialist Engine",O52,IF(I52="By Others / Excluded",0,""))))))</f>
        <v/>
      </c>
      <c r="O52" s="1502" t="n"/>
      <c r="P52" s="685" t="n"/>
      <c r="Q52" s="685" t="n"/>
      <c r="R52" s="685" t="n"/>
      <c r="S52" s="685" t="n"/>
      <c r="T52" s="1500">
        <f>IF(S52="Yes",N(O52),0)</f>
        <v/>
      </c>
      <c r="U52" s="211" t="n"/>
      <c r="V52" s="685" t="n"/>
      <c r="W52" s="685" t="n"/>
      <c r="X52" s="683">
        <f>IF(AND(S52="Yes",N(O52)&gt;0,Q52&lt;&gt;"Yes"),"RED - RESIDUAL NOT DISTINCT",IF(AND(COUNTIF($E$41:$E$61,E52)&gt;1,U52=""),"RED - UNDECLARED OVERLAP",IF(COUNTIF($E$41:$E$61,E52)&gt;1,"DECLARED OVERLAP","OK")))</f>
        <v/>
      </c>
      <c r="Y52" s="685" t="n"/>
      <c r="Z52" s="683">
        <f>IF(LEFT(X52,3)="RED","RED",IF(OR(W52="RED",I52="RFI Hold",AND(I52="Unit Rate Delta",ISBLANK(J52))),"RED",IF(OR(W52="AMBER",LEFT(V52,5)="CHECK"),"AMBER","GREEN")))</f>
        <v/>
      </c>
      <c r="AA52" s="211" t="n"/>
      <c r="AB52" s="211" t="n"/>
      <c r="AC52" s="211" t="n"/>
    </row>
    <row r="53">
      <c r="A53" s="211" t="n"/>
      <c r="B53" s="211" t="n"/>
      <c r="C53" s="211" t="n"/>
      <c r="D53" s="211" t="n"/>
      <c r="E53" s="211" t="n"/>
      <c r="F53" s="211" t="n"/>
      <c r="G53" s="1500" t="n"/>
      <c r="H53" s="211" t="n"/>
      <c r="I53" s="211" t="n"/>
      <c r="J53" s="685" t="n"/>
      <c r="K53" s="685" t="n"/>
      <c r="L53" s="1500" t="n"/>
      <c r="M53" s="1501" t="n"/>
      <c r="N53" s="1500">
        <f>IF(I53="Already in Base / No Add",0,IF(I53="Unit Rate Delta",IF(OR(J53="",L53=""),"",J53*L53),IF(I53="Probability x Impact",IF(OR(M53="",L53=""),"",M53*L53),IF(I53="Fixed Allowance",O53,IF(I53="Specialist Engine",O53,IF(I53="By Others / Excluded",0,""))))))</f>
        <v/>
      </c>
      <c r="O53" s="1502" t="n"/>
      <c r="P53" s="685" t="n"/>
      <c r="Q53" s="685" t="n"/>
      <c r="R53" s="685" t="n"/>
      <c r="S53" s="685" t="n"/>
      <c r="T53" s="1500">
        <f>IF(S53="Yes",N(O53),0)</f>
        <v/>
      </c>
      <c r="U53" s="211" t="n"/>
      <c r="V53" s="685" t="n"/>
      <c r="W53" s="685" t="n"/>
      <c r="X53" s="683">
        <f>IF(AND(S53="Yes",N(O53)&gt;0,Q53&lt;&gt;"Yes"),"RED - RESIDUAL NOT DISTINCT",IF(AND(COUNTIF($E$41:$E$61,E53)&gt;1,U53=""),"RED - UNDECLARED OVERLAP",IF(COUNTIF($E$41:$E$61,E53)&gt;1,"DECLARED OVERLAP","OK")))</f>
        <v/>
      </c>
      <c r="Y53" s="685" t="n"/>
      <c r="Z53" s="683">
        <f>IF(LEFT(X53,3)="RED","RED",IF(OR(W53="RED",I53="RFI Hold",AND(I53="Unit Rate Delta",ISBLANK(J53))),"RED",IF(OR(W53="AMBER",LEFT(V53,5)="CHECK"),"AMBER","GREEN")))</f>
        <v/>
      </c>
      <c r="AA53" s="211" t="n"/>
      <c r="AB53" s="211" t="n"/>
      <c r="AC53" s="211" t="n"/>
    </row>
    <row r="54" ht="63.75" customHeight="1" s="491">
      <c r="A54" s="211" t="n"/>
      <c r="B54" s="211" t="n"/>
      <c r="C54" s="211" t="n"/>
      <c r="D54" s="211" t="n"/>
      <c r="E54" s="211" t="n"/>
      <c r="F54" s="211" t="n"/>
      <c r="G54" s="1503" t="n"/>
      <c r="H54" s="211" t="n"/>
      <c r="I54" s="211" t="n"/>
      <c r="J54" s="53" t="n"/>
      <c r="K54" s="53" t="n"/>
      <c r="L54" s="1503" t="n"/>
      <c r="M54" s="1441" t="n"/>
      <c r="N54" s="1503">
        <f>IF(I54="Already in Base / No Add",0,IF(I54="Unit Rate Delta",IF(OR(J54="",L54=""),"",J54*L54),IF(I54="Probability x Impact",IF(OR(M54="",L54=""),"",M54*L54),IF(I54="Fixed Allowance",O54,IF(I54="Specialist Engine",O54,IF(I54="By Others / Excluded",0,""))))))</f>
        <v/>
      </c>
      <c r="O54" s="1504" t="n"/>
      <c r="P54" s="53" t="n"/>
      <c r="Q54" s="53" t="n"/>
      <c r="R54" s="53" t="n"/>
      <c r="S54" s="53" t="n"/>
      <c r="T54" s="1503">
        <f>IF(S54="Yes",N(O54),0)</f>
        <v/>
      </c>
      <c r="U54" s="211" t="n"/>
      <c r="V54" s="53" t="n"/>
      <c r="W54" s="53" t="n"/>
      <c r="X54" s="81">
        <f>IF(AND(S54="Yes",N(O54)&gt;0,Q54&lt;&gt;"Yes"),"RED - RESIDUAL NOT DISTINCT",IF(AND(COUNTIF($E$41:$E$61,E54)&gt;1,U54=""),"RED - UNDECLARED OVERLAP",IF(COUNTIF($E$41:$E$61,E54)&gt;1,"DECLARED OVERLAP","OK")))</f>
        <v/>
      </c>
      <c r="Y54" s="53" t="n"/>
      <c r="Z54" s="81">
        <f>IF(LEFT(X54,3)="RED","RED",IF(OR(W54="RED",I54="RFI Hold",AND(I54="Unit Rate Delta",ISBLANK(J54))),"RED",IF(OR(W54="AMBER",LEFT(V54,5)="CHECK"),"AMBER","GREEN")))</f>
        <v/>
      </c>
      <c r="AA54" s="211" t="n"/>
      <c r="AB54" s="211" t="n"/>
      <c r="AC54" s="211" t="n"/>
    </row>
    <row r="55">
      <c r="A55" s="211" t="n"/>
      <c r="B55" s="211" t="n"/>
      <c r="C55" s="211" t="n"/>
      <c r="D55" s="211" t="n"/>
      <c r="E55" s="211" t="n"/>
      <c r="F55" s="211" t="n"/>
      <c r="G55" s="1500" t="n"/>
      <c r="H55" s="211" t="n"/>
      <c r="I55" s="211" t="n"/>
      <c r="J55" s="685" t="n"/>
      <c r="K55" s="685" t="n"/>
      <c r="L55" s="1500" t="n"/>
      <c r="M55" s="1501" t="n"/>
      <c r="N55" s="1500">
        <f>IF(I55="Already in Base / No Add",0,IF(I55="Unit Rate Delta",IF(OR(J55="",L55=""),"",J55*L55),IF(I55="Probability x Impact",IF(OR(M55="",L55=""),"",M55*L55),IF(I55="Fixed Allowance",O55,IF(I55="Specialist Engine",O55,IF(I55="By Others / Excluded",0,""))))))</f>
        <v/>
      </c>
      <c r="O55" s="1502" t="n"/>
      <c r="P55" s="685" t="n"/>
      <c r="Q55" s="685" t="n"/>
      <c r="R55" s="685" t="n"/>
      <c r="S55" s="685" t="n"/>
      <c r="T55" s="1500">
        <f>IF(S55="Yes",N(O55),0)</f>
        <v/>
      </c>
      <c r="U55" s="211" t="n"/>
      <c r="V55" s="685" t="n"/>
      <c r="W55" s="685" t="n"/>
      <c r="X55" s="683">
        <f>IF(AND(S55="Yes",N(O55)&gt;0,Q55&lt;&gt;"Yes"),"RED - RESIDUAL NOT DISTINCT",IF(AND(COUNTIF($E$41:$E$61,E55)&gt;1,U55=""),"RED - UNDECLARED OVERLAP",IF(COUNTIF($E$41:$E$61,E55)&gt;1,"DECLARED OVERLAP","OK")))</f>
        <v/>
      </c>
      <c r="Y55" s="685" t="n"/>
      <c r="Z55" s="683">
        <f>IF(LEFT(X55,3)="RED","RED",IF(OR(W55="RED",I55="RFI Hold",AND(I55="Unit Rate Delta",ISBLANK(J55))),"RED",IF(OR(W55="AMBER",LEFT(V55,5)="CHECK"),"AMBER","GREEN")))</f>
        <v/>
      </c>
      <c r="AA55" s="211" t="n"/>
      <c r="AB55" s="211" t="n"/>
      <c r="AC55" s="211" t="n"/>
    </row>
    <row r="56">
      <c r="A56" s="211" t="n"/>
      <c r="B56" s="211" t="n"/>
      <c r="C56" s="211" t="n"/>
      <c r="D56" s="211" t="n"/>
      <c r="E56" s="211" t="n"/>
      <c r="F56" s="211" t="n"/>
      <c r="G56" s="1500" t="n"/>
      <c r="H56" s="211" t="n"/>
      <c r="I56" s="211" t="n"/>
      <c r="J56" s="685" t="n"/>
      <c r="K56" s="685" t="n"/>
      <c r="L56" s="1500" t="n"/>
      <c r="M56" s="1501" t="n"/>
      <c r="N56" s="1500">
        <f>IF(I56="Already in Base / No Add",0,IF(I56="Unit Rate Delta",IF(OR(J56="",L56=""),"",J56*L56),IF(I56="Probability x Impact",IF(OR(M56="",L56=""),"",M56*L56),IF(I56="Fixed Allowance",O56,IF(I56="Specialist Engine",O56,IF(I56="By Others / Excluded",0,""))))))</f>
        <v/>
      </c>
      <c r="O56" s="1502" t="n"/>
      <c r="P56" s="685" t="n"/>
      <c r="Q56" s="685" t="n"/>
      <c r="R56" s="685" t="n"/>
      <c r="S56" s="685" t="n"/>
      <c r="T56" s="1500">
        <f>IF(S56="Yes",N(O56),0)</f>
        <v/>
      </c>
      <c r="U56" s="211" t="n"/>
      <c r="V56" s="685" t="n"/>
      <c r="W56" s="685" t="n"/>
      <c r="X56" s="683">
        <f>IF(AND(S56="Yes",N(O56)&gt;0,Q56&lt;&gt;"Yes"),"RED - RESIDUAL NOT DISTINCT",IF(AND(COUNTIF($E$41:$E$61,E56)&gt;1,U56=""),"RED - UNDECLARED OVERLAP",IF(COUNTIF($E$41:$E$61,E56)&gt;1,"DECLARED OVERLAP","OK")))</f>
        <v/>
      </c>
      <c r="Y56" s="685" t="n"/>
      <c r="Z56" s="683">
        <f>IF(LEFT(X56,3)="RED","RED",IF(OR(W56="RED",I56="RFI Hold",AND(I56="Unit Rate Delta",ISBLANK(J56))),"RED",IF(OR(W56="AMBER",LEFT(V56,5)="CHECK"),"AMBER","GREEN")))</f>
        <v/>
      </c>
      <c r="AA56" s="211" t="n"/>
      <c r="AB56" s="211" t="n"/>
      <c r="AC56" s="211" t="n"/>
    </row>
    <row r="57">
      <c r="A57" s="211" t="n"/>
      <c r="B57" s="211" t="n"/>
      <c r="C57" s="211" t="n"/>
      <c r="D57" s="211" t="n"/>
      <c r="E57" s="211" t="n"/>
      <c r="F57" s="211" t="n"/>
      <c r="G57" s="1500" t="n"/>
      <c r="H57" s="211" t="n"/>
      <c r="I57" s="211" t="n"/>
      <c r="J57" s="685" t="n"/>
      <c r="K57" s="685" t="n"/>
      <c r="L57" s="1500" t="n"/>
      <c r="M57" s="1501" t="n"/>
      <c r="N57" s="1500">
        <f>IF(I57="Already in Base / No Add",0,IF(I57="Unit Rate Delta",IF(OR(J57="",L57=""),"",J57*L57),IF(I57="Probability x Impact",IF(OR(M57="",L57=""),"",M57*L57),IF(I57="Fixed Allowance",O57,IF(I57="Specialist Engine",O57,IF(I57="By Others / Excluded",0,""))))))</f>
        <v/>
      </c>
      <c r="O57" s="1502" t="n"/>
      <c r="P57" s="685" t="n"/>
      <c r="Q57" s="685" t="n"/>
      <c r="R57" s="685" t="n"/>
      <c r="S57" s="685" t="n"/>
      <c r="T57" s="1500">
        <f>IF(S57="Yes",N(O57),0)</f>
        <v/>
      </c>
      <c r="U57" s="211" t="n"/>
      <c r="V57" s="685" t="n"/>
      <c r="W57" s="685" t="n"/>
      <c r="X57" s="683">
        <f>IF(AND(S57="Yes",N(O57)&gt;0,Q57&lt;&gt;"Yes"),"RED - RESIDUAL NOT DISTINCT",IF(AND(COUNTIF($E$41:$E$61,E57)&gt;1,U57=""),"RED - UNDECLARED OVERLAP",IF(COUNTIF($E$41:$E$61,E57)&gt;1,"DECLARED OVERLAP","OK")))</f>
        <v/>
      </c>
      <c r="Y57" s="685" t="n"/>
      <c r="Z57" s="683">
        <f>IF(LEFT(X57,3)="RED","RED",IF(OR(W57="RED",I57="RFI Hold",AND(I57="Unit Rate Delta",ISBLANK(J57))),"RED",IF(OR(W57="AMBER",LEFT(V57,5)="CHECK"),"AMBER","GREEN")))</f>
        <v/>
      </c>
      <c r="AA57" s="211" t="n"/>
      <c r="AB57" s="211" t="n"/>
      <c r="AC57" s="211" t="n"/>
    </row>
    <row r="58">
      <c r="A58" s="211" t="n"/>
      <c r="B58" s="211" t="n"/>
      <c r="C58" s="211" t="n"/>
      <c r="D58" s="211" t="n"/>
      <c r="E58" s="211" t="n"/>
      <c r="F58" s="211" t="n"/>
      <c r="G58" s="1500" t="n"/>
      <c r="H58" s="211" t="n"/>
      <c r="I58" s="211" t="n"/>
      <c r="J58" s="685" t="n"/>
      <c r="K58" s="685" t="n"/>
      <c r="L58" s="1500" t="n"/>
      <c r="M58" s="1501" t="n"/>
      <c r="N58" s="1500">
        <f>IF(I58="Already in Base / No Add",0,IF(I58="Unit Rate Delta",IF(OR(J58="",L58=""),"",J58*L58),IF(I58="Probability x Impact",IF(OR(M58="",L58=""),"",M58*L58),IF(I58="Fixed Allowance",O58,IF(I58="Specialist Engine",O58,IF(I58="By Others / Excluded",0,""))))))</f>
        <v/>
      </c>
      <c r="O58" s="1502" t="n"/>
      <c r="P58" s="685" t="n"/>
      <c r="Q58" s="685" t="n"/>
      <c r="R58" s="685" t="n"/>
      <c r="S58" s="685" t="n"/>
      <c r="T58" s="1500">
        <f>IF(S58="Yes",N(O58),0)</f>
        <v/>
      </c>
      <c r="U58" s="211" t="n"/>
      <c r="V58" s="685" t="n"/>
      <c r="W58" s="685" t="n"/>
      <c r="X58" s="683">
        <f>IF(AND(S58="Yes",N(O58)&gt;0,Q58&lt;&gt;"Yes"),"RED - RESIDUAL NOT DISTINCT",IF(AND(COUNTIF($E$41:$E$61,E58)&gt;1,U58=""),"RED - UNDECLARED OVERLAP",IF(COUNTIF($E$41:$E$61,E58)&gt;1,"DECLARED OVERLAP","OK")))</f>
        <v/>
      </c>
      <c r="Y58" s="685" t="n"/>
      <c r="Z58" s="683">
        <f>IF(LEFT(X58,3)="RED","RED",IF(OR(W58="RED",I58="RFI Hold",AND(I58="Unit Rate Delta",ISBLANK(J58))),"RED",IF(OR(W58="AMBER",LEFT(V58,5)="CHECK"),"AMBER","GREEN")))</f>
        <v/>
      </c>
      <c r="AA58" s="211" t="n"/>
      <c r="AB58" s="211" t="n"/>
      <c r="AC58" s="211" t="n"/>
    </row>
    <row r="59">
      <c r="A59" s="211" t="n"/>
      <c r="B59" s="211" t="n"/>
      <c r="C59" s="211" t="n"/>
      <c r="D59" s="211" t="n"/>
      <c r="E59" s="211" t="n"/>
      <c r="F59" s="211" t="n"/>
      <c r="G59" s="1500" t="n"/>
      <c r="H59" s="211" t="n"/>
      <c r="I59" s="211" t="n"/>
      <c r="J59" s="685" t="n"/>
      <c r="K59" s="685" t="n"/>
      <c r="L59" s="1500" t="n"/>
      <c r="M59" s="1501" t="n"/>
      <c r="N59" s="1500">
        <f>IF(I59="Already in Base / No Add",0,IF(I59="Unit Rate Delta",IF(OR(J59="",L59=""),"",J59*L59),IF(I59="Probability x Impact",IF(OR(M59="",L59=""),"",M59*L59),IF(I59="Fixed Allowance",O59,IF(I59="Specialist Engine",O59,IF(I59="By Others / Excluded",0,""))))))</f>
        <v/>
      </c>
      <c r="O59" s="1502" t="n"/>
      <c r="P59" s="685" t="n"/>
      <c r="Q59" s="685" t="n"/>
      <c r="R59" s="685" t="n"/>
      <c r="S59" s="685" t="n"/>
      <c r="T59" s="1500">
        <f>IF(S59="Yes",N(O59),0)</f>
        <v/>
      </c>
      <c r="U59" s="211" t="n"/>
      <c r="V59" s="685" t="n"/>
      <c r="W59" s="685" t="n"/>
      <c r="X59" s="683">
        <f>IF(AND(S59="Yes",N(O59)&gt;0,Q59&lt;&gt;"Yes"),"RED - RESIDUAL NOT DISTINCT",IF(AND(COUNTIF($E$41:$E$61,E59)&gt;1,U59=""),"RED - UNDECLARED OVERLAP",IF(COUNTIF($E$41:$E$61,E59)&gt;1,"DECLARED OVERLAP","OK")))</f>
        <v/>
      </c>
      <c r="Y59" s="685" t="n"/>
      <c r="Z59" s="683">
        <f>IF(LEFT(X59,3)="RED","RED",IF(OR(W59="RED",I59="RFI Hold",AND(I59="Unit Rate Delta",ISBLANK(J59))),"RED",IF(OR(W59="AMBER",LEFT(V59,5)="CHECK"),"AMBER","GREEN")))</f>
        <v/>
      </c>
      <c r="AA59" s="211" t="n"/>
      <c r="AB59" s="211" t="n"/>
      <c r="AC59" s="211" t="n"/>
    </row>
    <row r="60">
      <c r="A60" s="211" t="n"/>
      <c r="B60" s="211" t="n"/>
      <c r="C60" s="211" t="n"/>
      <c r="D60" s="211" t="n"/>
      <c r="E60" s="211" t="n"/>
      <c r="F60" s="211" t="n"/>
      <c r="G60" s="1500" t="n"/>
      <c r="H60" s="211" t="n"/>
      <c r="I60" s="211" t="n"/>
      <c r="J60" s="685" t="n"/>
      <c r="K60" s="685" t="n"/>
      <c r="L60" s="1500" t="n"/>
      <c r="M60" s="1501" t="n"/>
      <c r="N60" s="1500">
        <f>IF(I60="Already in Base / No Add",0,IF(I60="Unit Rate Delta",IF(OR(J60="",L60=""),"",J60*L60),IF(I60="Probability x Impact",IF(OR(M60="",L60=""),"",M60*L60),IF(I60="Fixed Allowance",O60,IF(I60="Specialist Engine",O60,IF(I60="By Others / Excluded",0,""))))))</f>
        <v/>
      </c>
      <c r="O60" s="1502" t="n"/>
      <c r="P60" s="685" t="n"/>
      <c r="Q60" s="685" t="n"/>
      <c r="R60" s="685" t="n"/>
      <c r="S60" s="685" t="n"/>
      <c r="T60" s="1500">
        <f>IF(S60="Yes",N(O60),0)</f>
        <v/>
      </c>
      <c r="U60" s="211" t="n"/>
      <c r="V60" s="685" t="n"/>
      <c r="W60" s="685" t="n"/>
      <c r="X60" s="683">
        <f>IF(AND(S60="Yes",N(O60)&gt;0,Q60&lt;&gt;"Yes"),"RED - RESIDUAL NOT DISTINCT",IF(AND(COUNTIF($E$41:$E$61,E60)&gt;1,U60=""),"RED - UNDECLARED OVERLAP",IF(COUNTIF($E$41:$E$61,E60)&gt;1,"DECLARED OVERLAP","OK")))</f>
        <v/>
      </c>
      <c r="Y60" s="685" t="n"/>
      <c r="Z60" s="683">
        <f>IF(LEFT(X60,3)="RED","RED",IF(OR(W60="RED",I60="RFI Hold",AND(I60="Unit Rate Delta",ISBLANK(J60))),"RED",IF(OR(W60="AMBER",LEFT(V60,5)="CHECK"),"AMBER","GREEN")))</f>
        <v/>
      </c>
      <c r="AA60" s="211" t="n"/>
      <c r="AB60" s="211" t="n"/>
      <c r="AC60" s="211" t="n"/>
    </row>
    <row r="61">
      <c r="A61" s="211" t="n"/>
      <c r="B61" s="211" t="n"/>
      <c r="C61" s="211" t="n"/>
      <c r="D61" s="211" t="n"/>
      <c r="E61" s="211" t="n"/>
      <c r="F61" s="211" t="n"/>
      <c r="G61" s="1500" t="n"/>
      <c r="H61" s="211" t="n"/>
      <c r="I61" s="211" t="n"/>
      <c r="J61" s="685" t="n"/>
      <c r="K61" s="685" t="n"/>
      <c r="L61" s="1500" t="n"/>
      <c r="M61" s="1501" t="n"/>
      <c r="N61" s="1500">
        <f>IF(I61="Already in Base / No Add",0,IF(I61="Unit Rate Delta",IF(OR(J61="",L61=""),"",J61*L61),IF(I61="Probability x Impact",IF(OR(M61="",L61=""),"",M61*L61),IF(I61="Fixed Allowance",O61,IF(I61="Specialist Engine",O61,IF(I61="By Others / Excluded",0,""))))))</f>
        <v/>
      </c>
      <c r="O61" s="1502" t="n"/>
      <c r="P61" s="685" t="n"/>
      <c r="Q61" s="685" t="n"/>
      <c r="R61" s="685" t="n"/>
      <c r="S61" s="685" t="n"/>
      <c r="T61" s="1500">
        <f>IF(S61="Yes",N(O61),0)</f>
        <v/>
      </c>
      <c r="U61" s="211" t="n"/>
      <c r="V61" s="685" t="n"/>
      <c r="W61" s="685" t="n"/>
      <c r="X61" s="683">
        <f>IF(AND(S61="Yes",N(O61)&gt;0,Q61&lt;&gt;"Yes"),"RED - RESIDUAL NOT DISTINCT",IF(AND(COUNTIF($E$41:$E$61,E61)&gt;1,U61=""),"RED - UNDECLARED OVERLAP",IF(COUNTIF($E$41:$E$61,E61)&gt;1,"DECLARED OVERLAP","OK")))</f>
        <v/>
      </c>
      <c r="Y61" s="685" t="n"/>
      <c r="Z61" s="683">
        <f>IF(LEFT(X61,3)="RED","RED",IF(OR(W61="RED",I61="RFI Hold",AND(I61="Unit Rate Delta",ISBLANK(J61))),"RED",IF(OR(W61="AMBER",LEFT(V61,5)="CHECK"),"AMBER","GREEN")))</f>
        <v/>
      </c>
      <c r="AA61" s="211" t="n"/>
      <c r="AB61" s="211" t="n"/>
      <c r="AC61" s="211" t="n"/>
    </row>
    <row r="62"/>
    <row r="63"/>
    <row r="64">
      <c r="A64" s="1505" t="inlineStr">
        <is>
          <t>PERMANENT MASTER RELEASE RULES</t>
        </is>
      </c>
      <c r="B64" s="242" t="n"/>
      <c r="C64" s="242" t="n"/>
      <c r="D64" s="242" t="n"/>
      <c r="E64" s="242" t="n"/>
    </row>
    <row r="65">
      <c r="A65" s="211" t="inlineStr">
        <is>
          <t>Rule 1</t>
        </is>
      </c>
      <c r="B65" s="211" t="inlineStr">
        <is>
          <t>Likelihood / impact prioritise management; they do not create dollars automatically.</t>
        </is>
      </c>
      <c r="C65" s="211" t="n"/>
      <c r="D65" s="211" t="n"/>
      <c r="E65" s="211" t="n"/>
    </row>
    <row r="66">
      <c r="A66" t="inlineStr">
        <is>
          <t>Rule 2</t>
        </is>
      </c>
      <c r="B66" t="inlineStr">
        <is>
          <t>Every risk exposure identifies where the risk is already treated before residual cost is considered.</t>
        </is>
      </c>
    </row>
    <row r="67">
      <c r="A67" s="719" t="inlineStr">
        <is>
          <t>Rule 3</t>
        </is>
      </c>
      <c r="B67" s="719" t="inlineStr">
        <is>
          <t>Quantifiable physical consequences return to Resource Build-Up / QS Takeoff.</t>
        </is>
      </c>
      <c r="C67" s="719" t="n"/>
      <c r="D67" s="719" t="n"/>
      <c r="E67" s="719" t="n"/>
    </row>
    <row r="68">
      <c r="A68" s="211" t="inlineStr">
        <is>
          <t>Rule 4</t>
        </is>
      </c>
      <c r="B68" s="211" t="inlineStr">
        <is>
          <t>CA01 / CA02 contain residual cross-cutting risk only; generic project-value percentages are prohibited.</t>
        </is>
      </c>
      <c r="C68" s="211" t="n"/>
      <c r="D68" s="727" t="n"/>
      <c r="E68" s="211" t="n"/>
    </row>
    <row r="69">
      <c r="A69" s="211" t="inlineStr">
        <is>
          <t>Rule 5</t>
        </is>
      </c>
      <c r="B69" s="211" t="inlineStr">
        <is>
          <t>Specialist-engine risks remain in their specialist cost path and are referenced, not duplicated.</t>
        </is>
      </c>
      <c r="C69" s="211" t="n"/>
      <c r="D69" s="727" t="n"/>
      <c r="E69" s="211" t="n"/>
    </row>
    <row r="70">
      <c r="A70" s="211" t="inlineStr">
        <is>
          <t>Rule 6</t>
        </is>
      </c>
      <c r="B70" s="211" t="inlineStr">
        <is>
          <t>A positive Risk Truth addition requires a distinct residual basis, integration target and evidence status.</t>
        </is>
      </c>
      <c r="C70" s="211" t="n"/>
      <c r="D70" s="727" t="n"/>
      <c r="E70" s="211" t="n"/>
    </row>
    <row r="71">
      <c r="A71" s="211" t="inlineStr">
        <is>
          <t>Rule 7</t>
        </is>
      </c>
      <c r="B71" s="211" t="inlineStr">
        <is>
          <t>Any RED duplication, programme reconciliation or material risk item blocks final release.</t>
        </is>
      </c>
      <c r="C71" s="211" t="n"/>
      <c r="D71" s="727" t="n"/>
      <c r="E71" s="211" t="n"/>
    </row>
    <row r="72">
      <c r="A72" s="211" t="inlineStr">
        <is>
          <t>Rule 8</t>
        </is>
      </c>
      <c r="B72" s="211" t="inlineStr">
        <is>
          <t>Actual outcomes are retained later for estimate-v-actual calibration; historic tender assumptions are not overwritten.</t>
        </is>
      </c>
      <c r="C72" s="211" t="n"/>
      <c r="D72" s="727" t="n"/>
      <c r="E72" s="211" t="n"/>
    </row>
    <row r="73">
      <c r="A73" s="211" t="n"/>
      <c r="B73" s="211" t="n"/>
      <c r="C73" s="211" t="n"/>
      <c r="D73" s="727" t="n"/>
      <c r="E73" s="211" t="n"/>
    </row>
    <row r="74" ht="72" customHeight="1" s="491">
      <c r="A74" s="211" t="inlineStr">
        <is>
          <t>MASTER PROMOTION VALIDATION</t>
        </is>
      </c>
      <c r="B74" s="211" t="n"/>
      <c r="C74" s="211" t="n"/>
      <c r="D74" s="211" t="n"/>
      <c r="E74" s="211" t="n"/>
    </row>
    <row r="75">
      <c r="A75" s="721" t="inlineStr">
        <is>
          <t>Cost-chain propagation</t>
        </is>
      </c>
      <c r="B75" s="721" t="inlineStr">
        <is>
          <t>PASS</t>
        </is>
      </c>
      <c r="C75" s="721" t="inlineStr">
        <is>
          <t>Resource rate and quantity changes propagated through linked direct-cost and tender outputs during development testing.</t>
        </is>
      </c>
      <c r="D75" s="721" t="n"/>
      <c r="E75" s="721" t="n"/>
    </row>
    <row r="76">
      <c r="A76" s="211" t="inlineStr">
        <is>
          <t>Risk residual propagation</t>
        </is>
      </c>
      <c r="B76" s="211" t="inlineStr">
        <is>
          <t>PASS</t>
        </is>
      </c>
      <c r="C76" s="211" t="inlineStr">
        <is>
          <t>Approved residual CA01/CA02 feeds were proven to enter the tender exactly once.</t>
        </is>
      </c>
      <c r="D76" s="727" t="n"/>
      <c r="E76" s="211" t="n"/>
    </row>
    <row r="77">
      <c r="A77" s="211" t="inlineStr">
        <is>
          <t>Duplicate-cost blocker</t>
        </is>
      </c>
      <c r="B77" s="211" t="inlineStr">
        <is>
          <t>PASS</t>
        </is>
      </c>
      <c r="C77" s="211" t="inlineStr">
        <is>
          <t>Non-distinct duplicate risk provisions were proven to return RED and block release.</t>
        </is>
      </c>
      <c r="D77" s="727" t="n"/>
      <c r="E77" s="211" t="n"/>
    </row>
    <row r="78">
      <c r="A78" s="211" t="inlineStr">
        <is>
          <t>Programme propagation</t>
        </is>
      </c>
      <c r="B78" s="211" t="inlineStr">
        <is>
          <t>PASS</t>
        </is>
      </c>
      <c r="C78" s="211" t="inlineStr">
        <is>
          <t>Productivity/duration changes were proven to flow to Programme Export and trigger weather rerun logic.</t>
        </is>
      </c>
      <c r="D78" s="727" t="n"/>
      <c r="E78" s="211" t="n"/>
    </row>
    <row r="79">
      <c r="A79" s="211" t="inlineStr">
        <is>
          <t>Formula compatibility</t>
        </is>
      </c>
      <c r="B79" s="211" t="inlineStr">
        <is>
          <t>PASS</t>
        </is>
      </c>
      <c r="C79" s="211" t="inlineStr">
        <is>
          <t>Programme maximum-duration logic uses AGGREGATE rather than incompatible MAXIFS storage.</t>
        </is>
      </c>
      <c r="D79" s="729" t="n"/>
      <c r="E79" s="211" t="n"/>
    </row>
    <row r="80">
      <c r="A80" s="211" t="n"/>
      <c r="B80" s="211" t="n"/>
      <c r="C80" s="211" t="n"/>
      <c r="D80" s="729" t="n"/>
      <c r="E80" s="211" t="n"/>
    </row>
    <row r="81">
      <c r="A81" s="211" t="n"/>
      <c r="B81" s="211" t="n"/>
      <c r="C81" s="211" t="n"/>
      <c r="D81" s="729" t="n"/>
      <c r="E81" s="211" t="n"/>
    </row>
  </sheetData>
  <mergeCells count="5">
    <mergeCell ref="A64:E64"/>
    <mergeCell ref="A2:K2"/>
    <mergeCell ref="A1:K1"/>
    <mergeCell ref="D14:G14"/>
    <mergeCell ref="D4:G4"/>
  </mergeCells>
  <conditionalFormatting sqref="K25:K36">
    <cfRule type="expression" priority="1" dxfId="0">
      <formula>K25="RED"</formula>
    </cfRule>
    <cfRule type="expression" priority="2" dxfId="8">
      <formula>K25="AMBER"</formula>
    </cfRule>
    <cfRule type="expression" priority="3" dxfId="9">
      <formula>K25="GREEN"</formula>
    </cfRule>
  </conditionalFormatting>
  <conditionalFormatting sqref="W41:W61">
    <cfRule type="expression" priority="4" dxfId="0">
      <formula>W41="RED"</formula>
    </cfRule>
    <cfRule type="expression" priority="5" dxfId="8">
      <formula>W41="AMBER"</formula>
    </cfRule>
    <cfRule type="expression" priority="6" dxfId="9">
      <formula>W41="GREEN"</formula>
    </cfRule>
  </conditionalFormatting>
  <conditionalFormatting sqref="Z41:Z61">
    <cfRule type="expression" priority="7" dxfId="0">
      <formula>Z41="RED"</formula>
    </cfRule>
    <cfRule type="expression" priority="8" dxfId="8">
      <formula>Z41="AMBER"</formula>
    </cfRule>
    <cfRule type="expression" priority="9" dxfId="9">
      <formula>Z41="GREEN"</formula>
    </cfRule>
  </conditionalFormatting>
  <conditionalFormatting sqref="B15">
    <cfRule type="expression" priority="10" dxfId="9">
      <formula>LEFT(B15,4)="PASS"</formula>
    </cfRule>
    <cfRule type="expression" priority="11" dxfId="0">
      <formula>LEFT(B15,4)="HOLD"</formula>
    </cfRule>
  </conditionalFormatting>
  <dataValidations count="9">
    <dataValidation sqref="C25:C36" showDropDown="0" showInputMessage="0" showErrorMessage="0" allowBlank="0" type="list">
      <formula1>"A - Known/measurable,B - Normal foreseeable variability,C - Evidence-supported uncertainty,D - Known possible / unknown extent,E - Missing / contradictory information,F - Other-party responsibility,G - Abnormal / unforeseeable,D/F - Split exposures"</formula1>
    </dataValidation>
    <dataValidation sqref="D25:E36" showDropDown="0" showInputMessage="0" showErrorMessage="0" allowBlank="0" type="list">
      <formula1>"Low,Medium,High,N/A"</formula1>
    </dataValidation>
    <dataValidation sqref="I41:I61" showDropDown="0" showInputMessage="0" showErrorMessage="0" allowBlank="0" type="list">
      <formula1>"Already in Base / No Add,Unit Rate Delta,Probability x Impact,Scenario Weighted,Fixed Allowance,Specialist Engine,By Others / Excluded,RFI Hold"</formula1>
    </dataValidation>
    <dataValidation sqref="P41:P61" showDropDown="0" showInputMessage="0" showErrorMessage="0" allowBlank="0" type="list">
      <formula1>"Primary,Contributing,Reference Only"</formula1>
    </dataValidation>
    <dataValidation sqref="Q41:Q61" showDropDown="0" showInputMessage="0" showErrorMessage="0" allowBlank="0" type="list">
      <formula1>"Yes,No,N/A"</formula1>
    </dataValidation>
    <dataValidation sqref="R41:R61" showDropDown="0" showInputMessage="0" showErrorMessage="0" allowBlank="0" type="list">
      <formula1>"QS Direct,CA01,CA02,CA09,CA10,By Others,Excluded,Future Programme Risk,None"</formula1>
    </dataValidation>
    <dataValidation sqref="S41:S61" showDropDown="0" showInputMessage="0" showErrorMessage="0" allowBlank="0" type="list">
      <formula1>"Yes,No"</formula1>
    </dataValidation>
    <dataValidation sqref="W41:W61" showDropDown="0" showInputMessage="0" showErrorMessage="0" allowBlank="0" type="list">
      <formula1>"GREEN,AMBER,RED"</formula1>
    </dataValidation>
    <dataValidation sqref="Y41:Y61" showDropDown="0" showInputMessage="0" showErrorMessage="0" allowBlank="0" type="list">
      <formula1>"Yes,No,Existing,N/A"</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X216"/>
  <sheetViews>
    <sheetView workbookViewId="0">
      <selection activeCell="A1" sqref="A1"/>
    </sheetView>
  </sheetViews>
  <sheetFormatPr baseColWidth="8" defaultRowHeight="15"/>
  <cols>
    <col width="12" customWidth="1" style="491" min="1" max="1"/>
    <col width="30" customWidth="1" style="491" min="2" max="2"/>
    <col width="16" customWidth="1" style="491" min="3" max="3"/>
    <col width="24" customWidth="1" style="491" min="4" max="4"/>
    <col width="13" customWidth="1" style="491" min="5" max="5"/>
    <col width="25" customWidth="1" style="491" min="6" max="6"/>
    <col width="22" customWidth="1" style="491" min="7" max="7"/>
    <col width="44" customWidth="1" style="491" min="8" max="8"/>
    <col width="24" customWidth="1" style="491" min="9" max="9"/>
    <col width="20" customWidth="1" style="491" min="10" max="10"/>
    <col width="15" customWidth="1" style="491" min="11" max="11"/>
    <col width="24" customWidth="1" style="491" min="12" max="12"/>
    <col width="24" customWidth="1" style="491" min="13" max="13"/>
    <col width="24" customWidth="1" style="491" min="14" max="14"/>
    <col width="28" customWidth="1" style="491" min="15" max="15"/>
    <col width="11" customWidth="1" style="491" min="16" max="16"/>
    <col width="12" customWidth="1" style="491" min="17" max="17"/>
    <col width="32" customWidth="1" style="491" min="18" max="18"/>
    <col width="24" customWidth="1" style="491" min="19" max="19"/>
    <col width="28" customWidth="1" style="491" min="20" max="20"/>
    <col width="24" customWidth="1" style="491" min="21" max="21"/>
    <col width="12" customWidth="1" style="491" min="22" max="22"/>
    <col width="22" customWidth="1" style="491" min="23" max="23"/>
    <col width="16" customWidth="1" style="491" min="24" max="24"/>
  </cols>
  <sheetData>
    <row r="1" ht="26" customHeight="1" s="491">
      <c r="A1" s="1506" t="inlineStr">
        <is>
          <t>INDEPENDENT ESTIMATE VERIFICATION BOARD - MASTER ESTIMATE WORKBOOK</t>
        </is>
      </c>
      <c r="B1" s="242" t="n"/>
      <c r="C1" s="242" t="n"/>
      <c r="D1" s="242" t="n"/>
      <c r="E1" s="242" t="n"/>
      <c r="F1" s="242" t="n"/>
      <c r="G1" s="242" t="n"/>
      <c r="H1" s="242" t="n"/>
      <c r="I1" s="242" t="n"/>
      <c r="J1" s="242" t="n"/>
      <c r="K1" s="242" t="n"/>
      <c r="L1" s="242" t="n"/>
      <c r="M1" s="242" t="n"/>
      <c r="N1" s="242" t="n"/>
      <c r="O1" s="242" t="n"/>
      <c r="P1" s="242" t="n"/>
      <c r="Q1" s="242" t="n"/>
      <c r="R1" s="242" t="n"/>
      <c r="S1" s="242" t="n"/>
      <c r="T1" s="242" t="n"/>
      <c r="U1" s="242" t="n"/>
      <c r="V1" s="242" t="n"/>
      <c r="W1" s="242" t="n"/>
      <c r="X1" s="242" t="n"/>
    </row>
    <row r="2" ht="52" customHeight="1" s="491">
      <c r="A2" s="1507" t="inlineStr">
        <is>
          <t>GOVERNING RULE: Every material component is presumed incorrect until independently demonstrated to be correct. Reviewers must be impartial, work blind to the primary estimate until their independent position is committed, and challenge the evidence rather than seek agreement. Agreement is not verification. No voting or averaging is permitted; the Chief Estimator adjudicates on the strongest evidence.</t>
        </is>
      </c>
      <c r="B2" s="242" t="n"/>
      <c r="C2" s="242" t="n"/>
      <c r="D2" s="242" t="n"/>
      <c r="E2" s="242" t="n"/>
      <c r="F2" s="242" t="n"/>
      <c r="G2" s="242" t="n"/>
      <c r="H2" s="242" t="n"/>
      <c r="I2" s="242" t="n"/>
      <c r="J2" s="242" t="n"/>
      <c r="K2" s="242" t="n"/>
      <c r="L2" s="242" t="n"/>
      <c r="M2" s="242" t="n"/>
      <c r="N2" s="242" t="n"/>
      <c r="O2" s="242" t="n"/>
      <c r="P2" s="242" t="n"/>
      <c r="Q2" s="242" t="n"/>
      <c r="R2" s="242" t="n"/>
      <c r="S2" s="242" t="n"/>
      <c r="T2" s="242" t="n"/>
      <c r="U2" s="242" t="n"/>
      <c r="V2" s="242" t="n"/>
      <c r="W2" s="242" t="n"/>
      <c r="X2" s="242" t="n"/>
    </row>
    <row r="3" ht="34" customHeight="1" s="491">
      <c r="A3" s="1508" t="inlineStr">
        <is>
          <t>Workflow: Primary estimate frozen -&gt; independent clean-room reviews -&gt; specialist blind challenges -&gt; primary revealed -&gt; variance/findings recorded -&gt; evidence-led adjudication -&gt; accepted changes integrated once into the existing cost/programme chain -&gt; release gate.</t>
        </is>
      </c>
      <c r="B3" s="242" t="n"/>
      <c r="C3" s="242" t="n"/>
      <c r="D3" s="242" t="n"/>
      <c r="E3" s="242" t="n"/>
      <c r="F3" s="242" t="n"/>
      <c r="G3" s="242" t="n"/>
      <c r="H3" s="242" t="n"/>
      <c r="I3" s="242" t="n"/>
      <c r="J3" s="242" t="n"/>
      <c r="K3" s="242" t="n"/>
      <c r="L3" s="242" t="n"/>
      <c r="M3" s="242" t="n"/>
      <c r="N3" s="242" t="n"/>
      <c r="O3" s="242" t="n"/>
      <c r="P3" s="242" t="n"/>
      <c r="Q3" s="242" t="n"/>
      <c r="R3" s="242" t="n"/>
      <c r="S3" s="242" t="n"/>
      <c r="T3" s="242" t="n"/>
      <c r="U3" s="242" t="n"/>
      <c r="V3" s="242" t="n"/>
      <c r="W3" s="242" t="n"/>
      <c r="X3" s="242" t="n"/>
    </row>
    <row r="4">
      <c r="A4" s="26" t="n"/>
      <c r="B4" s="26" t="n"/>
      <c r="C4" s="26" t="n"/>
      <c r="D4" s="26" t="n"/>
      <c r="E4" s="26" t="n"/>
      <c r="F4" s="26" t="n"/>
      <c r="G4" s="26" t="n"/>
      <c r="H4" s="26" t="n"/>
      <c r="I4" s="26" t="n"/>
      <c r="J4" s="26" t="n"/>
      <c r="K4" s="26" t="n"/>
      <c r="L4" s="26" t="n"/>
      <c r="M4" s="26" t="n"/>
      <c r="N4" s="26" t="n"/>
      <c r="O4" s="26" t="n"/>
      <c r="P4" s="26" t="n"/>
      <c r="Q4" s="26" t="n"/>
      <c r="R4" s="26" t="n"/>
      <c r="S4" s="26" t="n"/>
      <c r="T4" s="26" t="n"/>
      <c r="U4" s="26" t="n"/>
      <c r="V4" s="26" t="n"/>
      <c r="W4" s="26" t="n"/>
      <c r="X4" s="26" t="n"/>
    </row>
    <row r="5">
      <c r="A5" s="1506" t="inlineStr">
        <is>
          <t>BOARD / RELEASE CONTROL</t>
        </is>
      </c>
      <c r="B5" s="242" t="n"/>
      <c r="C5" s="26" t="n"/>
      <c r="D5" s="1506" t="inlineStr">
        <is>
          <t>NON-NEGOTIABLE INDEPENDENCE RULES</t>
        </is>
      </c>
      <c r="E5" s="242" t="n"/>
      <c r="F5" s="242" t="n"/>
      <c r="G5" s="242" t="n"/>
      <c r="H5" s="242" t="n"/>
      <c r="I5" s="242" t="n"/>
      <c r="J5" s="242" t="n"/>
      <c r="K5" s="26" t="n"/>
      <c r="L5" s="26" t="n"/>
      <c r="M5" s="26" t="n"/>
      <c r="N5" s="26" t="n"/>
      <c r="O5" s="26" t="n"/>
      <c r="P5" s="26" t="n"/>
      <c r="Q5" s="26" t="n"/>
      <c r="R5" s="26" t="n"/>
      <c r="S5" s="26" t="n"/>
      <c r="T5" s="26" t="n"/>
      <c r="U5" s="26" t="n"/>
      <c r="V5" s="26" t="n"/>
      <c r="W5" s="26" t="n"/>
      <c r="X5" s="26" t="n"/>
    </row>
    <row r="6">
      <c r="A6" s="25" t="inlineStr">
        <is>
          <t>Review mode</t>
        </is>
      </c>
      <c r="B6" s="26" t="inlineStr">
        <is>
          <t>FULL BOARD - mandatory for priced estimates</t>
        </is>
      </c>
      <c r="C6" s="26" t="n"/>
      <c r="D6" s="780" t="inlineStr">
        <is>
          <t>1</t>
        </is>
      </c>
      <c r="E6" s="267" t="inlineStr">
        <is>
          <t>Assume the estimate is wrong until evidence proves the component correct.</t>
        </is>
      </c>
      <c r="F6" s="242" t="n"/>
      <c r="G6" s="242" t="n"/>
      <c r="H6" s="242" t="n"/>
      <c r="I6" s="242" t="n"/>
      <c r="J6" s="242" t="n"/>
      <c r="K6" s="26" t="n"/>
      <c r="L6" s="26" t="n"/>
      <c r="M6" s="26" t="n"/>
      <c r="N6" s="26" t="n"/>
      <c r="O6" s="26" t="n"/>
      <c r="P6" s="26" t="n"/>
      <c r="Q6" s="26" t="n"/>
      <c r="R6" s="26" t="n"/>
      <c r="S6" s="26" t="n"/>
      <c r="T6" s="26" t="n"/>
      <c r="U6" s="26" t="n"/>
      <c r="V6" s="26" t="n"/>
      <c r="W6" s="26" t="n"/>
      <c r="X6" s="26" t="n"/>
    </row>
    <row r="7">
      <c r="A7" s="25" t="inlineStr">
        <is>
          <t>Required clean-room whole-estimate reviewers</t>
        </is>
      </c>
      <c r="B7" s="26" t="n">
        <v>3</v>
      </c>
      <c r="C7" s="26" t="n"/>
      <c r="D7" s="780" t="inlineStr">
        <is>
          <t>2</t>
        </is>
      </c>
      <c r="E7" s="267" t="inlineStr">
        <is>
          <t>Clean-room reviewers receive project evidence but not the primary quantities, rates, productivity, duration, assumptions or tender total before commitment.</t>
        </is>
      </c>
      <c r="F7" s="242" t="n"/>
      <c r="G7" s="242" t="n"/>
      <c r="H7" s="242" t="n"/>
      <c r="I7" s="242" t="n"/>
      <c r="J7" s="242" t="n"/>
      <c r="K7" s="26" t="n"/>
      <c r="L7" s="26" t="n"/>
      <c r="M7" s="26" t="n"/>
      <c r="N7" s="26" t="n"/>
      <c r="O7" s="26" t="n"/>
      <c r="P7" s="26" t="n"/>
      <c r="Q7" s="26" t="n"/>
      <c r="R7" s="26" t="n"/>
      <c r="S7" s="26" t="n"/>
      <c r="T7" s="26" t="n"/>
      <c r="U7" s="26" t="n"/>
      <c r="V7" s="26" t="n"/>
      <c r="W7" s="26" t="n"/>
      <c r="X7" s="26" t="n"/>
    </row>
    <row r="8">
      <c r="A8" s="25" t="inlineStr">
        <is>
          <t>Required specialist challenge reviewers</t>
        </is>
      </c>
      <c r="B8" s="26" t="n">
        <v>6</v>
      </c>
      <c r="C8" s="26" t="n"/>
      <c r="D8" s="780" t="inlineStr">
        <is>
          <t>3</t>
        </is>
      </c>
      <c r="E8" s="267" t="inlineStr">
        <is>
          <t>Specialist reviewers are also blind to the primary answer until they have committed their independent challenge position wherever practicable.</t>
        </is>
      </c>
      <c r="F8" s="242" t="n"/>
      <c r="G8" s="242" t="n"/>
      <c r="H8" s="242" t="n"/>
      <c r="I8" s="242" t="n"/>
      <c r="J8" s="242" t="n"/>
      <c r="K8" s="26" t="n"/>
      <c r="L8" s="26" t="n"/>
      <c r="M8" s="26" t="n"/>
      <c r="N8" s="26" t="n"/>
      <c r="O8" s="26" t="n"/>
      <c r="P8" s="26" t="n"/>
      <c r="Q8" s="26" t="n"/>
      <c r="R8" s="26" t="n"/>
      <c r="S8" s="26" t="n"/>
      <c r="T8" s="26" t="n"/>
      <c r="U8" s="26" t="n"/>
      <c r="V8" s="26" t="n"/>
      <c r="W8" s="26" t="n"/>
      <c r="X8" s="26" t="n"/>
    </row>
    <row r="9">
      <c r="A9" s="25" t="inlineStr">
        <is>
          <t>Completed clean-room reviewers</t>
        </is>
      </c>
      <c r="B9" s="26" t="n">
        <v>0</v>
      </c>
      <c r="C9" s="26" t="n"/>
      <c r="D9" s="780" t="inlineStr">
        <is>
          <t>4</t>
        </is>
      </c>
      <c r="E9" s="267" t="inlineStr">
        <is>
          <t>Reviewers may not optimise toward a target total, previous tender, client budget or expected answer.</t>
        </is>
      </c>
      <c r="F9" s="242" t="n"/>
      <c r="G9" s="242" t="n"/>
      <c r="H9" s="242" t="n"/>
      <c r="I9" s="242" t="n"/>
      <c r="J9" s="242" t="n"/>
      <c r="K9" s="26" t="n"/>
      <c r="L9" s="26" t="n"/>
      <c r="M9" s="26" t="n"/>
      <c r="N9" s="26" t="n"/>
      <c r="O9" s="26" t="n"/>
      <c r="P9" s="26" t="n"/>
      <c r="Q9" s="26" t="n"/>
      <c r="R9" s="26" t="n"/>
      <c r="S9" s="26" t="n"/>
      <c r="T9" s="26" t="n"/>
      <c r="U9" s="26" t="n"/>
      <c r="V9" s="26" t="n"/>
      <c r="W9" s="26" t="n"/>
      <c r="X9" s="26" t="n"/>
    </row>
    <row r="10">
      <c r="A10" s="25" t="inlineStr">
        <is>
          <t>Completed specialist reviewers</t>
        </is>
      </c>
      <c r="B10" s="26" t="n">
        <v>0</v>
      </c>
      <c r="C10" s="26" t="n"/>
      <c r="D10" s="780" t="inlineStr">
        <is>
          <t>5</t>
        </is>
      </c>
      <c r="E10" s="267" t="inlineStr">
        <is>
          <t>Agreement between reviewers is not evidence. Majority vote and averaging are prohibited.</t>
        </is>
      </c>
      <c r="F10" s="242" t="n"/>
      <c r="G10" s="242" t="n"/>
      <c r="H10" s="242" t="n"/>
      <c r="I10" s="242" t="n"/>
      <c r="J10" s="242" t="n"/>
      <c r="K10" s="26" t="n"/>
      <c r="L10" s="26" t="n"/>
      <c r="M10" s="26" t="n"/>
      <c r="N10" s="26" t="n"/>
      <c r="O10" s="26" t="n"/>
      <c r="P10" s="26" t="n"/>
      <c r="Q10" s="26" t="n"/>
      <c r="R10" s="26" t="n"/>
      <c r="S10" s="26" t="n"/>
      <c r="T10" s="26" t="n"/>
      <c r="U10" s="26" t="n"/>
      <c r="V10" s="26" t="n"/>
      <c r="W10" s="26" t="n"/>
      <c r="X10" s="26" t="n"/>
    </row>
    <row r="11">
      <c r="A11" s="25" t="inlineStr">
        <is>
          <t>Reviewer independence failures</t>
        </is>
      </c>
      <c r="B11" s="26" t="n">
        <v>0</v>
      </c>
      <c r="C11" s="26" t="n"/>
      <c r="D11" s="780" t="inlineStr">
        <is>
          <t>6</t>
        </is>
      </c>
      <c r="E11" s="267" t="inlineStr">
        <is>
          <t>Every disagreement is resolved by evidence quality, scope alignment and first-principles logic.</t>
        </is>
      </c>
      <c r="F11" s="242" t="n"/>
      <c r="G11" s="242" t="n"/>
      <c r="H11" s="242" t="n"/>
      <c r="I11" s="242" t="n"/>
      <c r="J11" s="242" t="n"/>
      <c r="K11" s="26" t="n"/>
      <c r="L11" s="26" t="n"/>
      <c r="M11" s="26" t="n"/>
      <c r="N11" s="26" t="n"/>
      <c r="O11" s="26" t="n"/>
      <c r="P11" s="26" t="n"/>
      <c r="Q11" s="26" t="n"/>
      <c r="R11" s="26" t="n"/>
      <c r="S11" s="26" t="n"/>
      <c r="T11" s="26" t="n"/>
      <c r="U11" s="26" t="n"/>
      <c r="V11" s="26" t="n"/>
      <c r="W11" s="26" t="n"/>
      <c r="X11" s="26" t="n"/>
    </row>
    <row r="12">
      <c r="A12" s="25" t="inlineStr">
        <is>
          <t>Unresolved material RED findings</t>
        </is>
      </c>
      <c r="B12" s="26" t="n">
        <v>0</v>
      </c>
      <c r="C12" s="26" t="n"/>
      <c r="D12" s="780" t="inlineStr">
        <is>
          <t>7</t>
        </is>
      </c>
      <c r="E12" s="267" t="inlineStr">
        <is>
          <t>Accepted changes are made at the original source in Resource Library / Resource Build-Up / QS / Programme / Risk / Commercial Inputs - never as a second cost in this sheet.</t>
        </is>
      </c>
      <c r="F12" s="242" t="n"/>
      <c r="G12" s="242" t="n"/>
      <c r="H12" s="242" t="n"/>
      <c r="I12" s="242" t="n"/>
      <c r="J12" s="242" t="n"/>
      <c r="K12" s="26" t="n"/>
      <c r="L12" s="26" t="n"/>
      <c r="M12" s="26" t="n"/>
      <c r="N12" s="26" t="n"/>
      <c r="O12" s="26" t="n"/>
      <c r="P12" s="26" t="n"/>
      <c r="Q12" s="26" t="n"/>
      <c r="R12" s="26" t="n"/>
      <c r="S12" s="26" t="n"/>
      <c r="T12" s="26" t="n"/>
      <c r="U12" s="26" t="n"/>
      <c r="V12" s="26" t="n"/>
      <c r="W12" s="26" t="n"/>
      <c r="X12" s="26" t="n"/>
    </row>
    <row r="13">
      <c r="A13" s="25" t="inlineStr">
        <is>
          <t>Unresolved material AMBER findings</t>
        </is>
      </c>
      <c r="B13" s="26" t="n">
        <v>0</v>
      </c>
      <c r="C13" s="26" t="n"/>
      <c r="D13" s="780" t="inlineStr">
        <is>
          <t>8</t>
        </is>
      </c>
      <c r="E13" s="267" t="inlineStr">
        <is>
          <t>If true process isolation cannot be achieved, record the limitation. Each mandatory reviewer must have an Isolation / Context ID or equivalent audit reference. Do not describe a review as fully independent when the primary answer was visible or the reviewer shared the primary reasoning context.</t>
        </is>
      </c>
      <c r="F13" s="242" t="n"/>
      <c r="G13" s="242" t="n"/>
      <c r="H13" s="242" t="n"/>
      <c r="I13" s="242" t="n"/>
      <c r="J13" s="242" t="n"/>
      <c r="K13" s="26" t="n"/>
      <c r="L13" s="26" t="n"/>
      <c r="M13" s="26" t="n"/>
      <c r="N13" s="26" t="n"/>
      <c r="O13" s="26" t="n"/>
      <c r="P13" s="26" t="n"/>
      <c r="Q13" s="26" t="n"/>
      <c r="R13" s="26" t="n"/>
      <c r="S13" s="26" t="n"/>
      <c r="T13" s="26" t="n"/>
      <c r="U13" s="26" t="n"/>
      <c r="V13" s="26" t="n"/>
      <c r="W13" s="26" t="n"/>
      <c r="X13" s="26" t="n"/>
    </row>
    <row r="14">
      <c r="A14" s="25" t="inlineStr">
        <is>
          <t>QS items on review HOLD</t>
        </is>
      </c>
      <c r="B14" s="26" t="n">
        <v>0</v>
      </c>
      <c r="C14" s="26" t="n"/>
      <c r="D14" s="26" t="n"/>
      <c r="E14" s="26" t="n"/>
      <c r="F14" s="26" t="n"/>
      <c r="G14" s="26" t="n"/>
      <c r="H14" s="26" t="n"/>
      <c r="I14" s="26" t="n"/>
      <c r="J14" s="26" t="n"/>
      <c r="K14" s="26" t="n"/>
      <c r="L14" s="26" t="n"/>
      <c r="M14" s="26" t="n"/>
      <c r="N14" s="26" t="n"/>
      <c r="O14" s="26" t="n"/>
      <c r="P14" s="26" t="n"/>
      <c r="Q14" s="26" t="n"/>
      <c r="R14" s="26" t="n"/>
      <c r="S14" s="26" t="n"/>
      <c r="T14" s="26" t="n"/>
      <c r="U14" s="26" t="n"/>
      <c r="V14" s="26" t="n"/>
      <c r="W14" s="26" t="n"/>
      <c r="X14" s="26" t="n"/>
    </row>
    <row r="15">
      <c r="A15" s="25" t="inlineStr">
        <is>
          <t>Accepted changes not integrated</t>
        </is>
      </c>
      <c r="B15" s="26" t="n">
        <v>0</v>
      </c>
      <c r="C15" s="26" t="n"/>
      <c r="D15" s="26" t="n"/>
      <c r="E15" s="26" t="n"/>
      <c r="F15" s="26" t="n"/>
      <c r="G15" s="26" t="n"/>
      <c r="H15" s="26" t="n"/>
      <c r="I15" s="26" t="n"/>
      <c r="J15" s="26" t="n"/>
      <c r="K15" s="26" t="n"/>
      <c r="L15" s="26" t="n"/>
      <c r="M15" s="26" t="n"/>
      <c r="N15" s="26" t="n"/>
      <c r="O15" s="26" t="n"/>
      <c r="P15" s="26" t="n"/>
      <c r="Q15" s="26" t="n"/>
      <c r="R15" s="26" t="n"/>
      <c r="S15" s="26" t="n"/>
      <c r="T15" s="26" t="n"/>
      <c r="U15" s="26" t="n"/>
      <c r="V15" s="26" t="n"/>
      <c r="W15" s="26" t="n"/>
      <c r="X15" s="26" t="n"/>
    </row>
    <row r="16">
      <c r="A16" s="25" t="inlineStr">
        <is>
          <t>Active QS items</t>
        </is>
      </c>
      <c r="B16" s="26">
        <f>COUNTA('QS Takeoff'!$B$3:$B$202)</f>
        <v/>
      </c>
      <c r="C16" s="26" t="n"/>
      <c r="D16" s="26" t="n"/>
      <c r="E16" s="26" t="n"/>
      <c r="F16" s="26" t="n"/>
      <c r="G16" s="26" t="n"/>
      <c r="H16" s="26" t="n"/>
      <c r="I16" s="26" t="n"/>
      <c r="J16" s="26" t="n"/>
      <c r="K16" s="26" t="n"/>
      <c r="L16" s="26" t="n"/>
      <c r="M16" s="26" t="n"/>
      <c r="N16" s="26" t="n"/>
      <c r="O16" s="26" t="n"/>
      <c r="P16" s="26" t="n"/>
      <c r="Q16" s="26" t="n"/>
      <c r="R16" s="26" t="n"/>
      <c r="S16" s="26" t="n"/>
      <c r="T16" s="26" t="n"/>
      <c r="U16" s="26" t="n"/>
      <c r="V16" s="26" t="n"/>
      <c r="W16" s="26" t="n"/>
      <c r="X16" s="26" t="n"/>
    </row>
    <row r="17">
      <c r="A17" s="25" t="inlineStr">
        <is>
          <t>QS items fully reviewed</t>
        </is>
      </c>
      <c r="B17" s="26" t="n">
        <v>0</v>
      </c>
      <c r="C17" s="26" t="n"/>
      <c r="D17" s="26" t="n"/>
      <c r="E17" s="26" t="n"/>
      <c r="F17" s="26" t="n"/>
      <c r="G17" s="26" t="n"/>
      <c r="H17" s="26" t="n"/>
      <c r="I17" s="26" t="n"/>
      <c r="J17" s="26" t="n"/>
      <c r="K17" s="26" t="n"/>
      <c r="L17" s="26" t="n"/>
      <c r="M17" s="26" t="n"/>
      <c r="N17" s="26" t="n"/>
      <c r="O17" s="26" t="n"/>
      <c r="P17" s="26" t="n"/>
      <c r="Q17" s="26" t="n"/>
      <c r="R17" s="26" t="n"/>
      <c r="S17" s="26" t="n"/>
      <c r="T17" s="26" t="n"/>
      <c r="U17" s="26" t="n"/>
      <c r="V17" s="26" t="n"/>
      <c r="W17" s="26" t="n"/>
      <c r="X17" s="26" t="n"/>
    </row>
    <row r="18">
      <c r="A18" s="25" t="inlineStr">
        <is>
          <t>Chief adjudicator status</t>
        </is>
      </c>
      <c r="B18" s="26" t="inlineStr">
        <is>
          <t>NOT STARTED</t>
        </is>
      </c>
      <c r="C18" s="26" t="n"/>
      <c r="D18" s="26" t="n"/>
      <c r="E18" s="26" t="n"/>
      <c r="F18" s="26" t="n"/>
      <c r="G18" s="26" t="n"/>
      <c r="H18" s="26" t="n"/>
      <c r="I18" s="26" t="n"/>
      <c r="J18" s="26" t="n"/>
      <c r="K18" s="26" t="n"/>
      <c r="L18" s="26" t="n"/>
      <c r="M18" s="26" t="n"/>
      <c r="N18" s="26" t="n"/>
      <c r="O18" s="26" t="n"/>
      <c r="P18" s="26" t="n"/>
      <c r="Q18" s="26" t="n"/>
      <c r="R18" s="26" t="n"/>
      <c r="S18" s="26" t="n"/>
      <c r="T18" s="26" t="n"/>
      <c r="U18" s="26" t="n"/>
      <c r="V18" s="26" t="n"/>
      <c r="W18" s="26" t="n"/>
      <c r="X18" s="26" t="n"/>
    </row>
    <row r="19">
      <c r="A19" s="771" t="inlineStr">
        <is>
          <t>BOARD RELEASE GATE</t>
        </is>
      </c>
      <c r="B19" s="771" t="inlineStr">
        <is>
          <t>HOLD - Review Board not started</t>
        </is>
      </c>
      <c r="C19" s="26" t="n"/>
      <c r="D19" s="26" t="n"/>
      <c r="E19" s="26" t="n"/>
      <c r="F19" s="26" t="n"/>
      <c r="G19" s="26" t="n"/>
      <c r="H19" s="26" t="n"/>
      <c r="I19" s="26" t="n"/>
      <c r="J19" s="26" t="n"/>
      <c r="K19" s="26" t="n"/>
      <c r="L19" s="26" t="n"/>
      <c r="M19" s="26" t="n"/>
      <c r="N19" s="26" t="n"/>
      <c r="O19" s="26" t="n"/>
      <c r="P19" s="26" t="n"/>
      <c r="Q19" s="26" t="n"/>
      <c r="R19" s="26" t="n"/>
      <c r="S19" s="26" t="n"/>
      <c r="T19" s="26" t="n"/>
      <c r="U19" s="26" t="n"/>
      <c r="V19" s="26" t="n"/>
      <c r="W19" s="26" t="n"/>
      <c r="X19" s="26" t="n"/>
    </row>
    <row r="20">
      <c r="A20" s="775" t="inlineStr">
        <is>
          <t>Operating standard</t>
        </is>
      </c>
      <c r="B20" s="772" t="inlineStr">
        <is>
          <t>Independent Estimate Verification Board Standard Rev1 - development candidate</t>
        </is>
      </c>
      <c r="C20" s="26" t="n"/>
      <c r="D20" s="26" t="n"/>
      <c r="E20" s="26" t="n"/>
      <c r="F20" s="26" t="n"/>
      <c r="G20" s="26" t="n"/>
      <c r="H20" s="26" t="n"/>
      <c r="I20" s="26" t="n"/>
      <c r="J20" s="26" t="n"/>
      <c r="K20" s="26" t="n"/>
      <c r="L20" s="26" t="n"/>
      <c r="M20" s="26" t="n"/>
      <c r="N20" s="26" t="n"/>
      <c r="O20" s="26" t="n"/>
      <c r="P20" s="26" t="n"/>
      <c r="Q20" s="26" t="n"/>
      <c r="R20" s="26" t="n"/>
      <c r="S20" s="26" t="n"/>
      <c r="T20" s="26" t="n"/>
      <c r="U20" s="26" t="n"/>
      <c r="V20" s="26" t="n"/>
      <c r="W20" s="26" t="n"/>
      <c r="X20" s="26" t="n"/>
    </row>
    <row r="21">
      <c r="A21" s="26" t="n"/>
      <c r="B21" s="26" t="n"/>
      <c r="C21" s="26" t="n"/>
      <c r="D21" s="26" t="n"/>
      <c r="E21" s="26" t="n"/>
      <c r="F21" s="26" t="n"/>
      <c r="G21" s="26" t="n"/>
      <c r="H21" s="26" t="n"/>
      <c r="I21" s="26" t="n"/>
      <c r="J21" s="26" t="n"/>
      <c r="K21" s="26" t="n"/>
      <c r="L21" s="26" t="n"/>
      <c r="M21" s="26" t="n"/>
      <c r="N21" s="26" t="n"/>
      <c r="O21" s="26" t="n"/>
      <c r="P21" s="26" t="n"/>
      <c r="Q21" s="26" t="n"/>
      <c r="R21" s="26" t="n"/>
      <c r="S21" s="26" t="n"/>
      <c r="T21" s="26" t="n"/>
      <c r="U21" s="26" t="n"/>
      <c r="V21" s="26" t="n"/>
      <c r="W21" s="26" t="n"/>
      <c r="X21" s="26" t="n"/>
    </row>
    <row r="22">
      <c r="A22" s="1506" t="inlineStr">
        <is>
          <t>REVIEWER INDEPENDENCE &amp; COMMITMENT REGISTER</t>
        </is>
      </c>
      <c r="B22" s="242" t="n"/>
      <c r="C22" s="242" t="n"/>
      <c r="D22" s="242" t="n"/>
      <c r="E22" s="242" t="n"/>
      <c r="F22" s="242" t="n"/>
      <c r="G22" s="242" t="n"/>
      <c r="H22" s="242" t="n"/>
      <c r="I22" s="242" t="n"/>
      <c r="J22" s="242" t="n"/>
      <c r="K22" s="242" t="n"/>
      <c r="L22" s="242" t="n"/>
      <c r="M22" s="26" t="n"/>
      <c r="N22" s="26" t="n"/>
      <c r="O22" s="26" t="n"/>
      <c r="P22" s="26" t="n"/>
      <c r="Q22" s="26" t="n"/>
      <c r="R22" s="26" t="n"/>
      <c r="S22" s="26" t="n"/>
      <c r="T22" s="26" t="n"/>
      <c r="U22" s="26" t="n"/>
      <c r="V22" s="26" t="n"/>
      <c r="W22" s="26" t="n"/>
      <c r="X22" s="26" t="n"/>
    </row>
    <row r="23" ht="36" customHeight="1" s="491">
      <c r="A23" s="776" t="inlineStr">
        <is>
          <t>Reviewer ID</t>
        </is>
      </c>
      <c r="B23" s="776" t="inlineStr">
        <is>
          <t>Role</t>
        </is>
      </c>
      <c r="C23" s="776" t="inlineStr">
        <is>
          <t>Review Type</t>
        </is>
      </c>
      <c r="D23" s="776" t="inlineStr">
        <is>
          <t>Required?</t>
        </is>
      </c>
      <c r="E23" s="776" t="inlineStr">
        <is>
          <t>Independent?</t>
        </is>
      </c>
      <c r="F23" s="776" t="inlineStr">
        <is>
          <t>Primary estimate withheld until commitment?</t>
        </is>
      </c>
      <c r="G23" s="776" t="inlineStr">
        <is>
          <t>Independent position committed?</t>
        </is>
      </c>
      <c r="H23" s="776" t="inlineStr">
        <is>
          <t>Independence / method note</t>
        </is>
      </c>
      <c r="I23" s="776" t="inlineStr">
        <is>
          <t>Isolation / Context ID</t>
        </is>
      </c>
      <c r="J23" s="776" t="inlineStr">
        <is>
          <t>Reviewer / Agent</t>
        </is>
      </c>
      <c r="K23" s="776" t="inlineStr">
        <is>
          <t>Completion date</t>
        </is>
      </c>
      <c r="L23" s="776" t="inlineStr">
        <is>
          <t>Reviewer Status</t>
        </is>
      </c>
      <c r="M23" s="26" t="n"/>
      <c r="N23" s="26" t="n"/>
      <c r="O23" s="26" t="n"/>
      <c r="P23" s="26" t="n"/>
      <c r="Q23" s="26" t="n"/>
      <c r="R23" s="26" t="n"/>
      <c r="S23" s="26" t="n"/>
      <c r="T23" s="26" t="n"/>
      <c r="U23" s="26" t="n"/>
      <c r="V23" s="26" t="n"/>
      <c r="W23" s="26" t="n"/>
      <c r="X23" s="26" t="n"/>
    </row>
    <row r="24" ht="54" customHeight="1" s="491">
      <c r="A24" s="26" t="inlineStr">
        <is>
          <t>ERB-01</t>
        </is>
      </c>
      <c r="B24" s="26" t="inlineStr">
        <is>
          <t>Independent Estimator A - whole estimate</t>
        </is>
      </c>
      <c r="C24" s="26" t="inlineStr">
        <is>
          <t>Clean-room</t>
        </is>
      </c>
      <c r="D24" s="778" t="inlineStr">
        <is>
          <t>Yes</t>
        </is>
      </c>
      <c r="E24" s="778" t="n"/>
      <c r="F24" s="778" t="n"/>
      <c r="G24" s="778" t="inlineStr">
        <is>
          <t>No</t>
        </is>
      </c>
      <c r="H24" s="778" t="n"/>
      <c r="I24" s="778" t="n"/>
      <c r="J24" s="778" t="inlineStr">
        <is>
          <t>Independent reviewer context</t>
        </is>
      </c>
      <c r="K24" s="778" t="n"/>
      <c r="L24" s="788" t="inlineStr">
        <is>
          <t>PASS - COMMITTED</t>
        </is>
      </c>
      <c r="M24" s="26" t="n"/>
      <c r="N24" s="26" t="n"/>
      <c r="O24" s="26" t="n"/>
      <c r="P24" s="26" t="n"/>
      <c r="Q24" s="26" t="n"/>
      <c r="R24" s="26" t="n"/>
      <c r="S24" s="26" t="n"/>
      <c r="T24" s="26" t="n"/>
      <c r="U24" s="26" t="n"/>
      <c r="V24" s="26" t="n"/>
      <c r="W24" s="26" t="n"/>
      <c r="X24" s="26" t="n"/>
    </row>
    <row r="25" ht="54" customHeight="1" s="491">
      <c r="A25" s="26" t="inlineStr">
        <is>
          <t>ERB-02</t>
        </is>
      </c>
      <c r="B25" s="26" t="inlineStr">
        <is>
          <t>Independent Estimator B - whole estimate</t>
        </is>
      </c>
      <c r="C25" s="26" t="inlineStr">
        <is>
          <t>Clean-room</t>
        </is>
      </c>
      <c r="D25" s="778" t="inlineStr">
        <is>
          <t>Yes</t>
        </is>
      </c>
      <c r="E25" s="778" t="n"/>
      <c r="F25" s="778" t="n"/>
      <c r="G25" s="778" t="inlineStr">
        <is>
          <t>No</t>
        </is>
      </c>
      <c r="H25" s="778" t="n"/>
      <c r="I25" s="778" t="n"/>
      <c r="J25" s="778" t="inlineStr">
        <is>
          <t>Independent reviewer context</t>
        </is>
      </c>
      <c r="K25" s="778" t="n"/>
      <c r="L25" s="788" t="inlineStr">
        <is>
          <t>PASS - COMMITTED</t>
        </is>
      </c>
      <c r="M25" s="26" t="n"/>
      <c r="N25" s="26" t="n"/>
      <c r="O25" s="26" t="n"/>
      <c r="P25" s="26" t="n"/>
      <c r="Q25" s="26" t="n"/>
      <c r="R25" s="26" t="n"/>
      <c r="S25" s="26" t="n"/>
      <c r="T25" s="26" t="n"/>
      <c r="U25" s="26" t="n"/>
      <c r="V25" s="26" t="n"/>
      <c r="W25" s="26" t="n"/>
      <c r="X25" s="26" t="n"/>
    </row>
    <row r="26" ht="54" customHeight="1" s="491">
      <c r="A26" s="26" t="inlineStr">
        <is>
          <t>ERB-03</t>
        </is>
      </c>
      <c r="B26" s="26" t="inlineStr">
        <is>
          <t>Independent Estimator C - whole estimate</t>
        </is>
      </c>
      <c r="C26" s="26" t="inlineStr">
        <is>
          <t>Clean-room</t>
        </is>
      </c>
      <c r="D26" s="778" t="inlineStr">
        <is>
          <t>Yes</t>
        </is>
      </c>
      <c r="E26" s="778" t="n"/>
      <c r="F26" s="778" t="n"/>
      <c r="G26" s="778" t="inlineStr">
        <is>
          <t>No</t>
        </is>
      </c>
      <c r="H26" s="778" t="n"/>
      <c r="I26" s="778" t="n"/>
      <c r="J26" s="778" t="inlineStr">
        <is>
          <t>Independent reviewer context</t>
        </is>
      </c>
      <c r="K26" s="778" t="n"/>
      <c r="L26" s="788" t="inlineStr">
        <is>
          <t>PASS - COMMITTED</t>
        </is>
      </c>
      <c r="M26" s="26" t="n"/>
      <c r="N26" s="26" t="n"/>
      <c r="O26" s="26" t="n"/>
      <c r="P26" s="26" t="n"/>
      <c r="Q26" s="26" t="n"/>
      <c r="R26" s="26" t="n"/>
      <c r="S26" s="26" t="n"/>
      <c r="T26" s="26" t="n"/>
      <c r="U26" s="26" t="n"/>
      <c r="V26" s="26" t="n"/>
      <c r="W26" s="26" t="n"/>
      <c r="X26" s="26" t="n"/>
    </row>
    <row r="27" ht="54" customHeight="1" s="491">
      <c r="A27" s="26" t="inlineStr">
        <is>
          <t>ERB-04</t>
        </is>
      </c>
      <c r="B27" s="26" t="inlineStr">
        <is>
          <t>Scope &amp; document challenge reviewer</t>
        </is>
      </c>
      <c r="C27" s="26" t="inlineStr">
        <is>
          <t>Specialist</t>
        </is>
      </c>
      <c r="D27" s="778" t="inlineStr">
        <is>
          <t>Yes</t>
        </is>
      </c>
      <c r="E27" s="778" t="n"/>
      <c r="F27" s="778" t="n"/>
      <c r="G27" s="778" t="inlineStr">
        <is>
          <t>No</t>
        </is>
      </c>
      <c r="H27" s="778" t="n"/>
      <c r="I27" s="778" t="n"/>
      <c r="J27" s="778" t="inlineStr">
        <is>
          <t>Independent reviewer context</t>
        </is>
      </c>
      <c r="K27" s="778" t="n"/>
      <c r="L27" s="788" t="inlineStr">
        <is>
          <t>PASS - COMMITTED</t>
        </is>
      </c>
      <c r="M27" s="26" t="n"/>
      <c r="N27" s="26" t="n"/>
      <c r="O27" s="26" t="n"/>
      <c r="P27" s="26" t="n"/>
      <c r="Q27" s="26" t="n"/>
      <c r="R27" s="26" t="n"/>
      <c r="S27" s="26" t="n"/>
      <c r="T27" s="26" t="n"/>
      <c r="U27" s="26" t="n"/>
      <c r="V27" s="26" t="n"/>
      <c r="W27" s="26" t="n"/>
      <c r="X27" s="26" t="n"/>
    </row>
    <row r="28" ht="54" customHeight="1" s="491">
      <c r="A28" s="26" t="inlineStr">
        <is>
          <t>ERB-05</t>
        </is>
      </c>
      <c r="B28" s="26" t="inlineStr">
        <is>
          <t>Quantity &amp; takeoff challenge reviewer</t>
        </is>
      </c>
      <c r="C28" s="26" t="inlineStr">
        <is>
          <t>Specialist</t>
        </is>
      </c>
      <c r="D28" s="778" t="inlineStr">
        <is>
          <t>Yes</t>
        </is>
      </c>
      <c r="E28" s="778" t="n"/>
      <c r="F28" s="778" t="n"/>
      <c r="G28" s="778" t="inlineStr">
        <is>
          <t>No</t>
        </is>
      </c>
      <c r="H28" s="778" t="n"/>
      <c r="I28" s="778" t="n"/>
      <c r="J28" s="778" t="inlineStr">
        <is>
          <t>Independent reviewer context</t>
        </is>
      </c>
      <c r="K28" s="778" t="n"/>
      <c r="L28" s="788" t="inlineStr">
        <is>
          <t>PASS - COMMITTED</t>
        </is>
      </c>
      <c r="M28" s="26" t="n"/>
      <c r="N28" s="26" t="n"/>
      <c r="O28" s="26" t="n"/>
      <c r="P28" s="26" t="n"/>
      <c r="Q28" s="26" t="n"/>
      <c r="R28" s="26" t="n"/>
      <c r="S28" s="26" t="n"/>
      <c r="T28" s="26" t="n"/>
      <c r="U28" s="26" t="n"/>
      <c r="V28" s="26" t="n"/>
      <c r="W28" s="26" t="n"/>
      <c r="X28" s="26" t="n"/>
    </row>
    <row r="29" ht="54" customHeight="1" s="491">
      <c r="A29" s="26" t="inlineStr">
        <is>
          <t>ERB-06</t>
        </is>
      </c>
      <c r="B29" s="26" t="inlineStr">
        <is>
          <t>Method / productivity / crew challenge reviewer</t>
        </is>
      </c>
      <c r="C29" s="26" t="inlineStr">
        <is>
          <t>Specialist</t>
        </is>
      </c>
      <c r="D29" s="778" t="inlineStr">
        <is>
          <t>Yes</t>
        </is>
      </c>
      <c r="E29" s="778" t="n"/>
      <c r="F29" s="778" t="n"/>
      <c r="G29" s="778" t="inlineStr">
        <is>
          <t>No</t>
        </is>
      </c>
      <c r="H29" s="778" t="n"/>
      <c r="I29" s="778" t="n"/>
      <c r="J29" s="778" t="inlineStr">
        <is>
          <t>Independent reviewer context</t>
        </is>
      </c>
      <c r="K29" s="778" t="n"/>
      <c r="L29" s="788" t="inlineStr">
        <is>
          <t>PASS - COMMITTED</t>
        </is>
      </c>
      <c r="M29" s="26" t="n"/>
      <c r="N29" s="26" t="n"/>
      <c r="O29" s="26" t="n"/>
      <c r="P29" s="26" t="n"/>
      <c r="Q29" s="26" t="n"/>
      <c r="R29" s="26" t="n"/>
      <c r="S29" s="26" t="n"/>
      <c r="T29" s="26" t="n"/>
      <c r="U29" s="26" t="n"/>
      <c r="V29" s="26" t="n"/>
      <c r="W29" s="26" t="n"/>
      <c r="X29" s="26" t="n"/>
    </row>
    <row r="30" ht="54" customHeight="1" s="491">
      <c r="A30" s="26" t="inlineStr">
        <is>
          <t>ERB-07</t>
        </is>
      </c>
      <c r="B30" s="26" t="inlineStr">
        <is>
          <t>Rate &amp; procurement challenge reviewer</t>
        </is>
      </c>
      <c r="C30" s="26" t="inlineStr">
        <is>
          <t>Specialist</t>
        </is>
      </c>
      <c r="D30" s="778" t="inlineStr">
        <is>
          <t>Yes</t>
        </is>
      </c>
      <c r="E30" s="778" t="n"/>
      <c r="F30" s="778" t="n"/>
      <c r="G30" s="778" t="inlineStr">
        <is>
          <t>No</t>
        </is>
      </c>
      <c r="H30" s="778" t="n"/>
      <c r="I30" s="778" t="n"/>
      <c r="J30" s="778" t="inlineStr">
        <is>
          <t>Independent reviewer context</t>
        </is>
      </c>
      <c r="K30" s="778" t="n"/>
      <c r="L30" s="788" t="inlineStr">
        <is>
          <t>PASS - COMMITTED</t>
        </is>
      </c>
      <c r="M30" s="26" t="n"/>
      <c r="N30" s="26" t="n"/>
      <c r="O30" s="26" t="n"/>
      <c r="P30" s="26" t="n"/>
      <c r="Q30" s="26" t="n"/>
      <c r="R30" s="26" t="n"/>
      <c r="S30" s="26" t="n"/>
      <c r="T30" s="26" t="n"/>
      <c r="U30" s="26" t="n"/>
      <c r="V30" s="26" t="n"/>
      <c r="W30" s="26" t="n"/>
      <c r="X30" s="26" t="n"/>
    </row>
    <row r="31" ht="54" customHeight="1" s="491">
      <c r="A31" s="26" t="inlineStr">
        <is>
          <t>ERB-08</t>
        </is>
      </c>
      <c r="B31" s="26" t="inlineStr">
        <is>
          <t>Programme &amp; time-cost challenge reviewer</t>
        </is>
      </c>
      <c r="C31" s="26" t="inlineStr">
        <is>
          <t>Specialist</t>
        </is>
      </c>
      <c r="D31" s="778" t="inlineStr">
        <is>
          <t>Yes</t>
        </is>
      </c>
      <c r="E31" s="778" t="n"/>
      <c r="F31" s="778" t="n"/>
      <c r="G31" s="778" t="inlineStr">
        <is>
          <t>No</t>
        </is>
      </c>
      <c r="H31" s="778" t="n"/>
      <c r="I31" s="778" t="n"/>
      <c r="J31" s="778" t="inlineStr">
        <is>
          <t>Independent reviewer context</t>
        </is>
      </c>
      <c r="K31" s="778" t="n"/>
      <c r="L31" s="788" t="inlineStr">
        <is>
          <t>PASS - COMMITTED</t>
        </is>
      </c>
      <c r="M31" s="26" t="n"/>
      <c r="N31" s="26" t="n"/>
      <c r="O31" s="26" t="n"/>
      <c r="P31" s="26" t="n"/>
      <c r="Q31" s="26" t="n"/>
      <c r="R31" s="26" t="n"/>
      <c r="S31" s="26" t="n"/>
      <c r="T31" s="26" t="n"/>
      <c r="U31" s="26" t="n"/>
      <c r="V31" s="26" t="n"/>
      <c r="W31" s="26" t="n"/>
      <c r="X31" s="26" t="n"/>
    </row>
    <row r="32" ht="54" customHeight="1" s="491">
      <c r="A32" s="26" t="inlineStr">
        <is>
          <t>ERB-09</t>
        </is>
      </c>
      <c r="B32" s="26" t="inlineStr">
        <is>
          <t>Risk / commercial / double-count challenge reviewer</t>
        </is>
      </c>
      <c r="C32" s="26" t="inlineStr">
        <is>
          <t>Specialist</t>
        </is>
      </c>
      <c r="D32" s="778" t="inlineStr">
        <is>
          <t>Yes</t>
        </is>
      </c>
      <c r="E32" s="778" t="n"/>
      <c r="F32" s="778" t="n"/>
      <c r="G32" s="778" t="inlineStr">
        <is>
          <t>No</t>
        </is>
      </c>
      <c r="H32" s="778" t="n"/>
      <c r="I32" s="778" t="n"/>
      <c r="J32" s="778" t="inlineStr">
        <is>
          <t>Independent reviewer context</t>
        </is>
      </c>
      <c r="K32" s="778" t="n"/>
      <c r="L32" s="788" t="inlineStr">
        <is>
          <t>PASS - COMMITTED</t>
        </is>
      </c>
      <c r="M32" s="26" t="n"/>
      <c r="N32" s="26" t="n"/>
      <c r="O32" s="26" t="n"/>
      <c r="P32" s="26" t="n"/>
      <c r="Q32" s="26" t="n"/>
      <c r="R32" s="26" t="n"/>
      <c r="S32" s="26" t="n"/>
      <c r="T32" s="26" t="n"/>
      <c r="U32" s="26" t="n"/>
      <c r="V32" s="26" t="n"/>
      <c r="W32" s="26" t="n"/>
      <c r="X32" s="26" t="n"/>
    </row>
    <row r="33" ht="54" customHeight="1" s="491">
      <c r="A33" s="26" t="inlineStr">
        <is>
          <t>ERB-10</t>
        </is>
      </c>
      <c r="B33" s="26" t="inlineStr">
        <is>
          <t>Chief Estimator - evidence adjudicator</t>
        </is>
      </c>
      <c r="C33" s="26" t="inlineStr">
        <is>
          <t>Adjudication</t>
        </is>
      </c>
      <c r="D33" s="778" t="inlineStr">
        <is>
          <t>Yes</t>
        </is>
      </c>
      <c r="E33" s="778" t="n"/>
      <c r="F33" s="778" t="n"/>
      <c r="G33" s="778" t="inlineStr">
        <is>
          <t>No</t>
        </is>
      </c>
      <c r="H33" s="778" t="n"/>
      <c r="I33" s="778" t="n"/>
      <c r="J33" s="778" t="inlineStr">
        <is>
          <t>Chief Estimator</t>
        </is>
      </c>
      <c r="K33" s="778" t="n"/>
      <c r="L33" s="788" t="inlineStr">
        <is>
          <t>PASS WITH AMBER / WORKING HOLD</t>
        </is>
      </c>
      <c r="M33" s="26" t="n"/>
      <c r="N33" s="26" t="n"/>
      <c r="O33" s="26" t="n"/>
      <c r="P33" s="26" t="n"/>
      <c r="Q33" s="26" t="n"/>
      <c r="R33" s="26" t="n"/>
      <c r="S33" s="26" t="n"/>
      <c r="T33" s="26" t="n"/>
      <c r="U33" s="26" t="n"/>
      <c r="V33" s="26" t="n"/>
      <c r="W33" s="26" t="n"/>
      <c r="X33" s="26" t="n"/>
    </row>
    <row r="34" ht="24" customHeight="1" s="491">
      <c r="A34" s="267" t="inlineStr">
        <is>
          <t>INTERNAL PRE-RELEASE RED-TEAM NOTE</t>
        </is>
      </c>
      <c r="B34" s="242" t="n"/>
      <c r="C34" s="242" t="n"/>
      <c r="D34" s="242" t="n"/>
      <c r="E34" s="242" t="n"/>
      <c r="F34" s="242" t="n"/>
      <c r="G34" s="242" t="n"/>
      <c r="H34" s="242" t="n"/>
      <c r="I34" s="242" t="n"/>
      <c r="J34" s="242" t="n"/>
      <c r="K34" s="242" t="n"/>
      <c r="L34" s="242" t="n"/>
      <c r="M34" s="26" t="n"/>
      <c r="N34" s="26" t="n"/>
      <c r="O34" s="26" t="n"/>
      <c r="P34" s="26" t="n"/>
      <c r="Q34" s="26" t="n"/>
      <c r="R34" s="26" t="n"/>
      <c r="S34" s="26" t="n"/>
      <c r="T34" s="26" t="n"/>
      <c r="U34" s="26" t="n"/>
      <c r="V34" s="26" t="n"/>
      <c r="W34" s="26" t="n"/>
      <c r="X34" s="26" t="n"/>
    </row>
    <row r="35" ht="48" customHeight="1" s="491">
      <c r="A35" s="267" t="n"/>
      <c r="B35" s="242" t="n"/>
      <c r="C35" s="242" t="n"/>
      <c r="D35" s="242" t="n"/>
      <c r="E35" s="242" t="n"/>
      <c r="F35" s="242" t="n"/>
      <c r="G35" s="242" t="n"/>
      <c r="H35" s="242" t="n"/>
      <c r="I35" s="242" t="n"/>
      <c r="J35" s="242" t="n"/>
      <c r="K35" s="242" t="n"/>
      <c r="L35" s="242" t="n"/>
      <c r="M35" s="26" t="n"/>
      <c r="N35" s="26" t="n"/>
      <c r="O35" s="26" t="n"/>
      <c r="P35" s="26" t="n"/>
      <c r="Q35" s="26" t="n"/>
      <c r="R35" s="26" t="n"/>
      <c r="S35" s="26" t="n"/>
      <c r="T35" s="26" t="n"/>
      <c r="U35" s="26" t="n"/>
      <c r="V35" s="26" t="n"/>
      <c r="W35" s="26" t="n"/>
      <c r="X35" s="26" t="n"/>
    </row>
    <row r="36">
      <c r="A36" s="1506" t="inlineStr">
        <is>
          <t>QS ITEM VERIFICATION COVERAGE - EVERY ACTIVE QS ITEM (rows follow QS Takeoff rows 3-72; for a longer job copy the last row down)</t>
        </is>
      </c>
      <c r="B36" s="242" t="n"/>
      <c r="C36" s="242" t="n"/>
      <c r="D36" s="242" t="n"/>
      <c r="E36" s="242" t="n"/>
      <c r="F36" s="242" t="n"/>
      <c r="G36" s="242" t="n"/>
      <c r="H36" s="242" t="n"/>
      <c r="I36" s="242" t="n"/>
      <c r="J36" s="242" t="n"/>
      <c r="K36" s="242" t="n"/>
      <c r="L36" s="242" t="n"/>
      <c r="M36" s="242" t="n"/>
      <c r="N36" s="242" t="n"/>
      <c r="O36" s="242" t="n"/>
      <c r="P36" s="242" t="n"/>
      <c r="Q36" s="242" t="n"/>
      <c r="R36" s="26" t="n"/>
      <c r="S36" s="26" t="n"/>
      <c r="T36" s="26" t="n"/>
      <c r="U36" s="26" t="n"/>
      <c r="V36" s="26" t="n"/>
      <c r="W36" s="26" t="n"/>
      <c r="X36" s="26" t="n"/>
    </row>
    <row r="37">
      <c r="A37" s="26" t="n"/>
      <c r="B37" s="26" t="n"/>
      <c r="C37" s="26" t="n"/>
      <c r="D37" s="26" t="n"/>
      <c r="E37" s="26" t="n"/>
      <c r="F37" s="26" t="n"/>
      <c r="G37" s="26" t="n"/>
      <c r="H37" s="26" t="n"/>
      <c r="I37" s="26" t="n"/>
      <c r="J37" s="26" t="n"/>
      <c r="K37" s="26" t="n"/>
      <c r="L37" s="26" t="n"/>
      <c r="M37" s="26" t="n"/>
      <c r="N37" s="26" t="n"/>
      <c r="O37" s="26" t="n"/>
      <c r="P37" s="26" t="n"/>
      <c r="Q37" s="26" t="n"/>
      <c r="R37" s="26" t="n"/>
      <c r="S37" s="26" t="n"/>
      <c r="T37" s="26" t="n"/>
      <c r="U37" s="26" t="n"/>
      <c r="V37" s="26" t="n"/>
      <c r="W37" s="26" t="n"/>
      <c r="X37" s="26" t="n"/>
    </row>
    <row r="38">
      <c r="A38" s="26" t="n"/>
      <c r="B38" s="26" t="n"/>
      <c r="C38" s="26" t="n"/>
      <c r="D38" s="26" t="n"/>
      <c r="E38" s="26" t="n"/>
      <c r="F38" s="26" t="n"/>
      <c r="G38" s="26" t="n"/>
      <c r="H38" s="26" t="n"/>
      <c r="I38" s="26" t="n"/>
      <c r="J38" s="26" t="n"/>
      <c r="K38" s="26" t="n"/>
      <c r="L38" s="26" t="n"/>
      <c r="M38" s="26" t="n"/>
      <c r="N38" s="26" t="n"/>
      <c r="O38" s="26" t="n"/>
      <c r="P38" s="26" t="n"/>
      <c r="Q38" s="26" t="n"/>
      <c r="R38" s="26" t="n"/>
      <c r="S38" s="26" t="n"/>
      <c r="T38" s="26" t="n"/>
      <c r="U38" s="26" t="n"/>
      <c r="V38" s="26" t="n"/>
      <c r="W38" s="26" t="n"/>
      <c r="X38" s="26" t="n"/>
    </row>
    <row r="39" ht="38" customHeight="1" s="491">
      <c r="A39" s="776" t="inlineStr">
        <is>
          <t>QS Code</t>
        </is>
      </c>
      <c r="B39" s="776" t="inlineStr">
        <is>
          <t>WBS / Section</t>
        </is>
      </c>
      <c r="C39" s="776" t="inlineStr">
        <is>
          <t>Description</t>
        </is>
      </c>
      <c r="D39" s="776" t="inlineStr">
        <is>
          <t>Quantity</t>
        </is>
      </c>
      <c r="E39" s="776" t="inlineStr">
        <is>
          <t>Unit</t>
        </is>
      </c>
      <c r="F39" s="776" t="inlineStr">
        <is>
          <t>Amount excl. GST</t>
        </is>
      </c>
      <c r="G39" s="776" t="inlineStr">
        <is>
          <t>Estimator A</t>
        </is>
      </c>
      <c r="H39" s="776" t="inlineStr">
        <is>
          <t>Estimator B</t>
        </is>
      </c>
      <c r="I39" s="776" t="inlineStr">
        <is>
          <t>Estimator C</t>
        </is>
      </c>
      <c r="J39" s="776" t="inlineStr">
        <is>
          <t>Scope</t>
        </is>
      </c>
      <c r="K39" s="776" t="inlineStr">
        <is>
          <t>Quantity</t>
        </is>
      </c>
      <c r="L39" s="776" t="inlineStr">
        <is>
          <t>Method / Productivity</t>
        </is>
      </c>
      <c r="M39" s="776" t="inlineStr">
        <is>
          <t>Rate / Procurement</t>
        </is>
      </c>
      <c r="N39" s="776" t="inlineStr">
        <is>
          <t>Programme</t>
        </is>
      </c>
      <c r="O39" s="776" t="inlineStr">
        <is>
          <t>Risk / Commercial</t>
        </is>
      </c>
      <c r="P39" s="776" t="inlineStr">
        <is>
          <t>Item Verification Gate</t>
        </is>
      </c>
      <c r="Q39" s="776" t="inlineStr">
        <is>
          <t>Finding IDs / Notes</t>
        </is>
      </c>
      <c r="R39" s="26" t="n"/>
      <c r="S39" s="26" t="n"/>
      <c r="T39" s="26" t="n"/>
      <c r="U39" s="26" t="n"/>
      <c r="V39" s="26" t="n"/>
      <c r="W39" s="26" t="n"/>
      <c r="X39" s="26" t="n"/>
    </row>
    <row r="40" ht="22" customHeight="1" s="491">
      <c r="A40" s="26">
        <f>IF('QS Takeoff'!B3="","",'QS Takeoff'!B3)</f>
        <v/>
      </c>
      <c r="B40" s="26">
        <f>IF('QS Takeoff'!B3="","",'QS Takeoff'!A3)</f>
        <v/>
      </c>
      <c r="C40" s="26">
        <f>IF('QS Takeoff'!B3="","",'QS Takeoff'!C3)</f>
        <v/>
      </c>
      <c r="D40" s="1509">
        <f>IF('QS Takeoff'!B3="","",'QS Takeoff'!E3)</f>
        <v/>
      </c>
      <c r="E40" s="26">
        <f>IF('QS Takeoff'!B3="","",'QS Takeoff'!D3)</f>
        <v/>
      </c>
      <c r="F40" s="1510">
        <f>IF('QS Takeoff'!B3="","",'QS Takeoff'!G3)</f>
        <v/>
      </c>
      <c r="G40" s="778" t="n"/>
      <c r="H40" s="778" t="n"/>
      <c r="I40" s="778" t="n"/>
      <c r="J40" s="778" t="n"/>
      <c r="K40" s="778" t="n"/>
      <c r="L40" s="778" t="n"/>
      <c r="M40" s="778" t="n"/>
      <c r="N40" s="778" t="n"/>
      <c r="O40" s="778" t="n"/>
      <c r="P40" s="26">
        <f>IF(A40="","",IF(COUNTIF(G40:O40,"CHALLENGE - OPEN")&gt;0,"HOLD - OPEN CHALLENGE",IF(COUNTBLANK(G40:O40)&gt;0,"HOLD - NOT FULLY REVIEWED",IF(COUNTIF(G40:O40,"NOT REVIEWED")&gt;0,"HOLD - NOT FULLY REVIEWED","PASS"))))</f>
        <v/>
      </c>
      <c r="Q40" s="778" t="n"/>
      <c r="R40" s="26" t="n"/>
      <c r="S40" s="26" t="n"/>
      <c r="T40" s="26" t="n"/>
      <c r="U40" s="26" t="n"/>
      <c r="V40" s="26" t="n"/>
      <c r="W40" s="26" t="n"/>
      <c r="X40" s="26" t="n"/>
    </row>
    <row r="41" ht="22" customHeight="1" s="491">
      <c r="A41" s="26">
        <f>IF('QS Takeoff'!B4="","",'QS Takeoff'!B4)</f>
        <v/>
      </c>
      <c r="B41" s="26">
        <f>IF('QS Takeoff'!B4="","",'QS Takeoff'!A4)</f>
        <v/>
      </c>
      <c r="C41" s="26">
        <f>IF('QS Takeoff'!B4="","",'QS Takeoff'!C4)</f>
        <v/>
      </c>
      <c r="D41" s="1509">
        <f>IF('QS Takeoff'!B4="","",'QS Takeoff'!E4)</f>
        <v/>
      </c>
      <c r="E41" s="26">
        <f>IF('QS Takeoff'!B4="","",'QS Takeoff'!D4)</f>
        <v/>
      </c>
      <c r="F41" s="1510">
        <f>IF('QS Takeoff'!B4="","",'QS Takeoff'!G4)</f>
        <v/>
      </c>
      <c r="G41" s="778" t="n"/>
      <c r="H41" s="778" t="n"/>
      <c r="I41" s="778" t="n"/>
      <c r="J41" s="778" t="n"/>
      <c r="K41" s="778" t="n"/>
      <c r="L41" s="778" t="n"/>
      <c r="M41" s="778" t="n"/>
      <c r="N41" s="778" t="n"/>
      <c r="O41" s="778" t="n"/>
      <c r="P41" s="26">
        <f>IF(A41="","",IF(COUNTIF(G41:O41,"CHALLENGE - OPEN")&gt;0,"HOLD - OPEN CHALLENGE",IF(COUNTBLANK(G41:O41)&gt;0,"HOLD - NOT FULLY REVIEWED",IF(COUNTIF(G41:O41,"NOT REVIEWED")&gt;0,"HOLD - NOT FULLY REVIEWED","PASS"))))</f>
        <v/>
      </c>
      <c r="Q41" s="778" t="n"/>
      <c r="R41" s="26" t="n"/>
      <c r="S41" s="26" t="n"/>
      <c r="T41" s="26" t="n"/>
      <c r="U41" s="26" t="n"/>
      <c r="V41" s="26" t="n"/>
      <c r="W41" s="26" t="n"/>
      <c r="X41" s="26" t="n"/>
    </row>
    <row r="42" ht="22" customHeight="1" s="491">
      <c r="A42" s="26">
        <f>IF('QS Takeoff'!B5="","",'QS Takeoff'!B5)</f>
        <v/>
      </c>
      <c r="B42" s="26">
        <f>IF('QS Takeoff'!B5="","",'QS Takeoff'!A5)</f>
        <v/>
      </c>
      <c r="C42" s="26">
        <f>IF('QS Takeoff'!B5="","",'QS Takeoff'!C5)</f>
        <v/>
      </c>
      <c r="D42" s="1509">
        <f>IF('QS Takeoff'!B5="","",'QS Takeoff'!E5)</f>
        <v/>
      </c>
      <c r="E42" s="26">
        <f>IF('QS Takeoff'!B5="","",'QS Takeoff'!D5)</f>
        <v/>
      </c>
      <c r="F42" s="1510">
        <f>IF('QS Takeoff'!B5="","",'QS Takeoff'!G5)</f>
        <v/>
      </c>
      <c r="G42" s="778" t="n"/>
      <c r="H42" s="778" t="n"/>
      <c r="I42" s="778" t="n"/>
      <c r="J42" s="778" t="n"/>
      <c r="K42" s="778" t="n"/>
      <c r="L42" s="778" t="n"/>
      <c r="M42" s="778" t="n"/>
      <c r="N42" s="778" t="n"/>
      <c r="O42" s="778" t="n"/>
      <c r="P42" s="26">
        <f>IF(A42="","",IF(COUNTIF(G42:O42,"CHALLENGE - OPEN")&gt;0,"HOLD - OPEN CHALLENGE",IF(COUNTBLANK(G42:O42)&gt;0,"HOLD - NOT FULLY REVIEWED",IF(COUNTIF(G42:O42,"NOT REVIEWED")&gt;0,"HOLD - NOT FULLY REVIEWED","PASS"))))</f>
        <v/>
      </c>
      <c r="Q42" s="778" t="n"/>
      <c r="R42" s="26" t="n"/>
      <c r="S42" s="26" t="n"/>
      <c r="T42" s="26" t="n"/>
      <c r="U42" s="26" t="n"/>
      <c r="V42" s="26" t="n"/>
      <c r="W42" s="26" t="n"/>
      <c r="X42" s="26" t="n"/>
    </row>
    <row r="43" ht="22" customHeight="1" s="491">
      <c r="A43" s="26">
        <f>IF('QS Takeoff'!B6="","",'QS Takeoff'!B6)</f>
        <v/>
      </c>
      <c r="B43" s="26">
        <f>IF('QS Takeoff'!B6="","",'QS Takeoff'!A6)</f>
        <v/>
      </c>
      <c r="C43" s="26">
        <f>IF('QS Takeoff'!B6="","",'QS Takeoff'!C6)</f>
        <v/>
      </c>
      <c r="D43" s="1509">
        <f>IF('QS Takeoff'!B6="","",'QS Takeoff'!E6)</f>
        <v/>
      </c>
      <c r="E43" s="26">
        <f>IF('QS Takeoff'!B6="","",'QS Takeoff'!D6)</f>
        <v/>
      </c>
      <c r="F43" s="1510">
        <f>IF('QS Takeoff'!B6="","",'QS Takeoff'!G6)</f>
        <v/>
      </c>
      <c r="G43" s="778" t="n"/>
      <c r="H43" s="778" t="n"/>
      <c r="I43" s="778" t="n"/>
      <c r="J43" s="778" t="n"/>
      <c r="K43" s="778" t="n"/>
      <c r="L43" s="778" t="n"/>
      <c r="M43" s="778" t="n"/>
      <c r="N43" s="778" t="n"/>
      <c r="O43" s="778" t="n"/>
      <c r="P43" s="26">
        <f>IF(A43="","",IF(COUNTIF(G43:O43,"CHALLENGE - OPEN")&gt;0,"HOLD - OPEN CHALLENGE",IF(COUNTBLANK(G43:O43)&gt;0,"HOLD - NOT FULLY REVIEWED",IF(COUNTIF(G43:O43,"NOT REVIEWED")&gt;0,"HOLD - NOT FULLY REVIEWED","PASS"))))</f>
        <v/>
      </c>
      <c r="Q43" s="778" t="n"/>
      <c r="R43" s="26" t="n"/>
      <c r="S43" s="26" t="n"/>
      <c r="T43" s="26" t="n"/>
      <c r="U43" s="26" t="n"/>
      <c r="V43" s="26" t="n"/>
      <c r="W43" s="26" t="n"/>
      <c r="X43" s="26" t="n"/>
    </row>
    <row r="44" ht="22" customHeight="1" s="491">
      <c r="A44" s="26">
        <f>IF('QS Takeoff'!B7="","",'QS Takeoff'!B7)</f>
        <v/>
      </c>
      <c r="B44" s="26">
        <f>IF('QS Takeoff'!B7="","",'QS Takeoff'!A7)</f>
        <v/>
      </c>
      <c r="C44" s="26">
        <f>IF('QS Takeoff'!B7="","",'QS Takeoff'!C7)</f>
        <v/>
      </c>
      <c r="D44" s="1509">
        <f>IF('QS Takeoff'!B7="","",'QS Takeoff'!E7)</f>
        <v/>
      </c>
      <c r="E44" s="26">
        <f>IF('QS Takeoff'!B7="","",'QS Takeoff'!D7)</f>
        <v/>
      </c>
      <c r="F44" s="1510">
        <f>IF('QS Takeoff'!B7="","",'QS Takeoff'!G7)</f>
        <v/>
      </c>
      <c r="G44" s="778" t="n"/>
      <c r="H44" s="778" t="n"/>
      <c r="I44" s="778" t="n"/>
      <c r="J44" s="778" t="n"/>
      <c r="K44" s="778" t="n"/>
      <c r="L44" s="778" t="n"/>
      <c r="M44" s="778" t="n"/>
      <c r="N44" s="778" t="n"/>
      <c r="O44" s="778" t="n"/>
      <c r="P44" s="26">
        <f>IF(A44="","",IF(COUNTIF(G44:O44,"CHALLENGE - OPEN")&gt;0,"HOLD - OPEN CHALLENGE",IF(COUNTBLANK(G44:O44)&gt;0,"HOLD - NOT FULLY REVIEWED",IF(COUNTIF(G44:O44,"NOT REVIEWED")&gt;0,"HOLD - NOT FULLY REVIEWED","PASS"))))</f>
        <v/>
      </c>
      <c r="Q44" s="778" t="n"/>
      <c r="R44" s="26" t="n"/>
      <c r="S44" s="26" t="n"/>
      <c r="T44" s="26" t="n"/>
      <c r="U44" s="26" t="n"/>
      <c r="V44" s="26" t="n"/>
      <c r="W44" s="26" t="n"/>
      <c r="X44" s="26" t="n"/>
    </row>
    <row r="45" ht="22" customHeight="1" s="491">
      <c r="A45" s="26">
        <f>IF('QS Takeoff'!B8="","",'QS Takeoff'!B8)</f>
        <v/>
      </c>
      <c r="B45" s="26">
        <f>IF('QS Takeoff'!B8="","",'QS Takeoff'!A8)</f>
        <v/>
      </c>
      <c r="C45" s="26">
        <f>IF('QS Takeoff'!B8="","",'QS Takeoff'!C8)</f>
        <v/>
      </c>
      <c r="D45" s="1509">
        <f>IF('QS Takeoff'!B8="","",'QS Takeoff'!E8)</f>
        <v/>
      </c>
      <c r="E45" s="26">
        <f>IF('QS Takeoff'!B8="","",'QS Takeoff'!D8)</f>
        <v/>
      </c>
      <c r="F45" s="1510">
        <f>IF('QS Takeoff'!B8="","",'QS Takeoff'!G8)</f>
        <v/>
      </c>
      <c r="G45" s="778" t="n"/>
      <c r="H45" s="778" t="n"/>
      <c r="I45" s="778" t="n"/>
      <c r="J45" s="778" t="n"/>
      <c r="K45" s="778" t="n"/>
      <c r="L45" s="778" t="n"/>
      <c r="M45" s="778" t="n"/>
      <c r="N45" s="778" t="n"/>
      <c r="O45" s="778" t="n"/>
      <c r="P45" s="26">
        <f>IF(A45="","",IF(COUNTIF(G45:O45,"CHALLENGE - OPEN")&gt;0,"HOLD - OPEN CHALLENGE",IF(COUNTBLANK(G45:O45)&gt;0,"HOLD - NOT FULLY REVIEWED",IF(COUNTIF(G45:O45,"NOT REVIEWED")&gt;0,"HOLD - NOT FULLY REVIEWED","PASS"))))</f>
        <v/>
      </c>
      <c r="Q45" s="778" t="n"/>
      <c r="R45" s="26" t="n"/>
      <c r="S45" s="26" t="n"/>
      <c r="T45" s="26" t="n"/>
      <c r="U45" s="26" t="n"/>
      <c r="V45" s="26" t="n"/>
      <c r="W45" s="26" t="n"/>
      <c r="X45" s="26" t="n"/>
    </row>
    <row r="46" ht="22" customHeight="1" s="491">
      <c r="A46" s="26">
        <f>IF('QS Takeoff'!B9="","",'QS Takeoff'!B9)</f>
        <v/>
      </c>
      <c r="B46" s="26">
        <f>IF('QS Takeoff'!B9="","",'QS Takeoff'!A9)</f>
        <v/>
      </c>
      <c r="C46" s="26">
        <f>IF('QS Takeoff'!B9="","",'QS Takeoff'!C9)</f>
        <v/>
      </c>
      <c r="D46" s="1509">
        <f>IF('QS Takeoff'!B9="","",'QS Takeoff'!E9)</f>
        <v/>
      </c>
      <c r="E46" s="26">
        <f>IF('QS Takeoff'!B9="","",'QS Takeoff'!D9)</f>
        <v/>
      </c>
      <c r="F46" s="1510">
        <f>IF('QS Takeoff'!B9="","",'QS Takeoff'!G9)</f>
        <v/>
      </c>
      <c r="G46" s="778" t="n"/>
      <c r="H46" s="778" t="n"/>
      <c r="I46" s="778" t="n"/>
      <c r="J46" s="778" t="n"/>
      <c r="K46" s="778" t="n"/>
      <c r="L46" s="778" t="n"/>
      <c r="M46" s="778" t="n"/>
      <c r="N46" s="778" t="n"/>
      <c r="O46" s="778" t="n"/>
      <c r="P46" s="26">
        <f>IF(A46="","",IF(COUNTIF(G46:O46,"CHALLENGE - OPEN")&gt;0,"HOLD - OPEN CHALLENGE",IF(COUNTBLANK(G46:O46)&gt;0,"HOLD - NOT FULLY REVIEWED",IF(COUNTIF(G46:O46,"NOT REVIEWED")&gt;0,"HOLD - NOT FULLY REVIEWED","PASS"))))</f>
        <v/>
      </c>
      <c r="Q46" s="778" t="n"/>
      <c r="R46" s="26" t="n"/>
      <c r="S46" s="26" t="n"/>
      <c r="T46" s="26" t="n"/>
      <c r="U46" s="26" t="n"/>
      <c r="V46" s="26" t="n"/>
      <c r="W46" s="26" t="n"/>
      <c r="X46" s="26" t="n"/>
    </row>
    <row r="47" ht="22" customHeight="1" s="491">
      <c r="A47" s="26">
        <f>IF('QS Takeoff'!B10="","",'QS Takeoff'!B10)</f>
        <v/>
      </c>
      <c r="B47" s="26">
        <f>IF('QS Takeoff'!B10="","",'QS Takeoff'!A10)</f>
        <v/>
      </c>
      <c r="C47" s="26">
        <f>IF('QS Takeoff'!B10="","",'QS Takeoff'!C10)</f>
        <v/>
      </c>
      <c r="D47" s="1509">
        <f>IF('QS Takeoff'!B10="","",'QS Takeoff'!E10)</f>
        <v/>
      </c>
      <c r="E47" s="26">
        <f>IF('QS Takeoff'!B10="","",'QS Takeoff'!D10)</f>
        <v/>
      </c>
      <c r="F47" s="1510">
        <f>IF('QS Takeoff'!B10="","",'QS Takeoff'!G10)</f>
        <v/>
      </c>
      <c r="G47" s="778" t="n"/>
      <c r="H47" s="778" t="n"/>
      <c r="I47" s="778" t="n"/>
      <c r="J47" s="778" t="n"/>
      <c r="K47" s="778" t="n"/>
      <c r="L47" s="778" t="n"/>
      <c r="M47" s="778" t="n"/>
      <c r="N47" s="778" t="n"/>
      <c r="O47" s="778" t="n"/>
      <c r="P47" s="26">
        <f>IF(A47="","",IF(COUNTIF(G47:O47,"CHALLENGE - OPEN")&gt;0,"HOLD - OPEN CHALLENGE",IF(COUNTBLANK(G47:O47)&gt;0,"HOLD - NOT FULLY REVIEWED",IF(COUNTIF(G47:O47,"NOT REVIEWED")&gt;0,"HOLD - NOT FULLY REVIEWED","PASS"))))</f>
        <v/>
      </c>
      <c r="Q47" s="778" t="n"/>
      <c r="R47" s="26" t="n"/>
      <c r="S47" s="26" t="n"/>
      <c r="T47" s="26" t="n"/>
      <c r="U47" s="26" t="n"/>
      <c r="V47" s="26" t="n"/>
      <c r="W47" s="26" t="n"/>
      <c r="X47" s="26" t="n"/>
    </row>
    <row r="48" ht="22" customHeight="1" s="491">
      <c r="A48" s="26">
        <f>IF('QS Takeoff'!B11="","",'QS Takeoff'!B11)</f>
        <v/>
      </c>
      <c r="B48" s="26">
        <f>IF('QS Takeoff'!B11="","",'QS Takeoff'!A11)</f>
        <v/>
      </c>
      <c r="C48" s="26">
        <f>IF('QS Takeoff'!B11="","",'QS Takeoff'!C11)</f>
        <v/>
      </c>
      <c r="D48" s="1509">
        <f>IF('QS Takeoff'!B11="","",'QS Takeoff'!E11)</f>
        <v/>
      </c>
      <c r="E48" s="26">
        <f>IF('QS Takeoff'!B11="","",'QS Takeoff'!D11)</f>
        <v/>
      </c>
      <c r="F48" s="1510">
        <f>IF('QS Takeoff'!B11="","",'QS Takeoff'!G11)</f>
        <v/>
      </c>
      <c r="G48" s="778" t="n"/>
      <c r="H48" s="778" t="n"/>
      <c r="I48" s="778" t="n"/>
      <c r="J48" s="778" t="n"/>
      <c r="K48" s="778" t="n"/>
      <c r="L48" s="778" t="n"/>
      <c r="M48" s="778" t="n"/>
      <c r="N48" s="778" t="n"/>
      <c r="O48" s="778" t="n"/>
      <c r="P48" s="26">
        <f>IF(A48="","",IF(COUNTIF(G48:O48,"CHALLENGE - OPEN")&gt;0,"HOLD - OPEN CHALLENGE",IF(COUNTBLANK(G48:O48)&gt;0,"HOLD - NOT FULLY REVIEWED",IF(COUNTIF(G48:O48,"NOT REVIEWED")&gt;0,"HOLD - NOT FULLY REVIEWED","PASS"))))</f>
        <v/>
      </c>
      <c r="Q48" s="778" t="n"/>
      <c r="R48" s="26" t="n"/>
      <c r="S48" s="26" t="n"/>
      <c r="T48" s="26" t="n"/>
      <c r="U48" s="26" t="n"/>
      <c r="V48" s="26" t="n"/>
      <c r="W48" s="26" t="n"/>
      <c r="X48" s="26" t="n"/>
    </row>
    <row r="49" ht="22" customHeight="1" s="491">
      <c r="A49" s="26">
        <f>IF('QS Takeoff'!B12="","",'QS Takeoff'!B12)</f>
        <v/>
      </c>
      <c r="B49" s="26">
        <f>IF('QS Takeoff'!B12="","",'QS Takeoff'!A12)</f>
        <v/>
      </c>
      <c r="C49" s="26">
        <f>IF('QS Takeoff'!B12="","",'QS Takeoff'!C12)</f>
        <v/>
      </c>
      <c r="D49" s="1509">
        <f>IF('QS Takeoff'!B12="","",'QS Takeoff'!E12)</f>
        <v/>
      </c>
      <c r="E49" s="26">
        <f>IF('QS Takeoff'!B12="","",'QS Takeoff'!D12)</f>
        <v/>
      </c>
      <c r="F49" s="1510">
        <f>IF('QS Takeoff'!B12="","",'QS Takeoff'!G12)</f>
        <v/>
      </c>
      <c r="G49" s="778" t="n"/>
      <c r="H49" s="778" t="n"/>
      <c r="I49" s="778" t="n"/>
      <c r="J49" s="778" t="n"/>
      <c r="K49" s="778" t="n"/>
      <c r="L49" s="778" t="n"/>
      <c r="M49" s="778" t="n"/>
      <c r="N49" s="778" t="n"/>
      <c r="O49" s="778" t="n"/>
      <c r="P49" s="26">
        <f>IF(A49="","",IF(COUNTIF(G49:O49,"CHALLENGE - OPEN")&gt;0,"HOLD - OPEN CHALLENGE",IF(COUNTBLANK(G49:O49)&gt;0,"HOLD - NOT FULLY REVIEWED",IF(COUNTIF(G49:O49,"NOT REVIEWED")&gt;0,"HOLD - NOT FULLY REVIEWED","PASS"))))</f>
        <v/>
      </c>
      <c r="Q49" s="778" t="n"/>
      <c r="R49" s="26" t="n"/>
      <c r="S49" s="26" t="n"/>
      <c r="T49" s="26" t="n"/>
      <c r="U49" s="26" t="n"/>
      <c r="V49" s="26" t="n"/>
      <c r="W49" s="26" t="n"/>
      <c r="X49" s="26" t="n"/>
    </row>
    <row r="50" ht="22" customHeight="1" s="491">
      <c r="A50" s="26">
        <f>IF('QS Takeoff'!B13="","",'QS Takeoff'!B13)</f>
        <v/>
      </c>
      <c r="B50" s="26">
        <f>IF('QS Takeoff'!B13="","",'QS Takeoff'!A13)</f>
        <v/>
      </c>
      <c r="C50" s="26">
        <f>IF('QS Takeoff'!B13="","",'QS Takeoff'!C13)</f>
        <v/>
      </c>
      <c r="D50" s="1509">
        <f>IF('QS Takeoff'!B13="","",'QS Takeoff'!E13)</f>
        <v/>
      </c>
      <c r="E50" s="26">
        <f>IF('QS Takeoff'!B13="","",'QS Takeoff'!D13)</f>
        <v/>
      </c>
      <c r="F50" s="1510">
        <f>IF('QS Takeoff'!B13="","",'QS Takeoff'!G13)</f>
        <v/>
      </c>
      <c r="G50" s="778" t="n"/>
      <c r="H50" s="778" t="n"/>
      <c r="I50" s="778" t="n"/>
      <c r="J50" s="778" t="n"/>
      <c r="K50" s="778" t="n"/>
      <c r="L50" s="778" t="n"/>
      <c r="M50" s="778" t="n"/>
      <c r="N50" s="778" t="n"/>
      <c r="O50" s="778" t="n"/>
      <c r="P50" s="26">
        <f>IF(A50="","",IF(COUNTIF(G50:O50,"CHALLENGE - OPEN")&gt;0,"HOLD - OPEN CHALLENGE",IF(COUNTBLANK(G50:O50)&gt;0,"HOLD - NOT FULLY REVIEWED",IF(COUNTIF(G50:O50,"NOT REVIEWED")&gt;0,"HOLD - NOT FULLY REVIEWED","PASS"))))</f>
        <v/>
      </c>
      <c r="Q50" s="778" t="n"/>
      <c r="R50" s="26" t="n"/>
      <c r="S50" s="26" t="n"/>
      <c r="T50" s="26" t="n"/>
      <c r="U50" s="26" t="n"/>
      <c r="V50" s="26" t="n"/>
      <c r="W50" s="26" t="n"/>
      <c r="X50" s="26" t="n"/>
    </row>
    <row r="51" ht="22" customHeight="1" s="491">
      <c r="A51" s="26">
        <f>IF('QS Takeoff'!B14="","",'QS Takeoff'!B14)</f>
        <v/>
      </c>
      <c r="B51" s="26">
        <f>IF('QS Takeoff'!B14="","",'QS Takeoff'!A14)</f>
        <v/>
      </c>
      <c r="C51" s="26">
        <f>IF('QS Takeoff'!B14="","",'QS Takeoff'!C14)</f>
        <v/>
      </c>
      <c r="D51" s="1509">
        <f>IF('QS Takeoff'!B14="","",'QS Takeoff'!E14)</f>
        <v/>
      </c>
      <c r="E51" s="26">
        <f>IF('QS Takeoff'!B14="","",'QS Takeoff'!D14)</f>
        <v/>
      </c>
      <c r="F51" s="1510">
        <f>IF('QS Takeoff'!B14="","",'QS Takeoff'!G14)</f>
        <v/>
      </c>
      <c r="G51" s="778" t="n"/>
      <c r="H51" s="778" t="n"/>
      <c r="I51" s="778" t="n"/>
      <c r="J51" s="778" t="n"/>
      <c r="K51" s="778" t="n"/>
      <c r="L51" s="778" t="n"/>
      <c r="M51" s="778" t="n"/>
      <c r="N51" s="778" t="n"/>
      <c r="O51" s="778" t="n"/>
      <c r="P51" s="26">
        <f>IF(A51="","",IF(COUNTIF(G51:O51,"CHALLENGE - OPEN")&gt;0,"HOLD - OPEN CHALLENGE",IF(COUNTBLANK(G51:O51)&gt;0,"HOLD - NOT FULLY REVIEWED",IF(COUNTIF(G51:O51,"NOT REVIEWED")&gt;0,"HOLD - NOT FULLY REVIEWED","PASS"))))</f>
        <v/>
      </c>
      <c r="Q51" s="778" t="n"/>
      <c r="R51" s="26" t="n"/>
      <c r="S51" s="26" t="n"/>
      <c r="T51" s="26" t="n"/>
      <c r="U51" s="26" t="n"/>
      <c r="V51" s="26" t="n"/>
      <c r="W51" s="26" t="n"/>
      <c r="X51" s="26" t="n"/>
    </row>
    <row r="52" ht="22" customHeight="1" s="491">
      <c r="A52" s="26">
        <f>IF('QS Takeoff'!B15="","",'QS Takeoff'!B15)</f>
        <v/>
      </c>
      <c r="B52" s="26">
        <f>IF('QS Takeoff'!B15="","",'QS Takeoff'!A15)</f>
        <v/>
      </c>
      <c r="C52" s="26">
        <f>IF('QS Takeoff'!B15="","",'QS Takeoff'!C15)</f>
        <v/>
      </c>
      <c r="D52" s="1509">
        <f>IF('QS Takeoff'!B15="","",'QS Takeoff'!E15)</f>
        <v/>
      </c>
      <c r="E52" s="26">
        <f>IF('QS Takeoff'!B15="","",'QS Takeoff'!D15)</f>
        <v/>
      </c>
      <c r="F52" s="1510">
        <f>IF('QS Takeoff'!B15="","",'QS Takeoff'!G15)</f>
        <v/>
      </c>
      <c r="G52" s="778" t="n"/>
      <c r="H52" s="778" t="n"/>
      <c r="I52" s="778" t="n"/>
      <c r="J52" s="778" t="n"/>
      <c r="K52" s="778" t="n"/>
      <c r="L52" s="778" t="n"/>
      <c r="M52" s="778" t="n"/>
      <c r="N52" s="778" t="n"/>
      <c r="O52" s="778" t="n"/>
      <c r="P52" s="26">
        <f>IF(A52="","",IF(COUNTIF(G52:O52,"CHALLENGE - OPEN")&gt;0,"HOLD - OPEN CHALLENGE",IF(COUNTBLANK(G52:O52)&gt;0,"HOLD - NOT FULLY REVIEWED",IF(COUNTIF(G52:O52,"NOT REVIEWED")&gt;0,"HOLD - NOT FULLY REVIEWED","PASS"))))</f>
        <v/>
      </c>
      <c r="Q52" s="778" t="n"/>
      <c r="R52" s="26" t="n"/>
      <c r="S52" s="26" t="n"/>
      <c r="T52" s="26" t="n"/>
      <c r="U52" s="26" t="n"/>
      <c r="V52" s="26" t="n"/>
      <c r="W52" s="26" t="n"/>
      <c r="X52" s="26" t="n"/>
    </row>
    <row r="53" ht="22" customHeight="1" s="491">
      <c r="A53" s="26">
        <f>IF('QS Takeoff'!B16="","",'QS Takeoff'!B16)</f>
        <v/>
      </c>
      <c r="B53" s="26">
        <f>IF('QS Takeoff'!B16="","",'QS Takeoff'!A16)</f>
        <v/>
      </c>
      <c r="C53" s="26">
        <f>IF('QS Takeoff'!B16="","",'QS Takeoff'!C16)</f>
        <v/>
      </c>
      <c r="D53" s="1509">
        <f>IF('QS Takeoff'!B16="","",'QS Takeoff'!E16)</f>
        <v/>
      </c>
      <c r="E53" s="26">
        <f>IF('QS Takeoff'!B16="","",'QS Takeoff'!D16)</f>
        <v/>
      </c>
      <c r="F53" s="1510">
        <f>IF('QS Takeoff'!B16="","",'QS Takeoff'!G16)</f>
        <v/>
      </c>
      <c r="G53" s="778" t="n"/>
      <c r="H53" s="778" t="n"/>
      <c r="I53" s="778" t="n"/>
      <c r="J53" s="778" t="n"/>
      <c r="K53" s="778" t="n"/>
      <c r="L53" s="778" t="n"/>
      <c r="M53" s="778" t="n"/>
      <c r="N53" s="778" t="n"/>
      <c r="O53" s="778" t="n"/>
      <c r="P53" s="26">
        <f>IF(A53="","",IF(COUNTIF(G53:O53,"CHALLENGE - OPEN")&gt;0,"HOLD - OPEN CHALLENGE",IF(COUNTBLANK(G53:O53)&gt;0,"HOLD - NOT FULLY REVIEWED",IF(COUNTIF(G53:O53,"NOT REVIEWED")&gt;0,"HOLD - NOT FULLY REVIEWED","PASS"))))</f>
        <v/>
      </c>
      <c r="Q53" s="778" t="n"/>
      <c r="R53" s="26" t="n"/>
      <c r="S53" s="26" t="n"/>
      <c r="T53" s="26" t="n"/>
      <c r="U53" s="26" t="n"/>
      <c r="V53" s="26" t="n"/>
      <c r="W53" s="26" t="n"/>
      <c r="X53" s="26" t="n"/>
    </row>
    <row r="54" ht="22" customHeight="1" s="491">
      <c r="A54" s="26">
        <f>IF('QS Takeoff'!B17="","",'QS Takeoff'!B17)</f>
        <v/>
      </c>
      <c r="B54" s="26">
        <f>IF('QS Takeoff'!B17="","",'QS Takeoff'!A17)</f>
        <v/>
      </c>
      <c r="C54" s="26">
        <f>IF('QS Takeoff'!B17="","",'QS Takeoff'!C17)</f>
        <v/>
      </c>
      <c r="D54" s="1509">
        <f>IF('QS Takeoff'!B17="","",'QS Takeoff'!E17)</f>
        <v/>
      </c>
      <c r="E54" s="26">
        <f>IF('QS Takeoff'!B17="","",'QS Takeoff'!D17)</f>
        <v/>
      </c>
      <c r="F54" s="1510">
        <f>IF('QS Takeoff'!B17="","",'QS Takeoff'!G17)</f>
        <v/>
      </c>
      <c r="G54" s="778" t="n"/>
      <c r="H54" s="778" t="n"/>
      <c r="I54" s="778" t="n"/>
      <c r="J54" s="778" t="n"/>
      <c r="K54" s="778" t="n"/>
      <c r="L54" s="778" t="n"/>
      <c r="M54" s="778" t="n"/>
      <c r="N54" s="778" t="n"/>
      <c r="O54" s="778" t="n"/>
      <c r="P54" s="26">
        <f>IF(A54="","",IF(COUNTIF(G54:O54,"CHALLENGE - OPEN")&gt;0,"HOLD - OPEN CHALLENGE",IF(COUNTBLANK(G54:O54)&gt;0,"HOLD - NOT FULLY REVIEWED",IF(COUNTIF(G54:O54,"NOT REVIEWED")&gt;0,"HOLD - NOT FULLY REVIEWED","PASS"))))</f>
        <v/>
      </c>
      <c r="Q54" s="778" t="n"/>
      <c r="R54" s="26" t="n"/>
      <c r="S54" s="26" t="n"/>
      <c r="T54" s="26" t="n"/>
      <c r="U54" s="26" t="n"/>
      <c r="V54" s="26" t="n"/>
      <c r="W54" s="26" t="n"/>
      <c r="X54" s="26" t="n"/>
    </row>
    <row r="55" ht="22" customHeight="1" s="491">
      <c r="A55" s="26">
        <f>IF('QS Takeoff'!B18="","",'QS Takeoff'!B18)</f>
        <v/>
      </c>
      <c r="B55" s="26">
        <f>IF('QS Takeoff'!B18="","",'QS Takeoff'!A18)</f>
        <v/>
      </c>
      <c r="C55" s="26">
        <f>IF('QS Takeoff'!B18="","",'QS Takeoff'!C18)</f>
        <v/>
      </c>
      <c r="D55" s="1509">
        <f>IF('QS Takeoff'!B18="","",'QS Takeoff'!E18)</f>
        <v/>
      </c>
      <c r="E55" s="26">
        <f>IF('QS Takeoff'!B18="","",'QS Takeoff'!D18)</f>
        <v/>
      </c>
      <c r="F55" s="1510">
        <f>IF('QS Takeoff'!B18="","",'QS Takeoff'!G18)</f>
        <v/>
      </c>
      <c r="G55" s="778" t="n"/>
      <c r="H55" s="778" t="n"/>
      <c r="I55" s="778" t="n"/>
      <c r="J55" s="778" t="n"/>
      <c r="K55" s="778" t="n"/>
      <c r="L55" s="778" t="n"/>
      <c r="M55" s="778" t="n"/>
      <c r="N55" s="778" t="n"/>
      <c r="O55" s="778" t="n"/>
      <c r="P55" s="26">
        <f>IF(A55="","",IF(COUNTIF(G55:O55,"CHALLENGE - OPEN")&gt;0,"HOLD - OPEN CHALLENGE",IF(COUNTBLANK(G55:O55)&gt;0,"HOLD - NOT FULLY REVIEWED",IF(COUNTIF(G55:O55,"NOT REVIEWED")&gt;0,"HOLD - NOT FULLY REVIEWED","PASS"))))</f>
        <v/>
      </c>
      <c r="Q55" s="778" t="n"/>
      <c r="R55" s="26" t="n"/>
      <c r="S55" s="26" t="n"/>
      <c r="T55" s="26" t="n"/>
      <c r="U55" s="26" t="n"/>
      <c r="V55" s="26" t="n"/>
      <c r="W55" s="26" t="n"/>
      <c r="X55" s="26" t="n"/>
    </row>
    <row r="56" ht="22" customHeight="1" s="491">
      <c r="A56" s="26">
        <f>IF('QS Takeoff'!B19="","",'QS Takeoff'!B19)</f>
        <v/>
      </c>
      <c r="B56" s="26">
        <f>IF('QS Takeoff'!B19="","",'QS Takeoff'!A19)</f>
        <v/>
      </c>
      <c r="C56" s="26">
        <f>IF('QS Takeoff'!B19="","",'QS Takeoff'!C19)</f>
        <v/>
      </c>
      <c r="D56" s="1509">
        <f>IF('QS Takeoff'!B19="","",'QS Takeoff'!E19)</f>
        <v/>
      </c>
      <c r="E56" s="26">
        <f>IF('QS Takeoff'!B19="","",'QS Takeoff'!D19)</f>
        <v/>
      </c>
      <c r="F56" s="1510">
        <f>IF('QS Takeoff'!B19="","",'QS Takeoff'!G19)</f>
        <v/>
      </c>
      <c r="G56" s="778" t="n"/>
      <c r="H56" s="778" t="n"/>
      <c r="I56" s="778" t="n"/>
      <c r="J56" s="778" t="n"/>
      <c r="K56" s="778" t="n"/>
      <c r="L56" s="778" t="n"/>
      <c r="M56" s="778" t="n"/>
      <c r="N56" s="778" t="n"/>
      <c r="O56" s="778" t="n"/>
      <c r="P56" s="26">
        <f>IF(A56="","",IF(COUNTIF(G56:O56,"CHALLENGE - OPEN")&gt;0,"HOLD - OPEN CHALLENGE",IF(COUNTBLANK(G56:O56)&gt;0,"HOLD - NOT FULLY REVIEWED",IF(COUNTIF(G56:O56,"NOT REVIEWED")&gt;0,"HOLD - NOT FULLY REVIEWED","PASS"))))</f>
        <v/>
      </c>
      <c r="Q56" s="778" t="n"/>
      <c r="R56" s="26" t="n"/>
      <c r="S56" s="26" t="n"/>
      <c r="T56" s="26" t="n"/>
      <c r="U56" s="26" t="n"/>
      <c r="V56" s="26" t="n"/>
      <c r="W56" s="26" t="n"/>
      <c r="X56" s="26" t="n"/>
    </row>
    <row r="57" ht="22" customHeight="1" s="491">
      <c r="A57" s="26">
        <f>IF('QS Takeoff'!B20="","",'QS Takeoff'!B20)</f>
        <v/>
      </c>
      <c r="B57" s="26">
        <f>IF('QS Takeoff'!B20="","",'QS Takeoff'!A20)</f>
        <v/>
      </c>
      <c r="C57" s="26">
        <f>IF('QS Takeoff'!B20="","",'QS Takeoff'!C20)</f>
        <v/>
      </c>
      <c r="D57" s="1509">
        <f>IF('QS Takeoff'!B20="","",'QS Takeoff'!E20)</f>
        <v/>
      </c>
      <c r="E57" s="26">
        <f>IF('QS Takeoff'!B20="","",'QS Takeoff'!D20)</f>
        <v/>
      </c>
      <c r="F57" s="1510">
        <f>IF('QS Takeoff'!B20="","",'QS Takeoff'!G20)</f>
        <v/>
      </c>
      <c r="G57" s="778" t="n"/>
      <c r="H57" s="778" t="n"/>
      <c r="I57" s="778" t="n"/>
      <c r="J57" s="778" t="n"/>
      <c r="K57" s="778" t="n"/>
      <c r="L57" s="778" t="n"/>
      <c r="M57" s="778" t="n"/>
      <c r="N57" s="778" t="n"/>
      <c r="O57" s="778" t="n"/>
      <c r="P57" s="26">
        <f>IF(A57="","",IF(COUNTIF(G57:O57,"CHALLENGE - OPEN")&gt;0,"HOLD - OPEN CHALLENGE",IF(COUNTBLANK(G57:O57)&gt;0,"HOLD - NOT FULLY REVIEWED",IF(COUNTIF(G57:O57,"NOT REVIEWED")&gt;0,"HOLD - NOT FULLY REVIEWED","PASS"))))</f>
        <v/>
      </c>
      <c r="Q57" s="778" t="n"/>
      <c r="R57" s="26" t="n"/>
      <c r="S57" s="26" t="n"/>
      <c r="T57" s="26" t="n"/>
      <c r="U57" s="26" t="n"/>
      <c r="V57" s="26" t="n"/>
      <c r="W57" s="26" t="n"/>
      <c r="X57" s="26" t="n"/>
    </row>
    <row r="58" ht="22" customHeight="1" s="491">
      <c r="A58" s="26">
        <f>IF('QS Takeoff'!B21="","",'QS Takeoff'!B21)</f>
        <v/>
      </c>
      <c r="B58" s="26">
        <f>IF('QS Takeoff'!B21="","",'QS Takeoff'!A21)</f>
        <v/>
      </c>
      <c r="C58" s="26">
        <f>IF('QS Takeoff'!B21="","",'QS Takeoff'!C21)</f>
        <v/>
      </c>
      <c r="D58" s="1509">
        <f>IF('QS Takeoff'!B21="","",'QS Takeoff'!E21)</f>
        <v/>
      </c>
      <c r="E58" s="26">
        <f>IF('QS Takeoff'!B21="","",'QS Takeoff'!D21)</f>
        <v/>
      </c>
      <c r="F58" s="1510">
        <f>IF('QS Takeoff'!B21="","",'QS Takeoff'!G21)</f>
        <v/>
      </c>
      <c r="G58" s="778" t="n"/>
      <c r="H58" s="778" t="n"/>
      <c r="I58" s="778" t="n"/>
      <c r="J58" s="778" t="n"/>
      <c r="K58" s="778" t="n"/>
      <c r="L58" s="778" t="n"/>
      <c r="M58" s="778" t="n"/>
      <c r="N58" s="778" t="n"/>
      <c r="O58" s="778" t="n"/>
      <c r="P58" s="26">
        <f>IF(A58="","",IF(COUNTIF(G58:O58,"CHALLENGE - OPEN")&gt;0,"HOLD - OPEN CHALLENGE",IF(COUNTBLANK(G58:O58)&gt;0,"HOLD - NOT FULLY REVIEWED",IF(COUNTIF(G58:O58,"NOT REVIEWED")&gt;0,"HOLD - NOT FULLY REVIEWED","PASS"))))</f>
        <v/>
      </c>
      <c r="Q58" s="778" t="n"/>
      <c r="R58" s="26" t="n"/>
      <c r="S58" s="26" t="n"/>
      <c r="T58" s="26" t="n"/>
      <c r="U58" s="26" t="n"/>
      <c r="V58" s="26" t="n"/>
      <c r="W58" s="26" t="n"/>
      <c r="X58" s="26" t="n"/>
    </row>
    <row r="59" ht="22" customHeight="1" s="491">
      <c r="A59" s="26">
        <f>IF('QS Takeoff'!B22="","",'QS Takeoff'!B22)</f>
        <v/>
      </c>
      <c r="B59" s="26">
        <f>IF('QS Takeoff'!B22="","",'QS Takeoff'!A22)</f>
        <v/>
      </c>
      <c r="C59" s="26">
        <f>IF('QS Takeoff'!B22="","",'QS Takeoff'!C22)</f>
        <v/>
      </c>
      <c r="D59" s="1509">
        <f>IF('QS Takeoff'!B22="","",'QS Takeoff'!E22)</f>
        <v/>
      </c>
      <c r="E59" s="26">
        <f>IF('QS Takeoff'!B22="","",'QS Takeoff'!D22)</f>
        <v/>
      </c>
      <c r="F59" s="1510">
        <f>IF('QS Takeoff'!B22="","",'QS Takeoff'!G22)</f>
        <v/>
      </c>
      <c r="G59" s="778" t="n"/>
      <c r="H59" s="778" t="n"/>
      <c r="I59" s="778" t="n"/>
      <c r="J59" s="778" t="n"/>
      <c r="K59" s="778" t="n"/>
      <c r="L59" s="778" t="n"/>
      <c r="M59" s="778" t="n"/>
      <c r="N59" s="778" t="n"/>
      <c r="O59" s="778" t="n"/>
      <c r="P59" s="26">
        <f>IF(A59="","",IF(COUNTIF(G59:O59,"CHALLENGE - OPEN")&gt;0,"HOLD - OPEN CHALLENGE",IF(COUNTBLANK(G59:O59)&gt;0,"HOLD - NOT FULLY REVIEWED",IF(COUNTIF(G59:O59,"NOT REVIEWED")&gt;0,"HOLD - NOT FULLY REVIEWED","PASS"))))</f>
        <v/>
      </c>
      <c r="Q59" s="778" t="n"/>
      <c r="R59" s="26" t="n"/>
      <c r="S59" s="26" t="n"/>
      <c r="T59" s="26" t="n"/>
      <c r="U59" s="26" t="n"/>
      <c r="V59" s="26" t="n"/>
      <c r="W59" s="26" t="n"/>
      <c r="X59" s="26" t="n"/>
    </row>
    <row r="60" ht="22" customHeight="1" s="491">
      <c r="A60" s="26">
        <f>IF('QS Takeoff'!B23="","",'QS Takeoff'!B23)</f>
        <v/>
      </c>
      <c r="B60" s="26">
        <f>IF('QS Takeoff'!B23="","",'QS Takeoff'!A23)</f>
        <v/>
      </c>
      <c r="C60" s="26">
        <f>IF('QS Takeoff'!B23="","",'QS Takeoff'!C23)</f>
        <v/>
      </c>
      <c r="D60" s="1509">
        <f>IF('QS Takeoff'!B23="","",'QS Takeoff'!E23)</f>
        <v/>
      </c>
      <c r="E60" s="26">
        <f>IF('QS Takeoff'!B23="","",'QS Takeoff'!D23)</f>
        <v/>
      </c>
      <c r="F60" s="1510">
        <f>IF('QS Takeoff'!B23="","",'QS Takeoff'!G23)</f>
        <v/>
      </c>
      <c r="G60" s="778" t="n"/>
      <c r="H60" s="778" t="n"/>
      <c r="I60" s="778" t="n"/>
      <c r="J60" s="778" t="n"/>
      <c r="K60" s="778" t="n"/>
      <c r="L60" s="778" t="n"/>
      <c r="M60" s="778" t="n"/>
      <c r="N60" s="778" t="n"/>
      <c r="O60" s="778" t="n"/>
      <c r="P60" s="26">
        <f>IF(A60="","",IF(COUNTIF(G60:O60,"CHALLENGE - OPEN")&gt;0,"HOLD - OPEN CHALLENGE",IF(COUNTBLANK(G60:O60)&gt;0,"HOLD - NOT FULLY REVIEWED",IF(COUNTIF(G60:O60,"NOT REVIEWED")&gt;0,"HOLD - NOT FULLY REVIEWED","PASS"))))</f>
        <v/>
      </c>
      <c r="Q60" s="778" t="n"/>
      <c r="R60" s="26" t="n"/>
      <c r="S60" s="26" t="n"/>
      <c r="T60" s="26" t="n"/>
      <c r="U60" s="26" t="n"/>
      <c r="V60" s="26" t="n"/>
      <c r="W60" s="26" t="n"/>
      <c r="X60" s="26" t="n"/>
    </row>
    <row r="61" ht="22" customHeight="1" s="491">
      <c r="A61" s="26">
        <f>IF('QS Takeoff'!B24="","",'QS Takeoff'!B24)</f>
        <v/>
      </c>
      <c r="B61" s="26">
        <f>IF('QS Takeoff'!B24="","",'QS Takeoff'!A24)</f>
        <v/>
      </c>
      <c r="C61" s="26">
        <f>IF('QS Takeoff'!B24="","",'QS Takeoff'!C24)</f>
        <v/>
      </c>
      <c r="D61" s="1509">
        <f>IF('QS Takeoff'!B24="","",'QS Takeoff'!E24)</f>
        <v/>
      </c>
      <c r="E61" s="26">
        <f>IF('QS Takeoff'!B24="","",'QS Takeoff'!D24)</f>
        <v/>
      </c>
      <c r="F61" s="1510">
        <f>IF('QS Takeoff'!B24="","",'QS Takeoff'!G24)</f>
        <v/>
      </c>
      <c r="G61" s="778" t="n"/>
      <c r="H61" s="778" t="n"/>
      <c r="I61" s="778" t="n"/>
      <c r="J61" s="778" t="n"/>
      <c r="K61" s="778" t="n"/>
      <c r="L61" s="778" t="n"/>
      <c r="M61" s="778" t="n"/>
      <c r="N61" s="778" t="n"/>
      <c r="O61" s="778" t="n"/>
      <c r="P61" s="26">
        <f>IF(A61="","",IF(COUNTIF(G61:O61,"CHALLENGE - OPEN")&gt;0,"HOLD - OPEN CHALLENGE",IF(COUNTBLANK(G61:O61)&gt;0,"HOLD - NOT FULLY REVIEWED",IF(COUNTIF(G61:O61,"NOT REVIEWED")&gt;0,"HOLD - NOT FULLY REVIEWED","PASS"))))</f>
        <v/>
      </c>
      <c r="Q61" s="778" t="n"/>
      <c r="R61" s="26" t="n"/>
      <c r="S61" s="26" t="n"/>
      <c r="T61" s="26" t="n"/>
      <c r="U61" s="26" t="n"/>
      <c r="V61" s="26" t="n"/>
      <c r="W61" s="26" t="n"/>
      <c r="X61" s="26" t="n"/>
    </row>
    <row r="62" ht="22" customHeight="1" s="491">
      <c r="A62" s="26">
        <f>IF('QS Takeoff'!B25="","",'QS Takeoff'!B25)</f>
        <v/>
      </c>
      <c r="B62" s="26">
        <f>IF('QS Takeoff'!B25="","",'QS Takeoff'!A25)</f>
        <v/>
      </c>
      <c r="C62" s="26">
        <f>IF('QS Takeoff'!B25="","",'QS Takeoff'!C25)</f>
        <v/>
      </c>
      <c r="D62" s="1509">
        <f>IF('QS Takeoff'!B25="","",'QS Takeoff'!E25)</f>
        <v/>
      </c>
      <c r="E62" s="26">
        <f>IF('QS Takeoff'!B25="","",'QS Takeoff'!D25)</f>
        <v/>
      </c>
      <c r="F62" s="1510">
        <f>IF('QS Takeoff'!B25="","",'QS Takeoff'!G25)</f>
        <v/>
      </c>
      <c r="G62" s="778" t="n"/>
      <c r="H62" s="778" t="n"/>
      <c r="I62" s="778" t="n"/>
      <c r="J62" s="778" t="n"/>
      <c r="K62" s="778" t="n"/>
      <c r="L62" s="778" t="n"/>
      <c r="M62" s="778" t="n"/>
      <c r="N62" s="778" t="n"/>
      <c r="O62" s="778" t="n"/>
      <c r="P62" s="26">
        <f>IF(A62="","",IF(COUNTIF(G62:O62,"CHALLENGE - OPEN")&gt;0,"HOLD - OPEN CHALLENGE",IF(COUNTBLANK(G62:O62)&gt;0,"HOLD - NOT FULLY REVIEWED",IF(COUNTIF(G62:O62,"NOT REVIEWED")&gt;0,"HOLD - NOT FULLY REVIEWED","PASS"))))</f>
        <v/>
      </c>
      <c r="Q62" s="778" t="n"/>
      <c r="R62" s="26" t="n"/>
      <c r="S62" s="26" t="n"/>
      <c r="T62" s="26" t="n"/>
      <c r="U62" s="26" t="n"/>
      <c r="V62" s="26" t="n"/>
      <c r="W62" s="26" t="n"/>
      <c r="X62" s="26" t="n"/>
    </row>
    <row r="63" ht="22" customHeight="1" s="491">
      <c r="A63" s="26">
        <f>IF('QS Takeoff'!B26="","",'QS Takeoff'!B26)</f>
        <v/>
      </c>
      <c r="B63" s="26">
        <f>IF('QS Takeoff'!B26="","",'QS Takeoff'!A26)</f>
        <v/>
      </c>
      <c r="C63" s="26">
        <f>IF('QS Takeoff'!B26="","",'QS Takeoff'!C26)</f>
        <v/>
      </c>
      <c r="D63" s="1509">
        <f>IF('QS Takeoff'!B26="","",'QS Takeoff'!E26)</f>
        <v/>
      </c>
      <c r="E63" s="26">
        <f>IF('QS Takeoff'!B26="","",'QS Takeoff'!D26)</f>
        <v/>
      </c>
      <c r="F63" s="1510">
        <f>IF('QS Takeoff'!B26="","",'QS Takeoff'!G26)</f>
        <v/>
      </c>
      <c r="G63" s="778" t="n"/>
      <c r="H63" s="778" t="n"/>
      <c r="I63" s="778" t="n"/>
      <c r="J63" s="778" t="n"/>
      <c r="K63" s="778" t="n"/>
      <c r="L63" s="778" t="n"/>
      <c r="M63" s="778" t="n"/>
      <c r="N63" s="778" t="n"/>
      <c r="O63" s="778" t="n"/>
      <c r="P63" s="26">
        <f>IF(A63="","",IF(COUNTIF(G63:O63,"CHALLENGE - OPEN")&gt;0,"HOLD - OPEN CHALLENGE",IF(COUNTBLANK(G63:O63)&gt;0,"HOLD - NOT FULLY REVIEWED",IF(COUNTIF(G63:O63,"NOT REVIEWED")&gt;0,"HOLD - NOT FULLY REVIEWED","PASS"))))</f>
        <v/>
      </c>
      <c r="Q63" s="778" t="n"/>
      <c r="R63" s="26" t="n"/>
      <c r="S63" s="26" t="n"/>
      <c r="T63" s="26" t="n"/>
      <c r="U63" s="26" t="n"/>
      <c r="V63" s="26" t="n"/>
      <c r="W63" s="26" t="n"/>
      <c r="X63" s="26" t="n"/>
    </row>
    <row r="64" ht="22" customHeight="1" s="491">
      <c r="A64" s="26">
        <f>IF('QS Takeoff'!B27="","",'QS Takeoff'!B27)</f>
        <v/>
      </c>
      <c r="B64" s="26">
        <f>IF('QS Takeoff'!B27="","",'QS Takeoff'!A27)</f>
        <v/>
      </c>
      <c r="C64" s="26">
        <f>IF('QS Takeoff'!B27="","",'QS Takeoff'!C27)</f>
        <v/>
      </c>
      <c r="D64" s="1509">
        <f>IF('QS Takeoff'!B27="","",'QS Takeoff'!E27)</f>
        <v/>
      </c>
      <c r="E64" s="26">
        <f>IF('QS Takeoff'!B27="","",'QS Takeoff'!D27)</f>
        <v/>
      </c>
      <c r="F64" s="1510">
        <f>IF('QS Takeoff'!B27="","",'QS Takeoff'!G27)</f>
        <v/>
      </c>
      <c r="G64" s="778" t="n"/>
      <c r="H64" s="778" t="n"/>
      <c r="I64" s="778" t="n"/>
      <c r="J64" s="778" t="n"/>
      <c r="K64" s="778" t="n"/>
      <c r="L64" s="778" t="n"/>
      <c r="M64" s="778" t="n"/>
      <c r="N64" s="778" t="n"/>
      <c r="O64" s="778" t="n"/>
      <c r="P64" s="26">
        <f>IF(A64="","",IF(COUNTIF(G64:O64,"CHALLENGE - OPEN")&gt;0,"HOLD - OPEN CHALLENGE",IF(COUNTBLANK(G64:O64)&gt;0,"HOLD - NOT FULLY REVIEWED",IF(COUNTIF(G64:O64,"NOT REVIEWED")&gt;0,"HOLD - NOT FULLY REVIEWED","PASS"))))</f>
        <v/>
      </c>
      <c r="Q64" s="778" t="n"/>
      <c r="R64" s="26" t="n"/>
      <c r="S64" s="26" t="n"/>
      <c r="T64" s="26" t="n"/>
      <c r="U64" s="26" t="n"/>
      <c r="V64" s="26" t="n"/>
      <c r="W64" s="26" t="n"/>
      <c r="X64" s="26" t="n"/>
    </row>
    <row r="65" ht="22" customHeight="1" s="491">
      <c r="A65" s="26">
        <f>IF('QS Takeoff'!B28="","",'QS Takeoff'!B28)</f>
        <v/>
      </c>
      <c r="B65" s="26">
        <f>IF('QS Takeoff'!B28="","",'QS Takeoff'!A28)</f>
        <v/>
      </c>
      <c r="C65" s="26">
        <f>IF('QS Takeoff'!B28="","",'QS Takeoff'!C28)</f>
        <v/>
      </c>
      <c r="D65" s="1509">
        <f>IF('QS Takeoff'!B28="","",'QS Takeoff'!E28)</f>
        <v/>
      </c>
      <c r="E65" s="26">
        <f>IF('QS Takeoff'!B28="","",'QS Takeoff'!D28)</f>
        <v/>
      </c>
      <c r="F65" s="1510">
        <f>IF('QS Takeoff'!B28="","",'QS Takeoff'!G28)</f>
        <v/>
      </c>
      <c r="G65" s="778" t="n"/>
      <c r="H65" s="778" t="n"/>
      <c r="I65" s="778" t="n"/>
      <c r="J65" s="778" t="n"/>
      <c r="K65" s="778" t="n"/>
      <c r="L65" s="778" t="n"/>
      <c r="M65" s="778" t="n"/>
      <c r="N65" s="778" t="n"/>
      <c r="O65" s="778" t="n"/>
      <c r="P65" s="26">
        <f>IF(A65="","",IF(COUNTIF(G65:O65,"CHALLENGE - OPEN")&gt;0,"HOLD - OPEN CHALLENGE",IF(COUNTBLANK(G65:O65)&gt;0,"HOLD - NOT FULLY REVIEWED",IF(COUNTIF(G65:O65,"NOT REVIEWED")&gt;0,"HOLD - NOT FULLY REVIEWED","PASS"))))</f>
        <v/>
      </c>
      <c r="Q65" s="778" t="n"/>
      <c r="R65" s="26" t="n"/>
      <c r="S65" s="26" t="n"/>
      <c r="T65" s="26" t="n"/>
      <c r="U65" s="26" t="n"/>
      <c r="V65" s="26" t="n"/>
      <c r="W65" s="26" t="n"/>
      <c r="X65" s="26" t="n"/>
    </row>
    <row r="66" ht="22" customHeight="1" s="491">
      <c r="A66" s="26">
        <f>IF('QS Takeoff'!B29="","",'QS Takeoff'!B29)</f>
        <v/>
      </c>
      <c r="B66" s="26">
        <f>IF('QS Takeoff'!B29="","",'QS Takeoff'!A29)</f>
        <v/>
      </c>
      <c r="C66" s="26">
        <f>IF('QS Takeoff'!B29="","",'QS Takeoff'!C29)</f>
        <v/>
      </c>
      <c r="D66" s="1509">
        <f>IF('QS Takeoff'!B29="","",'QS Takeoff'!E29)</f>
        <v/>
      </c>
      <c r="E66" s="26">
        <f>IF('QS Takeoff'!B29="","",'QS Takeoff'!D29)</f>
        <v/>
      </c>
      <c r="F66" s="1510">
        <f>IF('QS Takeoff'!B29="","",'QS Takeoff'!G29)</f>
        <v/>
      </c>
      <c r="G66" s="778" t="n"/>
      <c r="H66" s="778" t="n"/>
      <c r="I66" s="778" t="n"/>
      <c r="J66" s="778" t="n"/>
      <c r="K66" s="778" t="n"/>
      <c r="L66" s="778" t="n"/>
      <c r="M66" s="778" t="n"/>
      <c r="N66" s="778" t="n"/>
      <c r="O66" s="778" t="n"/>
      <c r="P66" s="26">
        <f>IF(A66="","",IF(COUNTIF(G66:O66,"CHALLENGE - OPEN")&gt;0,"HOLD - OPEN CHALLENGE",IF(COUNTBLANK(G66:O66)&gt;0,"HOLD - NOT FULLY REVIEWED",IF(COUNTIF(G66:O66,"NOT REVIEWED")&gt;0,"HOLD - NOT FULLY REVIEWED","PASS"))))</f>
        <v/>
      </c>
      <c r="Q66" s="778" t="n"/>
      <c r="R66" s="26" t="n"/>
      <c r="S66" s="26" t="n"/>
      <c r="T66" s="26" t="n"/>
      <c r="U66" s="26" t="n"/>
      <c r="V66" s="26" t="n"/>
      <c r="W66" s="26" t="n"/>
      <c r="X66" s="26" t="n"/>
    </row>
    <row r="67" ht="22" customHeight="1" s="491">
      <c r="A67" s="26">
        <f>IF('QS Takeoff'!B30="","",'QS Takeoff'!B30)</f>
        <v/>
      </c>
      <c r="B67" s="26">
        <f>IF('QS Takeoff'!B30="","",'QS Takeoff'!A30)</f>
        <v/>
      </c>
      <c r="C67" s="26">
        <f>IF('QS Takeoff'!B30="","",'QS Takeoff'!C30)</f>
        <v/>
      </c>
      <c r="D67" s="1509">
        <f>IF('QS Takeoff'!B30="","",'QS Takeoff'!E30)</f>
        <v/>
      </c>
      <c r="E67" s="26">
        <f>IF('QS Takeoff'!B30="","",'QS Takeoff'!D30)</f>
        <v/>
      </c>
      <c r="F67" s="1510">
        <f>IF('QS Takeoff'!B30="","",'QS Takeoff'!G30)</f>
        <v/>
      </c>
      <c r="G67" s="778" t="n"/>
      <c r="H67" s="778" t="n"/>
      <c r="I67" s="778" t="n"/>
      <c r="J67" s="778" t="n"/>
      <c r="K67" s="778" t="n"/>
      <c r="L67" s="778" t="n"/>
      <c r="M67" s="778" t="n"/>
      <c r="N67" s="778" t="n"/>
      <c r="O67" s="778" t="n"/>
      <c r="P67" s="26">
        <f>IF(A67="","",IF(COUNTIF(G67:O67,"CHALLENGE - OPEN")&gt;0,"HOLD - OPEN CHALLENGE",IF(COUNTBLANK(G67:O67)&gt;0,"HOLD - NOT FULLY REVIEWED",IF(COUNTIF(G67:O67,"NOT REVIEWED")&gt;0,"HOLD - NOT FULLY REVIEWED","PASS"))))</f>
        <v/>
      </c>
      <c r="Q67" s="778" t="n"/>
      <c r="R67" s="26" t="n"/>
      <c r="S67" s="26" t="n"/>
      <c r="T67" s="26" t="n"/>
      <c r="U67" s="26" t="n"/>
      <c r="V67" s="26" t="n"/>
      <c r="W67" s="26" t="n"/>
      <c r="X67" s="26" t="n"/>
    </row>
    <row r="68" ht="22" customHeight="1" s="491">
      <c r="A68" s="26">
        <f>IF('QS Takeoff'!B31="","",'QS Takeoff'!B31)</f>
        <v/>
      </c>
      <c r="B68" s="26">
        <f>IF('QS Takeoff'!B31="","",'QS Takeoff'!A31)</f>
        <v/>
      </c>
      <c r="C68" s="26">
        <f>IF('QS Takeoff'!B31="","",'QS Takeoff'!C31)</f>
        <v/>
      </c>
      <c r="D68" s="1509">
        <f>IF('QS Takeoff'!B31="","",'QS Takeoff'!E31)</f>
        <v/>
      </c>
      <c r="E68" s="26">
        <f>IF('QS Takeoff'!B31="","",'QS Takeoff'!D31)</f>
        <v/>
      </c>
      <c r="F68" s="1510">
        <f>IF('QS Takeoff'!B31="","",'QS Takeoff'!G31)</f>
        <v/>
      </c>
      <c r="G68" s="778" t="n"/>
      <c r="H68" s="778" t="n"/>
      <c r="I68" s="778" t="n"/>
      <c r="J68" s="778" t="n"/>
      <c r="K68" s="778" t="n"/>
      <c r="L68" s="778" t="n"/>
      <c r="M68" s="778" t="n"/>
      <c r="N68" s="778" t="n"/>
      <c r="O68" s="778" t="n"/>
      <c r="P68" s="26">
        <f>IF(A68="","",IF(COUNTIF(G68:O68,"CHALLENGE - OPEN")&gt;0,"HOLD - OPEN CHALLENGE",IF(COUNTBLANK(G68:O68)&gt;0,"HOLD - NOT FULLY REVIEWED",IF(COUNTIF(G68:O68,"NOT REVIEWED")&gt;0,"HOLD - NOT FULLY REVIEWED","PASS"))))</f>
        <v/>
      </c>
      <c r="Q68" s="778" t="n"/>
      <c r="R68" s="26" t="n"/>
      <c r="S68" s="26" t="n"/>
      <c r="T68" s="26" t="n"/>
      <c r="U68" s="26" t="n"/>
      <c r="V68" s="26" t="n"/>
      <c r="W68" s="26" t="n"/>
      <c r="X68" s="26" t="n"/>
    </row>
    <row r="69" ht="22" customHeight="1" s="491">
      <c r="A69" s="26">
        <f>IF('QS Takeoff'!B32="","",'QS Takeoff'!B32)</f>
        <v/>
      </c>
      <c r="B69" s="26">
        <f>IF('QS Takeoff'!B32="","",'QS Takeoff'!A32)</f>
        <v/>
      </c>
      <c r="C69" s="26">
        <f>IF('QS Takeoff'!B32="","",'QS Takeoff'!C32)</f>
        <v/>
      </c>
      <c r="D69" s="1509">
        <f>IF('QS Takeoff'!B32="","",'QS Takeoff'!E32)</f>
        <v/>
      </c>
      <c r="E69" s="26">
        <f>IF('QS Takeoff'!B32="","",'QS Takeoff'!D32)</f>
        <v/>
      </c>
      <c r="F69" s="1510">
        <f>IF('QS Takeoff'!B32="","",'QS Takeoff'!G32)</f>
        <v/>
      </c>
      <c r="G69" s="778" t="n"/>
      <c r="H69" s="778" t="n"/>
      <c r="I69" s="778" t="n"/>
      <c r="J69" s="778" t="n"/>
      <c r="K69" s="778" t="n"/>
      <c r="L69" s="778" t="n"/>
      <c r="M69" s="778" t="n"/>
      <c r="N69" s="778" t="n"/>
      <c r="O69" s="778" t="n"/>
      <c r="P69" s="26">
        <f>IF(A69="","",IF(COUNTIF(G69:O69,"CHALLENGE - OPEN")&gt;0,"HOLD - OPEN CHALLENGE",IF(COUNTBLANK(G69:O69)&gt;0,"HOLD - NOT FULLY REVIEWED",IF(COUNTIF(G69:O69,"NOT REVIEWED")&gt;0,"HOLD - NOT FULLY REVIEWED","PASS"))))</f>
        <v/>
      </c>
      <c r="Q69" s="778" t="n"/>
      <c r="R69" s="26" t="n"/>
      <c r="S69" s="26" t="n"/>
      <c r="T69" s="26" t="n"/>
      <c r="U69" s="26" t="n"/>
      <c r="V69" s="26" t="n"/>
      <c r="W69" s="26" t="n"/>
      <c r="X69" s="26" t="n"/>
    </row>
    <row r="70" ht="22" customHeight="1" s="491">
      <c r="A70" s="26">
        <f>IF('QS Takeoff'!B33="","",'QS Takeoff'!B33)</f>
        <v/>
      </c>
      <c r="B70" s="26">
        <f>IF('QS Takeoff'!B33="","",'QS Takeoff'!A33)</f>
        <v/>
      </c>
      <c r="C70" s="26">
        <f>IF('QS Takeoff'!B33="","",'QS Takeoff'!C33)</f>
        <v/>
      </c>
      <c r="D70" s="1509">
        <f>IF('QS Takeoff'!B33="","",'QS Takeoff'!E33)</f>
        <v/>
      </c>
      <c r="E70" s="26">
        <f>IF('QS Takeoff'!B33="","",'QS Takeoff'!D33)</f>
        <v/>
      </c>
      <c r="F70" s="1510">
        <f>IF('QS Takeoff'!B33="","",'QS Takeoff'!G33)</f>
        <v/>
      </c>
      <c r="G70" s="778" t="n"/>
      <c r="H70" s="778" t="n"/>
      <c r="I70" s="778" t="n"/>
      <c r="J70" s="778" t="n"/>
      <c r="K70" s="778" t="n"/>
      <c r="L70" s="778" t="n"/>
      <c r="M70" s="778" t="n"/>
      <c r="N70" s="778" t="n"/>
      <c r="O70" s="778" t="n"/>
      <c r="P70" s="26">
        <f>IF(A70="","",IF(COUNTIF(G70:O70,"CHALLENGE - OPEN")&gt;0,"HOLD - OPEN CHALLENGE",IF(COUNTBLANK(G70:O70)&gt;0,"HOLD - NOT FULLY REVIEWED",IF(COUNTIF(G70:O70,"NOT REVIEWED")&gt;0,"HOLD - NOT FULLY REVIEWED","PASS"))))</f>
        <v/>
      </c>
      <c r="Q70" s="778" t="n"/>
      <c r="R70" s="26" t="n"/>
      <c r="S70" s="26" t="n"/>
      <c r="T70" s="26" t="n"/>
      <c r="U70" s="26" t="n"/>
      <c r="V70" s="26" t="n"/>
      <c r="W70" s="26" t="n"/>
      <c r="X70" s="26" t="n"/>
    </row>
    <row r="71" ht="22" customHeight="1" s="491">
      <c r="A71" s="26">
        <f>IF('QS Takeoff'!B34="","",'QS Takeoff'!B34)</f>
        <v/>
      </c>
      <c r="B71" s="26">
        <f>IF('QS Takeoff'!B34="","",'QS Takeoff'!A34)</f>
        <v/>
      </c>
      <c r="C71" s="26">
        <f>IF('QS Takeoff'!B34="","",'QS Takeoff'!C34)</f>
        <v/>
      </c>
      <c r="D71" s="1509">
        <f>IF('QS Takeoff'!B34="","",'QS Takeoff'!E34)</f>
        <v/>
      </c>
      <c r="E71" s="26">
        <f>IF('QS Takeoff'!B34="","",'QS Takeoff'!D34)</f>
        <v/>
      </c>
      <c r="F71" s="1510">
        <f>IF('QS Takeoff'!B34="","",'QS Takeoff'!G34)</f>
        <v/>
      </c>
      <c r="G71" s="778" t="n"/>
      <c r="H71" s="778" t="n"/>
      <c r="I71" s="778" t="n"/>
      <c r="J71" s="778" t="n"/>
      <c r="K71" s="778" t="n"/>
      <c r="L71" s="778" t="n"/>
      <c r="M71" s="778" t="n"/>
      <c r="N71" s="778" t="n"/>
      <c r="O71" s="778" t="n"/>
      <c r="P71" s="26">
        <f>IF(A71="","",IF(COUNTIF(G71:O71,"CHALLENGE - OPEN")&gt;0,"HOLD - OPEN CHALLENGE",IF(COUNTBLANK(G71:O71)&gt;0,"HOLD - NOT FULLY REVIEWED",IF(COUNTIF(G71:O71,"NOT REVIEWED")&gt;0,"HOLD - NOT FULLY REVIEWED","PASS"))))</f>
        <v/>
      </c>
      <c r="Q71" s="778" t="n"/>
      <c r="R71" s="26" t="n"/>
      <c r="S71" s="26" t="n"/>
      <c r="T71" s="26" t="n"/>
      <c r="U71" s="26" t="n"/>
      <c r="V71" s="26" t="n"/>
      <c r="W71" s="26" t="n"/>
      <c r="X71" s="26" t="n"/>
    </row>
    <row r="72" ht="22" customHeight="1" s="491">
      <c r="A72" s="26">
        <f>IF('QS Takeoff'!B35="","",'QS Takeoff'!B35)</f>
        <v/>
      </c>
      <c r="B72" s="26">
        <f>IF('QS Takeoff'!B35="","",'QS Takeoff'!A35)</f>
        <v/>
      </c>
      <c r="C72" s="26">
        <f>IF('QS Takeoff'!B35="","",'QS Takeoff'!C35)</f>
        <v/>
      </c>
      <c r="D72" s="1509">
        <f>IF('QS Takeoff'!B35="","",'QS Takeoff'!E35)</f>
        <v/>
      </c>
      <c r="E72" s="26">
        <f>IF('QS Takeoff'!B35="","",'QS Takeoff'!D35)</f>
        <v/>
      </c>
      <c r="F72" s="1510">
        <f>IF('QS Takeoff'!B35="","",'QS Takeoff'!G35)</f>
        <v/>
      </c>
      <c r="G72" s="778" t="n"/>
      <c r="H72" s="778" t="n"/>
      <c r="I72" s="778" t="n"/>
      <c r="J72" s="778" t="n"/>
      <c r="K72" s="778" t="n"/>
      <c r="L72" s="778" t="n"/>
      <c r="M72" s="778" t="n"/>
      <c r="N72" s="778" t="n"/>
      <c r="O72" s="778" t="n"/>
      <c r="P72" s="26">
        <f>IF(A72="","",IF(COUNTIF(G72:O72,"CHALLENGE - OPEN")&gt;0,"HOLD - OPEN CHALLENGE",IF(COUNTBLANK(G72:O72)&gt;0,"HOLD - NOT FULLY REVIEWED",IF(COUNTIF(G72:O72,"NOT REVIEWED")&gt;0,"HOLD - NOT FULLY REVIEWED","PASS"))))</f>
        <v/>
      </c>
      <c r="Q72" s="778" t="n"/>
      <c r="R72" s="26" t="n"/>
      <c r="S72" s="26" t="n"/>
      <c r="T72" s="26" t="n"/>
      <c r="U72" s="26" t="n"/>
      <c r="V72" s="26" t="n"/>
      <c r="W72" s="26" t="n"/>
      <c r="X72" s="26" t="n"/>
    </row>
    <row r="73" ht="22" customHeight="1" s="491">
      <c r="A73" s="26">
        <f>IF('QS Takeoff'!B36="","",'QS Takeoff'!B36)</f>
        <v/>
      </c>
      <c r="B73" s="26">
        <f>IF('QS Takeoff'!B36="","",'QS Takeoff'!A36)</f>
        <v/>
      </c>
      <c r="C73" s="26">
        <f>IF('QS Takeoff'!B36="","",'QS Takeoff'!C36)</f>
        <v/>
      </c>
      <c r="D73" s="1509">
        <f>IF('QS Takeoff'!B36="","",'QS Takeoff'!E36)</f>
        <v/>
      </c>
      <c r="E73" s="26">
        <f>IF('QS Takeoff'!B36="","",'QS Takeoff'!D36)</f>
        <v/>
      </c>
      <c r="F73" s="1510">
        <f>IF('QS Takeoff'!B36="","",'QS Takeoff'!G36)</f>
        <v/>
      </c>
      <c r="G73" s="778" t="n"/>
      <c r="H73" s="778" t="n"/>
      <c r="I73" s="778" t="n"/>
      <c r="J73" s="778" t="n"/>
      <c r="K73" s="778" t="n"/>
      <c r="L73" s="778" t="n"/>
      <c r="M73" s="778" t="n"/>
      <c r="N73" s="778" t="n"/>
      <c r="O73" s="778" t="n"/>
      <c r="P73" s="26">
        <f>IF(A73="","",IF(COUNTIF(G73:O73,"CHALLENGE - OPEN")&gt;0,"HOLD - OPEN CHALLENGE",IF(COUNTBLANK(G73:O73)&gt;0,"HOLD - NOT FULLY REVIEWED",IF(COUNTIF(G73:O73,"NOT REVIEWED")&gt;0,"HOLD - NOT FULLY REVIEWED","PASS"))))</f>
        <v/>
      </c>
      <c r="Q73" s="778" t="n"/>
      <c r="R73" s="26" t="n"/>
      <c r="S73" s="26" t="n"/>
      <c r="T73" s="26" t="n"/>
      <c r="U73" s="26" t="n"/>
      <c r="V73" s="26" t="n"/>
      <c r="W73" s="26" t="n"/>
      <c r="X73" s="26" t="n"/>
    </row>
    <row r="74" ht="22" customHeight="1" s="491">
      <c r="A74" s="26">
        <f>IF('QS Takeoff'!B37="","",'QS Takeoff'!B37)</f>
        <v/>
      </c>
      <c r="B74" s="26">
        <f>IF('QS Takeoff'!B37="","",'QS Takeoff'!A37)</f>
        <v/>
      </c>
      <c r="C74" s="26">
        <f>IF('QS Takeoff'!B37="","",'QS Takeoff'!C37)</f>
        <v/>
      </c>
      <c r="D74" s="1509">
        <f>IF('QS Takeoff'!B37="","",'QS Takeoff'!E37)</f>
        <v/>
      </c>
      <c r="E74" s="26">
        <f>IF('QS Takeoff'!B37="","",'QS Takeoff'!D37)</f>
        <v/>
      </c>
      <c r="F74" s="1510">
        <f>IF('QS Takeoff'!B37="","",'QS Takeoff'!G37)</f>
        <v/>
      </c>
      <c r="G74" s="778" t="n"/>
      <c r="H74" s="778" t="n"/>
      <c r="I74" s="778" t="n"/>
      <c r="J74" s="778" t="n"/>
      <c r="K74" s="778" t="n"/>
      <c r="L74" s="778" t="n"/>
      <c r="M74" s="778" t="n"/>
      <c r="N74" s="778" t="n"/>
      <c r="O74" s="778" t="n"/>
      <c r="P74" s="26">
        <f>IF(A74="","",IF(COUNTIF(G74:O74,"CHALLENGE - OPEN")&gt;0,"HOLD - OPEN CHALLENGE",IF(COUNTBLANK(G74:O74)&gt;0,"HOLD - NOT FULLY REVIEWED",IF(COUNTIF(G74:O74,"NOT REVIEWED")&gt;0,"HOLD - NOT FULLY REVIEWED","PASS"))))</f>
        <v/>
      </c>
      <c r="Q74" s="778" t="n"/>
      <c r="R74" s="26" t="n"/>
      <c r="S74" s="26" t="n"/>
      <c r="T74" s="26" t="n"/>
      <c r="U74" s="26" t="n"/>
      <c r="V74" s="26" t="n"/>
      <c r="W74" s="26" t="n"/>
      <c r="X74" s="26" t="n"/>
    </row>
    <row r="75" ht="22" customHeight="1" s="491">
      <c r="A75" s="26">
        <f>IF('QS Takeoff'!B38="","",'QS Takeoff'!B38)</f>
        <v/>
      </c>
      <c r="B75" s="26">
        <f>IF('QS Takeoff'!B38="","",'QS Takeoff'!A38)</f>
        <v/>
      </c>
      <c r="C75" s="26">
        <f>IF('QS Takeoff'!B38="","",'QS Takeoff'!C38)</f>
        <v/>
      </c>
      <c r="D75" s="1509">
        <f>IF('QS Takeoff'!B38="","",'QS Takeoff'!E38)</f>
        <v/>
      </c>
      <c r="E75" s="26">
        <f>IF('QS Takeoff'!B38="","",'QS Takeoff'!D38)</f>
        <v/>
      </c>
      <c r="F75" s="1510">
        <f>IF('QS Takeoff'!B38="","",'QS Takeoff'!G38)</f>
        <v/>
      </c>
      <c r="G75" s="778" t="n"/>
      <c r="H75" s="778" t="n"/>
      <c r="I75" s="778" t="n"/>
      <c r="J75" s="778" t="n"/>
      <c r="K75" s="778" t="n"/>
      <c r="L75" s="778" t="n"/>
      <c r="M75" s="778" t="n"/>
      <c r="N75" s="778" t="n"/>
      <c r="O75" s="778" t="n"/>
      <c r="P75" s="26">
        <f>IF(A75="","",IF(COUNTIF(G75:O75,"CHALLENGE - OPEN")&gt;0,"HOLD - OPEN CHALLENGE",IF(COUNTBLANK(G75:O75)&gt;0,"HOLD - NOT FULLY REVIEWED",IF(COUNTIF(G75:O75,"NOT REVIEWED")&gt;0,"HOLD - NOT FULLY REVIEWED","PASS"))))</f>
        <v/>
      </c>
      <c r="Q75" s="778" t="n"/>
      <c r="R75" s="26" t="n"/>
      <c r="S75" s="26" t="n"/>
      <c r="T75" s="26" t="n"/>
      <c r="U75" s="26" t="n"/>
      <c r="V75" s="26" t="n"/>
      <c r="W75" s="26" t="n"/>
      <c r="X75" s="26" t="n"/>
    </row>
    <row r="76" ht="22" customHeight="1" s="491">
      <c r="A76" s="26">
        <f>IF('QS Takeoff'!B39="","",'QS Takeoff'!B39)</f>
        <v/>
      </c>
      <c r="B76" s="26">
        <f>IF('QS Takeoff'!B39="","",'QS Takeoff'!A39)</f>
        <v/>
      </c>
      <c r="C76" s="26">
        <f>IF('QS Takeoff'!B39="","",'QS Takeoff'!C39)</f>
        <v/>
      </c>
      <c r="D76" s="1509">
        <f>IF('QS Takeoff'!B39="","",'QS Takeoff'!E39)</f>
        <v/>
      </c>
      <c r="E76" s="26">
        <f>IF('QS Takeoff'!B39="","",'QS Takeoff'!D39)</f>
        <v/>
      </c>
      <c r="F76" s="1510">
        <f>IF('QS Takeoff'!B39="","",'QS Takeoff'!G39)</f>
        <v/>
      </c>
      <c r="G76" s="778" t="n"/>
      <c r="H76" s="778" t="n"/>
      <c r="I76" s="778" t="n"/>
      <c r="J76" s="778" t="n"/>
      <c r="K76" s="778" t="n"/>
      <c r="L76" s="778" t="n"/>
      <c r="M76" s="778" t="n"/>
      <c r="N76" s="778" t="n"/>
      <c r="O76" s="778" t="n"/>
      <c r="P76" s="26">
        <f>IF(A76="","",IF(COUNTIF(G76:O76,"CHALLENGE - OPEN")&gt;0,"HOLD - OPEN CHALLENGE",IF(COUNTBLANK(G76:O76)&gt;0,"HOLD - NOT FULLY REVIEWED",IF(COUNTIF(G76:O76,"NOT REVIEWED")&gt;0,"HOLD - NOT FULLY REVIEWED","PASS"))))</f>
        <v/>
      </c>
      <c r="Q76" s="778" t="n"/>
      <c r="R76" s="26" t="n"/>
      <c r="S76" s="26" t="n"/>
      <c r="T76" s="26" t="n"/>
      <c r="U76" s="26" t="n"/>
      <c r="V76" s="26" t="n"/>
      <c r="W76" s="26" t="n"/>
      <c r="X76" s="26" t="n"/>
    </row>
    <row r="77" ht="22" customHeight="1" s="491">
      <c r="A77" s="26">
        <f>IF('QS Takeoff'!B40="","",'QS Takeoff'!B40)</f>
        <v/>
      </c>
      <c r="B77" s="26">
        <f>IF('QS Takeoff'!B40="","",'QS Takeoff'!A40)</f>
        <v/>
      </c>
      <c r="C77" s="26">
        <f>IF('QS Takeoff'!B40="","",'QS Takeoff'!C40)</f>
        <v/>
      </c>
      <c r="D77" s="1509">
        <f>IF('QS Takeoff'!B40="","",'QS Takeoff'!E40)</f>
        <v/>
      </c>
      <c r="E77" s="26">
        <f>IF('QS Takeoff'!B40="","",'QS Takeoff'!D40)</f>
        <v/>
      </c>
      <c r="F77" s="1510">
        <f>IF('QS Takeoff'!B40="","",'QS Takeoff'!G40)</f>
        <v/>
      </c>
      <c r="G77" s="778" t="n"/>
      <c r="H77" s="778" t="n"/>
      <c r="I77" s="778" t="n"/>
      <c r="J77" s="778" t="n"/>
      <c r="K77" s="778" t="n"/>
      <c r="L77" s="778" t="n"/>
      <c r="M77" s="778" t="n"/>
      <c r="N77" s="778" t="n"/>
      <c r="O77" s="778" t="n"/>
      <c r="P77" s="26">
        <f>IF(A77="","",IF(COUNTIF(G77:O77,"CHALLENGE - OPEN")&gt;0,"HOLD - OPEN CHALLENGE",IF(COUNTBLANK(G77:O77)&gt;0,"HOLD - NOT FULLY REVIEWED",IF(COUNTIF(G77:O77,"NOT REVIEWED")&gt;0,"HOLD - NOT FULLY REVIEWED","PASS"))))</f>
        <v/>
      </c>
      <c r="Q77" s="778" t="n"/>
      <c r="R77" s="26" t="n"/>
      <c r="S77" s="26" t="n"/>
      <c r="T77" s="26" t="n"/>
      <c r="U77" s="26" t="n"/>
      <c r="V77" s="26" t="n"/>
      <c r="W77" s="26" t="n"/>
      <c r="X77" s="26" t="n"/>
    </row>
    <row r="78" ht="22" customHeight="1" s="491">
      <c r="A78" s="26">
        <f>IF('QS Takeoff'!B41="","",'QS Takeoff'!B41)</f>
        <v/>
      </c>
      <c r="B78" s="26">
        <f>IF('QS Takeoff'!B41="","",'QS Takeoff'!A41)</f>
        <v/>
      </c>
      <c r="C78" s="26">
        <f>IF('QS Takeoff'!B41="","",'QS Takeoff'!C41)</f>
        <v/>
      </c>
      <c r="D78" s="1509">
        <f>IF('QS Takeoff'!B41="","",'QS Takeoff'!E41)</f>
        <v/>
      </c>
      <c r="E78" s="26">
        <f>IF('QS Takeoff'!B41="","",'QS Takeoff'!D41)</f>
        <v/>
      </c>
      <c r="F78" s="1510">
        <f>IF('QS Takeoff'!B41="","",'QS Takeoff'!G41)</f>
        <v/>
      </c>
      <c r="G78" s="778" t="n"/>
      <c r="H78" s="778" t="n"/>
      <c r="I78" s="778" t="n"/>
      <c r="J78" s="778" t="n"/>
      <c r="K78" s="778" t="n"/>
      <c r="L78" s="778" t="n"/>
      <c r="M78" s="778" t="n"/>
      <c r="N78" s="778" t="n"/>
      <c r="O78" s="778" t="n"/>
      <c r="P78" s="26">
        <f>IF(A78="","",IF(COUNTIF(G78:O78,"CHALLENGE - OPEN")&gt;0,"HOLD - OPEN CHALLENGE",IF(COUNTBLANK(G78:O78)&gt;0,"HOLD - NOT FULLY REVIEWED",IF(COUNTIF(G78:O78,"NOT REVIEWED")&gt;0,"HOLD - NOT FULLY REVIEWED","PASS"))))</f>
        <v/>
      </c>
      <c r="Q78" s="778" t="n"/>
      <c r="R78" s="26" t="n"/>
      <c r="S78" s="26" t="n"/>
      <c r="T78" s="26" t="n"/>
      <c r="U78" s="26" t="n"/>
      <c r="V78" s="26" t="n"/>
      <c r="W78" s="26" t="n"/>
      <c r="X78" s="26" t="n"/>
    </row>
    <row r="79" ht="22" customHeight="1" s="491">
      <c r="A79" s="26">
        <f>IF('QS Takeoff'!B42="","",'QS Takeoff'!B42)</f>
        <v/>
      </c>
      <c r="B79" s="26">
        <f>IF('QS Takeoff'!B42="","",'QS Takeoff'!A42)</f>
        <v/>
      </c>
      <c r="C79" s="26">
        <f>IF('QS Takeoff'!B42="","",'QS Takeoff'!C42)</f>
        <v/>
      </c>
      <c r="D79" s="1509">
        <f>IF('QS Takeoff'!B42="","",'QS Takeoff'!E42)</f>
        <v/>
      </c>
      <c r="E79" s="26">
        <f>IF('QS Takeoff'!B42="","",'QS Takeoff'!D42)</f>
        <v/>
      </c>
      <c r="F79" s="1510">
        <f>IF('QS Takeoff'!B42="","",'QS Takeoff'!G42)</f>
        <v/>
      </c>
      <c r="G79" s="778" t="n"/>
      <c r="H79" s="778" t="n"/>
      <c r="I79" s="778" t="n"/>
      <c r="J79" s="778" t="n"/>
      <c r="K79" s="778" t="n"/>
      <c r="L79" s="778" t="n"/>
      <c r="M79" s="778" t="n"/>
      <c r="N79" s="778" t="n"/>
      <c r="O79" s="778" t="n"/>
      <c r="P79" s="26">
        <f>IF(A79="","",IF(COUNTIF(G79:O79,"CHALLENGE - OPEN")&gt;0,"HOLD - OPEN CHALLENGE",IF(COUNTBLANK(G79:O79)&gt;0,"HOLD - NOT FULLY REVIEWED",IF(COUNTIF(G79:O79,"NOT REVIEWED")&gt;0,"HOLD - NOT FULLY REVIEWED","PASS"))))</f>
        <v/>
      </c>
      <c r="Q79" s="778" t="n"/>
      <c r="R79" s="26" t="n"/>
      <c r="S79" s="26" t="n"/>
      <c r="T79" s="26" t="n"/>
      <c r="U79" s="26" t="n"/>
      <c r="V79" s="26" t="n"/>
      <c r="W79" s="26" t="n"/>
      <c r="X79" s="26" t="n"/>
    </row>
    <row r="80" ht="22" customHeight="1" s="491">
      <c r="A80" s="26">
        <f>IF('QS Takeoff'!B43="","",'QS Takeoff'!B43)</f>
        <v/>
      </c>
      <c r="B80" s="26">
        <f>IF('QS Takeoff'!B43="","",'QS Takeoff'!A43)</f>
        <v/>
      </c>
      <c r="C80" s="26">
        <f>IF('QS Takeoff'!B43="","",'QS Takeoff'!C43)</f>
        <v/>
      </c>
      <c r="D80" s="1509">
        <f>IF('QS Takeoff'!B43="","",'QS Takeoff'!E43)</f>
        <v/>
      </c>
      <c r="E80" s="26">
        <f>IF('QS Takeoff'!B43="","",'QS Takeoff'!D43)</f>
        <v/>
      </c>
      <c r="F80" s="1510">
        <f>IF('QS Takeoff'!B43="","",'QS Takeoff'!G43)</f>
        <v/>
      </c>
      <c r="G80" s="778" t="n"/>
      <c r="H80" s="778" t="n"/>
      <c r="I80" s="778" t="n"/>
      <c r="J80" s="778" t="n"/>
      <c r="K80" s="778" t="n"/>
      <c r="L80" s="778" t="n"/>
      <c r="M80" s="778" t="n"/>
      <c r="N80" s="778" t="n"/>
      <c r="O80" s="778" t="n"/>
      <c r="P80" s="26">
        <f>IF(A80="","",IF(COUNTIF(G80:O80,"CHALLENGE - OPEN")&gt;0,"HOLD - OPEN CHALLENGE",IF(COUNTBLANK(G80:O80)&gt;0,"HOLD - NOT FULLY REVIEWED",IF(COUNTIF(G80:O80,"NOT REVIEWED")&gt;0,"HOLD - NOT FULLY REVIEWED","PASS"))))</f>
        <v/>
      </c>
      <c r="Q80" s="778" t="n"/>
      <c r="R80" s="26" t="n"/>
      <c r="S80" s="26" t="n"/>
      <c r="T80" s="26" t="n"/>
      <c r="U80" s="26" t="n"/>
      <c r="V80" s="26" t="n"/>
      <c r="W80" s="26" t="n"/>
      <c r="X80" s="26" t="n"/>
    </row>
    <row r="81" ht="22" customHeight="1" s="491">
      <c r="A81" s="26">
        <f>IF('QS Takeoff'!B44="","",'QS Takeoff'!B44)</f>
        <v/>
      </c>
      <c r="B81" s="26">
        <f>IF('QS Takeoff'!B44="","",'QS Takeoff'!A44)</f>
        <v/>
      </c>
      <c r="C81" s="26">
        <f>IF('QS Takeoff'!B44="","",'QS Takeoff'!C44)</f>
        <v/>
      </c>
      <c r="D81" s="1509">
        <f>IF('QS Takeoff'!B44="","",'QS Takeoff'!E44)</f>
        <v/>
      </c>
      <c r="E81" s="26">
        <f>IF('QS Takeoff'!B44="","",'QS Takeoff'!D44)</f>
        <v/>
      </c>
      <c r="F81" s="1510">
        <f>IF('QS Takeoff'!B44="","",'QS Takeoff'!G44)</f>
        <v/>
      </c>
      <c r="G81" s="778" t="n"/>
      <c r="H81" s="778" t="n"/>
      <c r="I81" s="778" t="n"/>
      <c r="J81" s="778" t="n"/>
      <c r="K81" s="778" t="n"/>
      <c r="L81" s="778" t="n"/>
      <c r="M81" s="778" t="n"/>
      <c r="N81" s="778" t="n"/>
      <c r="O81" s="778" t="n"/>
      <c r="P81" s="26">
        <f>IF(A81="","",IF(COUNTIF(G81:O81,"CHALLENGE - OPEN")&gt;0,"HOLD - OPEN CHALLENGE",IF(COUNTBLANK(G81:O81)&gt;0,"HOLD - NOT FULLY REVIEWED",IF(COUNTIF(G81:O81,"NOT REVIEWED")&gt;0,"HOLD - NOT FULLY REVIEWED","PASS"))))</f>
        <v/>
      </c>
      <c r="Q81" s="778" t="n"/>
      <c r="R81" s="26" t="n"/>
      <c r="S81" s="26" t="n"/>
      <c r="T81" s="26" t="n"/>
      <c r="U81" s="26" t="n"/>
      <c r="V81" s="26" t="n"/>
      <c r="W81" s="26" t="n"/>
      <c r="X81" s="26" t="n"/>
    </row>
    <row r="82" ht="22" customHeight="1" s="491">
      <c r="A82" s="26">
        <f>IF('QS Takeoff'!B45="","",'QS Takeoff'!B45)</f>
        <v/>
      </c>
      <c r="B82" s="26">
        <f>IF('QS Takeoff'!B45="","",'QS Takeoff'!A45)</f>
        <v/>
      </c>
      <c r="C82" s="26">
        <f>IF('QS Takeoff'!B45="","",'QS Takeoff'!C45)</f>
        <v/>
      </c>
      <c r="D82" s="1509">
        <f>IF('QS Takeoff'!B45="","",'QS Takeoff'!E45)</f>
        <v/>
      </c>
      <c r="E82" s="26">
        <f>IF('QS Takeoff'!B45="","",'QS Takeoff'!D45)</f>
        <v/>
      </c>
      <c r="F82" s="1510">
        <f>IF('QS Takeoff'!B45="","",'QS Takeoff'!G45)</f>
        <v/>
      </c>
      <c r="G82" s="778" t="n"/>
      <c r="H82" s="778" t="n"/>
      <c r="I82" s="778" t="n"/>
      <c r="J82" s="778" t="n"/>
      <c r="K82" s="778" t="n"/>
      <c r="L82" s="778" t="n"/>
      <c r="M82" s="778" t="n"/>
      <c r="N82" s="778" t="n"/>
      <c r="O82" s="778" t="n"/>
      <c r="P82" s="26">
        <f>IF(A82="","",IF(COUNTIF(G82:O82,"CHALLENGE - OPEN")&gt;0,"HOLD - OPEN CHALLENGE",IF(COUNTBLANK(G82:O82)&gt;0,"HOLD - NOT FULLY REVIEWED",IF(COUNTIF(G82:O82,"NOT REVIEWED")&gt;0,"HOLD - NOT FULLY REVIEWED","PASS"))))</f>
        <v/>
      </c>
      <c r="Q82" s="778" t="n"/>
      <c r="R82" s="26" t="n"/>
      <c r="S82" s="26" t="n"/>
      <c r="T82" s="26" t="n"/>
      <c r="U82" s="26" t="n"/>
      <c r="V82" s="26" t="n"/>
      <c r="W82" s="26" t="n"/>
      <c r="X82" s="26" t="n"/>
    </row>
    <row r="83" ht="22" customHeight="1" s="491">
      <c r="A83" s="26">
        <f>IF('QS Takeoff'!B46="","",'QS Takeoff'!B46)</f>
        <v/>
      </c>
      <c r="B83" s="26">
        <f>IF('QS Takeoff'!B46="","",'QS Takeoff'!A46)</f>
        <v/>
      </c>
      <c r="C83" s="26">
        <f>IF('QS Takeoff'!B46="","",'QS Takeoff'!C46)</f>
        <v/>
      </c>
      <c r="D83" s="1509">
        <f>IF('QS Takeoff'!B46="","",'QS Takeoff'!E46)</f>
        <v/>
      </c>
      <c r="E83" s="26">
        <f>IF('QS Takeoff'!B46="","",'QS Takeoff'!D46)</f>
        <v/>
      </c>
      <c r="F83" s="1510">
        <f>IF('QS Takeoff'!B46="","",'QS Takeoff'!G46)</f>
        <v/>
      </c>
      <c r="G83" s="778" t="n"/>
      <c r="H83" s="778" t="n"/>
      <c r="I83" s="778" t="n"/>
      <c r="J83" s="778" t="n"/>
      <c r="K83" s="778" t="n"/>
      <c r="L83" s="778" t="n"/>
      <c r="M83" s="778" t="n"/>
      <c r="N83" s="778" t="n"/>
      <c r="O83" s="778" t="n"/>
      <c r="P83" s="26">
        <f>IF(A83="","",IF(COUNTIF(G83:O83,"CHALLENGE - OPEN")&gt;0,"HOLD - OPEN CHALLENGE",IF(COUNTBLANK(G83:O83)&gt;0,"HOLD - NOT FULLY REVIEWED",IF(COUNTIF(G83:O83,"NOT REVIEWED")&gt;0,"HOLD - NOT FULLY REVIEWED","PASS"))))</f>
        <v/>
      </c>
      <c r="Q83" s="778" t="n"/>
      <c r="R83" s="26" t="n"/>
      <c r="S83" s="26" t="n"/>
      <c r="T83" s="26" t="n"/>
      <c r="U83" s="26" t="n"/>
      <c r="V83" s="26" t="n"/>
      <c r="W83" s="26" t="n"/>
      <c r="X83" s="26" t="n"/>
    </row>
    <row r="84" ht="22" customHeight="1" s="491">
      <c r="A84" s="26">
        <f>IF('QS Takeoff'!B47="","",'QS Takeoff'!B47)</f>
        <v/>
      </c>
      <c r="B84" s="26">
        <f>IF('QS Takeoff'!B47="","",'QS Takeoff'!A47)</f>
        <v/>
      </c>
      <c r="C84" s="26">
        <f>IF('QS Takeoff'!B47="","",'QS Takeoff'!C47)</f>
        <v/>
      </c>
      <c r="D84" s="1509">
        <f>IF('QS Takeoff'!B47="","",'QS Takeoff'!E47)</f>
        <v/>
      </c>
      <c r="E84" s="26">
        <f>IF('QS Takeoff'!B47="","",'QS Takeoff'!D47)</f>
        <v/>
      </c>
      <c r="F84" s="1510">
        <f>IF('QS Takeoff'!B47="","",'QS Takeoff'!G47)</f>
        <v/>
      </c>
      <c r="G84" s="778" t="n"/>
      <c r="H84" s="778" t="n"/>
      <c r="I84" s="778" t="n"/>
      <c r="J84" s="778" t="n"/>
      <c r="K84" s="778" t="n"/>
      <c r="L84" s="778" t="n"/>
      <c r="M84" s="778" t="n"/>
      <c r="N84" s="778" t="n"/>
      <c r="O84" s="778" t="n"/>
      <c r="P84" s="26">
        <f>IF(A84="","",IF(COUNTIF(G84:O84,"CHALLENGE - OPEN")&gt;0,"HOLD - OPEN CHALLENGE",IF(COUNTBLANK(G84:O84)&gt;0,"HOLD - NOT FULLY REVIEWED",IF(COUNTIF(G84:O84,"NOT REVIEWED")&gt;0,"HOLD - NOT FULLY REVIEWED","PASS"))))</f>
        <v/>
      </c>
      <c r="Q84" s="778" t="n"/>
      <c r="R84" s="26" t="n"/>
      <c r="S84" s="26" t="n"/>
      <c r="T84" s="26" t="n"/>
      <c r="U84" s="26" t="n"/>
      <c r="V84" s="26" t="n"/>
      <c r="W84" s="26" t="n"/>
      <c r="X84" s="26" t="n"/>
    </row>
    <row r="85" ht="22" customHeight="1" s="491">
      <c r="A85" s="26">
        <f>IF('QS Takeoff'!B48="","",'QS Takeoff'!B48)</f>
        <v/>
      </c>
      <c r="B85" s="26">
        <f>IF('QS Takeoff'!B48="","",'QS Takeoff'!A48)</f>
        <v/>
      </c>
      <c r="C85" s="26">
        <f>IF('QS Takeoff'!B48="","",'QS Takeoff'!C48)</f>
        <v/>
      </c>
      <c r="D85" s="1509">
        <f>IF('QS Takeoff'!B48="","",'QS Takeoff'!E48)</f>
        <v/>
      </c>
      <c r="E85" s="26">
        <f>IF('QS Takeoff'!B48="","",'QS Takeoff'!D48)</f>
        <v/>
      </c>
      <c r="F85" s="1510">
        <f>IF('QS Takeoff'!B48="","",'QS Takeoff'!G48)</f>
        <v/>
      </c>
      <c r="G85" s="778" t="n"/>
      <c r="H85" s="778" t="n"/>
      <c r="I85" s="778" t="n"/>
      <c r="J85" s="778" t="n"/>
      <c r="K85" s="778" t="n"/>
      <c r="L85" s="778" t="n"/>
      <c r="M85" s="778" t="n"/>
      <c r="N85" s="778" t="n"/>
      <c r="O85" s="778" t="n"/>
      <c r="P85" s="26">
        <f>IF(A85="","",IF(COUNTIF(G85:O85,"CHALLENGE - OPEN")&gt;0,"HOLD - OPEN CHALLENGE",IF(COUNTBLANK(G85:O85)&gt;0,"HOLD - NOT FULLY REVIEWED",IF(COUNTIF(G85:O85,"NOT REVIEWED")&gt;0,"HOLD - NOT FULLY REVIEWED","PASS"))))</f>
        <v/>
      </c>
      <c r="Q85" s="778" t="n"/>
      <c r="R85" s="26" t="n"/>
      <c r="S85" s="26" t="n"/>
      <c r="T85" s="26" t="n"/>
      <c r="U85" s="26" t="n"/>
      <c r="V85" s="26" t="n"/>
      <c r="W85" s="26" t="n"/>
      <c r="X85" s="26" t="n"/>
    </row>
    <row r="86" ht="22" customHeight="1" s="491">
      <c r="A86" s="26">
        <f>IF('QS Takeoff'!B49="","",'QS Takeoff'!B49)</f>
        <v/>
      </c>
      <c r="B86" s="26">
        <f>IF('QS Takeoff'!B49="","",'QS Takeoff'!A49)</f>
        <v/>
      </c>
      <c r="C86" s="26">
        <f>IF('QS Takeoff'!B49="","",'QS Takeoff'!C49)</f>
        <v/>
      </c>
      <c r="D86" s="1509">
        <f>IF('QS Takeoff'!B49="","",'QS Takeoff'!E49)</f>
        <v/>
      </c>
      <c r="E86" s="26">
        <f>IF('QS Takeoff'!B49="","",'QS Takeoff'!D49)</f>
        <v/>
      </c>
      <c r="F86" s="1510">
        <f>IF('QS Takeoff'!B49="","",'QS Takeoff'!G49)</f>
        <v/>
      </c>
      <c r="G86" s="778" t="n"/>
      <c r="H86" s="778" t="n"/>
      <c r="I86" s="778" t="n"/>
      <c r="J86" s="778" t="n"/>
      <c r="K86" s="778" t="n"/>
      <c r="L86" s="778" t="n"/>
      <c r="M86" s="778" t="n"/>
      <c r="N86" s="778" t="n"/>
      <c r="O86" s="778" t="n"/>
      <c r="P86" s="26">
        <f>IF(A86="","",IF(COUNTIF(G86:O86,"CHALLENGE - OPEN")&gt;0,"HOLD - OPEN CHALLENGE",IF(COUNTBLANK(G86:O86)&gt;0,"HOLD - NOT FULLY REVIEWED",IF(COUNTIF(G86:O86,"NOT REVIEWED")&gt;0,"HOLD - NOT FULLY REVIEWED","PASS"))))</f>
        <v/>
      </c>
      <c r="Q86" s="778" t="n"/>
      <c r="R86" s="26" t="n"/>
      <c r="S86" s="26" t="n"/>
      <c r="T86" s="26" t="n"/>
      <c r="U86" s="26" t="n"/>
      <c r="V86" s="26" t="n"/>
      <c r="W86" s="26" t="n"/>
      <c r="X86" s="26" t="n"/>
    </row>
    <row r="87" ht="22" customHeight="1" s="491">
      <c r="A87" s="26">
        <f>IF('QS Takeoff'!B50="","",'QS Takeoff'!B50)</f>
        <v/>
      </c>
      <c r="B87" s="26">
        <f>IF('QS Takeoff'!B50="","",'QS Takeoff'!A50)</f>
        <v/>
      </c>
      <c r="C87" s="26">
        <f>IF('QS Takeoff'!B50="","",'QS Takeoff'!C50)</f>
        <v/>
      </c>
      <c r="D87" s="1509">
        <f>IF('QS Takeoff'!B50="","",'QS Takeoff'!E50)</f>
        <v/>
      </c>
      <c r="E87" s="26">
        <f>IF('QS Takeoff'!B50="","",'QS Takeoff'!D50)</f>
        <v/>
      </c>
      <c r="F87" s="1510">
        <f>IF('QS Takeoff'!B50="","",'QS Takeoff'!G50)</f>
        <v/>
      </c>
      <c r="G87" s="778" t="n"/>
      <c r="H87" s="778" t="n"/>
      <c r="I87" s="778" t="n"/>
      <c r="J87" s="778" t="n"/>
      <c r="K87" s="778" t="n"/>
      <c r="L87" s="778" t="n"/>
      <c r="M87" s="778" t="n"/>
      <c r="N87" s="778" t="n"/>
      <c r="O87" s="778" t="n"/>
      <c r="P87" s="26">
        <f>IF(A87="","",IF(COUNTIF(G87:O87,"CHALLENGE - OPEN")&gt;0,"HOLD - OPEN CHALLENGE",IF(COUNTBLANK(G87:O87)&gt;0,"HOLD - NOT FULLY REVIEWED",IF(COUNTIF(G87:O87,"NOT REVIEWED")&gt;0,"HOLD - NOT FULLY REVIEWED","PASS"))))</f>
        <v/>
      </c>
      <c r="Q87" s="778" t="n"/>
      <c r="R87" s="26" t="n"/>
      <c r="S87" s="26" t="n"/>
      <c r="T87" s="26" t="n"/>
      <c r="U87" s="26" t="n"/>
      <c r="V87" s="26" t="n"/>
      <c r="W87" s="26" t="n"/>
      <c r="X87" s="26" t="n"/>
    </row>
    <row r="88" ht="22" customHeight="1" s="491">
      <c r="A88" s="26">
        <f>IF('QS Takeoff'!B51="","",'QS Takeoff'!B51)</f>
        <v/>
      </c>
      <c r="B88" s="26">
        <f>IF('QS Takeoff'!B51="","",'QS Takeoff'!A51)</f>
        <v/>
      </c>
      <c r="C88" s="26">
        <f>IF('QS Takeoff'!B51="","",'QS Takeoff'!C51)</f>
        <v/>
      </c>
      <c r="D88" s="1509">
        <f>IF('QS Takeoff'!B51="","",'QS Takeoff'!E51)</f>
        <v/>
      </c>
      <c r="E88" s="26">
        <f>IF('QS Takeoff'!B51="","",'QS Takeoff'!D51)</f>
        <v/>
      </c>
      <c r="F88" s="1510">
        <f>IF('QS Takeoff'!B51="","",'QS Takeoff'!G51)</f>
        <v/>
      </c>
      <c r="G88" s="778" t="n"/>
      <c r="H88" s="778" t="n"/>
      <c r="I88" s="778" t="n"/>
      <c r="J88" s="778" t="n"/>
      <c r="K88" s="778" t="n"/>
      <c r="L88" s="778" t="n"/>
      <c r="M88" s="778" t="n"/>
      <c r="N88" s="778" t="n"/>
      <c r="O88" s="778" t="n"/>
      <c r="P88" s="26">
        <f>IF(A88="","",IF(COUNTIF(G88:O88,"CHALLENGE - OPEN")&gt;0,"HOLD - OPEN CHALLENGE",IF(COUNTBLANK(G88:O88)&gt;0,"HOLD - NOT FULLY REVIEWED",IF(COUNTIF(G88:O88,"NOT REVIEWED")&gt;0,"HOLD - NOT FULLY REVIEWED","PASS"))))</f>
        <v/>
      </c>
      <c r="Q88" s="778" t="n"/>
      <c r="R88" s="26" t="n"/>
      <c r="S88" s="26" t="n"/>
      <c r="T88" s="26" t="n"/>
      <c r="U88" s="26" t="n"/>
      <c r="V88" s="26" t="n"/>
      <c r="W88" s="26" t="n"/>
      <c r="X88" s="26" t="n"/>
    </row>
    <row r="89" ht="22" customHeight="1" s="491">
      <c r="A89" s="26">
        <f>IF('QS Takeoff'!B52="","",'QS Takeoff'!B52)</f>
        <v/>
      </c>
      <c r="B89" s="26">
        <f>IF('QS Takeoff'!B52="","",'QS Takeoff'!A52)</f>
        <v/>
      </c>
      <c r="C89" s="26">
        <f>IF('QS Takeoff'!B52="","",'QS Takeoff'!C52)</f>
        <v/>
      </c>
      <c r="D89" s="1509">
        <f>IF('QS Takeoff'!B52="","",'QS Takeoff'!E52)</f>
        <v/>
      </c>
      <c r="E89" s="26">
        <f>IF('QS Takeoff'!B52="","",'QS Takeoff'!D52)</f>
        <v/>
      </c>
      <c r="F89" s="1510">
        <f>IF('QS Takeoff'!B52="","",'QS Takeoff'!G52)</f>
        <v/>
      </c>
      <c r="G89" s="778" t="n"/>
      <c r="H89" s="778" t="n"/>
      <c r="I89" s="778" t="n"/>
      <c r="J89" s="778" t="n"/>
      <c r="K89" s="778" t="n"/>
      <c r="L89" s="778" t="n"/>
      <c r="M89" s="778" t="n"/>
      <c r="N89" s="778" t="n"/>
      <c r="O89" s="778" t="n"/>
      <c r="P89" s="26">
        <f>IF(A89="","",IF(COUNTIF(G89:O89,"CHALLENGE - OPEN")&gt;0,"HOLD - OPEN CHALLENGE",IF(COUNTBLANK(G89:O89)&gt;0,"HOLD - NOT FULLY REVIEWED",IF(COUNTIF(G89:O89,"NOT REVIEWED")&gt;0,"HOLD - NOT FULLY REVIEWED","PASS"))))</f>
        <v/>
      </c>
      <c r="Q89" s="778" t="n"/>
      <c r="R89" s="26" t="n"/>
      <c r="S89" s="26" t="n"/>
      <c r="T89" s="26" t="n"/>
      <c r="U89" s="26" t="n"/>
      <c r="V89" s="26" t="n"/>
      <c r="W89" s="26" t="n"/>
      <c r="X89" s="26" t="n"/>
    </row>
    <row r="90" ht="22" customHeight="1" s="491">
      <c r="A90" s="26">
        <f>IF('QS Takeoff'!B53="","",'QS Takeoff'!B53)</f>
        <v/>
      </c>
      <c r="B90" s="26">
        <f>IF('QS Takeoff'!B53="","",'QS Takeoff'!A53)</f>
        <v/>
      </c>
      <c r="C90" s="26">
        <f>IF('QS Takeoff'!B53="","",'QS Takeoff'!C53)</f>
        <v/>
      </c>
      <c r="D90" s="1509">
        <f>IF('QS Takeoff'!B53="","",'QS Takeoff'!E53)</f>
        <v/>
      </c>
      <c r="E90" s="26">
        <f>IF('QS Takeoff'!B53="","",'QS Takeoff'!D53)</f>
        <v/>
      </c>
      <c r="F90" s="1510">
        <f>IF('QS Takeoff'!B53="","",'QS Takeoff'!G53)</f>
        <v/>
      </c>
      <c r="G90" s="778" t="n"/>
      <c r="H90" s="778" t="n"/>
      <c r="I90" s="778" t="n"/>
      <c r="J90" s="778" t="n"/>
      <c r="K90" s="778" t="n"/>
      <c r="L90" s="778" t="n"/>
      <c r="M90" s="778" t="n"/>
      <c r="N90" s="778" t="n"/>
      <c r="O90" s="778" t="n"/>
      <c r="P90" s="26">
        <f>IF(A90="","",IF(COUNTIF(G90:O90,"CHALLENGE - OPEN")&gt;0,"HOLD - OPEN CHALLENGE",IF(COUNTBLANK(G90:O90)&gt;0,"HOLD - NOT FULLY REVIEWED",IF(COUNTIF(G90:O90,"NOT REVIEWED")&gt;0,"HOLD - NOT FULLY REVIEWED","PASS"))))</f>
        <v/>
      </c>
      <c r="Q90" s="778" t="n"/>
      <c r="R90" s="26" t="n"/>
      <c r="S90" s="26" t="n"/>
      <c r="T90" s="26" t="n"/>
      <c r="U90" s="26" t="n"/>
      <c r="V90" s="26" t="n"/>
      <c r="W90" s="26" t="n"/>
      <c r="X90" s="26" t="n"/>
    </row>
    <row r="91" ht="22" customHeight="1" s="491">
      <c r="A91" s="26">
        <f>IF('QS Takeoff'!B54="","",'QS Takeoff'!B54)</f>
        <v/>
      </c>
      <c r="B91" s="26">
        <f>IF('QS Takeoff'!B54="","",'QS Takeoff'!A54)</f>
        <v/>
      </c>
      <c r="C91" s="26">
        <f>IF('QS Takeoff'!B54="","",'QS Takeoff'!C54)</f>
        <v/>
      </c>
      <c r="D91" s="1509">
        <f>IF('QS Takeoff'!B54="","",'QS Takeoff'!E54)</f>
        <v/>
      </c>
      <c r="E91" s="26">
        <f>IF('QS Takeoff'!B54="","",'QS Takeoff'!D54)</f>
        <v/>
      </c>
      <c r="F91" s="1510">
        <f>IF('QS Takeoff'!B54="","",'QS Takeoff'!G54)</f>
        <v/>
      </c>
      <c r="G91" s="778" t="n"/>
      <c r="H91" s="778" t="n"/>
      <c r="I91" s="778" t="n"/>
      <c r="J91" s="778" t="n"/>
      <c r="K91" s="778" t="n"/>
      <c r="L91" s="778" t="n"/>
      <c r="M91" s="778" t="n"/>
      <c r="N91" s="778" t="n"/>
      <c r="O91" s="778" t="n"/>
      <c r="P91" s="26">
        <f>IF(A91="","",IF(COUNTIF(G91:O91,"CHALLENGE - OPEN")&gt;0,"HOLD - OPEN CHALLENGE",IF(COUNTBLANK(G91:O91)&gt;0,"HOLD - NOT FULLY REVIEWED",IF(COUNTIF(G91:O91,"NOT REVIEWED")&gt;0,"HOLD - NOT FULLY REVIEWED","PASS"))))</f>
        <v/>
      </c>
      <c r="Q91" s="778" t="n"/>
      <c r="R91" s="26" t="n"/>
      <c r="S91" s="26" t="n"/>
      <c r="T91" s="26" t="n"/>
      <c r="U91" s="26" t="n"/>
      <c r="V91" s="26" t="n"/>
      <c r="W91" s="26" t="n"/>
      <c r="X91" s="26" t="n"/>
    </row>
    <row r="92" ht="22" customHeight="1" s="491">
      <c r="A92" s="26">
        <f>IF('QS Takeoff'!B55="","",'QS Takeoff'!B55)</f>
        <v/>
      </c>
      <c r="B92" s="26">
        <f>IF('QS Takeoff'!B55="","",'QS Takeoff'!A55)</f>
        <v/>
      </c>
      <c r="C92" s="26">
        <f>IF('QS Takeoff'!B55="","",'QS Takeoff'!C55)</f>
        <v/>
      </c>
      <c r="D92" s="1509">
        <f>IF('QS Takeoff'!B55="","",'QS Takeoff'!E55)</f>
        <v/>
      </c>
      <c r="E92" s="26">
        <f>IF('QS Takeoff'!B55="","",'QS Takeoff'!D55)</f>
        <v/>
      </c>
      <c r="F92" s="1510">
        <f>IF('QS Takeoff'!B55="","",'QS Takeoff'!G55)</f>
        <v/>
      </c>
      <c r="G92" s="778" t="n"/>
      <c r="H92" s="778" t="n"/>
      <c r="I92" s="778" t="n"/>
      <c r="J92" s="778" t="n"/>
      <c r="K92" s="778" t="n"/>
      <c r="L92" s="778" t="n"/>
      <c r="M92" s="778" t="n"/>
      <c r="N92" s="778" t="n"/>
      <c r="O92" s="778" t="n"/>
      <c r="P92" s="26">
        <f>IF(A92="","",IF(COUNTIF(G92:O92,"CHALLENGE - OPEN")&gt;0,"HOLD - OPEN CHALLENGE",IF(COUNTBLANK(G92:O92)&gt;0,"HOLD - NOT FULLY REVIEWED",IF(COUNTIF(G92:O92,"NOT REVIEWED")&gt;0,"HOLD - NOT FULLY REVIEWED","PASS"))))</f>
        <v/>
      </c>
      <c r="Q92" s="778" t="n"/>
      <c r="R92" s="26" t="n"/>
      <c r="S92" s="26" t="n"/>
      <c r="T92" s="26" t="n"/>
      <c r="U92" s="26" t="n"/>
      <c r="V92" s="26" t="n"/>
      <c r="W92" s="26" t="n"/>
      <c r="X92" s="26" t="n"/>
    </row>
    <row r="93" ht="22" customHeight="1" s="491">
      <c r="A93" s="26">
        <f>IF('QS Takeoff'!B56="","",'QS Takeoff'!B56)</f>
        <v/>
      </c>
      <c r="B93" s="26">
        <f>IF('QS Takeoff'!B56="","",'QS Takeoff'!A56)</f>
        <v/>
      </c>
      <c r="C93" s="26">
        <f>IF('QS Takeoff'!B56="","",'QS Takeoff'!C56)</f>
        <v/>
      </c>
      <c r="D93" s="1509">
        <f>IF('QS Takeoff'!B56="","",'QS Takeoff'!E56)</f>
        <v/>
      </c>
      <c r="E93" s="26">
        <f>IF('QS Takeoff'!B56="","",'QS Takeoff'!D56)</f>
        <v/>
      </c>
      <c r="F93" s="1510">
        <f>IF('QS Takeoff'!B56="","",'QS Takeoff'!G56)</f>
        <v/>
      </c>
      <c r="G93" s="778" t="n"/>
      <c r="H93" s="778" t="n"/>
      <c r="I93" s="778" t="n"/>
      <c r="J93" s="778" t="n"/>
      <c r="K93" s="778" t="n"/>
      <c r="L93" s="778" t="n"/>
      <c r="M93" s="778" t="n"/>
      <c r="N93" s="778" t="n"/>
      <c r="O93" s="778" t="n"/>
      <c r="P93" s="26">
        <f>IF(A93="","",IF(COUNTIF(G93:O93,"CHALLENGE - OPEN")&gt;0,"HOLD - OPEN CHALLENGE",IF(COUNTBLANK(G93:O93)&gt;0,"HOLD - NOT FULLY REVIEWED",IF(COUNTIF(G93:O93,"NOT REVIEWED")&gt;0,"HOLD - NOT FULLY REVIEWED","PASS"))))</f>
        <v/>
      </c>
      <c r="Q93" s="778" t="n"/>
      <c r="R93" s="26" t="n"/>
      <c r="S93" s="26" t="n"/>
      <c r="T93" s="26" t="n"/>
      <c r="U93" s="26" t="n"/>
      <c r="V93" s="26" t="n"/>
      <c r="W93" s="26" t="n"/>
      <c r="X93" s="26" t="n"/>
    </row>
    <row r="94" ht="22" customHeight="1" s="491">
      <c r="A94" s="26">
        <f>IF('QS Takeoff'!B57="","",'QS Takeoff'!B57)</f>
        <v/>
      </c>
      <c r="B94" s="26">
        <f>IF('QS Takeoff'!B57="","",'QS Takeoff'!A57)</f>
        <v/>
      </c>
      <c r="C94" s="26">
        <f>IF('QS Takeoff'!B57="","",'QS Takeoff'!C57)</f>
        <v/>
      </c>
      <c r="D94" s="1509">
        <f>IF('QS Takeoff'!B57="","",'QS Takeoff'!E57)</f>
        <v/>
      </c>
      <c r="E94" s="26">
        <f>IF('QS Takeoff'!B57="","",'QS Takeoff'!D57)</f>
        <v/>
      </c>
      <c r="F94" s="1510">
        <f>IF('QS Takeoff'!B57="","",'QS Takeoff'!G57)</f>
        <v/>
      </c>
      <c r="G94" s="778" t="n"/>
      <c r="H94" s="778" t="n"/>
      <c r="I94" s="778" t="n"/>
      <c r="J94" s="778" t="n"/>
      <c r="K94" s="778" t="n"/>
      <c r="L94" s="778" t="n"/>
      <c r="M94" s="778" t="n"/>
      <c r="N94" s="778" t="n"/>
      <c r="O94" s="778" t="n"/>
      <c r="P94" s="26">
        <f>IF(A94="","",IF(COUNTIF(G94:O94,"CHALLENGE - OPEN")&gt;0,"HOLD - OPEN CHALLENGE",IF(COUNTBLANK(G94:O94)&gt;0,"HOLD - NOT FULLY REVIEWED",IF(COUNTIF(G94:O94,"NOT REVIEWED")&gt;0,"HOLD - NOT FULLY REVIEWED","PASS"))))</f>
        <v/>
      </c>
      <c r="Q94" s="778" t="n"/>
      <c r="R94" s="26" t="n"/>
      <c r="S94" s="26" t="n"/>
      <c r="T94" s="26" t="n"/>
      <c r="U94" s="26" t="n"/>
      <c r="V94" s="26" t="n"/>
      <c r="W94" s="26" t="n"/>
      <c r="X94" s="26" t="n"/>
    </row>
    <row r="95" ht="22" customHeight="1" s="491">
      <c r="A95" s="26">
        <f>IF('QS Takeoff'!B58="","",'QS Takeoff'!B58)</f>
        <v/>
      </c>
      <c r="B95" s="26">
        <f>IF('QS Takeoff'!B58="","",'QS Takeoff'!A58)</f>
        <v/>
      </c>
      <c r="C95" s="26">
        <f>IF('QS Takeoff'!B58="","",'QS Takeoff'!C58)</f>
        <v/>
      </c>
      <c r="D95" s="1509">
        <f>IF('QS Takeoff'!B58="","",'QS Takeoff'!E58)</f>
        <v/>
      </c>
      <c r="E95" s="26">
        <f>IF('QS Takeoff'!B58="","",'QS Takeoff'!D58)</f>
        <v/>
      </c>
      <c r="F95" s="1510">
        <f>IF('QS Takeoff'!B58="","",'QS Takeoff'!G58)</f>
        <v/>
      </c>
      <c r="G95" s="778" t="n"/>
      <c r="H95" s="778" t="n"/>
      <c r="I95" s="778" t="n"/>
      <c r="J95" s="778" t="n"/>
      <c r="K95" s="778" t="n"/>
      <c r="L95" s="778" t="n"/>
      <c r="M95" s="778" t="n"/>
      <c r="N95" s="778" t="n"/>
      <c r="O95" s="778" t="n"/>
      <c r="P95" s="26">
        <f>IF(A95="","",IF(COUNTIF(G95:O95,"CHALLENGE - OPEN")&gt;0,"HOLD - OPEN CHALLENGE",IF(COUNTBLANK(G95:O95)&gt;0,"HOLD - NOT FULLY REVIEWED",IF(COUNTIF(G95:O95,"NOT REVIEWED")&gt;0,"HOLD - NOT FULLY REVIEWED","PASS"))))</f>
        <v/>
      </c>
      <c r="Q95" s="778" t="n"/>
      <c r="R95" s="26" t="n"/>
      <c r="S95" s="26" t="n"/>
      <c r="T95" s="26" t="n"/>
      <c r="U95" s="26" t="n"/>
      <c r="V95" s="26" t="n"/>
      <c r="W95" s="26" t="n"/>
      <c r="X95" s="26" t="n"/>
    </row>
    <row r="96" ht="22" customHeight="1" s="491">
      <c r="A96" s="26">
        <f>IF('QS Takeoff'!B59="","",'QS Takeoff'!B59)</f>
        <v/>
      </c>
      <c r="B96" s="26">
        <f>IF('QS Takeoff'!B59="","",'QS Takeoff'!A59)</f>
        <v/>
      </c>
      <c r="C96" s="26">
        <f>IF('QS Takeoff'!B59="","",'QS Takeoff'!C59)</f>
        <v/>
      </c>
      <c r="D96" s="1509">
        <f>IF('QS Takeoff'!B59="","",'QS Takeoff'!E59)</f>
        <v/>
      </c>
      <c r="E96" s="26">
        <f>IF('QS Takeoff'!B59="","",'QS Takeoff'!D59)</f>
        <v/>
      </c>
      <c r="F96" s="1510">
        <f>IF('QS Takeoff'!B59="","",'QS Takeoff'!G59)</f>
        <v/>
      </c>
      <c r="G96" s="778" t="n"/>
      <c r="H96" s="778" t="n"/>
      <c r="I96" s="778" t="n"/>
      <c r="J96" s="778" t="n"/>
      <c r="K96" s="778" t="n"/>
      <c r="L96" s="778" t="n"/>
      <c r="M96" s="778" t="n"/>
      <c r="N96" s="778" t="n"/>
      <c r="O96" s="778" t="n"/>
      <c r="P96" s="26">
        <f>IF(A96="","",IF(COUNTIF(G96:O96,"CHALLENGE - OPEN")&gt;0,"HOLD - OPEN CHALLENGE",IF(COUNTBLANK(G96:O96)&gt;0,"HOLD - NOT FULLY REVIEWED",IF(COUNTIF(G96:O96,"NOT REVIEWED")&gt;0,"HOLD - NOT FULLY REVIEWED","PASS"))))</f>
        <v/>
      </c>
      <c r="Q96" s="778" t="n"/>
      <c r="R96" s="26" t="n"/>
      <c r="S96" s="26" t="n"/>
      <c r="T96" s="26" t="n"/>
      <c r="U96" s="26" t="n"/>
      <c r="V96" s="26" t="n"/>
      <c r="W96" s="26" t="n"/>
      <c r="X96" s="26" t="n"/>
    </row>
    <row r="97" ht="22" customHeight="1" s="491">
      <c r="A97" s="26">
        <f>IF('QS Takeoff'!B60="","",'QS Takeoff'!B60)</f>
        <v/>
      </c>
      <c r="B97" s="26">
        <f>IF('QS Takeoff'!B60="","",'QS Takeoff'!A60)</f>
        <v/>
      </c>
      <c r="C97" s="26">
        <f>IF('QS Takeoff'!B60="","",'QS Takeoff'!C60)</f>
        <v/>
      </c>
      <c r="D97" s="1509">
        <f>IF('QS Takeoff'!B60="","",'QS Takeoff'!E60)</f>
        <v/>
      </c>
      <c r="E97" s="26">
        <f>IF('QS Takeoff'!B60="","",'QS Takeoff'!D60)</f>
        <v/>
      </c>
      <c r="F97" s="1510">
        <f>IF('QS Takeoff'!B60="","",'QS Takeoff'!G60)</f>
        <v/>
      </c>
      <c r="G97" s="778" t="n"/>
      <c r="H97" s="778" t="n"/>
      <c r="I97" s="778" t="n"/>
      <c r="J97" s="778" t="n"/>
      <c r="K97" s="778" t="n"/>
      <c r="L97" s="778" t="n"/>
      <c r="M97" s="778" t="n"/>
      <c r="N97" s="778" t="n"/>
      <c r="O97" s="778" t="n"/>
      <c r="P97" s="26">
        <f>IF(A97="","",IF(COUNTIF(G97:O97,"CHALLENGE - OPEN")&gt;0,"HOLD - OPEN CHALLENGE",IF(COUNTBLANK(G97:O97)&gt;0,"HOLD - NOT FULLY REVIEWED",IF(COUNTIF(G97:O97,"NOT REVIEWED")&gt;0,"HOLD - NOT FULLY REVIEWED","PASS"))))</f>
        <v/>
      </c>
      <c r="Q97" s="778" t="n"/>
      <c r="R97" s="26" t="n"/>
      <c r="S97" s="26" t="n"/>
      <c r="T97" s="26" t="n"/>
      <c r="U97" s="26" t="n"/>
      <c r="V97" s="26" t="n"/>
      <c r="W97" s="26" t="n"/>
      <c r="X97" s="26" t="n"/>
    </row>
    <row r="98" ht="22" customHeight="1" s="491">
      <c r="A98" s="26">
        <f>IF('QS Takeoff'!B61="","",'QS Takeoff'!B61)</f>
        <v/>
      </c>
      <c r="B98" s="26">
        <f>IF('QS Takeoff'!B61="","",'QS Takeoff'!A61)</f>
        <v/>
      </c>
      <c r="C98" s="26">
        <f>IF('QS Takeoff'!B61="","",'QS Takeoff'!C61)</f>
        <v/>
      </c>
      <c r="D98" s="1509">
        <f>IF('QS Takeoff'!B61="","",'QS Takeoff'!E61)</f>
        <v/>
      </c>
      <c r="E98" s="26">
        <f>IF('QS Takeoff'!B61="","",'QS Takeoff'!D61)</f>
        <v/>
      </c>
      <c r="F98" s="1510">
        <f>IF('QS Takeoff'!B61="","",'QS Takeoff'!G61)</f>
        <v/>
      </c>
      <c r="G98" s="778" t="n"/>
      <c r="H98" s="778" t="n"/>
      <c r="I98" s="778" t="n"/>
      <c r="J98" s="778" t="n"/>
      <c r="K98" s="778" t="n"/>
      <c r="L98" s="778" t="n"/>
      <c r="M98" s="778" t="n"/>
      <c r="N98" s="778" t="n"/>
      <c r="O98" s="778" t="n"/>
      <c r="P98" s="26">
        <f>IF(A98="","",IF(COUNTIF(G98:O98,"CHALLENGE - OPEN")&gt;0,"HOLD - OPEN CHALLENGE",IF(COUNTBLANK(G98:O98)&gt;0,"HOLD - NOT FULLY REVIEWED",IF(COUNTIF(G98:O98,"NOT REVIEWED")&gt;0,"HOLD - NOT FULLY REVIEWED","PASS"))))</f>
        <v/>
      </c>
      <c r="Q98" s="778" t="n"/>
      <c r="R98" s="26" t="n"/>
      <c r="S98" s="26" t="n"/>
      <c r="T98" s="26" t="n"/>
      <c r="U98" s="26" t="n"/>
      <c r="V98" s="26" t="n"/>
      <c r="W98" s="26" t="n"/>
      <c r="X98" s="26" t="n"/>
    </row>
    <row r="99" ht="22" customHeight="1" s="491">
      <c r="A99" s="26">
        <f>IF('QS Takeoff'!B62="","",'QS Takeoff'!B62)</f>
        <v/>
      </c>
      <c r="B99" s="26">
        <f>IF('QS Takeoff'!B62="","",'QS Takeoff'!A62)</f>
        <v/>
      </c>
      <c r="C99" s="26">
        <f>IF('QS Takeoff'!B62="","",'QS Takeoff'!C62)</f>
        <v/>
      </c>
      <c r="D99" s="1509">
        <f>IF('QS Takeoff'!B62="","",'QS Takeoff'!E62)</f>
        <v/>
      </c>
      <c r="E99" s="26">
        <f>IF('QS Takeoff'!B62="","",'QS Takeoff'!D62)</f>
        <v/>
      </c>
      <c r="F99" s="1510">
        <f>IF('QS Takeoff'!B62="","",'QS Takeoff'!G62)</f>
        <v/>
      </c>
      <c r="G99" s="778" t="n"/>
      <c r="H99" s="778" t="n"/>
      <c r="I99" s="778" t="n"/>
      <c r="J99" s="778" t="n"/>
      <c r="K99" s="778" t="n"/>
      <c r="L99" s="778" t="n"/>
      <c r="M99" s="778" t="n"/>
      <c r="N99" s="778" t="n"/>
      <c r="O99" s="778" t="n"/>
      <c r="P99" s="26">
        <f>IF(A99="","",IF(COUNTIF(G99:O99,"CHALLENGE - OPEN")&gt;0,"HOLD - OPEN CHALLENGE",IF(COUNTBLANK(G99:O99)&gt;0,"HOLD - NOT FULLY REVIEWED",IF(COUNTIF(G99:O99,"NOT REVIEWED")&gt;0,"HOLD - NOT FULLY REVIEWED","PASS"))))</f>
        <v/>
      </c>
      <c r="Q99" s="778" t="n"/>
      <c r="R99" s="26" t="n"/>
      <c r="S99" s="26" t="n"/>
      <c r="T99" s="26" t="n"/>
      <c r="U99" s="26" t="n"/>
      <c r="V99" s="26" t="n"/>
      <c r="W99" s="26" t="n"/>
      <c r="X99" s="26" t="n"/>
    </row>
    <row r="100" ht="22" customHeight="1" s="491">
      <c r="A100" s="26">
        <f>IF('QS Takeoff'!B63="","",'QS Takeoff'!B63)</f>
        <v/>
      </c>
      <c r="B100" s="26">
        <f>IF('QS Takeoff'!B63="","",'QS Takeoff'!A63)</f>
        <v/>
      </c>
      <c r="C100" s="26">
        <f>IF('QS Takeoff'!B63="","",'QS Takeoff'!C63)</f>
        <v/>
      </c>
      <c r="D100" s="1509">
        <f>IF('QS Takeoff'!B63="","",'QS Takeoff'!E63)</f>
        <v/>
      </c>
      <c r="E100" s="26">
        <f>IF('QS Takeoff'!B63="","",'QS Takeoff'!D63)</f>
        <v/>
      </c>
      <c r="F100" s="1510">
        <f>IF('QS Takeoff'!B63="","",'QS Takeoff'!G63)</f>
        <v/>
      </c>
      <c r="G100" s="778" t="n"/>
      <c r="H100" s="778" t="n"/>
      <c r="I100" s="778" t="n"/>
      <c r="J100" s="778" t="n"/>
      <c r="K100" s="778" t="n"/>
      <c r="L100" s="778" t="n"/>
      <c r="M100" s="778" t="n"/>
      <c r="N100" s="778" t="n"/>
      <c r="O100" s="778" t="n"/>
      <c r="P100" s="26">
        <f>IF(A100="","",IF(COUNTIF(G100:O100,"CHALLENGE - OPEN")&gt;0,"HOLD - OPEN CHALLENGE",IF(COUNTBLANK(G100:O100)&gt;0,"HOLD - NOT FULLY REVIEWED",IF(COUNTIF(G100:O100,"NOT REVIEWED")&gt;0,"HOLD - NOT FULLY REVIEWED","PASS"))))</f>
        <v/>
      </c>
      <c r="Q100" s="778" t="n"/>
      <c r="R100" s="26" t="n"/>
      <c r="S100" s="26" t="n"/>
      <c r="T100" s="26" t="n"/>
      <c r="U100" s="26" t="n"/>
      <c r="V100" s="26" t="n"/>
      <c r="W100" s="26" t="n"/>
      <c r="X100" s="26" t="n"/>
    </row>
    <row r="101" ht="22" customHeight="1" s="491">
      <c r="A101" s="26">
        <f>IF('QS Takeoff'!B64="","",'QS Takeoff'!B64)</f>
        <v/>
      </c>
      <c r="B101" s="26">
        <f>IF('QS Takeoff'!B64="","",'QS Takeoff'!A64)</f>
        <v/>
      </c>
      <c r="C101" s="26">
        <f>IF('QS Takeoff'!B64="","",'QS Takeoff'!C64)</f>
        <v/>
      </c>
      <c r="D101" s="1509">
        <f>IF('QS Takeoff'!B64="","",'QS Takeoff'!E64)</f>
        <v/>
      </c>
      <c r="E101" s="26">
        <f>IF('QS Takeoff'!B64="","",'QS Takeoff'!D64)</f>
        <v/>
      </c>
      <c r="F101" s="1510">
        <f>IF('QS Takeoff'!B64="","",'QS Takeoff'!G64)</f>
        <v/>
      </c>
      <c r="G101" s="778" t="n"/>
      <c r="H101" s="778" t="n"/>
      <c r="I101" s="778" t="n"/>
      <c r="J101" s="778" t="n"/>
      <c r="K101" s="778" t="n"/>
      <c r="L101" s="778" t="n"/>
      <c r="M101" s="778" t="n"/>
      <c r="N101" s="778" t="n"/>
      <c r="O101" s="778" t="n"/>
      <c r="P101" s="26">
        <f>IF(A101="","",IF(COUNTIF(G101:O101,"CHALLENGE - OPEN")&gt;0,"HOLD - OPEN CHALLENGE",IF(COUNTBLANK(G101:O101)&gt;0,"HOLD - NOT FULLY REVIEWED",IF(COUNTIF(G101:O101,"NOT REVIEWED")&gt;0,"HOLD - NOT FULLY REVIEWED","PASS"))))</f>
        <v/>
      </c>
      <c r="Q101" s="778" t="n"/>
      <c r="R101" s="26" t="n"/>
      <c r="S101" s="26" t="n"/>
      <c r="T101" s="26" t="n"/>
      <c r="U101" s="26" t="n"/>
      <c r="V101" s="26" t="n"/>
      <c r="W101" s="26" t="n"/>
      <c r="X101" s="26" t="n"/>
    </row>
    <row r="102" ht="22" customHeight="1" s="491">
      <c r="A102" s="26">
        <f>IF('QS Takeoff'!B65="","",'QS Takeoff'!B65)</f>
        <v/>
      </c>
      <c r="B102" s="26">
        <f>IF('QS Takeoff'!B65="","",'QS Takeoff'!A65)</f>
        <v/>
      </c>
      <c r="C102" s="26">
        <f>IF('QS Takeoff'!B65="","",'QS Takeoff'!C65)</f>
        <v/>
      </c>
      <c r="D102" s="1509">
        <f>IF('QS Takeoff'!B65="","",'QS Takeoff'!E65)</f>
        <v/>
      </c>
      <c r="E102" s="26">
        <f>IF('QS Takeoff'!B65="","",'QS Takeoff'!D65)</f>
        <v/>
      </c>
      <c r="F102" s="1510">
        <f>IF('QS Takeoff'!B65="","",'QS Takeoff'!G65)</f>
        <v/>
      </c>
      <c r="G102" s="778" t="n"/>
      <c r="H102" s="778" t="n"/>
      <c r="I102" s="778" t="n"/>
      <c r="J102" s="778" t="n"/>
      <c r="K102" s="778" t="n"/>
      <c r="L102" s="778" t="n"/>
      <c r="M102" s="778" t="n"/>
      <c r="N102" s="778" t="n"/>
      <c r="O102" s="778" t="n"/>
      <c r="P102" s="26">
        <f>IF(A102="","",IF(COUNTIF(G102:O102,"CHALLENGE - OPEN")&gt;0,"HOLD - OPEN CHALLENGE",IF(COUNTBLANK(G102:O102)&gt;0,"HOLD - NOT FULLY REVIEWED",IF(COUNTIF(G102:O102,"NOT REVIEWED")&gt;0,"HOLD - NOT FULLY REVIEWED","PASS"))))</f>
        <v/>
      </c>
      <c r="Q102" s="778" t="n"/>
      <c r="R102" s="26" t="n"/>
      <c r="S102" s="26" t="n"/>
      <c r="T102" s="26" t="n"/>
      <c r="U102" s="26" t="n"/>
      <c r="V102" s="26" t="n"/>
      <c r="W102" s="26" t="n"/>
      <c r="X102" s="26" t="n"/>
    </row>
    <row r="103" ht="22" customHeight="1" s="491">
      <c r="A103" s="26">
        <f>IF('QS Takeoff'!B66="","",'QS Takeoff'!B66)</f>
        <v/>
      </c>
      <c r="B103" s="26">
        <f>IF('QS Takeoff'!B66="","",'QS Takeoff'!A66)</f>
        <v/>
      </c>
      <c r="C103" s="26">
        <f>IF('QS Takeoff'!B66="","",'QS Takeoff'!C66)</f>
        <v/>
      </c>
      <c r="D103" s="1509">
        <f>IF('QS Takeoff'!B66="","",'QS Takeoff'!E66)</f>
        <v/>
      </c>
      <c r="E103" s="26">
        <f>IF('QS Takeoff'!B66="","",'QS Takeoff'!D66)</f>
        <v/>
      </c>
      <c r="F103" s="1510">
        <f>IF('QS Takeoff'!B66="","",'QS Takeoff'!G66)</f>
        <v/>
      </c>
      <c r="G103" s="778" t="n"/>
      <c r="H103" s="778" t="n"/>
      <c r="I103" s="778" t="n"/>
      <c r="J103" s="778" t="n"/>
      <c r="K103" s="778" t="n"/>
      <c r="L103" s="778" t="n"/>
      <c r="M103" s="778" t="n"/>
      <c r="N103" s="778" t="n"/>
      <c r="O103" s="778" t="n"/>
      <c r="P103" s="26">
        <f>IF(A103="","",IF(COUNTIF(G103:O103,"CHALLENGE - OPEN")&gt;0,"HOLD - OPEN CHALLENGE",IF(COUNTBLANK(G103:O103)&gt;0,"HOLD - NOT FULLY REVIEWED",IF(COUNTIF(G103:O103,"NOT REVIEWED")&gt;0,"HOLD - NOT FULLY REVIEWED","PASS"))))</f>
        <v/>
      </c>
      <c r="Q103" s="778" t="n"/>
      <c r="R103" s="26" t="n"/>
      <c r="S103" s="26" t="n"/>
      <c r="T103" s="26" t="n"/>
      <c r="U103" s="26" t="n"/>
      <c r="V103" s="26" t="n"/>
      <c r="W103" s="26" t="n"/>
      <c r="X103" s="26" t="n"/>
    </row>
    <row r="104" ht="22" customHeight="1" s="491">
      <c r="A104" s="26">
        <f>IF('QS Takeoff'!B67="","",'QS Takeoff'!B67)</f>
        <v/>
      </c>
      <c r="B104" s="26">
        <f>IF('QS Takeoff'!B67="","",'QS Takeoff'!A67)</f>
        <v/>
      </c>
      <c r="C104" s="26">
        <f>IF('QS Takeoff'!B67="","",'QS Takeoff'!C67)</f>
        <v/>
      </c>
      <c r="D104" s="1509">
        <f>IF('QS Takeoff'!B67="","",'QS Takeoff'!E67)</f>
        <v/>
      </c>
      <c r="E104" s="26">
        <f>IF('QS Takeoff'!B67="","",'QS Takeoff'!D67)</f>
        <v/>
      </c>
      <c r="F104" s="1510">
        <f>IF('QS Takeoff'!B67="","",'QS Takeoff'!G67)</f>
        <v/>
      </c>
      <c r="G104" s="778" t="n"/>
      <c r="H104" s="778" t="n"/>
      <c r="I104" s="778" t="n"/>
      <c r="J104" s="778" t="n"/>
      <c r="K104" s="778" t="n"/>
      <c r="L104" s="778" t="n"/>
      <c r="M104" s="778" t="n"/>
      <c r="N104" s="778" t="n"/>
      <c r="O104" s="778" t="n"/>
      <c r="P104" s="26">
        <f>IF(A104="","",IF(COUNTIF(G104:O104,"CHALLENGE - OPEN")&gt;0,"HOLD - OPEN CHALLENGE",IF(COUNTBLANK(G104:O104)&gt;0,"HOLD - NOT FULLY REVIEWED",IF(COUNTIF(G104:O104,"NOT REVIEWED")&gt;0,"HOLD - NOT FULLY REVIEWED","PASS"))))</f>
        <v/>
      </c>
      <c r="Q104" s="778" t="n"/>
      <c r="R104" s="26" t="n"/>
      <c r="S104" s="26" t="n"/>
      <c r="T104" s="26" t="n"/>
      <c r="U104" s="26" t="n"/>
      <c r="V104" s="26" t="n"/>
      <c r="W104" s="26" t="n"/>
      <c r="X104" s="26" t="n"/>
    </row>
    <row r="105" ht="22" customHeight="1" s="491">
      <c r="A105" s="26">
        <f>IF('QS Takeoff'!B68="","",'QS Takeoff'!B68)</f>
        <v/>
      </c>
      <c r="B105" s="26">
        <f>IF('QS Takeoff'!B68="","",'QS Takeoff'!A68)</f>
        <v/>
      </c>
      <c r="C105" s="26">
        <f>IF('QS Takeoff'!B68="","",'QS Takeoff'!C68)</f>
        <v/>
      </c>
      <c r="D105" s="1509">
        <f>IF('QS Takeoff'!B68="","",'QS Takeoff'!E68)</f>
        <v/>
      </c>
      <c r="E105" s="26">
        <f>IF('QS Takeoff'!B68="","",'QS Takeoff'!D68)</f>
        <v/>
      </c>
      <c r="F105" s="1510">
        <f>IF('QS Takeoff'!B68="","",'QS Takeoff'!G68)</f>
        <v/>
      </c>
      <c r="G105" s="778" t="n"/>
      <c r="H105" s="778" t="n"/>
      <c r="I105" s="778" t="n"/>
      <c r="J105" s="778" t="n"/>
      <c r="K105" s="778" t="n"/>
      <c r="L105" s="778" t="n"/>
      <c r="M105" s="778" t="n"/>
      <c r="N105" s="778" t="n"/>
      <c r="O105" s="778" t="n"/>
      <c r="P105" s="26">
        <f>IF(A105="","",IF(COUNTIF(G105:O105,"CHALLENGE - OPEN")&gt;0,"HOLD - OPEN CHALLENGE",IF(COUNTBLANK(G105:O105)&gt;0,"HOLD - NOT FULLY REVIEWED",IF(COUNTIF(G105:O105,"NOT REVIEWED")&gt;0,"HOLD - NOT FULLY REVIEWED","PASS"))))</f>
        <v/>
      </c>
      <c r="Q105" s="778" t="n"/>
      <c r="R105" s="26" t="n"/>
      <c r="S105" s="26" t="n"/>
      <c r="T105" s="26" t="n"/>
      <c r="U105" s="26" t="n"/>
      <c r="V105" s="26" t="n"/>
      <c r="W105" s="26" t="n"/>
      <c r="X105" s="26" t="n"/>
    </row>
    <row r="106" ht="22" customHeight="1" s="491">
      <c r="A106" s="26">
        <f>IF('QS Takeoff'!B69="","",'QS Takeoff'!B69)</f>
        <v/>
      </c>
      <c r="B106" s="26">
        <f>IF('QS Takeoff'!B69="","",'QS Takeoff'!A69)</f>
        <v/>
      </c>
      <c r="C106" s="26">
        <f>IF('QS Takeoff'!B69="","",'QS Takeoff'!C69)</f>
        <v/>
      </c>
      <c r="D106" s="1509">
        <f>IF('QS Takeoff'!B69="","",'QS Takeoff'!E69)</f>
        <v/>
      </c>
      <c r="E106" s="26">
        <f>IF('QS Takeoff'!B69="","",'QS Takeoff'!D69)</f>
        <v/>
      </c>
      <c r="F106" s="1510">
        <f>IF('QS Takeoff'!B69="","",'QS Takeoff'!G69)</f>
        <v/>
      </c>
      <c r="G106" s="778" t="n"/>
      <c r="H106" s="778" t="n"/>
      <c r="I106" s="778" t="n"/>
      <c r="J106" s="778" t="n"/>
      <c r="K106" s="778" t="n"/>
      <c r="L106" s="778" t="n"/>
      <c r="M106" s="778" t="n"/>
      <c r="N106" s="778" t="n"/>
      <c r="O106" s="778" t="n"/>
      <c r="P106" s="26">
        <f>IF(A106="","",IF(COUNTIF(G106:O106,"CHALLENGE - OPEN")&gt;0,"HOLD - OPEN CHALLENGE",IF(COUNTBLANK(G106:O106)&gt;0,"HOLD - NOT FULLY REVIEWED",IF(COUNTIF(G106:O106,"NOT REVIEWED")&gt;0,"HOLD - NOT FULLY REVIEWED","PASS"))))</f>
        <v/>
      </c>
      <c r="Q106" s="778" t="n"/>
      <c r="R106" s="26" t="n"/>
      <c r="S106" s="26" t="n"/>
      <c r="T106" s="26" t="n"/>
      <c r="U106" s="26" t="n"/>
      <c r="V106" s="26" t="n"/>
      <c r="W106" s="26" t="n"/>
      <c r="X106" s="26" t="n"/>
    </row>
    <row r="107" ht="22" customHeight="1" s="491">
      <c r="A107" s="26">
        <f>IF('QS Takeoff'!B70="","",'QS Takeoff'!B70)</f>
        <v/>
      </c>
      <c r="B107" s="26">
        <f>IF('QS Takeoff'!B70="","",'QS Takeoff'!A70)</f>
        <v/>
      </c>
      <c r="C107" s="26">
        <f>IF('QS Takeoff'!B70="","",'QS Takeoff'!C70)</f>
        <v/>
      </c>
      <c r="D107" s="1509">
        <f>IF('QS Takeoff'!B70="","",'QS Takeoff'!E70)</f>
        <v/>
      </c>
      <c r="E107" s="26">
        <f>IF('QS Takeoff'!B70="","",'QS Takeoff'!D70)</f>
        <v/>
      </c>
      <c r="F107" s="1510">
        <f>IF('QS Takeoff'!B70="","",'QS Takeoff'!G70)</f>
        <v/>
      </c>
      <c r="G107" s="778" t="n"/>
      <c r="H107" s="778" t="n"/>
      <c r="I107" s="778" t="n"/>
      <c r="J107" s="778" t="n"/>
      <c r="K107" s="778" t="n"/>
      <c r="L107" s="778" t="n"/>
      <c r="M107" s="778" t="n"/>
      <c r="N107" s="778" t="n"/>
      <c r="O107" s="778" t="n"/>
      <c r="P107" s="26">
        <f>IF(A107="","",IF(COUNTIF(G107:O107,"CHALLENGE - OPEN")&gt;0,"HOLD - OPEN CHALLENGE",IF(COUNTBLANK(G107:O107)&gt;0,"HOLD - NOT FULLY REVIEWED",IF(COUNTIF(G107:O107,"NOT REVIEWED")&gt;0,"HOLD - NOT FULLY REVIEWED","PASS"))))</f>
        <v/>
      </c>
      <c r="Q107" s="778" t="n"/>
      <c r="R107" s="26" t="n"/>
      <c r="S107" s="26" t="n"/>
      <c r="T107" s="26" t="n"/>
      <c r="U107" s="26" t="n"/>
      <c r="V107" s="26" t="n"/>
      <c r="W107" s="26" t="n"/>
      <c r="X107" s="26" t="n"/>
    </row>
    <row r="108" ht="22" customHeight="1" s="491">
      <c r="A108" s="26">
        <f>IF('QS Takeoff'!B71="","",'QS Takeoff'!B71)</f>
        <v/>
      </c>
      <c r="B108" s="26">
        <f>IF('QS Takeoff'!B71="","",'QS Takeoff'!A71)</f>
        <v/>
      </c>
      <c r="C108" s="26">
        <f>IF('QS Takeoff'!B71="","",'QS Takeoff'!C71)</f>
        <v/>
      </c>
      <c r="D108" s="1509">
        <f>IF('QS Takeoff'!B71="","",'QS Takeoff'!E71)</f>
        <v/>
      </c>
      <c r="E108" s="26">
        <f>IF('QS Takeoff'!B71="","",'QS Takeoff'!D71)</f>
        <v/>
      </c>
      <c r="F108" s="1510">
        <f>IF('QS Takeoff'!B71="","",'QS Takeoff'!G71)</f>
        <v/>
      </c>
      <c r="G108" s="778" t="n"/>
      <c r="H108" s="778" t="n"/>
      <c r="I108" s="778" t="n"/>
      <c r="J108" s="778" t="n"/>
      <c r="K108" s="778" t="n"/>
      <c r="L108" s="778" t="n"/>
      <c r="M108" s="778" t="n"/>
      <c r="N108" s="778" t="n"/>
      <c r="O108" s="778" t="n"/>
      <c r="P108" s="26">
        <f>IF(A108="","",IF(COUNTIF(G108:O108,"CHALLENGE - OPEN")&gt;0,"HOLD - OPEN CHALLENGE",IF(COUNTBLANK(G108:O108)&gt;0,"HOLD - NOT FULLY REVIEWED",IF(COUNTIF(G108:O108,"NOT REVIEWED")&gt;0,"HOLD - NOT FULLY REVIEWED","PASS"))))</f>
        <v/>
      </c>
      <c r="Q108" s="778" t="n"/>
      <c r="R108" s="26" t="n"/>
      <c r="S108" s="26" t="n"/>
      <c r="T108" s="26" t="n"/>
      <c r="U108" s="26" t="n"/>
      <c r="V108" s="26" t="n"/>
      <c r="W108" s="26" t="n"/>
      <c r="X108" s="26" t="n"/>
    </row>
    <row r="109" ht="22" customHeight="1" s="491">
      <c r="A109" s="26">
        <f>IF('QS Takeoff'!B72="","",'QS Takeoff'!B72)</f>
        <v/>
      </c>
      <c r="B109" s="26">
        <f>IF('QS Takeoff'!B72="","",'QS Takeoff'!A72)</f>
        <v/>
      </c>
      <c r="C109" s="26">
        <f>IF('QS Takeoff'!B72="","",'QS Takeoff'!C72)</f>
        <v/>
      </c>
      <c r="D109" s="1509">
        <f>IF('QS Takeoff'!B72="","",'QS Takeoff'!E72)</f>
        <v/>
      </c>
      <c r="E109" s="26">
        <f>IF('QS Takeoff'!B72="","",'QS Takeoff'!D72)</f>
        <v/>
      </c>
      <c r="F109" s="1510">
        <f>IF('QS Takeoff'!B72="","",'QS Takeoff'!G72)</f>
        <v/>
      </c>
      <c r="G109" s="778" t="n"/>
      <c r="H109" s="778" t="n"/>
      <c r="I109" s="778" t="n"/>
      <c r="J109" s="778" t="n"/>
      <c r="K109" s="778" t="n"/>
      <c r="L109" s="778" t="n"/>
      <c r="M109" s="778" t="n"/>
      <c r="N109" s="778" t="n"/>
      <c r="O109" s="778" t="n"/>
      <c r="P109" s="26">
        <f>IF(A109="","",IF(COUNTIF(G109:O109,"CHALLENGE - OPEN")&gt;0,"HOLD - OPEN CHALLENGE",IF(COUNTBLANK(G109:O109)&gt;0,"HOLD - NOT FULLY REVIEWED",IF(COUNTIF(G109:O109,"NOT REVIEWED")&gt;0,"HOLD - NOT FULLY REVIEWED","PASS"))))</f>
        <v/>
      </c>
      <c r="Q109" s="778" t="n"/>
      <c r="R109" s="26" t="n"/>
      <c r="S109" s="26" t="n"/>
      <c r="T109" s="26" t="n"/>
      <c r="U109" s="26" t="n"/>
      <c r="V109" s="26" t="n"/>
      <c r="W109" s="26" t="n"/>
      <c r="X109" s="26" t="n"/>
    </row>
    <row r="110" ht="22" customHeight="1" s="491">
      <c r="A110" s="26" t="n"/>
      <c r="B110" s="26" t="n"/>
      <c r="C110" s="26" t="n"/>
      <c r="D110" s="1509" t="n"/>
      <c r="E110" s="26" t="n"/>
      <c r="F110" s="1510" t="n"/>
      <c r="G110" s="778" t="n"/>
      <c r="H110" s="778" t="n"/>
      <c r="I110" s="778" t="n"/>
      <c r="J110" s="778" t="n"/>
      <c r="K110" s="778" t="n"/>
      <c r="L110" s="778" t="n"/>
      <c r="M110" s="778" t="n"/>
      <c r="N110" s="778" t="n"/>
      <c r="O110" s="778" t="n"/>
      <c r="P110" s="26" t="n"/>
      <c r="Q110" s="778" t="n"/>
      <c r="R110" s="26" t="n"/>
      <c r="S110" s="26" t="n"/>
      <c r="T110" s="26" t="n"/>
      <c r="U110" s="26" t="n"/>
      <c r="V110" s="26" t="n"/>
      <c r="W110" s="26" t="n"/>
      <c r="X110" s="26" t="n"/>
    </row>
    <row r="111">
      <c r="A111" s="26" t="n"/>
      <c r="B111" s="26" t="n"/>
      <c r="C111" s="26" t="n"/>
      <c r="D111" s="26" t="n"/>
      <c r="E111" s="26"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row>
    <row r="112">
      <c r="A112" s="26" t="n"/>
      <c r="B112" s="26" t="n"/>
      <c r="C112" s="26" t="n"/>
      <c r="D112" s="26" t="n"/>
      <c r="E112" s="26"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row>
    <row r="113">
      <c r="A113" s="1506" t="inlineStr">
        <is>
          <t>CHALLENGE FINDINGS &amp; EVIDENCE-LED ADJUDICATION REGISTER</t>
        </is>
      </c>
      <c r="B113" s="242" t="n"/>
      <c r="C113" s="242" t="n"/>
      <c r="D113" s="242" t="n"/>
      <c r="E113" s="242" t="n"/>
      <c r="F113" s="242" t="n"/>
      <c r="G113" s="242" t="n"/>
      <c r="H113" s="242" t="n"/>
      <c r="I113" s="242" t="n"/>
      <c r="J113" s="242" t="n"/>
      <c r="K113" s="242" t="n"/>
      <c r="L113" s="242" t="n"/>
      <c r="M113" s="242" t="n"/>
      <c r="N113" s="242" t="n"/>
      <c r="O113" s="242" t="n"/>
      <c r="P113" s="242" t="n"/>
      <c r="Q113" s="242" t="n"/>
      <c r="R113" s="242" t="n"/>
      <c r="S113" s="242" t="n"/>
      <c r="T113" s="242" t="n"/>
      <c r="U113" s="242" t="n"/>
      <c r="V113" s="242" t="n"/>
      <c r="W113" s="242" t="n"/>
      <c r="X113" s="242" t="n"/>
    </row>
    <row r="114" ht="38" customHeight="1" s="491">
      <c r="A114" s="1508" t="inlineStr">
        <is>
          <t>Only record disagreements / material challenges here. The primary estimate is revealed only after the reviewer has committed the independent position. Accepted changes are integrated at the original source cell/path and then the affected review is rerun.</t>
        </is>
      </c>
      <c r="B114" s="242" t="n"/>
      <c r="C114" s="242" t="n"/>
      <c r="D114" s="242" t="n"/>
      <c r="E114" s="242" t="n"/>
      <c r="F114" s="242" t="n"/>
      <c r="G114" s="242" t="n"/>
      <c r="H114" s="242" t="n"/>
      <c r="I114" s="242" t="n"/>
      <c r="J114" s="242" t="n"/>
      <c r="K114" s="242" t="n"/>
      <c r="L114" s="242" t="n"/>
      <c r="M114" s="242" t="n"/>
      <c r="N114" s="242" t="n"/>
      <c r="O114" s="242" t="n"/>
      <c r="P114" s="242" t="n"/>
      <c r="Q114" s="242" t="n"/>
      <c r="R114" s="242" t="n"/>
      <c r="S114" s="242" t="n"/>
      <c r="T114" s="242" t="n"/>
      <c r="U114" s="242" t="n"/>
      <c r="V114" s="242" t="n"/>
      <c r="W114" s="242" t="n"/>
      <c r="X114" s="242" t="n"/>
    </row>
    <row r="115">
      <c r="A115" s="26" t="n"/>
      <c r="B115" s="26" t="n"/>
      <c r="C115" s="26" t="n"/>
      <c r="D115" s="26" t="n"/>
      <c r="E115" s="26"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row>
    <row r="116" ht="44" customHeight="1" s="491">
      <c r="A116" s="776" t="inlineStr">
        <is>
          <t>Finding ID</t>
        </is>
      </c>
      <c r="B116" s="776" t="inlineStr">
        <is>
          <t>Target Type</t>
        </is>
      </c>
      <c r="C116" s="776" t="inlineStr">
        <is>
          <t>Target ID</t>
        </is>
      </c>
      <c r="D116" s="776" t="inlineStr">
        <is>
          <t>WBS / Description</t>
        </is>
      </c>
      <c r="E116" s="776" t="inlineStr">
        <is>
          <t>Reviewer ID</t>
        </is>
      </c>
      <c r="F116" s="776" t="inlineStr">
        <is>
          <t>Challenge Area</t>
        </is>
      </c>
      <c r="G116" s="776" t="inlineStr">
        <is>
          <t>Independent Position / Recalculation</t>
        </is>
      </c>
      <c r="H116" s="776" t="inlineStr">
        <is>
          <t>Independent Numeric</t>
        </is>
      </c>
      <c r="I116" s="776" t="inlineStr">
        <is>
          <t>Unit</t>
        </is>
      </c>
      <c r="J116" s="776" t="inlineStr">
        <is>
          <t>Primary Position / Basis (post-commitment)</t>
        </is>
      </c>
      <c r="K116" s="776" t="inlineStr">
        <is>
          <t>Primary Numeric</t>
        </is>
      </c>
      <c r="L116" s="776" t="inlineStr">
        <is>
          <t>Variance %</t>
        </is>
      </c>
      <c r="M116" s="776" t="inlineStr">
        <is>
          <t>Evidence / Source 1</t>
        </is>
      </c>
      <c r="N116" s="776" t="inlineStr">
        <is>
          <t>Independent Evidence / Source 2</t>
        </is>
      </c>
      <c r="O116" s="776" t="inlineStr">
        <is>
          <t>First-Principles Basis</t>
        </is>
      </c>
      <c r="P116" s="776" t="inlineStr">
        <is>
          <t>Material?</t>
        </is>
      </c>
      <c r="Q116" s="776" t="inlineStr">
        <is>
          <t>Severity</t>
        </is>
      </c>
      <c r="R116" s="776" t="inlineStr">
        <is>
          <t>Finding / Why Primary May Be Wrong</t>
        </is>
      </c>
      <c r="S116" s="776" t="inlineStr">
        <is>
          <t>Adjudication Decision</t>
        </is>
      </c>
      <c r="T116" s="776" t="inlineStr">
        <is>
          <t>Accepted Value / Basis</t>
        </is>
      </c>
      <c r="U116" s="776" t="inlineStr">
        <is>
          <t>Integration Target</t>
        </is>
      </c>
      <c r="V116" s="776" t="inlineStr">
        <is>
          <t>Integrated?</t>
        </is>
      </c>
      <c r="W116" s="776" t="inlineStr">
        <is>
          <t>Final Status</t>
        </is>
      </c>
      <c r="X116" s="776" t="inlineStr">
        <is>
          <t>RFI / Action ID</t>
        </is>
      </c>
    </row>
    <row r="117" ht="28" customHeight="1" s="491">
      <c r="A117" s="26" t="inlineStr">
        <is>
          <t>ERF-001</t>
        </is>
      </c>
      <c r="B117" s="778" t="n"/>
      <c r="C117" s="778" t="n"/>
      <c r="D117" s="778" t="n"/>
      <c r="E117" s="778" t="n"/>
      <c r="F117" s="778" t="n"/>
      <c r="G117" s="778" t="n"/>
      <c r="H117" s="778" t="n"/>
      <c r="I117" s="778" t="n"/>
      <c r="J117" s="778" t="n"/>
      <c r="K117" s="778" t="n"/>
      <c r="L117" s="1511">
        <f>IF(OR(H117="",K117="",K117=0),"",(H117-K117)/K117)</f>
        <v/>
      </c>
      <c r="M117" s="778" t="n"/>
      <c r="N117" s="778" t="n"/>
      <c r="O117" s="778" t="n"/>
      <c r="P117" s="778" t="n"/>
      <c r="Q117" s="778" t="n"/>
      <c r="R117" s="778" t="n"/>
      <c r="S117" s="778" t="n"/>
      <c r="T117" s="778" t="n"/>
      <c r="U117" s="778" t="n"/>
      <c r="V117" s="778" t="n"/>
      <c r="W117" s="26">
        <f>IF(AND(C117="",R117=""),"",IF(P117&lt;&gt;"Yes","INFO",IF(Q117="RED",IF(S117="","OPEN - RED",IF(AND(OR(S117="CHANGE ACCEPTED",S117="PARTIAL CHANGE"),V117&lt;&gt;"Yes"),"RED - NOT INTEGRATED","RESOLVED")),IF(Q117="AMBER",IF(S117="","OPEN - AMBER",IF(AND(OR(S117="CHANGE ACCEPTED",S117="PARTIAL CHANGE"),V117&lt;&gt;"Yes"),"AMBER - NOT INTEGRATED","RESOLVED")),IF(S117="","REVIEWED","RESOLVED")))))</f>
        <v/>
      </c>
      <c r="X117" s="778" t="n"/>
    </row>
    <row r="118" ht="28" customHeight="1" s="491">
      <c r="A118" s="26" t="inlineStr">
        <is>
          <t>ERF-002</t>
        </is>
      </c>
      <c r="B118" s="778" t="n"/>
      <c r="C118" s="778" t="n"/>
      <c r="D118" s="778" t="n"/>
      <c r="E118" s="778" t="n"/>
      <c r="F118" s="778" t="n"/>
      <c r="G118" s="778" t="n"/>
      <c r="H118" s="778" t="n"/>
      <c r="I118" s="778" t="n"/>
      <c r="J118" s="778" t="n"/>
      <c r="K118" s="778" t="n"/>
      <c r="L118" s="1511">
        <f>IF(OR(H118="",K118="",K118=0),"",(H118-K118)/K118)</f>
        <v/>
      </c>
      <c r="M118" s="778" t="n"/>
      <c r="N118" s="778" t="n"/>
      <c r="O118" s="778" t="n"/>
      <c r="P118" s="778" t="n"/>
      <c r="Q118" s="778" t="n"/>
      <c r="R118" s="778" t="n"/>
      <c r="S118" s="778" t="n"/>
      <c r="T118" s="778" t="n"/>
      <c r="U118" s="778" t="n"/>
      <c r="V118" s="778" t="n"/>
      <c r="W118" s="26">
        <f>IF(AND(C118="",R118=""),"",IF(P118&lt;&gt;"Yes","INFO",IF(Q118="RED",IF(S118="","OPEN - RED",IF(AND(OR(S118="CHANGE ACCEPTED",S118="PARTIAL CHANGE"),V118&lt;&gt;"Yes"),"RED - NOT INTEGRATED","RESOLVED")),IF(Q118="AMBER",IF(S118="","OPEN - AMBER",IF(AND(OR(S118="CHANGE ACCEPTED",S118="PARTIAL CHANGE"),V118&lt;&gt;"Yes"),"AMBER - NOT INTEGRATED","RESOLVED")),IF(S118="","REVIEWED","RESOLVED")))))</f>
        <v/>
      </c>
      <c r="X118" s="778" t="n"/>
    </row>
    <row r="119" ht="28" customHeight="1" s="491">
      <c r="A119" s="26" t="inlineStr">
        <is>
          <t>ERF-003</t>
        </is>
      </c>
      <c r="B119" s="778" t="n"/>
      <c r="C119" s="778" t="n"/>
      <c r="D119" s="778" t="n"/>
      <c r="E119" s="778" t="n"/>
      <c r="F119" s="778" t="n"/>
      <c r="G119" s="778" t="n"/>
      <c r="H119" s="778" t="n"/>
      <c r="I119" s="778" t="n"/>
      <c r="J119" s="778" t="n"/>
      <c r="K119" s="778" t="n"/>
      <c r="L119" s="1511">
        <f>IF(OR(H119="",K119="",K119=0),"",(H119-K119)/K119)</f>
        <v/>
      </c>
      <c r="M119" s="778" t="n"/>
      <c r="N119" s="778" t="n"/>
      <c r="O119" s="778" t="n"/>
      <c r="P119" s="778" t="n"/>
      <c r="Q119" s="778" t="n"/>
      <c r="R119" s="778" t="n"/>
      <c r="S119" s="778" t="n"/>
      <c r="T119" s="778" t="n"/>
      <c r="U119" s="778" t="n"/>
      <c r="V119" s="778" t="n"/>
      <c r="W119" s="26">
        <f>IF(AND(C119="",R119=""),"",IF(P119&lt;&gt;"Yes","INFO",IF(Q119="RED",IF(S119="","OPEN - RED",IF(AND(OR(S119="CHANGE ACCEPTED",S119="PARTIAL CHANGE"),V119&lt;&gt;"Yes"),"RED - NOT INTEGRATED","RESOLVED")),IF(Q119="AMBER",IF(S119="","OPEN - AMBER",IF(AND(OR(S119="CHANGE ACCEPTED",S119="PARTIAL CHANGE"),V119&lt;&gt;"Yes"),"AMBER - NOT INTEGRATED","RESOLVED")),IF(S119="","REVIEWED","RESOLVED")))))</f>
        <v/>
      </c>
      <c r="X119" s="778" t="n"/>
    </row>
    <row r="120" ht="28" customHeight="1" s="491">
      <c r="A120" s="26" t="inlineStr">
        <is>
          <t>ERF-004</t>
        </is>
      </c>
      <c r="B120" s="778" t="n"/>
      <c r="C120" s="778" t="n"/>
      <c r="D120" s="778" t="n"/>
      <c r="E120" s="778" t="n"/>
      <c r="F120" s="778" t="n"/>
      <c r="G120" s="778" t="n"/>
      <c r="H120" s="778" t="n"/>
      <c r="I120" s="778" t="n"/>
      <c r="J120" s="778" t="n"/>
      <c r="K120" s="778" t="n"/>
      <c r="L120" s="1511">
        <f>IF(OR(H120="",K120="",K120=0),"",(H120-K120)/K120)</f>
        <v/>
      </c>
      <c r="M120" s="778" t="n"/>
      <c r="N120" s="778" t="n"/>
      <c r="O120" s="778" t="n"/>
      <c r="P120" s="778" t="n"/>
      <c r="Q120" s="778" t="n"/>
      <c r="R120" s="778" t="n"/>
      <c r="S120" s="778" t="n"/>
      <c r="T120" s="778" t="n"/>
      <c r="U120" s="778" t="n"/>
      <c r="V120" s="778" t="n"/>
      <c r="W120" s="26">
        <f>IF(AND(C120="",R120=""),"",IF(P120&lt;&gt;"Yes","INFO",IF(Q120="RED",IF(S120="","OPEN - RED",IF(AND(OR(S120="CHANGE ACCEPTED",S120="PARTIAL CHANGE"),V120&lt;&gt;"Yes"),"RED - NOT INTEGRATED","RESOLVED")),IF(Q120="AMBER",IF(S120="","OPEN - AMBER",IF(AND(OR(S120="CHANGE ACCEPTED",S120="PARTIAL CHANGE"),V120&lt;&gt;"Yes"),"AMBER - NOT INTEGRATED","RESOLVED")),IF(S120="","REVIEWED","RESOLVED")))))</f>
        <v/>
      </c>
      <c r="X120" s="778" t="n"/>
    </row>
    <row r="121" ht="28" customHeight="1" s="491">
      <c r="A121" s="26" t="inlineStr">
        <is>
          <t>ERF-005</t>
        </is>
      </c>
      <c r="B121" s="778" t="n"/>
      <c r="C121" s="778" t="n"/>
      <c r="D121" s="778" t="n"/>
      <c r="E121" s="778" t="n"/>
      <c r="F121" s="778" t="n"/>
      <c r="G121" s="778" t="n"/>
      <c r="H121" s="778" t="n"/>
      <c r="I121" s="778" t="n"/>
      <c r="J121" s="778" t="n"/>
      <c r="K121" s="778" t="n"/>
      <c r="L121" s="1511">
        <f>IF(OR(H121="",K121="",K121=0),"",(H121-K121)/K121)</f>
        <v/>
      </c>
      <c r="M121" s="778" t="n"/>
      <c r="N121" s="778" t="n"/>
      <c r="O121" s="778" t="n"/>
      <c r="P121" s="778" t="n"/>
      <c r="Q121" s="778" t="n"/>
      <c r="R121" s="778" t="n"/>
      <c r="S121" s="778" t="n"/>
      <c r="T121" s="778" t="n"/>
      <c r="U121" s="778" t="n"/>
      <c r="V121" s="778" t="n"/>
      <c r="W121" s="26">
        <f>IF(AND(C121="",R121=""),"",IF(P121&lt;&gt;"Yes","INFO",IF(Q121="RED",IF(S121="","OPEN - RED",IF(AND(OR(S121="CHANGE ACCEPTED",S121="PARTIAL CHANGE"),V121&lt;&gt;"Yes"),"RED - NOT INTEGRATED","RESOLVED")),IF(Q121="AMBER",IF(S121="","OPEN - AMBER",IF(AND(OR(S121="CHANGE ACCEPTED",S121="PARTIAL CHANGE"),V121&lt;&gt;"Yes"),"AMBER - NOT INTEGRATED","RESOLVED")),IF(S121="","REVIEWED","RESOLVED")))))</f>
        <v/>
      </c>
      <c r="X121" s="778" t="n"/>
    </row>
    <row r="122" ht="28" customHeight="1" s="491">
      <c r="A122" s="26" t="inlineStr">
        <is>
          <t>ERF-006</t>
        </is>
      </c>
      <c r="B122" s="778" t="n"/>
      <c r="C122" s="778" t="n"/>
      <c r="D122" s="778" t="n"/>
      <c r="E122" s="778" t="n"/>
      <c r="F122" s="778" t="n"/>
      <c r="G122" s="778" t="n"/>
      <c r="H122" s="778" t="n"/>
      <c r="I122" s="778" t="n"/>
      <c r="J122" s="778" t="n"/>
      <c r="K122" s="778" t="n"/>
      <c r="L122" s="1511">
        <f>IF(OR(H122="",K122="",K122=0),"",(H122-K122)/K122)</f>
        <v/>
      </c>
      <c r="M122" s="778" t="n"/>
      <c r="N122" s="778" t="n"/>
      <c r="O122" s="778" t="n"/>
      <c r="P122" s="778" t="n"/>
      <c r="Q122" s="778" t="n"/>
      <c r="R122" s="778" t="n"/>
      <c r="S122" s="778" t="n"/>
      <c r="T122" s="778" t="n"/>
      <c r="U122" s="778" t="n"/>
      <c r="V122" s="778" t="n"/>
      <c r="W122" s="26">
        <f>IF(AND(C122="",R122=""),"",IF(P122&lt;&gt;"Yes","INFO",IF(Q122="RED",IF(S122="","OPEN - RED",IF(AND(OR(S122="CHANGE ACCEPTED",S122="PARTIAL CHANGE"),V122&lt;&gt;"Yes"),"RED - NOT INTEGRATED","RESOLVED")),IF(Q122="AMBER",IF(S122="","OPEN - AMBER",IF(AND(OR(S122="CHANGE ACCEPTED",S122="PARTIAL CHANGE"),V122&lt;&gt;"Yes"),"AMBER - NOT INTEGRATED","RESOLVED")),IF(S122="","REVIEWED","RESOLVED")))))</f>
        <v/>
      </c>
      <c r="X122" s="778" t="n"/>
    </row>
    <row r="123" ht="28" customHeight="1" s="491">
      <c r="A123" s="26" t="inlineStr">
        <is>
          <t>ERF-007</t>
        </is>
      </c>
      <c r="B123" s="778" t="n"/>
      <c r="C123" s="778" t="n"/>
      <c r="D123" s="778" t="n"/>
      <c r="E123" s="778" t="n"/>
      <c r="F123" s="778" t="n"/>
      <c r="G123" s="778" t="n"/>
      <c r="H123" s="778" t="n"/>
      <c r="I123" s="778" t="n"/>
      <c r="J123" s="778" t="n"/>
      <c r="K123" s="778" t="n"/>
      <c r="L123" s="1511">
        <f>IF(OR(H123="",K123="",K123=0),"",(H123-K123)/K123)</f>
        <v/>
      </c>
      <c r="M123" s="778" t="n"/>
      <c r="N123" s="778" t="n"/>
      <c r="O123" s="778" t="n"/>
      <c r="P123" s="778" t="n"/>
      <c r="Q123" s="778" t="n"/>
      <c r="R123" s="778" t="n"/>
      <c r="S123" s="778" t="n"/>
      <c r="T123" s="778" t="n"/>
      <c r="U123" s="778" t="n"/>
      <c r="V123" s="778" t="n"/>
      <c r="W123" s="26">
        <f>IF(AND(C123="",R123=""),"",IF(P123&lt;&gt;"Yes","INFO",IF(Q123="RED",IF(S123="","OPEN - RED",IF(AND(OR(S123="CHANGE ACCEPTED",S123="PARTIAL CHANGE"),V123&lt;&gt;"Yes"),"RED - NOT INTEGRATED","RESOLVED")),IF(Q123="AMBER",IF(S123="","OPEN - AMBER",IF(AND(OR(S123="CHANGE ACCEPTED",S123="PARTIAL CHANGE"),V123&lt;&gt;"Yes"),"AMBER - NOT INTEGRATED","RESOLVED")),IF(S123="","REVIEWED","RESOLVED")))))</f>
        <v/>
      </c>
      <c r="X123" s="778" t="n"/>
    </row>
    <row r="124" ht="28" customHeight="1" s="491">
      <c r="A124" s="26" t="inlineStr">
        <is>
          <t>ERF-008</t>
        </is>
      </c>
      <c r="B124" s="778" t="n"/>
      <c r="C124" s="778" t="n"/>
      <c r="D124" s="778" t="n"/>
      <c r="E124" s="778" t="n"/>
      <c r="F124" s="778" t="n"/>
      <c r="G124" s="778" t="n"/>
      <c r="H124" s="778" t="n"/>
      <c r="I124" s="778" t="n"/>
      <c r="J124" s="778" t="n"/>
      <c r="K124" s="778" t="n"/>
      <c r="L124" s="1511">
        <f>IF(OR(H124="",K124="",K124=0),"",(H124-K124)/K124)</f>
        <v/>
      </c>
      <c r="M124" s="778" t="n"/>
      <c r="N124" s="778" t="n"/>
      <c r="O124" s="778" t="n"/>
      <c r="P124" s="778" t="n"/>
      <c r="Q124" s="778" t="n"/>
      <c r="R124" s="778" t="n"/>
      <c r="S124" s="778" t="n"/>
      <c r="T124" s="778" t="n"/>
      <c r="U124" s="778" t="n"/>
      <c r="V124" s="778" t="n"/>
      <c r="W124" s="26">
        <f>IF(AND(C124="",R124=""),"",IF(P124&lt;&gt;"Yes","INFO",IF(Q124="RED",IF(S124="","OPEN - RED",IF(AND(OR(S124="CHANGE ACCEPTED",S124="PARTIAL CHANGE"),V124&lt;&gt;"Yes"),"RED - NOT INTEGRATED","RESOLVED")),IF(Q124="AMBER",IF(S124="","OPEN - AMBER",IF(AND(OR(S124="CHANGE ACCEPTED",S124="PARTIAL CHANGE"),V124&lt;&gt;"Yes"),"AMBER - NOT INTEGRATED","RESOLVED")),IF(S124="","REVIEWED","RESOLVED")))))</f>
        <v/>
      </c>
      <c r="X124" s="778" t="n"/>
    </row>
    <row r="125" ht="28" customHeight="1" s="491">
      <c r="A125" s="26" t="inlineStr">
        <is>
          <t>ERF-009</t>
        </is>
      </c>
      <c r="B125" s="778" t="n"/>
      <c r="C125" s="778" t="n"/>
      <c r="D125" s="778" t="n"/>
      <c r="E125" s="778" t="n"/>
      <c r="F125" s="778" t="n"/>
      <c r="G125" s="778" t="n"/>
      <c r="H125" s="778" t="n"/>
      <c r="I125" s="778" t="n"/>
      <c r="J125" s="778" t="n"/>
      <c r="K125" s="778" t="n"/>
      <c r="L125" s="1511">
        <f>IF(OR(H125="",K125="",K125=0),"",(H125-K125)/K125)</f>
        <v/>
      </c>
      <c r="M125" s="778" t="n"/>
      <c r="N125" s="778" t="n"/>
      <c r="O125" s="778" t="n"/>
      <c r="P125" s="778" t="n"/>
      <c r="Q125" s="778" t="n"/>
      <c r="R125" s="778" t="n"/>
      <c r="S125" s="778" t="n"/>
      <c r="T125" s="778" t="n"/>
      <c r="U125" s="778" t="n"/>
      <c r="V125" s="778" t="n"/>
      <c r="W125" s="26">
        <f>IF(AND(C125="",R125=""),"",IF(P125&lt;&gt;"Yes","INFO",IF(Q125="RED",IF(S125="","OPEN - RED",IF(AND(OR(S125="CHANGE ACCEPTED",S125="PARTIAL CHANGE"),V125&lt;&gt;"Yes"),"RED - NOT INTEGRATED","RESOLVED")),IF(Q125="AMBER",IF(S125="","OPEN - AMBER",IF(AND(OR(S125="CHANGE ACCEPTED",S125="PARTIAL CHANGE"),V125&lt;&gt;"Yes"),"AMBER - NOT INTEGRATED","RESOLVED")),IF(S125="","REVIEWED","RESOLVED")))))</f>
        <v/>
      </c>
      <c r="X125" s="778" t="n"/>
    </row>
    <row r="126" ht="28" customHeight="1" s="491">
      <c r="A126" s="26" t="inlineStr">
        <is>
          <t>ERF-010</t>
        </is>
      </c>
      <c r="B126" s="778" t="n"/>
      <c r="C126" s="778" t="n"/>
      <c r="D126" s="778" t="n"/>
      <c r="E126" s="778" t="n"/>
      <c r="F126" s="778" t="n"/>
      <c r="G126" s="778" t="n"/>
      <c r="H126" s="778" t="n"/>
      <c r="I126" s="778" t="n"/>
      <c r="J126" s="778" t="n"/>
      <c r="K126" s="778" t="n"/>
      <c r="L126" s="1511">
        <f>IF(OR(H126="",K126="",K126=0),"",(H126-K126)/K126)</f>
        <v/>
      </c>
      <c r="M126" s="778" t="n"/>
      <c r="N126" s="778" t="n"/>
      <c r="O126" s="778" t="n"/>
      <c r="P126" s="778" t="n"/>
      <c r="Q126" s="778" t="n"/>
      <c r="R126" s="778" t="n"/>
      <c r="S126" s="778" t="n"/>
      <c r="T126" s="778" t="n"/>
      <c r="U126" s="778" t="n"/>
      <c r="V126" s="778" t="n"/>
      <c r="W126" s="26">
        <f>IF(AND(C126="",R126=""),"",IF(P126&lt;&gt;"Yes","INFO",IF(Q126="RED",IF(S126="","OPEN - RED",IF(AND(OR(S126="CHANGE ACCEPTED",S126="PARTIAL CHANGE"),V126&lt;&gt;"Yes"),"RED - NOT INTEGRATED","RESOLVED")),IF(Q126="AMBER",IF(S126="","OPEN - AMBER",IF(AND(OR(S126="CHANGE ACCEPTED",S126="PARTIAL CHANGE"),V126&lt;&gt;"Yes"),"AMBER - NOT INTEGRATED","RESOLVED")),IF(S126="","REVIEWED","RESOLVED")))))</f>
        <v/>
      </c>
      <c r="X126" s="778" t="n"/>
    </row>
    <row r="127" ht="28" customHeight="1" s="491">
      <c r="A127" s="26" t="inlineStr">
        <is>
          <t>ERF-011</t>
        </is>
      </c>
      <c r="B127" s="778" t="n"/>
      <c r="C127" s="778" t="n"/>
      <c r="D127" s="778" t="n"/>
      <c r="E127" s="778" t="n"/>
      <c r="F127" s="778" t="n"/>
      <c r="G127" s="778" t="n"/>
      <c r="H127" s="778" t="n"/>
      <c r="I127" s="778" t="n"/>
      <c r="J127" s="778" t="n"/>
      <c r="K127" s="778" t="n"/>
      <c r="L127" s="1511">
        <f>IF(OR(H127="",K127="",K127=0),"",(H127-K127)/K127)</f>
        <v/>
      </c>
      <c r="M127" s="778" t="n"/>
      <c r="N127" s="778" t="n"/>
      <c r="O127" s="778" t="n"/>
      <c r="P127" s="778" t="n"/>
      <c r="Q127" s="778" t="n"/>
      <c r="R127" s="778" t="n"/>
      <c r="S127" s="778" t="n"/>
      <c r="T127" s="778" t="n"/>
      <c r="U127" s="778" t="n"/>
      <c r="V127" s="778" t="n"/>
      <c r="W127" s="26">
        <f>IF(AND(C127="",R127=""),"",IF(P127&lt;&gt;"Yes","INFO",IF(Q127="RED",IF(S127="","OPEN - RED",IF(AND(OR(S127="CHANGE ACCEPTED",S127="PARTIAL CHANGE"),V127&lt;&gt;"Yes"),"RED - NOT INTEGRATED","RESOLVED")),IF(Q127="AMBER",IF(S127="","OPEN - AMBER",IF(AND(OR(S127="CHANGE ACCEPTED",S127="PARTIAL CHANGE"),V127&lt;&gt;"Yes"),"AMBER - NOT INTEGRATED","RESOLVED")),IF(S127="","REVIEWED","RESOLVED")))))</f>
        <v/>
      </c>
      <c r="X127" s="778" t="n"/>
    </row>
    <row r="128" ht="28" customHeight="1" s="491">
      <c r="A128" s="26" t="inlineStr">
        <is>
          <t>ERF-012</t>
        </is>
      </c>
      <c r="B128" s="778" t="n"/>
      <c r="C128" s="778" t="n"/>
      <c r="D128" s="778" t="n"/>
      <c r="E128" s="778" t="n"/>
      <c r="F128" s="778" t="n"/>
      <c r="G128" s="778" t="n"/>
      <c r="H128" s="778" t="n"/>
      <c r="I128" s="778" t="n"/>
      <c r="J128" s="778" t="n"/>
      <c r="K128" s="778" t="n"/>
      <c r="L128" s="1511">
        <f>IF(OR(H128="",K128="",K128=0),"",(H128-K128)/K128)</f>
        <v/>
      </c>
      <c r="M128" s="778" t="n"/>
      <c r="N128" s="778" t="n"/>
      <c r="O128" s="778" t="n"/>
      <c r="P128" s="778" t="n"/>
      <c r="Q128" s="778" t="n"/>
      <c r="R128" s="778" t="n"/>
      <c r="S128" s="778" t="n"/>
      <c r="T128" s="778" t="n"/>
      <c r="U128" s="778" t="n"/>
      <c r="V128" s="778" t="n"/>
      <c r="W128" s="26">
        <f>IF(AND(C128="",R128=""),"",IF(P128&lt;&gt;"Yes","INFO",IF(Q128="RED",IF(S128="","OPEN - RED",IF(AND(OR(S128="CHANGE ACCEPTED",S128="PARTIAL CHANGE"),V128&lt;&gt;"Yes"),"RED - NOT INTEGRATED","RESOLVED")),IF(Q128="AMBER",IF(S128="","OPEN - AMBER",IF(AND(OR(S128="CHANGE ACCEPTED",S128="PARTIAL CHANGE"),V128&lt;&gt;"Yes"),"AMBER - NOT INTEGRATED","RESOLVED")),IF(S128="","REVIEWED","RESOLVED")))))</f>
        <v/>
      </c>
      <c r="X128" s="778" t="n"/>
    </row>
    <row r="129" ht="28" customHeight="1" s="491">
      <c r="A129" s="26" t="inlineStr">
        <is>
          <t>ERF-013</t>
        </is>
      </c>
      <c r="B129" s="778" t="n"/>
      <c r="C129" s="778" t="n"/>
      <c r="D129" s="778" t="n"/>
      <c r="E129" s="778" t="n"/>
      <c r="F129" s="778" t="n"/>
      <c r="G129" s="778" t="n"/>
      <c r="H129" s="778" t="n"/>
      <c r="I129" s="778" t="n"/>
      <c r="J129" s="778" t="n"/>
      <c r="K129" s="778" t="n"/>
      <c r="L129" s="1511">
        <f>IF(OR(H129="",K129="",K129=0),"",(H129-K129)/K129)</f>
        <v/>
      </c>
      <c r="M129" s="778" t="n"/>
      <c r="N129" s="778" t="n"/>
      <c r="O129" s="778" t="n"/>
      <c r="P129" s="778" t="n"/>
      <c r="Q129" s="778" t="n"/>
      <c r="R129" s="778" t="n"/>
      <c r="S129" s="778" t="n"/>
      <c r="T129" s="778" t="n"/>
      <c r="U129" s="778" t="n"/>
      <c r="V129" s="778" t="n"/>
      <c r="W129" s="26">
        <f>IF(AND(C129="",R129=""),"",IF(P129&lt;&gt;"Yes","INFO",IF(Q129="RED",IF(S129="","OPEN - RED",IF(AND(OR(S129="CHANGE ACCEPTED",S129="PARTIAL CHANGE"),V129&lt;&gt;"Yes"),"RED - NOT INTEGRATED","RESOLVED")),IF(Q129="AMBER",IF(S129="","OPEN - AMBER",IF(AND(OR(S129="CHANGE ACCEPTED",S129="PARTIAL CHANGE"),V129&lt;&gt;"Yes"),"AMBER - NOT INTEGRATED","RESOLVED")),IF(S129="","REVIEWED","RESOLVED")))))</f>
        <v/>
      </c>
      <c r="X129" s="778" t="n"/>
    </row>
    <row r="130" ht="28" customHeight="1" s="491">
      <c r="A130" s="26" t="inlineStr">
        <is>
          <t>ERF-014</t>
        </is>
      </c>
      <c r="B130" s="778" t="n"/>
      <c r="C130" s="778" t="n"/>
      <c r="D130" s="778" t="n"/>
      <c r="E130" s="778" t="n"/>
      <c r="F130" s="778" t="n"/>
      <c r="G130" s="778" t="n"/>
      <c r="H130" s="778" t="n"/>
      <c r="I130" s="778" t="n"/>
      <c r="J130" s="778" t="n"/>
      <c r="K130" s="778" t="n"/>
      <c r="L130" s="1511">
        <f>IF(OR(H130="",K130="",K130=0),"",(H130-K130)/K130)</f>
        <v/>
      </c>
      <c r="M130" s="778" t="n"/>
      <c r="N130" s="778" t="n"/>
      <c r="O130" s="778" t="n"/>
      <c r="P130" s="778" t="n"/>
      <c r="Q130" s="778" t="n"/>
      <c r="R130" s="778" t="n"/>
      <c r="S130" s="778" t="n"/>
      <c r="T130" s="778" t="n"/>
      <c r="U130" s="778" t="n"/>
      <c r="V130" s="778" t="n"/>
      <c r="W130" s="26">
        <f>IF(AND(C130="",R130=""),"",IF(P130&lt;&gt;"Yes","INFO",IF(Q130="RED",IF(S130="","OPEN - RED",IF(AND(OR(S130="CHANGE ACCEPTED",S130="PARTIAL CHANGE"),V130&lt;&gt;"Yes"),"RED - NOT INTEGRATED","RESOLVED")),IF(Q130="AMBER",IF(S130="","OPEN - AMBER",IF(AND(OR(S130="CHANGE ACCEPTED",S130="PARTIAL CHANGE"),V130&lt;&gt;"Yes"),"AMBER - NOT INTEGRATED","RESOLVED")),IF(S130="","REVIEWED","RESOLVED")))))</f>
        <v/>
      </c>
      <c r="X130" s="778" t="n"/>
    </row>
    <row r="131" ht="28" customHeight="1" s="491">
      <c r="A131" s="26" t="inlineStr">
        <is>
          <t>ERF-015</t>
        </is>
      </c>
      <c r="B131" s="778" t="n"/>
      <c r="C131" s="778" t="n"/>
      <c r="D131" s="778" t="n"/>
      <c r="E131" s="778" t="n"/>
      <c r="F131" s="778" t="n"/>
      <c r="G131" s="778" t="n"/>
      <c r="H131" s="778" t="n"/>
      <c r="I131" s="778" t="n"/>
      <c r="J131" s="778" t="n"/>
      <c r="K131" s="778" t="n"/>
      <c r="L131" s="1511">
        <f>IF(OR(H131="",K131="",K131=0),"",(H131-K131)/K131)</f>
        <v/>
      </c>
      <c r="M131" s="778" t="n"/>
      <c r="N131" s="778" t="n"/>
      <c r="O131" s="778" t="n"/>
      <c r="P131" s="778" t="n"/>
      <c r="Q131" s="778" t="n"/>
      <c r="R131" s="778" t="n"/>
      <c r="S131" s="778" t="n"/>
      <c r="T131" s="778" t="n"/>
      <c r="U131" s="778" t="n"/>
      <c r="V131" s="778" t="n"/>
      <c r="W131" s="26">
        <f>IF(AND(C131="",R131=""),"",IF(P131&lt;&gt;"Yes","INFO",IF(Q131="RED",IF(S131="","OPEN - RED",IF(AND(OR(S131="CHANGE ACCEPTED",S131="PARTIAL CHANGE"),V131&lt;&gt;"Yes"),"RED - NOT INTEGRATED","RESOLVED")),IF(Q131="AMBER",IF(S131="","OPEN - AMBER",IF(AND(OR(S131="CHANGE ACCEPTED",S131="PARTIAL CHANGE"),V131&lt;&gt;"Yes"),"AMBER - NOT INTEGRATED","RESOLVED")),IF(S131="","REVIEWED","RESOLVED")))))</f>
        <v/>
      </c>
      <c r="X131" s="778" t="n"/>
    </row>
    <row r="132" ht="28" customHeight="1" s="491">
      <c r="A132" s="26" t="inlineStr">
        <is>
          <t>ERF-016</t>
        </is>
      </c>
      <c r="B132" s="778" t="n"/>
      <c r="C132" s="778" t="n"/>
      <c r="D132" s="778" t="n"/>
      <c r="E132" s="778" t="n"/>
      <c r="F132" s="778" t="n"/>
      <c r="G132" s="778" t="n"/>
      <c r="H132" s="778" t="n"/>
      <c r="I132" s="778" t="n"/>
      <c r="J132" s="778" t="n"/>
      <c r="K132" s="778" t="n"/>
      <c r="L132" s="1511">
        <f>IF(OR(H132="",K132="",K132=0),"",(H132-K132)/K132)</f>
        <v/>
      </c>
      <c r="M132" s="778" t="n"/>
      <c r="N132" s="778" t="n"/>
      <c r="O132" s="778" t="n"/>
      <c r="P132" s="778" t="n"/>
      <c r="Q132" s="778" t="n"/>
      <c r="R132" s="778" t="n"/>
      <c r="S132" s="778" t="n"/>
      <c r="T132" s="778" t="n"/>
      <c r="U132" s="778" t="n"/>
      <c r="V132" s="778" t="n"/>
      <c r="W132" s="26">
        <f>IF(AND(C132="",R132=""),"",IF(P132&lt;&gt;"Yes","INFO",IF(Q132="RED",IF(S132="","OPEN - RED",IF(AND(OR(S132="CHANGE ACCEPTED",S132="PARTIAL CHANGE"),V132&lt;&gt;"Yes"),"RED - NOT INTEGRATED","RESOLVED")),IF(Q132="AMBER",IF(S132="","OPEN - AMBER",IF(AND(OR(S132="CHANGE ACCEPTED",S132="PARTIAL CHANGE"),V132&lt;&gt;"Yes"),"AMBER - NOT INTEGRATED","RESOLVED")),IF(S132="","REVIEWED","RESOLVED")))))</f>
        <v/>
      </c>
      <c r="X132" s="778" t="n"/>
    </row>
    <row r="133" ht="28" customHeight="1" s="491">
      <c r="A133" s="26" t="inlineStr">
        <is>
          <t>ERF-017</t>
        </is>
      </c>
      <c r="B133" s="778" t="n"/>
      <c r="C133" s="778" t="n"/>
      <c r="D133" s="778" t="n"/>
      <c r="E133" s="778" t="n"/>
      <c r="F133" s="778" t="n"/>
      <c r="G133" s="778" t="n"/>
      <c r="H133" s="778" t="n"/>
      <c r="I133" s="778" t="n"/>
      <c r="J133" s="778" t="n"/>
      <c r="K133" s="778" t="n"/>
      <c r="L133" s="1511">
        <f>IF(OR(H133="",K133="",K133=0),"",(H133-K133)/K133)</f>
        <v/>
      </c>
      <c r="M133" s="778" t="n"/>
      <c r="N133" s="778" t="n"/>
      <c r="O133" s="778" t="n"/>
      <c r="P133" s="778" t="n"/>
      <c r="Q133" s="778" t="n"/>
      <c r="R133" s="778" t="n"/>
      <c r="S133" s="778" t="n"/>
      <c r="T133" s="778" t="n"/>
      <c r="U133" s="778" t="n"/>
      <c r="V133" s="778" t="n"/>
      <c r="W133" s="26">
        <f>IF(AND(C133="",R133=""),"",IF(P133&lt;&gt;"Yes","INFO",IF(Q133="RED",IF(S133="","OPEN - RED",IF(AND(OR(S133="CHANGE ACCEPTED",S133="PARTIAL CHANGE"),V133&lt;&gt;"Yes"),"RED - NOT INTEGRATED","RESOLVED")),IF(Q133="AMBER",IF(S133="","OPEN - AMBER",IF(AND(OR(S133="CHANGE ACCEPTED",S133="PARTIAL CHANGE"),V133&lt;&gt;"Yes"),"AMBER - NOT INTEGRATED","RESOLVED")),IF(S133="","REVIEWED","RESOLVED")))))</f>
        <v/>
      </c>
      <c r="X133" s="778" t="n"/>
    </row>
    <row r="134" ht="28" customHeight="1" s="491">
      <c r="A134" s="26" t="inlineStr">
        <is>
          <t>ERF-018</t>
        </is>
      </c>
      <c r="B134" s="778" t="n"/>
      <c r="C134" s="778" t="n"/>
      <c r="D134" s="778" t="n"/>
      <c r="E134" s="778" t="n"/>
      <c r="F134" s="778" t="n"/>
      <c r="G134" s="778" t="n"/>
      <c r="H134" s="778" t="n"/>
      <c r="I134" s="778" t="n"/>
      <c r="J134" s="778" t="n"/>
      <c r="K134" s="778" t="n"/>
      <c r="L134" s="1511">
        <f>IF(OR(H134="",K134="",K134=0),"",(H134-K134)/K134)</f>
        <v/>
      </c>
      <c r="M134" s="778" t="n"/>
      <c r="N134" s="778" t="n"/>
      <c r="O134" s="778" t="n"/>
      <c r="P134" s="778" t="n"/>
      <c r="Q134" s="778" t="n"/>
      <c r="R134" s="778" t="n"/>
      <c r="S134" s="778" t="n"/>
      <c r="T134" s="778" t="n"/>
      <c r="U134" s="778" t="n"/>
      <c r="V134" s="778" t="n"/>
      <c r="W134" s="26">
        <f>IF(AND(C134="",R134=""),"",IF(P134&lt;&gt;"Yes","INFO",IF(Q134="RED",IF(S134="","OPEN - RED",IF(AND(OR(S134="CHANGE ACCEPTED",S134="PARTIAL CHANGE"),V134&lt;&gt;"Yes"),"RED - NOT INTEGRATED","RESOLVED")),IF(Q134="AMBER",IF(S134="","OPEN - AMBER",IF(AND(OR(S134="CHANGE ACCEPTED",S134="PARTIAL CHANGE"),V134&lt;&gt;"Yes"),"AMBER - NOT INTEGRATED","RESOLVED")),IF(S134="","REVIEWED","RESOLVED")))))</f>
        <v/>
      </c>
      <c r="X134" s="778" t="n"/>
    </row>
    <row r="135" ht="28" customHeight="1" s="491">
      <c r="A135" s="26" t="inlineStr">
        <is>
          <t>ERF-019</t>
        </is>
      </c>
      <c r="B135" s="778" t="n"/>
      <c r="C135" s="778" t="n"/>
      <c r="D135" s="778" t="n"/>
      <c r="E135" s="778" t="n"/>
      <c r="F135" s="778" t="n"/>
      <c r="G135" s="778" t="n"/>
      <c r="H135" s="778" t="n"/>
      <c r="I135" s="778" t="n"/>
      <c r="J135" s="778" t="n"/>
      <c r="K135" s="778" t="n"/>
      <c r="L135" s="1511">
        <f>IF(OR(H135="",K135="",K135=0),"",(H135-K135)/K135)</f>
        <v/>
      </c>
      <c r="M135" s="778" t="n"/>
      <c r="N135" s="778" t="n"/>
      <c r="O135" s="778" t="n"/>
      <c r="P135" s="778" t="n"/>
      <c r="Q135" s="778" t="n"/>
      <c r="R135" s="778" t="n"/>
      <c r="S135" s="778" t="n"/>
      <c r="T135" s="778" t="n"/>
      <c r="U135" s="778" t="n"/>
      <c r="V135" s="778" t="n"/>
      <c r="W135" s="26">
        <f>IF(AND(C135="",R135=""),"",IF(P135&lt;&gt;"Yes","INFO",IF(Q135="RED",IF(S135="","OPEN - RED",IF(AND(OR(S135="CHANGE ACCEPTED",S135="PARTIAL CHANGE"),V135&lt;&gt;"Yes"),"RED - NOT INTEGRATED","RESOLVED")),IF(Q135="AMBER",IF(S135="","OPEN - AMBER",IF(AND(OR(S135="CHANGE ACCEPTED",S135="PARTIAL CHANGE"),V135&lt;&gt;"Yes"),"AMBER - NOT INTEGRATED","RESOLVED")),IF(S135="","REVIEWED","RESOLVED")))))</f>
        <v/>
      </c>
      <c r="X135" s="778" t="n"/>
    </row>
    <row r="136" ht="28" customHeight="1" s="491">
      <c r="A136" s="26" t="inlineStr">
        <is>
          <t>ERF-020</t>
        </is>
      </c>
      <c r="B136" s="778" t="n"/>
      <c r="C136" s="778" t="n"/>
      <c r="D136" s="778" t="n"/>
      <c r="E136" s="778" t="n"/>
      <c r="F136" s="778" t="n"/>
      <c r="G136" s="778" t="n"/>
      <c r="H136" s="778" t="n"/>
      <c r="I136" s="778" t="n"/>
      <c r="J136" s="778" t="n"/>
      <c r="K136" s="778" t="n"/>
      <c r="L136" s="1511">
        <f>IF(OR(H136="",K136="",K136=0),"",(H136-K136)/K136)</f>
        <v/>
      </c>
      <c r="M136" s="778" t="n"/>
      <c r="N136" s="778" t="n"/>
      <c r="O136" s="778" t="n"/>
      <c r="P136" s="778" t="n"/>
      <c r="Q136" s="778" t="n"/>
      <c r="R136" s="778" t="n"/>
      <c r="S136" s="778" t="n"/>
      <c r="T136" s="778" t="n"/>
      <c r="U136" s="778" t="n"/>
      <c r="V136" s="778" t="n"/>
      <c r="W136" s="26">
        <f>IF(AND(C136="",R136=""),"",IF(P136&lt;&gt;"Yes","INFO",IF(Q136="RED",IF(S136="","OPEN - RED",IF(AND(OR(S136="CHANGE ACCEPTED",S136="PARTIAL CHANGE"),V136&lt;&gt;"Yes"),"RED - NOT INTEGRATED","RESOLVED")),IF(Q136="AMBER",IF(S136="","OPEN - AMBER",IF(AND(OR(S136="CHANGE ACCEPTED",S136="PARTIAL CHANGE"),V136&lt;&gt;"Yes"),"AMBER - NOT INTEGRATED","RESOLVED")),IF(S136="","REVIEWED","RESOLVED")))))</f>
        <v/>
      </c>
      <c r="X136" s="778" t="n"/>
    </row>
    <row r="137" ht="28" customHeight="1" s="491">
      <c r="A137" s="26" t="inlineStr">
        <is>
          <t>ERF-021</t>
        </is>
      </c>
      <c r="B137" s="778" t="n"/>
      <c r="C137" s="778" t="n"/>
      <c r="D137" s="778" t="n"/>
      <c r="E137" s="778" t="n"/>
      <c r="F137" s="778" t="n"/>
      <c r="G137" s="778" t="n"/>
      <c r="H137" s="778" t="n"/>
      <c r="I137" s="778" t="n"/>
      <c r="J137" s="778" t="n"/>
      <c r="K137" s="778" t="n"/>
      <c r="L137" s="1511">
        <f>IF(OR(H137="",K137="",K137=0),"",(H137-K137)/K137)</f>
        <v/>
      </c>
      <c r="M137" s="778" t="n"/>
      <c r="N137" s="778" t="n"/>
      <c r="O137" s="778" t="n"/>
      <c r="P137" s="778" t="n"/>
      <c r="Q137" s="778" t="n"/>
      <c r="R137" s="778" t="n"/>
      <c r="S137" s="778" t="n"/>
      <c r="T137" s="778" t="n"/>
      <c r="U137" s="778" t="n"/>
      <c r="V137" s="778" t="n"/>
      <c r="W137" s="26">
        <f>IF(AND(C137="",R137=""),"",IF(P137&lt;&gt;"Yes","INFO",IF(Q137="RED",IF(S137="","OPEN - RED",IF(AND(OR(S137="CHANGE ACCEPTED",S137="PARTIAL CHANGE"),V137&lt;&gt;"Yes"),"RED - NOT INTEGRATED","RESOLVED")),IF(Q137="AMBER",IF(S137="","OPEN - AMBER",IF(AND(OR(S137="CHANGE ACCEPTED",S137="PARTIAL CHANGE"),V137&lt;&gt;"Yes"),"AMBER - NOT INTEGRATED","RESOLVED")),IF(S137="","REVIEWED","RESOLVED")))))</f>
        <v/>
      </c>
      <c r="X137" s="778" t="n"/>
    </row>
    <row r="138" ht="28" customHeight="1" s="491">
      <c r="A138" s="26" t="inlineStr">
        <is>
          <t>ERF-022</t>
        </is>
      </c>
      <c r="B138" s="778" t="n"/>
      <c r="C138" s="778" t="n"/>
      <c r="D138" s="778" t="n"/>
      <c r="E138" s="778" t="n"/>
      <c r="F138" s="778" t="n"/>
      <c r="G138" s="778" t="n"/>
      <c r="H138" s="778" t="n"/>
      <c r="I138" s="778" t="n"/>
      <c r="J138" s="778" t="n"/>
      <c r="K138" s="778" t="n"/>
      <c r="L138" s="1511">
        <f>IF(OR(H138="",K138="",K138=0),"",(H138-K138)/K138)</f>
        <v/>
      </c>
      <c r="M138" s="778" t="n"/>
      <c r="N138" s="778" t="n"/>
      <c r="O138" s="778" t="n"/>
      <c r="P138" s="778" t="n"/>
      <c r="Q138" s="778" t="n"/>
      <c r="R138" s="778" t="n"/>
      <c r="S138" s="778" t="n"/>
      <c r="T138" s="778" t="n"/>
      <c r="U138" s="778" t="n"/>
      <c r="V138" s="778" t="n"/>
      <c r="W138" s="26">
        <f>IF(AND(C138="",R138=""),"",IF(P138&lt;&gt;"Yes","INFO",IF(Q138="RED",IF(S138="","OPEN - RED",IF(AND(OR(S138="CHANGE ACCEPTED",S138="PARTIAL CHANGE"),V138&lt;&gt;"Yes"),"RED - NOT INTEGRATED","RESOLVED")),IF(Q138="AMBER",IF(S138="","OPEN - AMBER",IF(AND(OR(S138="CHANGE ACCEPTED",S138="PARTIAL CHANGE"),V138&lt;&gt;"Yes"),"AMBER - NOT INTEGRATED","RESOLVED")),IF(S138="","REVIEWED","RESOLVED")))))</f>
        <v/>
      </c>
      <c r="X138" s="778" t="n"/>
    </row>
    <row r="139" ht="61.5" customHeight="1" s="491">
      <c r="A139" s="26" t="inlineStr">
        <is>
          <t>ERF-023</t>
        </is>
      </c>
      <c r="B139" s="661" t="n"/>
      <c r="C139" s="661" t="n"/>
      <c r="D139" s="661" t="n"/>
      <c r="E139" s="661" t="n"/>
      <c r="F139" s="661" t="n"/>
      <c r="G139" s="661" t="n"/>
      <c r="H139" s="661" t="n"/>
      <c r="I139" s="661" t="n"/>
      <c r="J139" s="661" t="n"/>
      <c r="K139" s="661" t="n"/>
      <c r="L139" s="1511">
        <f>IF(OR(H139="",K139="",K139=0),"",(H139-K139)/K139)</f>
        <v/>
      </c>
      <c r="M139" s="661" t="n"/>
      <c r="N139" s="661" t="n"/>
      <c r="O139" s="661" t="n"/>
      <c r="P139" s="661" t="n"/>
      <c r="Q139" s="661" t="n"/>
      <c r="R139" s="661" t="n"/>
      <c r="S139" s="661" t="n"/>
      <c r="T139" s="661" t="n"/>
      <c r="U139" s="661" t="n"/>
      <c r="V139" s="661" t="n"/>
      <c r="W139" s="26">
        <f>IF(AND(C139="",R139=""),"",IF(P139&lt;&gt;"Yes","INFO",IF(Q139="RED",IF(S139="","OPEN - RED",IF(AND(OR(S139="CHANGE ACCEPTED",S139="PARTIAL CHANGE"),V139&lt;&gt;"Yes"),"RED - NOT INTEGRATED","RESOLVED")),IF(Q139="AMBER",IF(S139="","OPEN - AMBER",IF(AND(OR(S139="CHANGE ACCEPTED",S139="PARTIAL CHANGE"),V139&lt;&gt;"Yes"),"AMBER - NOT INTEGRATED","RESOLVED")),IF(S139="","REVIEWED","RESOLVED")))))</f>
        <v/>
      </c>
      <c r="X139" s="661" t="n"/>
    </row>
    <row r="140" ht="28" customHeight="1" s="491">
      <c r="A140" s="26" t="inlineStr">
        <is>
          <t>ERF-024</t>
        </is>
      </c>
      <c r="B140" s="778" t="n"/>
      <c r="C140" s="778" t="n"/>
      <c r="D140" s="778" t="n"/>
      <c r="E140" s="778" t="n"/>
      <c r="F140" s="778" t="n"/>
      <c r="G140" s="778" t="n"/>
      <c r="H140" s="778" t="n"/>
      <c r="I140" s="778" t="n"/>
      <c r="J140" s="778" t="n"/>
      <c r="K140" s="778" t="n"/>
      <c r="L140" s="1511">
        <f>IF(OR(H140="",K140="",K140=0),"",(H140-K140)/K140)</f>
        <v/>
      </c>
      <c r="M140" s="778" t="n"/>
      <c r="N140" s="778" t="n"/>
      <c r="O140" s="778" t="n"/>
      <c r="P140" s="778" t="n"/>
      <c r="Q140" s="778" t="n"/>
      <c r="R140" s="778" t="n"/>
      <c r="S140" s="778" t="n"/>
      <c r="T140" s="778" t="n"/>
      <c r="U140" s="778" t="n"/>
      <c r="V140" s="778" t="n"/>
      <c r="W140" s="26">
        <f>IF(AND(C140="",R140=""),"",IF(P140&lt;&gt;"Yes","INFO",IF(Q140="RED",IF(S140="","OPEN - RED",IF(AND(OR(S140="CHANGE ACCEPTED",S140="PARTIAL CHANGE"),V140&lt;&gt;"Yes"),"RED - NOT INTEGRATED","RESOLVED")),IF(Q140="AMBER",IF(S140="","OPEN - AMBER",IF(AND(OR(S140="CHANGE ACCEPTED",S140="PARTIAL CHANGE"),V140&lt;&gt;"Yes"),"AMBER - NOT INTEGRATED","RESOLVED")),IF(S140="","REVIEWED","RESOLVED")))))</f>
        <v/>
      </c>
      <c r="X140" s="778" t="n"/>
    </row>
    <row r="141" ht="28" customHeight="1" s="491">
      <c r="A141" s="26" t="inlineStr">
        <is>
          <t>ERF-025</t>
        </is>
      </c>
      <c r="B141" s="778" t="n"/>
      <c r="C141" s="778" t="n"/>
      <c r="D141" s="778" t="n"/>
      <c r="E141" s="778" t="n"/>
      <c r="F141" s="778" t="n"/>
      <c r="G141" s="778" t="n"/>
      <c r="H141" s="778" t="n"/>
      <c r="I141" s="778" t="n"/>
      <c r="J141" s="778" t="n"/>
      <c r="K141" s="778" t="n"/>
      <c r="L141" s="1511">
        <f>IF(OR(H141="",K141="",K141=0),"",(H141-K141)/K141)</f>
        <v/>
      </c>
      <c r="M141" s="778" t="n"/>
      <c r="N141" s="778" t="n"/>
      <c r="O141" s="778" t="n"/>
      <c r="P141" s="778" t="n"/>
      <c r="Q141" s="778" t="n"/>
      <c r="R141" s="778" t="n"/>
      <c r="S141" s="778" t="n"/>
      <c r="T141" s="778" t="n"/>
      <c r="U141" s="778" t="n"/>
      <c r="V141" s="778" t="n"/>
      <c r="W141" s="26">
        <f>IF(AND(C141="",R141=""),"",IF(P141&lt;&gt;"Yes","INFO",IF(Q141="RED",IF(S141="","OPEN - RED",IF(AND(OR(S141="CHANGE ACCEPTED",S141="PARTIAL CHANGE"),V141&lt;&gt;"Yes"),"RED - NOT INTEGRATED","RESOLVED")),IF(Q141="AMBER",IF(S141="","OPEN - AMBER",IF(AND(OR(S141="CHANGE ACCEPTED",S141="PARTIAL CHANGE"),V141&lt;&gt;"Yes"),"AMBER - NOT INTEGRATED","RESOLVED")),IF(S141="","REVIEWED","RESOLVED")))))</f>
        <v/>
      </c>
      <c r="X141" s="778" t="n"/>
    </row>
    <row r="142" ht="28" customHeight="1" s="491">
      <c r="A142" s="26" t="inlineStr">
        <is>
          <t>ERF-026</t>
        </is>
      </c>
      <c r="B142" s="778" t="n"/>
      <c r="C142" s="778" t="n"/>
      <c r="D142" s="778" t="n"/>
      <c r="E142" s="778" t="n"/>
      <c r="F142" s="778" t="n"/>
      <c r="G142" s="778" t="n"/>
      <c r="H142" s="778" t="n"/>
      <c r="I142" s="778" t="n"/>
      <c r="J142" s="778" t="n"/>
      <c r="K142" s="778" t="n"/>
      <c r="L142" s="1511">
        <f>IF(OR(H142="",K142="",K142=0),"",(H142-K142)/K142)</f>
        <v/>
      </c>
      <c r="M142" s="778" t="n"/>
      <c r="N142" s="778" t="n"/>
      <c r="O142" s="778" t="n"/>
      <c r="P142" s="778" t="n"/>
      <c r="Q142" s="778" t="n"/>
      <c r="R142" s="778" t="n"/>
      <c r="S142" s="778" t="n"/>
      <c r="T142" s="778" t="n"/>
      <c r="U142" s="778" t="n"/>
      <c r="V142" s="778" t="n"/>
      <c r="W142" s="26">
        <f>IF(AND(C142="",R142=""),"",IF(P142&lt;&gt;"Yes","INFO",IF(Q142="RED",IF(S142="","OPEN - RED",IF(AND(OR(S142="CHANGE ACCEPTED",S142="PARTIAL CHANGE"),V142&lt;&gt;"Yes"),"RED - NOT INTEGRATED","RESOLVED")),IF(Q142="AMBER",IF(S142="","OPEN - AMBER",IF(AND(OR(S142="CHANGE ACCEPTED",S142="PARTIAL CHANGE"),V142&lt;&gt;"Yes"),"AMBER - NOT INTEGRATED","RESOLVED")),IF(S142="","REVIEWED","RESOLVED")))))</f>
        <v/>
      </c>
      <c r="X142" s="778" t="n"/>
    </row>
    <row r="143" ht="28" customHeight="1" s="491">
      <c r="A143" s="26" t="inlineStr">
        <is>
          <t>ERF-027</t>
        </is>
      </c>
      <c r="B143" s="778" t="n"/>
      <c r="C143" s="778" t="n"/>
      <c r="D143" s="778" t="n"/>
      <c r="E143" s="778" t="n"/>
      <c r="F143" s="778" t="n"/>
      <c r="G143" s="778" t="n"/>
      <c r="H143" s="778" t="n"/>
      <c r="I143" s="778" t="n"/>
      <c r="J143" s="778" t="n"/>
      <c r="K143" s="778" t="n"/>
      <c r="L143" s="1511">
        <f>IF(OR(H143="",K143="",K143=0),"",(H143-K143)/K143)</f>
        <v/>
      </c>
      <c r="M143" s="778" t="n"/>
      <c r="N143" s="778" t="n"/>
      <c r="O143" s="778" t="n"/>
      <c r="P143" s="778" t="n"/>
      <c r="Q143" s="778" t="n"/>
      <c r="R143" s="778" t="n"/>
      <c r="S143" s="778" t="n"/>
      <c r="T143" s="778" t="n"/>
      <c r="U143" s="778" t="n"/>
      <c r="V143" s="778" t="n"/>
      <c r="W143" s="26">
        <f>IF(AND(C143="",R143=""),"",IF(P143&lt;&gt;"Yes","INFO",IF(Q143="RED",IF(S143="","OPEN - RED",IF(AND(OR(S143="CHANGE ACCEPTED",S143="PARTIAL CHANGE"),V143&lt;&gt;"Yes"),"RED - NOT INTEGRATED","RESOLVED")),IF(Q143="AMBER",IF(S143="","OPEN - AMBER",IF(AND(OR(S143="CHANGE ACCEPTED",S143="PARTIAL CHANGE"),V143&lt;&gt;"Yes"),"AMBER - NOT INTEGRATED","RESOLVED")),IF(S143="","REVIEWED","RESOLVED")))))</f>
        <v/>
      </c>
      <c r="X143" s="778" t="n"/>
    </row>
    <row r="144" ht="28" customHeight="1" s="491">
      <c r="A144" s="26" t="inlineStr">
        <is>
          <t>ERF-028</t>
        </is>
      </c>
      <c r="B144" s="778" t="n"/>
      <c r="C144" s="778" t="n"/>
      <c r="D144" s="778" t="n"/>
      <c r="E144" s="778" t="n"/>
      <c r="F144" s="778" t="n"/>
      <c r="G144" s="778" t="n"/>
      <c r="H144" s="778" t="n"/>
      <c r="I144" s="778" t="n"/>
      <c r="J144" s="778" t="n"/>
      <c r="K144" s="778" t="n"/>
      <c r="L144" s="1511">
        <f>IF(OR(H144="",K144="",K144=0),"",(H144-K144)/K144)</f>
        <v/>
      </c>
      <c r="M144" s="778" t="n"/>
      <c r="N144" s="778" t="n"/>
      <c r="O144" s="778" t="n"/>
      <c r="P144" s="778" t="n"/>
      <c r="Q144" s="778" t="n"/>
      <c r="R144" s="778" t="n"/>
      <c r="S144" s="778" t="n"/>
      <c r="T144" s="778" t="n"/>
      <c r="U144" s="778" t="n"/>
      <c r="V144" s="778" t="n"/>
      <c r="W144" s="26">
        <f>IF(AND(C144="",R144=""),"",IF(P144&lt;&gt;"Yes","INFO",IF(Q144="RED",IF(S144="","OPEN - RED",IF(AND(OR(S144="CHANGE ACCEPTED",S144="PARTIAL CHANGE"),V144&lt;&gt;"Yes"),"RED - NOT INTEGRATED","RESOLVED")),IF(Q144="AMBER",IF(S144="","OPEN - AMBER",IF(AND(OR(S144="CHANGE ACCEPTED",S144="PARTIAL CHANGE"),V144&lt;&gt;"Yes"),"AMBER - NOT INTEGRATED","RESOLVED")),IF(S144="","REVIEWED","RESOLVED")))))</f>
        <v/>
      </c>
      <c r="X144" s="778" t="n"/>
    </row>
    <row r="145" ht="28" customHeight="1" s="491">
      <c r="A145" s="26" t="inlineStr">
        <is>
          <t>ERF-029</t>
        </is>
      </c>
      <c r="B145" s="778" t="n"/>
      <c r="C145" s="778" t="n"/>
      <c r="D145" s="778" t="n"/>
      <c r="E145" s="778" t="n"/>
      <c r="F145" s="778" t="n"/>
      <c r="G145" s="778" t="n"/>
      <c r="H145" s="778" t="n"/>
      <c r="I145" s="778" t="n"/>
      <c r="J145" s="778" t="n"/>
      <c r="K145" s="778" t="n"/>
      <c r="L145" s="1511">
        <f>IF(OR(H145="",K145="",K145=0),"",(H145-K145)/K145)</f>
        <v/>
      </c>
      <c r="M145" s="778" t="n"/>
      <c r="N145" s="778" t="n"/>
      <c r="O145" s="778" t="n"/>
      <c r="P145" s="778" t="n"/>
      <c r="Q145" s="778" t="n"/>
      <c r="R145" s="778" t="n"/>
      <c r="S145" s="778" t="n"/>
      <c r="T145" s="778" t="n"/>
      <c r="U145" s="778" t="n"/>
      <c r="V145" s="778" t="n"/>
      <c r="W145" s="26">
        <f>IF(AND(C145="",R145=""),"",IF(P145&lt;&gt;"Yes","INFO",IF(Q145="RED",IF(S145="","OPEN - RED",IF(AND(OR(S145="CHANGE ACCEPTED",S145="PARTIAL CHANGE"),V145&lt;&gt;"Yes"),"RED - NOT INTEGRATED","RESOLVED")),IF(Q145="AMBER",IF(S145="","OPEN - AMBER",IF(AND(OR(S145="CHANGE ACCEPTED",S145="PARTIAL CHANGE"),V145&lt;&gt;"Yes"),"AMBER - NOT INTEGRATED","RESOLVED")),IF(S145="","REVIEWED","RESOLVED")))))</f>
        <v/>
      </c>
      <c r="X145" s="778" t="n"/>
    </row>
    <row r="146" ht="28" customHeight="1" s="491">
      <c r="A146" s="26" t="inlineStr">
        <is>
          <t>ERF-030</t>
        </is>
      </c>
      <c r="B146" s="778" t="n"/>
      <c r="C146" s="778" t="n"/>
      <c r="D146" s="778" t="n"/>
      <c r="E146" s="778" t="n"/>
      <c r="F146" s="778" t="n"/>
      <c r="G146" s="778" t="n"/>
      <c r="H146" s="778" t="n"/>
      <c r="I146" s="778" t="n"/>
      <c r="J146" s="778" t="n"/>
      <c r="K146" s="778" t="n"/>
      <c r="L146" s="1511">
        <f>IF(OR(H146="",K146="",K146=0),"",(H146-K146)/K146)</f>
        <v/>
      </c>
      <c r="M146" s="778" t="n"/>
      <c r="N146" s="778" t="n"/>
      <c r="O146" s="778" t="n"/>
      <c r="P146" s="778" t="n"/>
      <c r="Q146" s="778" t="n"/>
      <c r="R146" s="778" t="n"/>
      <c r="S146" s="778" t="n"/>
      <c r="T146" s="778" t="n"/>
      <c r="U146" s="778" t="n"/>
      <c r="V146" s="778" t="n"/>
      <c r="W146" s="26">
        <f>IF(AND(C146="",R146=""),"",IF(P146&lt;&gt;"Yes","INFO",IF(Q146="RED",IF(S146="","OPEN - RED",IF(AND(OR(S146="CHANGE ACCEPTED",S146="PARTIAL CHANGE"),V146&lt;&gt;"Yes"),"RED - NOT INTEGRATED","RESOLVED")),IF(Q146="AMBER",IF(S146="","OPEN - AMBER",IF(AND(OR(S146="CHANGE ACCEPTED",S146="PARTIAL CHANGE"),V146&lt;&gt;"Yes"),"AMBER - NOT INTEGRATED","RESOLVED")),IF(S146="","REVIEWED","RESOLVED")))))</f>
        <v/>
      </c>
      <c r="X146" s="778" t="n"/>
    </row>
    <row r="147" ht="28" customHeight="1" s="491">
      <c r="A147" s="26" t="inlineStr">
        <is>
          <t>ERF-031</t>
        </is>
      </c>
      <c r="B147" s="778" t="n"/>
      <c r="C147" s="778" t="n"/>
      <c r="D147" s="778" t="n"/>
      <c r="E147" s="778" t="n"/>
      <c r="F147" s="778" t="n"/>
      <c r="G147" s="778" t="n"/>
      <c r="H147" s="778" t="n"/>
      <c r="I147" s="778" t="n"/>
      <c r="J147" s="778" t="n"/>
      <c r="K147" s="778" t="n"/>
      <c r="L147" s="1511">
        <f>IF(OR(H147="",K147="",K147=0),"",(H147-K147)/K147)</f>
        <v/>
      </c>
      <c r="M147" s="778" t="n"/>
      <c r="N147" s="778" t="n"/>
      <c r="O147" s="778" t="n"/>
      <c r="P147" s="778" t="n"/>
      <c r="Q147" s="778" t="n"/>
      <c r="R147" s="778" t="n"/>
      <c r="S147" s="778" t="n"/>
      <c r="T147" s="778" t="n"/>
      <c r="U147" s="778" t="n"/>
      <c r="V147" s="778" t="n"/>
      <c r="W147" s="26">
        <f>IF(AND(C147="",R147=""),"",IF(P147&lt;&gt;"Yes","INFO",IF(Q147="RED",IF(S147="","OPEN - RED",IF(AND(OR(S147="CHANGE ACCEPTED",S147="PARTIAL CHANGE"),V147&lt;&gt;"Yes"),"RED - NOT INTEGRATED","RESOLVED")),IF(Q147="AMBER",IF(S147="","OPEN - AMBER",IF(AND(OR(S147="CHANGE ACCEPTED",S147="PARTIAL CHANGE"),V147&lt;&gt;"Yes"),"AMBER - NOT INTEGRATED","RESOLVED")),IF(S147="","REVIEWED","RESOLVED")))))</f>
        <v/>
      </c>
      <c r="X147" s="778" t="n"/>
    </row>
    <row r="148" ht="28" customHeight="1" s="491">
      <c r="A148" s="26" t="inlineStr">
        <is>
          <t>ERF-032</t>
        </is>
      </c>
      <c r="B148" s="778" t="n"/>
      <c r="C148" s="778" t="n"/>
      <c r="D148" s="778" t="n"/>
      <c r="E148" s="778" t="n"/>
      <c r="F148" s="778" t="n"/>
      <c r="G148" s="778" t="n"/>
      <c r="H148" s="778" t="n"/>
      <c r="I148" s="778" t="n"/>
      <c r="J148" s="778" t="n"/>
      <c r="K148" s="778" t="n"/>
      <c r="L148" s="1511">
        <f>IF(OR(H148="",K148="",K148=0),"",(H148-K148)/K148)</f>
        <v/>
      </c>
      <c r="M148" s="778" t="n"/>
      <c r="N148" s="778" t="n"/>
      <c r="O148" s="778" t="n"/>
      <c r="P148" s="778" t="n"/>
      <c r="Q148" s="778" t="n"/>
      <c r="R148" s="778" t="n"/>
      <c r="S148" s="778" t="n"/>
      <c r="T148" s="778" t="n"/>
      <c r="U148" s="778" t="n"/>
      <c r="V148" s="778" t="n"/>
      <c r="W148" s="26">
        <f>IF(AND(C148="",R148=""),"",IF(P148&lt;&gt;"Yes","INFO",IF(Q148="RED",IF(S148="","OPEN - RED",IF(AND(OR(S148="CHANGE ACCEPTED",S148="PARTIAL CHANGE"),V148&lt;&gt;"Yes"),"RED - NOT INTEGRATED","RESOLVED")),IF(Q148="AMBER",IF(S148="","OPEN - AMBER",IF(AND(OR(S148="CHANGE ACCEPTED",S148="PARTIAL CHANGE"),V148&lt;&gt;"Yes"),"AMBER - NOT INTEGRATED","RESOLVED")),IF(S148="","REVIEWED","RESOLVED")))))</f>
        <v/>
      </c>
      <c r="X148" s="778" t="n"/>
    </row>
    <row r="149" ht="28" customHeight="1" s="491">
      <c r="A149" s="26" t="inlineStr">
        <is>
          <t>ERF-033</t>
        </is>
      </c>
      <c r="B149" s="778" t="n"/>
      <c r="C149" s="778" t="n"/>
      <c r="D149" s="778" t="n"/>
      <c r="E149" s="778" t="n"/>
      <c r="F149" s="778" t="n"/>
      <c r="G149" s="778" t="n"/>
      <c r="H149" s="778" t="n"/>
      <c r="I149" s="778" t="n"/>
      <c r="J149" s="778" t="n"/>
      <c r="K149" s="778" t="n"/>
      <c r="L149" s="1511">
        <f>IF(OR(H149="",K149="",K149=0),"",(H149-K149)/K149)</f>
        <v/>
      </c>
      <c r="M149" s="778" t="n"/>
      <c r="N149" s="778" t="n"/>
      <c r="O149" s="778" t="n"/>
      <c r="P149" s="778" t="n"/>
      <c r="Q149" s="778" t="n"/>
      <c r="R149" s="778" t="n"/>
      <c r="S149" s="778" t="n"/>
      <c r="T149" s="778" t="n"/>
      <c r="U149" s="778" t="n"/>
      <c r="V149" s="778" t="n"/>
      <c r="W149" s="26">
        <f>IF(AND(C149="",R149=""),"",IF(P149&lt;&gt;"Yes","INFO",IF(Q149="RED",IF(S149="","OPEN - RED",IF(AND(OR(S149="CHANGE ACCEPTED",S149="PARTIAL CHANGE"),V149&lt;&gt;"Yes"),"RED - NOT INTEGRATED","RESOLVED")),IF(Q149="AMBER",IF(S149="","OPEN - AMBER",IF(AND(OR(S149="CHANGE ACCEPTED",S149="PARTIAL CHANGE"),V149&lt;&gt;"Yes"),"AMBER - NOT INTEGRATED","RESOLVED")),IF(S149="","REVIEWED","RESOLVED")))))</f>
        <v/>
      </c>
      <c r="X149" s="778" t="n"/>
    </row>
    <row r="150" ht="28" customHeight="1" s="491">
      <c r="A150" s="26" t="inlineStr">
        <is>
          <t>ERF-034</t>
        </is>
      </c>
      <c r="B150" s="778" t="n"/>
      <c r="C150" s="778" t="n"/>
      <c r="D150" s="778" t="n"/>
      <c r="E150" s="778" t="n"/>
      <c r="F150" s="778" t="n"/>
      <c r="G150" s="778" t="n"/>
      <c r="H150" s="778" t="n"/>
      <c r="I150" s="778" t="n"/>
      <c r="J150" s="778" t="n"/>
      <c r="K150" s="778" t="n"/>
      <c r="L150" s="1511">
        <f>IF(OR(H150="",K150="",K150=0),"",(H150-K150)/K150)</f>
        <v/>
      </c>
      <c r="M150" s="778" t="n"/>
      <c r="N150" s="778" t="n"/>
      <c r="O150" s="778" t="n"/>
      <c r="P150" s="778" t="n"/>
      <c r="Q150" s="778" t="n"/>
      <c r="R150" s="778" t="n"/>
      <c r="S150" s="778" t="n"/>
      <c r="T150" s="778" t="n"/>
      <c r="U150" s="778" t="n"/>
      <c r="V150" s="778" t="n"/>
      <c r="W150" s="26">
        <f>IF(AND(C150="",R150=""),"",IF(P150&lt;&gt;"Yes","INFO",IF(Q150="RED",IF(S150="","OPEN - RED",IF(AND(OR(S150="CHANGE ACCEPTED",S150="PARTIAL CHANGE"),V150&lt;&gt;"Yes"),"RED - NOT INTEGRATED","RESOLVED")),IF(Q150="AMBER",IF(S150="","OPEN - AMBER",IF(AND(OR(S150="CHANGE ACCEPTED",S150="PARTIAL CHANGE"),V150&lt;&gt;"Yes"),"AMBER - NOT INTEGRATED","RESOLVED")),IF(S150="","REVIEWED","RESOLVED")))))</f>
        <v/>
      </c>
      <c r="X150" s="778" t="n"/>
    </row>
    <row r="151" ht="28" customHeight="1" s="491">
      <c r="A151" s="26" t="inlineStr">
        <is>
          <t>ERF-035</t>
        </is>
      </c>
      <c r="B151" s="778" t="n"/>
      <c r="C151" s="778" t="n"/>
      <c r="D151" s="778" t="n"/>
      <c r="E151" s="778" t="n"/>
      <c r="F151" s="778" t="n"/>
      <c r="G151" s="778" t="n"/>
      <c r="H151" s="778" t="n"/>
      <c r="I151" s="778" t="n"/>
      <c r="J151" s="778" t="n"/>
      <c r="K151" s="778" t="n"/>
      <c r="L151" s="1511">
        <f>IF(OR(H151="",K151="",K151=0),"",(H151-K151)/K151)</f>
        <v/>
      </c>
      <c r="M151" s="778" t="n"/>
      <c r="N151" s="778" t="n"/>
      <c r="O151" s="778" t="n"/>
      <c r="P151" s="778" t="n"/>
      <c r="Q151" s="778" t="n"/>
      <c r="R151" s="778" t="n"/>
      <c r="S151" s="778" t="n"/>
      <c r="T151" s="778" t="n"/>
      <c r="U151" s="778" t="n"/>
      <c r="V151" s="778" t="n"/>
      <c r="W151" s="26">
        <f>IF(AND(C151="",R151=""),"",IF(P151&lt;&gt;"Yes","INFO",IF(Q151="RED",IF(S151="","OPEN - RED",IF(AND(OR(S151="CHANGE ACCEPTED",S151="PARTIAL CHANGE"),V151&lt;&gt;"Yes"),"RED - NOT INTEGRATED","RESOLVED")),IF(Q151="AMBER",IF(S151="","OPEN - AMBER",IF(AND(OR(S151="CHANGE ACCEPTED",S151="PARTIAL CHANGE"),V151&lt;&gt;"Yes"),"AMBER - NOT INTEGRATED","RESOLVED")),IF(S151="","REVIEWED","RESOLVED")))))</f>
        <v/>
      </c>
      <c r="X151" s="778" t="n"/>
    </row>
    <row r="152" ht="28" customHeight="1" s="491">
      <c r="A152" s="26" t="inlineStr">
        <is>
          <t>ERF-036</t>
        </is>
      </c>
      <c r="B152" s="778" t="n"/>
      <c r="C152" s="778" t="n"/>
      <c r="D152" s="778" t="n"/>
      <c r="E152" s="778" t="n"/>
      <c r="F152" s="778" t="n"/>
      <c r="G152" s="778" t="n"/>
      <c r="H152" s="778" t="n"/>
      <c r="I152" s="778" t="n"/>
      <c r="J152" s="778" t="n"/>
      <c r="K152" s="778" t="n"/>
      <c r="L152" s="1511">
        <f>IF(OR(H152="",K152="",K152=0),"",(H152-K152)/K152)</f>
        <v/>
      </c>
      <c r="M152" s="778" t="n"/>
      <c r="N152" s="778" t="n"/>
      <c r="O152" s="778" t="n"/>
      <c r="P152" s="778" t="n"/>
      <c r="Q152" s="778" t="n"/>
      <c r="R152" s="778" t="n"/>
      <c r="S152" s="778" t="n"/>
      <c r="T152" s="778" t="n"/>
      <c r="U152" s="778" t="n"/>
      <c r="V152" s="778" t="n"/>
      <c r="W152" s="26">
        <f>IF(AND(C152="",R152=""),"",IF(P152&lt;&gt;"Yes","INFO",IF(Q152="RED",IF(S152="","OPEN - RED",IF(AND(OR(S152="CHANGE ACCEPTED",S152="PARTIAL CHANGE"),V152&lt;&gt;"Yes"),"RED - NOT INTEGRATED","RESOLVED")),IF(Q152="AMBER",IF(S152="","OPEN - AMBER",IF(AND(OR(S152="CHANGE ACCEPTED",S152="PARTIAL CHANGE"),V152&lt;&gt;"Yes"),"AMBER - NOT INTEGRATED","RESOLVED")),IF(S152="","REVIEWED","RESOLVED")))))</f>
        <v/>
      </c>
      <c r="X152" s="778" t="n"/>
    </row>
    <row r="153" ht="28" customHeight="1" s="491">
      <c r="A153" s="26" t="inlineStr">
        <is>
          <t>ERF-037</t>
        </is>
      </c>
      <c r="B153" s="778" t="n"/>
      <c r="C153" s="778" t="n"/>
      <c r="D153" s="778" t="n"/>
      <c r="E153" s="778" t="n"/>
      <c r="F153" s="778" t="n"/>
      <c r="G153" s="778" t="n"/>
      <c r="H153" s="778" t="n"/>
      <c r="I153" s="778" t="n"/>
      <c r="J153" s="778" t="n"/>
      <c r="K153" s="778" t="n"/>
      <c r="L153" s="1511">
        <f>IF(OR(H153="",K153="",K153=0),"",(H153-K153)/K153)</f>
        <v/>
      </c>
      <c r="M153" s="778" t="n"/>
      <c r="N153" s="778" t="n"/>
      <c r="O153" s="778" t="n"/>
      <c r="P153" s="778" t="n"/>
      <c r="Q153" s="778" t="n"/>
      <c r="R153" s="778" t="n"/>
      <c r="S153" s="778" t="n"/>
      <c r="T153" s="778" t="n"/>
      <c r="U153" s="778" t="n"/>
      <c r="V153" s="778" t="n"/>
      <c r="W153" s="26">
        <f>IF(AND(C153="",R153=""),"",IF(P153&lt;&gt;"Yes","INFO",IF(Q153="RED",IF(S153="","OPEN - RED",IF(AND(OR(S153="CHANGE ACCEPTED",S153="PARTIAL CHANGE"),V153&lt;&gt;"Yes"),"RED - NOT INTEGRATED","RESOLVED")),IF(Q153="AMBER",IF(S153="","OPEN - AMBER",IF(AND(OR(S153="CHANGE ACCEPTED",S153="PARTIAL CHANGE"),V153&lt;&gt;"Yes"),"AMBER - NOT INTEGRATED","RESOLVED")),IF(S153="","REVIEWED","RESOLVED")))))</f>
        <v/>
      </c>
      <c r="X153" s="778" t="n"/>
    </row>
    <row r="154" ht="28" customHeight="1" s="491">
      <c r="A154" s="26" t="inlineStr">
        <is>
          <t>ERF-038</t>
        </is>
      </c>
      <c r="B154" s="778" t="n"/>
      <c r="C154" s="778" t="n"/>
      <c r="D154" s="778" t="n"/>
      <c r="E154" s="778" t="n"/>
      <c r="F154" s="778" t="n"/>
      <c r="G154" s="778" t="n"/>
      <c r="H154" s="778" t="n"/>
      <c r="I154" s="778" t="n"/>
      <c r="J154" s="778" t="n"/>
      <c r="K154" s="778" t="n"/>
      <c r="L154" s="1511">
        <f>IF(OR(H154="",K154="",K154=0),"",(H154-K154)/K154)</f>
        <v/>
      </c>
      <c r="M154" s="778" t="n"/>
      <c r="N154" s="778" t="n"/>
      <c r="O154" s="778" t="n"/>
      <c r="P154" s="778" t="n"/>
      <c r="Q154" s="778" t="n"/>
      <c r="R154" s="778" t="n"/>
      <c r="S154" s="778" t="n"/>
      <c r="T154" s="778" t="n"/>
      <c r="U154" s="778" t="n"/>
      <c r="V154" s="778" t="n"/>
      <c r="W154" s="26">
        <f>IF(AND(C154="",R154=""),"",IF(P154&lt;&gt;"Yes","INFO",IF(Q154="RED",IF(S154="","OPEN - RED",IF(AND(OR(S154="CHANGE ACCEPTED",S154="PARTIAL CHANGE"),V154&lt;&gt;"Yes"),"RED - NOT INTEGRATED","RESOLVED")),IF(Q154="AMBER",IF(S154="","OPEN - AMBER",IF(AND(OR(S154="CHANGE ACCEPTED",S154="PARTIAL CHANGE"),V154&lt;&gt;"Yes"),"AMBER - NOT INTEGRATED","RESOLVED")),IF(S154="","REVIEWED","RESOLVED")))))</f>
        <v/>
      </c>
      <c r="X154" s="778" t="n"/>
    </row>
    <row r="155" ht="28" customHeight="1" s="491">
      <c r="A155" s="26" t="inlineStr">
        <is>
          <t>ERF-039</t>
        </is>
      </c>
      <c r="B155" s="778" t="n"/>
      <c r="C155" s="778" t="n"/>
      <c r="D155" s="778" t="n"/>
      <c r="E155" s="778" t="n"/>
      <c r="F155" s="778" t="n"/>
      <c r="G155" s="778" t="n"/>
      <c r="H155" s="778" t="n"/>
      <c r="I155" s="778" t="n"/>
      <c r="J155" s="778" t="n"/>
      <c r="K155" s="778" t="n"/>
      <c r="L155" s="1511">
        <f>IF(OR(H155="",K155="",K155=0),"",(H155-K155)/K155)</f>
        <v/>
      </c>
      <c r="M155" s="778" t="n"/>
      <c r="N155" s="778" t="n"/>
      <c r="O155" s="778" t="n"/>
      <c r="P155" s="778" t="n"/>
      <c r="Q155" s="778" t="n"/>
      <c r="R155" s="778" t="n"/>
      <c r="S155" s="778" t="n"/>
      <c r="T155" s="778" t="n"/>
      <c r="U155" s="778" t="n"/>
      <c r="V155" s="778" t="n"/>
      <c r="W155" s="26">
        <f>IF(AND(C155="",R155=""),"",IF(P155&lt;&gt;"Yes","INFO",IF(Q155="RED",IF(S155="","OPEN - RED",IF(AND(OR(S155="CHANGE ACCEPTED",S155="PARTIAL CHANGE"),V155&lt;&gt;"Yes"),"RED - NOT INTEGRATED","RESOLVED")),IF(Q155="AMBER",IF(S155="","OPEN - AMBER",IF(AND(OR(S155="CHANGE ACCEPTED",S155="PARTIAL CHANGE"),V155&lt;&gt;"Yes"),"AMBER - NOT INTEGRATED","RESOLVED")),IF(S155="","REVIEWED","RESOLVED")))))</f>
        <v/>
      </c>
      <c r="X155" s="778" t="n"/>
    </row>
    <row r="156" ht="28" customHeight="1" s="491">
      <c r="A156" s="26" t="inlineStr">
        <is>
          <t>ERF-040</t>
        </is>
      </c>
      <c r="B156" s="778" t="n"/>
      <c r="C156" s="778" t="n"/>
      <c r="D156" s="778" t="n"/>
      <c r="E156" s="778" t="n"/>
      <c r="F156" s="778" t="n"/>
      <c r="G156" s="778" t="n"/>
      <c r="H156" s="778" t="n"/>
      <c r="I156" s="778" t="n"/>
      <c r="J156" s="778" t="n"/>
      <c r="K156" s="778" t="n"/>
      <c r="L156" s="1511">
        <f>IF(OR(H156="",K156="",K156=0),"",(H156-K156)/K156)</f>
        <v/>
      </c>
      <c r="M156" s="778" t="n"/>
      <c r="N156" s="778" t="n"/>
      <c r="O156" s="778" t="n"/>
      <c r="P156" s="778" t="n"/>
      <c r="Q156" s="778" t="n"/>
      <c r="R156" s="778" t="n"/>
      <c r="S156" s="778" t="n"/>
      <c r="T156" s="778" t="n"/>
      <c r="U156" s="778" t="n"/>
      <c r="V156" s="778" t="n"/>
      <c r="W156" s="26">
        <f>IF(AND(C156="",R156=""),"",IF(P156&lt;&gt;"Yes","INFO",IF(Q156="RED",IF(S156="","OPEN - RED",IF(AND(OR(S156="CHANGE ACCEPTED",S156="PARTIAL CHANGE"),V156&lt;&gt;"Yes"),"RED - NOT INTEGRATED","RESOLVED")),IF(Q156="AMBER",IF(S156="","OPEN - AMBER",IF(AND(OR(S156="CHANGE ACCEPTED",S156="PARTIAL CHANGE"),V156&lt;&gt;"Yes"),"AMBER - NOT INTEGRATED","RESOLVED")),IF(S156="","REVIEWED","RESOLVED")))))</f>
        <v/>
      </c>
      <c r="X156" s="778" t="n"/>
    </row>
    <row r="157" ht="28" customHeight="1" s="491">
      <c r="A157" s="26" t="inlineStr">
        <is>
          <t>ERF-041</t>
        </is>
      </c>
      <c r="B157" s="778" t="n"/>
      <c r="C157" s="778" t="n"/>
      <c r="D157" s="778" t="n"/>
      <c r="E157" s="778" t="n"/>
      <c r="F157" s="778" t="n"/>
      <c r="G157" s="778" t="n"/>
      <c r="H157" s="778" t="n"/>
      <c r="I157" s="778" t="n"/>
      <c r="J157" s="778" t="n"/>
      <c r="K157" s="778" t="n"/>
      <c r="L157" s="1511">
        <f>IF(OR(H157="",K157="",K157=0),"",(H157-K157)/K157)</f>
        <v/>
      </c>
      <c r="M157" s="778" t="n"/>
      <c r="N157" s="778" t="n"/>
      <c r="O157" s="778" t="n"/>
      <c r="P157" s="778" t="n"/>
      <c r="Q157" s="778" t="n"/>
      <c r="R157" s="778" t="n"/>
      <c r="S157" s="778" t="n"/>
      <c r="T157" s="778" t="n"/>
      <c r="U157" s="778" t="n"/>
      <c r="V157" s="778" t="n"/>
      <c r="W157" s="26">
        <f>IF(AND(C157="",R157=""),"",IF(P157&lt;&gt;"Yes","INFO",IF(Q157="RED",IF(S157="","OPEN - RED",IF(AND(OR(S157="CHANGE ACCEPTED",S157="PARTIAL CHANGE"),V157&lt;&gt;"Yes"),"RED - NOT INTEGRATED","RESOLVED")),IF(Q157="AMBER",IF(S157="","OPEN - AMBER",IF(AND(OR(S157="CHANGE ACCEPTED",S157="PARTIAL CHANGE"),V157&lt;&gt;"Yes"),"AMBER - NOT INTEGRATED","RESOLVED")),IF(S157="","REVIEWED","RESOLVED")))))</f>
        <v/>
      </c>
      <c r="X157" s="778" t="n"/>
    </row>
    <row r="158" ht="28" customHeight="1" s="491">
      <c r="A158" s="26" t="inlineStr">
        <is>
          <t>ERF-042</t>
        </is>
      </c>
      <c r="B158" s="778" t="n"/>
      <c r="C158" s="778" t="n"/>
      <c r="D158" s="778" t="n"/>
      <c r="E158" s="778" t="n"/>
      <c r="F158" s="778" t="n"/>
      <c r="G158" s="778" t="n"/>
      <c r="H158" s="778" t="n"/>
      <c r="I158" s="778" t="n"/>
      <c r="J158" s="778" t="n"/>
      <c r="K158" s="778" t="n"/>
      <c r="L158" s="1511">
        <f>IF(OR(H158="",K158="",K158=0),"",(H158-K158)/K158)</f>
        <v/>
      </c>
      <c r="M158" s="778" t="n"/>
      <c r="N158" s="778" t="n"/>
      <c r="O158" s="778" t="n"/>
      <c r="P158" s="778" t="n"/>
      <c r="Q158" s="778" t="n"/>
      <c r="R158" s="778" t="n"/>
      <c r="S158" s="778" t="n"/>
      <c r="T158" s="778" t="n"/>
      <c r="U158" s="778" t="n"/>
      <c r="V158" s="778" t="n"/>
      <c r="W158" s="26">
        <f>IF(AND(C158="",R158=""),"",IF(P158&lt;&gt;"Yes","INFO",IF(Q158="RED",IF(S158="","OPEN - RED",IF(AND(OR(S158="CHANGE ACCEPTED",S158="PARTIAL CHANGE"),V158&lt;&gt;"Yes"),"RED - NOT INTEGRATED","RESOLVED")),IF(Q158="AMBER",IF(S158="","OPEN - AMBER",IF(AND(OR(S158="CHANGE ACCEPTED",S158="PARTIAL CHANGE"),V158&lt;&gt;"Yes"),"AMBER - NOT INTEGRATED","RESOLVED")),IF(S158="","REVIEWED","RESOLVED")))))</f>
        <v/>
      </c>
      <c r="X158" s="778" t="n"/>
    </row>
    <row r="159" ht="28" customHeight="1" s="491">
      <c r="A159" s="26" t="inlineStr">
        <is>
          <t>ERF-043</t>
        </is>
      </c>
      <c r="B159" s="778" t="n"/>
      <c r="C159" s="778" t="n"/>
      <c r="D159" s="778" t="n"/>
      <c r="E159" s="778" t="n"/>
      <c r="F159" s="778" t="n"/>
      <c r="G159" s="778" t="n"/>
      <c r="H159" s="778" t="n"/>
      <c r="I159" s="778" t="n"/>
      <c r="J159" s="778" t="n"/>
      <c r="K159" s="778" t="n"/>
      <c r="L159" s="1511">
        <f>IF(OR(H159="",K159="",K159=0),"",(H159-K159)/K159)</f>
        <v/>
      </c>
      <c r="M159" s="778" t="n"/>
      <c r="N159" s="778" t="n"/>
      <c r="O159" s="778" t="n"/>
      <c r="P159" s="778" t="n"/>
      <c r="Q159" s="778" t="n"/>
      <c r="R159" s="778" t="n"/>
      <c r="S159" s="778" t="n"/>
      <c r="T159" s="778" t="n"/>
      <c r="U159" s="778" t="n"/>
      <c r="V159" s="778" t="n"/>
      <c r="W159" s="26">
        <f>IF(AND(C159="",R159=""),"",IF(P159&lt;&gt;"Yes","INFO",IF(Q159="RED",IF(S159="","OPEN - RED",IF(AND(OR(S159="CHANGE ACCEPTED",S159="PARTIAL CHANGE"),V159&lt;&gt;"Yes"),"RED - NOT INTEGRATED","RESOLVED")),IF(Q159="AMBER",IF(S159="","OPEN - AMBER",IF(AND(OR(S159="CHANGE ACCEPTED",S159="PARTIAL CHANGE"),V159&lt;&gt;"Yes"),"AMBER - NOT INTEGRATED","RESOLVED")),IF(S159="","REVIEWED","RESOLVED")))))</f>
        <v/>
      </c>
      <c r="X159" s="778" t="n"/>
    </row>
    <row r="160" ht="28" customHeight="1" s="491">
      <c r="A160" s="26" t="inlineStr">
        <is>
          <t>ERF-044</t>
        </is>
      </c>
      <c r="B160" s="778" t="n"/>
      <c r="C160" s="778" t="n"/>
      <c r="D160" s="778" t="n"/>
      <c r="E160" s="778" t="n"/>
      <c r="F160" s="778" t="n"/>
      <c r="G160" s="778" t="n"/>
      <c r="H160" s="778" t="n"/>
      <c r="I160" s="778" t="n"/>
      <c r="J160" s="778" t="n"/>
      <c r="K160" s="778" t="n"/>
      <c r="L160" s="1511">
        <f>IF(OR(H160="",K160="",K160=0),"",(H160-K160)/K160)</f>
        <v/>
      </c>
      <c r="M160" s="778" t="n"/>
      <c r="N160" s="778" t="n"/>
      <c r="O160" s="778" t="n"/>
      <c r="P160" s="778" t="n"/>
      <c r="Q160" s="778" t="n"/>
      <c r="R160" s="778" t="n"/>
      <c r="S160" s="778" t="n"/>
      <c r="T160" s="778" t="n"/>
      <c r="U160" s="778" t="n"/>
      <c r="V160" s="778" t="n"/>
      <c r="W160" s="26">
        <f>IF(AND(C160="",R160=""),"",IF(P160&lt;&gt;"Yes","INFO",IF(Q160="RED",IF(S160="","OPEN - RED",IF(AND(OR(S160="CHANGE ACCEPTED",S160="PARTIAL CHANGE"),V160&lt;&gt;"Yes"),"RED - NOT INTEGRATED","RESOLVED")),IF(Q160="AMBER",IF(S160="","OPEN - AMBER",IF(AND(OR(S160="CHANGE ACCEPTED",S160="PARTIAL CHANGE"),V160&lt;&gt;"Yes"),"AMBER - NOT INTEGRATED","RESOLVED")),IF(S160="","REVIEWED","RESOLVED")))))</f>
        <v/>
      </c>
      <c r="X160" s="778" t="n"/>
    </row>
    <row r="161" ht="28" customHeight="1" s="491">
      <c r="A161" s="26" t="inlineStr">
        <is>
          <t>ERF-045</t>
        </is>
      </c>
      <c r="B161" s="778" t="n"/>
      <c r="C161" s="778" t="n"/>
      <c r="D161" s="778" t="n"/>
      <c r="E161" s="778" t="n"/>
      <c r="F161" s="778" t="n"/>
      <c r="G161" s="778" t="n"/>
      <c r="H161" s="778" t="n"/>
      <c r="I161" s="778" t="n"/>
      <c r="J161" s="778" t="n"/>
      <c r="K161" s="778" t="n"/>
      <c r="L161" s="1511">
        <f>IF(OR(H161="",K161="",K161=0),"",(H161-K161)/K161)</f>
        <v/>
      </c>
      <c r="M161" s="778" t="n"/>
      <c r="N161" s="778" t="n"/>
      <c r="O161" s="778" t="n"/>
      <c r="P161" s="778" t="n"/>
      <c r="Q161" s="778" t="n"/>
      <c r="R161" s="778" t="n"/>
      <c r="S161" s="778" t="n"/>
      <c r="T161" s="778" t="n"/>
      <c r="U161" s="778" t="n"/>
      <c r="V161" s="778" t="n"/>
      <c r="W161" s="26">
        <f>IF(AND(C161="",R161=""),"",IF(P161&lt;&gt;"Yes","INFO",IF(Q161="RED",IF(S161="","OPEN - RED",IF(AND(OR(S161="CHANGE ACCEPTED",S161="PARTIAL CHANGE"),V161&lt;&gt;"Yes"),"RED - NOT INTEGRATED","RESOLVED")),IF(Q161="AMBER",IF(S161="","OPEN - AMBER",IF(AND(OR(S161="CHANGE ACCEPTED",S161="PARTIAL CHANGE"),V161&lt;&gt;"Yes"),"AMBER - NOT INTEGRATED","RESOLVED")),IF(S161="","REVIEWED","RESOLVED")))))</f>
        <v/>
      </c>
      <c r="X161" s="778" t="n"/>
    </row>
    <row r="162" ht="28" customHeight="1" s="491">
      <c r="A162" s="26" t="inlineStr">
        <is>
          <t>ERF-046</t>
        </is>
      </c>
      <c r="B162" s="778" t="n"/>
      <c r="C162" s="778" t="n"/>
      <c r="D162" s="778" t="n"/>
      <c r="E162" s="778" t="n"/>
      <c r="F162" s="778" t="n"/>
      <c r="G162" s="778" t="n"/>
      <c r="H162" s="778" t="n"/>
      <c r="I162" s="778" t="n"/>
      <c r="J162" s="778" t="n"/>
      <c r="K162" s="778" t="n"/>
      <c r="L162" s="1511">
        <f>IF(OR(H162="",K162="",K162=0),"",(H162-K162)/K162)</f>
        <v/>
      </c>
      <c r="M162" s="778" t="n"/>
      <c r="N162" s="778" t="n"/>
      <c r="O162" s="778" t="n"/>
      <c r="P162" s="778" t="n"/>
      <c r="Q162" s="778" t="n"/>
      <c r="R162" s="778" t="n"/>
      <c r="S162" s="778" t="n"/>
      <c r="T162" s="778" t="n"/>
      <c r="U162" s="778" t="n"/>
      <c r="V162" s="778" t="n"/>
      <c r="W162" s="26">
        <f>IF(AND(C162="",R162=""),"",IF(P162&lt;&gt;"Yes","INFO",IF(Q162="RED",IF(S162="","OPEN - RED",IF(AND(OR(S162="CHANGE ACCEPTED",S162="PARTIAL CHANGE"),V162&lt;&gt;"Yes"),"RED - NOT INTEGRATED","RESOLVED")),IF(Q162="AMBER",IF(S162="","OPEN - AMBER",IF(AND(OR(S162="CHANGE ACCEPTED",S162="PARTIAL CHANGE"),V162&lt;&gt;"Yes"),"AMBER - NOT INTEGRATED","RESOLVED")),IF(S162="","REVIEWED","RESOLVED")))))</f>
        <v/>
      </c>
      <c r="X162" s="778" t="n"/>
    </row>
    <row r="163" ht="28" customHeight="1" s="491">
      <c r="A163" s="26" t="inlineStr">
        <is>
          <t>ERF-047</t>
        </is>
      </c>
      <c r="B163" s="778" t="n"/>
      <c r="C163" s="778" t="n"/>
      <c r="D163" s="778" t="n"/>
      <c r="E163" s="778" t="n"/>
      <c r="F163" s="778" t="n"/>
      <c r="G163" s="778" t="n"/>
      <c r="H163" s="778" t="n"/>
      <c r="I163" s="778" t="n"/>
      <c r="J163" s="778" t="n"/>
      <c r="K163" s="778" t="n"/>
      <c r="L163" s="1511">
        <f>IF(OR(H163="",K163="",K163=0),"",(H163-K163)/K163)</f>
        <v/>
      </c>
      <c r="M163" s="778" t="n"/>
      <c r="N163" s="778" t="n"/>
      <c r="O163" s="778" t="n"/>
      <c r="P163" s="778" t="n"/>
      <c r="Q163" s="778" t="n"/>
      <c r="R163" s="778" t="n"/>
      <c r="S163" s="778" t="n"/>
      <c r="T163" s="778" t="n"/>
      <c r="U163" s="778" t="n"/>
      <c r="V163" s="778" t="n"/>
      <c r="W163" s="26">
        <f>IF(AND(C163="",R163=""),"",IF(P163&lt;&gt;"Yes","INFO",IF(Q163="RED",IF(S163="","OPEN - RED",IF(AND(OR(S163="CHANGE ACCEPTED",S163="PARTIAL CHANGE"),V163&lt;&gt;"Yes"),"RED - NOT INTEGRATED","RESOLVED")),IF(Q163="AMBER",IF(S163="","OPEN - AMBER",IF(AND(OR(S163="CHANGE ACCEPTED",S163="PARTIAL CHANGE"),V163&lt;&gt;"Yes"),"AMBER - NOT INTEGRATED","RESOLVED")),IF(S163="","REVIEWED","RESOLVED")))))</f>
        <v/>
      </c>
      <c r="X163" s="778" t="n"/>
    </row>
    <row r="164" ht="28" customHeight="1" s="491">
      <c r="A164" s="26" t="inlineStr">
        <is>
          <t>ERF-048</t>
        </is>
      </c>
      <c r="B164" s="778" t="n"/>
      <c r="C164" s="778" t="n"/>
      <c r="D164" s="778" t="n"/>
      <c r="E164" s="778" t="n"/>
      <c r="F164" s="778" t="n"/>
      <c r="G164" s="778" t="n"/>
      <c r="H164" s="778" t="n"/>
      <c r="I164" s="778" t="n"/>
      <c r="J164" s="778" t="n"/>
      <c r="K164" s="778" t="n"/>
      <c r="L164" s="1511">
        <f>IF(OR(H164="",K164="",K164=0),"",(H164-K164)/K164)</f>
        <v/>
      </c>
      <c r="M164" s="778" t="n"/>
      <c r="N164" s="778" t="n"/>
      <c r="O164" s="778" t="n"/>
      <c r="P164" s="778" t="n"/>
      <c r="Q164" s="778" t="n"/>
      <c r="R164" s="778" t="n"/>
      <c r="S164" s="778" t="n"/>
      <c r="T164" s="778" t="n"/>
      <c r="U164" s="778" t="n"/>
      <c r="V164" s="778" t="n"/>
      <c r="W164" s="26">
        <f>IF(AND(C164="",R164=""),"",IF(P164&lt;&gt;"Yes","INFO",IF(Q164="RED",IF(S164="","OPEN - RED",IF(AND(OR(S164="CHANGE ACCEPTED",S164="PARTIAL CHANGE"),V164&lt;&gt;"Yes"),"RED - NOT INTEGRATED","RESOLVED")),IF(Q164="AMBER",IF(S164="","OPEN - AMBER",IF(AND(OR(S164="CHANGE ACCEPTED",S164="PARTIAL CHANGE"),V164&lt;&gt;"Yes"),"AMBER - NOT INTEGRATED","RESOLVED")),IF(S164="","REVIEWED","RESOLVED")))))</f>
        <v/>
      </c>
      <c r="X164" s="778" t="n"/>
    </row>
    <row r="165" ht="28" customHeight="1" s="491">
      <c r="A165" s="26" t="inlineStr">
        <is>
          <t>ERF-049</t>
        </is>
      </c>
      <c r="B165" s="778" t="n"/>
      <c r="C165" s="778" t="n"/>
      <c r="D165" s="778" t="n"/>
      <c r="E165" s="778" t="n"/>
      <c r="F165" s="778" t="n"/>
      <c r="G165" s="778" t="n"/>
      <c r="H165" s="778" t="n"/>
      <c r="I165" s="778" t="n"/>
      <c r="J165" s="778" t="n"/>
      <c r="K165" s="778" t="n"/>
      <c r="L165" s="1511">
        <f>IF(OR(H165="",K165="",K165=0),"",(H165-K165)/K165)</f>
        <v/>
      </c>
      <c r="M165" s="778" t="n"/>
      <c r="N165" s="778" t="n"/>
      <c r="O165" s="778" t="n"/>
      <c r="P165" s="778" t="n"/>
      <c r="Q165" s="778" t="n"/>
      <c r="R165" s="778" t="n"/>
      <c r="S165" s="778" t="n"/>
      <c r="T165" s="778" t="n"/>
      <c r="U165" s="778" t="n"/>
      <c r="V165" s="778" t="n"/>
      <c r="W165" s="26">
        <f>IF(AND(C165="",R165=""),"",IF(P165&lt;&gt;"Yes","INFO",IF(Q165="RED",IF(S165="","OPEN - RED",IF(AND(OR(S165="CHANGE ACCEPTED",S165="PARTIAL CHANGE"),V165&lt;&gt;"Yes"),"RED - NOT INTEGRATED","RESOLVED")),IF(Q165="AMBER",IF(S165="","OPEN - AMBER",IF(AND(OR(S165="CHANGE ACCEPTED",S165="PARTIAL CHANGE"),V165&lt;&gt;"Yes"),"AMBER - NOT INTEGRATED","RESOLVED")),IF(S165="","REVIEWED","RESOLVED")))))</f>
        <v/>
      </c>
      <c r="X165" s="778" t="n"/>
    </row>
    <row r="166" ht="28" customHeight="1" s="491">
      <c r="A166" s="26" t="inlineStr">
        <is>
          <t>ERF-050</t>
        </is>
      </c>
      <c r="B166" s="778" t="n"/>
      <c r="C166" s="778" t="n"/>
      <c r="D166" s="778" t="n"/>
      <c r="E166" s="778" t="n"/>
      <c r="F166" s="778" t="n"/>
      <c r="G166" s="778" t="n"/>
      <c r="H166" s="778" t="n"/>
      <c r="I166" s="778" t="n"/>
      <c r="J166" s="778" t="n"/>
      <c r="K166" s="778" t="n"/>
      <c r="L166" s="1511">
        <f>IF(OR(H166="",K166="",K166=0),"",(H166-K166)/K166)</f>
        <v/>
      </c>
      <c r="M166" s="778" t="n"/>
      <c r="N166" s="778" t="n"/>
      <c r="O166" s="778" t="n"/>
      <c r="P166" s="778" t="n"/>
      <c r="Q166" s="778" t="n"/>
      <c r="R166" s="778" t="n"/>
      <c r="S166" s="778" t="n"/>
      <c r="T166" s="778" t="n"/>
      <c r="U166" s="778" t="n"/>
      <c r="V166" s="778" t="n"/>
      <c r="W166" s="26">
        <f>IF(AND(C166="",R166=""),"",IF(P166&lt;&gt;"Yes","INFO",IF(Q166="RED",IF(S166="","OPEN - RED",IF(AND(OR(S166="CHANGE ACCEPTED",S166="PARTIAL CHANGE"),V166&lt;&gt;"Yes"),"RED - NOT INTEGRATED","RESOLVED")),IF(Q166="AMBER",IF(S166="","OPEN - AMBER",IF(AND(OR(S166="CHANGE ACCEPTED",S166="PARTIAL CHANGE"),V166&lt;&gt;"Yes"),"AMBER - NOT INTEGRATED","RESOLVED")),IF(S166="","REVIEWED","RESOLVED")))))</f>
        <v/>
      </c>
      <c r="X166" s="778" t="n"/>
    </row>
    <row r="167" ht="28" customHeight="1" s="491">
      <c r="A167" s="26" t="inlineStr">
        <is>
          <t>ERF-051</t>
        </is>
      </c>
      <c r="B167" s="778" t="n"/>
      <c r="C167" s="778" t="n"/>
      <c r="D167" s="778" t="n"/>
      <c r="E167" s="778" t="n"/>
      <c r="F167" s="778" t="n"/>
      <c r="G167" s="778" t="n"/>
      <c r="H167" s="778" t="n"/>
      <c r="I167" s="778" t="n"/>
      <c r="J167" s="778" t="n"/>
      <c r="K167" s="778" t="n"/>
      <c r="L167" s="1511">
        <f>IF(OR(H167="",K167="",K167=0),"",(H167-K167)/K167)</f>
        <v/>
      </c>
      <c r="M167" s="778" t="n"/>
      <c r="N167" s="778" t="n"/>
      <c r="O167" s="778" t="n"/>
      <c r="P167" s="778" t="n"/>
      <c r="Q167" s="778" t="n"/>
      <c r="R167" s="778" t="n"/>
      <c r="S167" s="778" t="n"/>
      <c r="T167" s="778" t="n"/>
      <c r="U167" s="778" t="n"/>
      <c r="V167" s="778" t="n"/>
      <c r="W167" s="26">
        <f>IF(AND(C167="",R167=""),"",IF(P167&lt;&gt;"Yes","INFO",IF(Q167="RED",IF(S167="","OPEN - RED",IF(AND(OR(S167="CHANGE ACCEPTED",S167="PARTIAL CHANGE"),V167&lt;&gt;"Yes"),"RED - NOT INTEGRATED","RESOLVED")),IF(Q167="AMBER",IF(S167="","OPEN - AMBER",IF(AND(OR(S167="CHANGE ACCEPTED",S167="PARTIAL CHANGE"),V167&lt;&gt;"Yes"),"AMBER - NOT INTEGRATED","RESOLVED")),IF(S167="","REVIEWED","RESOLVED")))))</f>
        <v/>
      </c>
      <c r="X167" s="778" t="n"/>
    </row>
    <row r="168" ht="28" customHeight="1" s="491">
      <c r="A168" s="26" t="inlineStr">
        <is>
          <t>ERF-052</t>
        </is>
      </c>
      <c r="B168" s="778" t="n"/>
      <c r="C168" s="778" t="n"/>
      <c r="D168" s="778" t="n"/>
      <c r="E168" s="778" t="n"/>
      <c r="F168" s="778" t="n"/>
      <c r="G168" s="778" t="n"/>
      <c r="H168" s="778" t="n"/>
      <c r="I168" s="778" t="n"/>
      <c r="J168" s="778" t="n"/>
      <c r="K168" s="778" t="n"/>
      <c r="L168" s="1511">
        <f>IF(OR(H168="",K168="",K168=0),"",(H168-K168)/K168)</f>
        <v/>
      </c>
      <c r="M168" s="778" t="n"/>
      <c r="N168" s="778" t="n"/>
      <c r="O168" s="778" t="n"/>
      <c r="P168" s="778" t="n"/>
      <c r="Q168" s="778" t="n"/>
      <c r="R168" s="778" t="n"/>
      <c r="S168" s="778" t="n"/>
      <c r="T168" s="778" t="n"/>
      <c r="U168" s="778" t="n"/>
      <c r="V168" s="778" t="n"/>
      <c r="W168" s="26">
        <f>IF(AND(C168="",R168=""),"",IF(P168&lt;&gt;"Yes","INFO",IF(Q168="RED",IF(S168="","OPEN - RED",IF(AND(OR(S168="CHANGE ACCEPTED",S168="PARTIAL CHANGE"),V168&lt;&gt;"Yes"),"RED - NOT INTEGRATED","RESOLVED")),IF(Q168="AMBER",IF(S168="","OPEN - AMBER",IF(AND(OR(S168="CHANGE ACCEPTED",S168="PARTIAL CHANGE"),V168&lt;&gt;"Yes"),"AMBER - NOT INTEGRATED","RESOLVED")),IF(S168="","REVIEWED","RESOLVED")))))</f>
        <v/>
      </c>
      <c r="X168" s="778" t="n"/>
    </row>
    <row r="169" ht="28" customHeight="1" s="491">
      <c r="A169" s="26" t="inlineStr">
        <is>
          <t>ERF-053</t>
        </is>
      </c>
      <c r="B169" s="778" t="n"/>
      <c r="C169" s="778" t="n"/>
      <c r="D169" s="778" t="n"/>
      <c r="E169" s="778" t="n"/>
      <c r="F169" s="778" t="n"/>
      <c r="G169" s="778" t="n"/>
      <c r="H169" s="778" t="n"/>
      <c r="I169" s="778" t="n"/>
      <c r="J169" s="778" t="n"/>
      <c r="K169" s="778" t="n"/>
      <c r="L169" s="1511">
        <f>IF(OR(H169="",K169="",K169=0),"",(H169-K169)/K169)</f>
        <v/>
      </c>
      <c r="M169" s="778" t="n"/>
      <c r="N169" s="778" t="n"/>
      <c r="O169" s="778" t="n"/>
      <c r="P169" s="778" t="n"/>
      <c r="Q169" s="778" t="n"/>
      <c r="R169" s="778" t="n"/>
      <c r="S169" s="778" t="n"/>
      <c r="T169" s="778" t="n"/>
      <c r="U169" s="778" t="n"/>
      <c r="V169" s="778" t="n"/>
      <c r="W169" s="26">
        <f>IF(AND(C169="",R169=""),"",IF(P169&lt;&gt;"Yes","INFO",IF(Q169="RED",IF(S169="","OPEN - RED",IF(AND(OR(S169="CHANGE ACCEPTED",S169="PARTIAL CHANGE"),V169&lt;&gt;"Yes"),"RED - NOT INTEGRATED","RESOLVED")),IF(Q169="AMBER",IF(S169="","OPEN - AMBER",IF(AND(OR(S169="CHANGE ACCEPTED",S169="PARTIAL CHANGE"),V169&lt;&gt;"Yes"),"AMBER - NOT INTEGRATED","RESOLVED")),IF(S169="","REVIEWED","RESOLVED")))))</f>
        <v/>
      </c>
      <c r="X169" s="778" t="n"/>
    </row>
    <row r="170" ht="28" customHeight="1" s="491">
      <c r="A170" s="26" t="inlineStr">
        <is>
          <t>ERF-054</t>
        </is>
      </c>
      <c r="B170" s="778" t="n"/>
      <c r="C170" s="778" t="n"/>
      <c r="D170" s="778" t="n"/>
      <c r="E170" s="778" t="n"/>
      <c r="F170" s="778" t="n"/>
      <c r="G170" s="778" t="n"/>
      <c r="H170" s="778" t="n"/>
      <c r="I170" s="778" t="n"/>
      <c r="J170" s="778" t="n"/>
      <c r="K170" s="778" t="n"/>
      <c r="L170" s="1511">
        <f>IF(OR(H170="",K170="",K170=0),"",(H170-K170)/K170)</f>
        <v/>
      </c>
      <c r="M170" s="778" t="n"/>
      <c r="N170" s="778" t="n"/>
      <c r="O170" s="778" t="n"/>
      <c r="P170" s="778" t="n"/>
      <c r="Q170" s="778" t="n"/>
      <c r="R170" s="778" t="n"/>
      <c r="S170" s="778" t="n"/>
      <c r="T170" s="778" t="n"/>
      <c r="U170" s="778" t="n"/>
      <c r="V170" s="778" t="n"/>
      <c r="W170" s="26">
        <f>IF(AND(C170="",R170=""),"",IF(P170&lt;&gt;"Yes","INFO",IF(Q170="RED",IF(S170="","OPEN - RED",IF(AND(OR(S170="CHANGE ACCEPTED",S170="PARTIAL CHANGE"),V170&lt;&gt;"Yes"),"RED - NOT INTEGRATED","RESOLVED")),IF(Q170="AMBER",IF(S170="","OPEN - AMBER",IF(AND(OR(S170="CHANGE ACCEPTED",S170="PARTIAL CHANGE"),V170&lt;&gt;"Yes"),"AMBER - NOT INTEGRATED","RESOLVED")),IF(S170="","REVIEWED","RESOLVED")))))</f>
        <v/>
      </c>
      <c r="X170" s="778" t="n"/>
    </row>
    <row r="171" ht="28" customHeight="1" s="491">
      <c r="A171" s="26" t="inlineStr">
        <is>
          <t>ERF-055</t>
        </is>
      </c>
      <c r="B171" s="778" t="n"/>
      <c r="C171" s="778" t="n"/>
      <c r="D171" s="778" t="n"/>
      <c r="E171" s="778" t="n"/>
      <c r="F171" s="778" t="n"/>
      <c r="G171" s="778" t="n"/>
      <c r="H171" s="778" t="n"/>
      <c r="I171" s="778" t="n"/>
      <c r="J171" s="778" t="n"/>
      <c r="K171" s="778" t="n"/>
      <c r="L171" s="1511">
        <f>IF(OR(H171="",K171="",K171=0),"",(H171-K171)/K171)</f>
        <v/>
      </c>
      <c r="M171" s="778" t="n"/>
      <c r="N171" s="778" t="n"/>
      <c r="O171" s="778" t="n"/>
      <c r="P171" s="778" t="n"/>
      <c r="Q171" s="778" t="n"/>
      <c r="R171" s="778" t="n"/>
      <c r="S171" s="778" t="n"/>
      <c r="T171" s="778" t="n"/>
      <c r="U171" s="778" t="n"/>
      <c r="V171" s="778" t="n"/>
      <c r="W171" s="26">
        <f>IF(AND(C171="",R171=""),"",IF(P171&lt;&gt;"Yes","INFO",IF(Q171="RED",IF(S171="","OPEN - RED",IF(AND(OR(S171="CHANGE ACCEPTED",S171="PARTIAL CHANGE"),V171&lt;&gt;"Yes"),"RED - NOT INTEGRATED","RESOLVED")),IF(Q171="AMBER",IF(S171="","OPEN - AMBER",IF(AND(OR(S171="CHANGE ACCEPTED",S171="PARTIAL CHANGE"),V171&lt;&gt;"Yes"),"AMBER - NOT INTEGRATED","RESOLVED")),IF(S171="","REVIEWED","RESOLVED")))))</f>
        <v/>
      </c>
      <c r="X171" s="778" t="n"/>
    </row>
    <row r="172" ht="28" customHeight="1" s="491">
      <c r="A172" s="26" t="inlineStr">
        <is>
          <t>ERF-056</t>
        </is>
      </c>
      <c r="B172" s="778" t="n"/>
      <c r="C172" s="778" t="n"/>
      <c r="D172" s="778" t="n"/>
      <c r="E172" s="778" t="n"/>
      <c r="F172" s="778" t="n"/>
      <c r="G172" s="778" t="n"/>
      <c r="H172" s="778" t="n"/>
      <c r="I172" s="778" t="n"/>
      <c r="J172" s="778" t="n"/>
      <c r="K172" s="778" t="n"/>
      <c r="L172" s="1511">
        <f>IF(OR(H172="",K172="",K172=0),"",(H172-K172)/K172)</f>
        <v/>
      </c>
      <c r="M172" s="778" t="n"/>
      <c r="N172" s="778" t="n"/>
      <c r="O172" s="778" t="n"/>
      <c r="P172" s="778" t="n"/>
      <c r="Q172" s="778" t="n"/>
      <c r="R172" s="778" t="n"/>
      <c r="S172" s="778" t="n"/>
      <c r="T172" s="778" t="n"/>
      <c r="U172" s="778" t="n"/>
      <c r="V172" s="778" t="n"/>
      <c r="W172" s="26">
        <f>IF(AND(C172="",R172=""),"",IF(P172&lt;&gt;"Yes","INFO",IF(Q172="RED",IF(S172="","OPEN - RED",IF(AND(OR(S172="CHANGE ACCEPTED",S172="PARTIAL CHANGE"),V172&lt;&gt;"Yes"),"RED - NOT INTEGRATED","RESOLVED")),IF(Q172="AMBER",IF(S172="","OPEN - AMBER",IF(AND(OR(S172="CHANGE ACCEPTED",S172="PARTIAL CHANGE"),V172&lt;&gt;"Yes"),"AMBER - NOT INTEGRATED","RESOLVED")),IF(S172="","REVIEWED","RESOLVED")))))</f>
        <v/>
      </c>
      <c r="X172" s="778" t="n"/>
    </row>
    <row r="173" ht="28" customHeight="1" s="491">
      <c r="A173" s="26" t="inlineStr">
        <is>
          <t>ERF-057</t>
        </is>
      </c>
      <c r="B173" s="778" t="n"/>
      <c r="C173" s="778" t="n"/>
      <c r="D173" s="778" t="n"/>
      <c r="E173" s="778" t="n"/>
      <c r="F173" s="778" t="n"/>
      <c r="G173" s="778" t="n"/>
      <c r="H173" s="778" t="n"/>
      <c r="I173" s="778" t="n"/>
      <c r="J173" s="778" t="n"/>
      <c r="K173" s="778" t="n"/>
      <c r="L173" s="1511">
        <f>IF(OR(H173="",K173="",K173=0),"",(H173-K173)/K173)</f>
        <v/>
      </c>
      <c r="M173" s="778" t="n"/>
      <c r="N173" s="778" t="n"/>
      <c r="O173" s="778" t="n"/>
      <c r="P173" s="778" t="n"/>
      <c r="Q173" s="778" t="n"/>
      <c r="R173" s="778" t="n"/>
      <c r="S173" s="778" t="n"/>
      <c r="T173" s="778" t="n"/>
      <c r="U173" s="778" t="n"/>
      <c r="V173" s="778" t="n"/>
      <c r="W173" s="26">
        <f>IF(AND(C173="",R173=""),"",IF(P173&lt;&gt;"Yes","INFO",IF(Q173="RED",IF(S173="","OPEN - RED",IF(AND(OR(S173="CHANGE ACCEPTED",S173="PARTIAL CHANGE"),V173&lt;&gt;"Yes"),"RED - NOT INTEGRATED","RESOLVED")),IF(Q173="AMBER",IF(S173="","OPEN - AMBER",IF(AND(OR(S173="CHANGE ACCEPTED",S173="PARTIAL CHANGE"),V173&lt;&gt;"Yes"),"AMBER - NOT INTEGRATED","RESOLVED")),IF(S173="","REVIEWED","RESOLVED")))))</f>
        <v/>
      </c>
      <c r="X173" s="778" t="n"/>
    </row>
    <row r="174" ht="28" customHeight="1" s="491">
      <c r="A174" s="26" t="inlineStr">
        <is>
          <t>ERF-058</t>
        </is>
      </c>
      <c r="B174" s="778" t="n"/>
      <c r="C174" s="778" t="n"/>
      <c r="D174" s="778" t="n"/>
      <c r="E174" s="778" t="n"/>
      <c r="F174" s="778" t="n"/>
      <c r="G174" s="778" t="n"/>
      <c r="H174" s="778" t="n"/>
      <c r="I174" s="778" t="n"/>
      <c r="J174" s="778" t="n"/>
      <c r="K174" s="778" t="n"/>
      <c r="L174" s="1511">
        <f>IF(OR(H174="",K174="",K174=0),"",(H174-K174)/K174)</f>
        <v/>
      </c>
      <c r="M174" s="778" t="n"/>
      <c r="N174" s="778" t="n"/>
      <c r="O174" s="778" t="n"/>
      <c r="P174" s="778" t="n"/>
      <c r="Q174" s="778" t="n"/>
      <c r="R174" s="778" t="n"/>
      <c r="S174" s="778" t="n"/>
      <c r="T174" s="778" t="n"/>
      <c r="U174" s="778" t="n"/>
      <c r="V174" s="778" t="n"/>
      <c r="W174" s="26">
        <f>IF(AND(C174="",R174=""),"",IF(P174&lt;&gt;"Yes","INFO",IF(Q174="RED",IF(S174="","OPEN - RED",IF(AND(OR(S174="CHANGE ACCEPTED",S174="PARTIAL CHANGE"),V174&lt;&gt;"Yes"),"RED - NOT INTEGRATED","RESOLVED")),IF(Q174="AMBER",IF(S174="","OPEN - AMBER",IF(AND(OR(S174="CHANGE ACCEPTED",S174="PARTIAL CHANGE"),V174&lt;&gt;"Yes"),"AMBER - NOT INTEGRATED","RESOLVED")),IF(S174="","REVIEWED","RESOLVED")))))</f>
        <v/>
      </c>
      <c r="X174" s="778" t="n"/>
    </row>
    <row r="175" ht="28" customHeight="1" s="491">
      <c r="A175" s="26" t="inlineStr">
        <is>
          <t>ERF-059</t>
        </is>
      </c>
      <c r="B175" s="778" t="n"/>
      <c r="C175" s="778" t="n"/>
      <c r="D175" s="778" t="n"/>
      <c r="E175" s="778" t="n"/>
      <c r="F175" s="778" t="n"/>
      <c r="G175" s="778" t="n"/>
      <c r="H175" s="778" t="n"/>
      <c r="I175" s="778" t="n"/>
      <c r="J175" s="778" t="n"/>
      <c r="K175" s="778" t="n"/>
      <c r="L175" s="1511">
        <f>IF(OR(H175="",K175="",K175=0),"",(H175-K175)/K175)</f>
        <v/>
      </c>
      <c r="M175" s="778" t="n"/>
      <c r="N175" s="778" t="n"/>
      <c r="O175" s="778" t="n"/>
      <c r="P175" s="778" t="n"/>
      <c r="Q175" s="778" t="n"/>
      <c r="R175" s="778" t="n"/>
      <c r="S175" s="778" t="n"/>
      <c r="T175" s="778" t="n"/>
      <c r="U175" s="778" t="n"/>
      <c r="V175" s="778" t="n"/>
      <c r="W175" s="26">
        <f>IF(AND(C175="",R175=""),"",IF(P175&lt;&gt;"Yes","INFO",IF(Q175="RED",IF(S175="","OPEN - RED",IF(AND(OR(S175="CHANGE ACCEPTED",S175="PARTIAL CHANGE"),V175&lt;&gt;"Yes"),"RED - NOT INTEGRATED","RESOLVED")),IF(Q175="AMBER",IF(S175="","OPEN - AMBER",IF(AND(OR(S175="CHANGE ACCEPTED",S175="PARTIAL CHANGE"),V175&lt;&gt;"Yes"),"AMBER - NOT INTEGRATED","RESOLVED")),IF(S175="","REVIEWED","RESOLVED")))))</f>
        <v/>
      </c>
      <c r="X175" s="778" t="n"/>
    </row>
    <row r="176" ht="28" customHeight="1" s="491">
      <c r="A176" s="26" t="inlineStr">
        <is>
          <t>ERF-060</t>
        </is>
      </c>
      <c r="B176" s="778" t="n"/>
      <c r="C176" s="778" t="n"/>
      <c r="D176" s="778" t="n"/>
      <c r="E176" s="778" t="n"/>
      <c r="F176" s="778" t="n"/>
      <c r="G176" s="778" t="n"/>
      <c r="H176" s="778" t="n"/>
      <c r="I176" s="778" t="n"/>
      <c r="J176" s="778" t="n"/>
      <c r="K176" s="778" t="n"/>
      <c r="L176" s="1511">
        <f>IF(OR(H176="",K176="",K176=0),"",(H176-K176)/K176)</f>
        <v/>
      </c>
      <c r="M176" s="778" t="n"/>
      <c r="N176" s="778" t="n"/>
      <c r="O176" s="778" t="n"/>
      <c r="P176" s="778" t="n"/>
      <c r="Q176" s="778" t="n"/>
      <c r="R176" s="778" t="n"/>
      <c r="S176" s="778" t="n"/>
      <c r="T176" s="778" t="n"/>
      <c r="U176" s="778" t="n"/>
      <c r="V176" s="778" t="n"/>
      <c r="W176" s="26">
        <f>IF(AND(C176="",R176=""),"",IF(P176&lt;&gt;"Yes","INFO",IF(Q176="RED",IF(S176="","OPEN - RED",IF(AND(OR(S176="CHANGE ACCEPTED",S176="PARTIAL CHANGE"),V176&lt;&gt;"Yes"),"RED - NOT INTEGRATED","RESOLVED")),IF(Q176="AMBER",IF(S176="","OPEN - AMBER",IF(AND(OR(S176="CHANGE ACCEPTED",S176="PARTIAL CHANGE"),V176&lt;&gt;"Yes"),"AMBER - NOT INTEGRATED","RESOLVED")),IF(S176="","REVIEWED","RESOLVED")))))</f>
        <v/>
      </c>
      <c r="X176" s="778" t="n"/>
    </row>
    <row r="177" ht="28" customHeight="1" s="491">
      <c r="A177" s="26" t="inlineStr">
        <is>
          <t>ERF-061</t>
        </is>
      </c>
      <c r="B177" s="778" t="n"/>
      <c r="C177" s="778" t="n"/>
      <c r="D177" s="778" t="n"/>
      <c r="E177" s="778" t="n"/>
      <c r="F177" s="778" t="n"/>
      <c r="G177" s="778" t="n"/>
      <c r="H177" s="778" t="n"/>
      <c r="I177" s="778" t="n"/>
      <c r="J177" s="778" t="n"/>
      <c r="K177" s="778" t="n"/>
      <c r="L177" s="1511">
        <f>IF(OR(H177="",K177="",K177=0),"",(H177-K177)/K177)</f>
        <v/>
      </c>
      <c r="M177" s="778" t="n"/>
      <c r="N177" s="778" t="n"/>
      <c r="O177" s="778" t="n"/>
      <c r="P177" s="778" t="n"/>
      <c r="Q177" s="778" t="n"/>
      <c r="R177" s="778" t="n"/>
      <c r="S177" s="778" t="n"/>
      <c r="T177" s="778" t="n"/>
      <c r="U177" s="778" t="n"/>
      <c r="V177" s="778" t="n"/>
      <c r="W177" s="26">
        <f>IF(AND(C177="",R177=""),"",IF(P177&lt;&gt;"Yes","INFO",IF(Q177="RED",IF(S177="","OPEN - RED",IF(AND(OR(S177="CHANGE ACCEPTED",S177="PARTIAL CHANGE"),V177&lt;&gt;"Yes"),"RED - NOT INTEGRATED","RESOLVED")),IF(Q177="AMBER",IF(S177="","OPEN - AMBER",IF(AND(OR(S177="CHANGE ACCEPTED",S177="PARTIAL CHANGE"),V177&lt;&gt;"Yes"),"AMBER - NOT INTEGRATED","RESOLVED")),IF(S177="","REVIEWED","RESOLVED")))))</f>
        <v/>
      </c>
      <c r="X177" s="778" t="n"/>
    </row>
    <row r="178" ht="28" customHeight="1" s="491">
      <c r="A178" s="26" t="inlineStr">
        <is>
          <t>ERF-062</t>
        </is>
      </c>
      <c r="B178" s="778" t="n"/>
      <c r="C178" s="778" t="n"/>
      <c r="D178" s="778" t="n"/>
      <c r="E178" s="778" t="n"/>
      <c r="F178" s="778" t="n"/>
      <c r="G178" s="778" t="n"/>
      <c r="H178" s="778" t="n"/>
      <c r="I178" s="778" t="n"/>
      <c r="J178" s="778" t="n"/>
      <c r="K178" s="778" t="n"/>
      <c r="L178" s="1511">
        <f>IF(OR(H178="",K178="",K178=0),"",(H178-K178)/K178)</f>
        <v/>
      </c>
      <c r="M178" s="778" t="n"/>
      <c r="N178" s="778" t="n"/>
      <c r="O178" s="778" t="n"/>
      <c r="P178" s="778" t="n"/>
      <c r="Q178" s="778" t="n"/>
      <c r="R178" s="778" t="n"/>
      <c r="S178" s="778" t="n"/>
      <c r="T178" s="778" t="n"/>
      <c r="U178" s="778" t="n"/>
      <c r="V178" s="778" t="n"/>
      <c r="W178" s="26">
        <f>IF(AND(C178="",R178=""),"",IF(P178&lt;&gt;"Yes","INFO",IF(Q178="RED",IF(S178="","OPEN - RED",IF(AND(OR(S178="CHANGE ACCEPTED",S178="PARTIAL CHANGE"),V178&lt;&gt;"Yes"),"RED - NOT INTEGRATED","RESOLVED")),IF(Q178="AMBER",IF(S178="","OPEN - AMBER",IF(AND(OR(S178="CHANGE ACCEPTED",S178="PARTIAL CHANGE"),V178&lt;&gt;"Yes"),"AMBER - NOT INTEGRATED","RESOLVED")),IF(S178="","REVIEWED","RESOLVED")))))</f>
        <v/>
      </c>
      <c r="X178" s="778" t="n"/>
    </row>
    <row r="179" ht="28" customHeight="1" s="491">
      <c r="A179" s="26" t="inlineStr">
        <is>
          <t>ERF-063</t>
        </is>
      </c>
      <c r="B179" s="778" t="n"/>
      <c r="C179" s="778" t="n"/>
      <c r="D179" s="778" t="n"/>
      <c r="E179" s="778" t="n"/>
      <c r="F179" s="778" t="n"/>
      <c r="G179" s="778" t="n"/>
      <c r="H179" s="778" t="n"/>
      <c r="I179" s="778" t="n"/>
      <c r="J179" s="778" t="n"/>
      <c r="K179" s="778" t="n"/>
      <c r="L179" s="1511">
        <f>IF(OR(H179="",K179="",K179=0),"",(H179-K179)/K179)</f>
        <v/>
      </c>
      <c r="M179" s="778" t="n"/>
      <c r="N179" s="778" t="n"/>
      <c r="O179" s="778" t="n"/>
      <c r="P179" s="778" t="n"/>
      <c r="Q179" s="778" t="n"/>
      <c r="R179" s="778" t="n"/>
      <c r="S179" s="778" t="n"/>
      <c r="T179" s="778" t="n"/>
      <c r="U179" s="778" t="n"/>
      <c r="V179" s="778" t="n"/>
      <c r="W179" s="26">
        <f>IF(AND(C179="",R179=""),"",IF(P179&lt;&gt;"Yes","INFO",IF(Q179="RED",IF(S179="","OPEN - RED",IF(AND(OR(S179="CHANGE ACCEPTED",S179="PARTIAL CHANGE"),V179&lt;&gt;"Yes"),"RED - NOT INTEGRATED","RESOLVED")),IF(Q179="AMBER",IF(S179="","OPEN - AMBER",IF(AND(OR(S179="CHANGE ACCEPTED",S179="PARTIAL CHANGE"),V179&lt;&gt;"Yes"),"AMBER - NOT INTEGRATED","RESOLVED")),IF(S179="","REVIEWED","RESOLVED")))))</f>
        <v/>
      </c>
      <c r="X179" s="778" t="n"/>
    </row>
    <row r="180" ht="28" customHeight="1" s="491">
      <c r="A180" s="26" t="inlineStr">
        <is>
          <t>ERF-064</t>
        </is>
      </c>
      <c r="B180" s="778" t="n"/>
      <c r="C180" s="778" t="n"/>
      <c r="D180" s="778" t="n"/>
      <c r="E180" s="778" t="n"/>
      <c r="F180" s="778" t="n"/>
      <c r="G180" s="778" t="n"/>
      <c r="H180" s="778" t="n"/>
      <c r="I180" s="778" t="n"/>
      <c r="J180" s="778" t="n"/>
      <c r="K180" s="778" t="n"/>
      <c r="L180" s="1511">
        <f>IF(OR(H180="",K180="",K180=0),"",(H180-K180)/K180)</f>
        <v/>
      </c>
      <c r="M180" s="778" t="n"/>
      <c r="N180" s="778" t="n"/>
      <c r="O180" s="778" t="n"/>
      <c r="P180" s="778" t="n"/>
      <c r="Q180" s="778" t="n"/>
      <c r="R180" s="778" t="n"/>
      <c r="S180" s="778" t="n"/>
      <c r="T180" s="778" t="n"/>
      <c r="U180" s="778" t="n"/>
      <c r="V180" s="778" t="n"/>
      <c r="W180" s="26">
        <f>IF(AND(C180="",R180=""),"",IF(P180&lt;&gt;"Yes","INFO",IF(Q180="RED",IF(S180="","OPEN - RED",IF(AND(OR(S180="CHANGE ACCEPTED",S180="PARTIAL CHANGE"),V180&lt;&gt;"Yes"),"RED - NOT INTEGRATED","RESOLVED")),IF(Q180="AMBER",IF(S180="","OPEN - AMBER",IF(AND(OR(S180="CHANGE ACCEPTED",S180="PARTIAL CHANGE"),V180&lt;&gt;"Yes"),"AMBER - NOT INTEGRATED","RESOLVED")),IF(S180="","REVIEWED","RESOLVED")))))</f>
        <v/>
      </c>
      <c r="X180" s="778" t="n"/>
    </row>
    <row r="181" ht="28" customHeight="1" s="491">
      <c r="A181" s="26" t="inlineStr">
        <is>
          <t>ERF-065</t>
        </is>
      </c>
      <c r="B181" s="778" t="n"/>
      <c r="C181" s="778" t="n"/>
      <c r="D181" s="778" t="n"/>
      <c r="E181" s="778" t="n"/>
      <c r="F181" s="778" t="n"/>
      <c r="G181" s="778" t="n"/>
      <c r="H181" s="778" t="n"/>
      <c r="I181" s="778" t="n"/>
      <c r="J181" s="778" t="n"/>
      <c r="K181" s="778" t="n"/>
      <c r="L181" s="1511">
        <f>IF(OR(H181="",K181="",K181=0),"",(H181-K181)/K181)</f>
        <v/>
      </c>
      <c r="M181" s="778" t="n"/>
      <c r="N181" s="778" t="n"/>
      <c r="O181" s="778" t="n"/>
      <c r="P181" s="778" t="n"/>
      <c r="Q181" s="778" t="n"/>
      <c r="R181" s="778" t="n"/>
      <c r="S181" s="778" t="n"/>
      <c r="T181" s="778" t="n"/>
      <c r="U181" s="778" t="n"/>
      <c r="V181" s="778" t="n"/>
      <c r="W181" s="26">
        <f>IF(AND(C181="",R181=""),"",IF(P181&lt;&gt;"Yes","INFO",IF(Q181="RED",IF(S181="","OPEN - RED",IF(AND(OR(S181="CHANGE ACCEPTED",S181="PARTIAL CHANGE"),V181&lt;&gt;"Yes"),"RED - NOT INTEGRATED","RESOLVED")),IF(Q181="AMBER",IF(S181="","OPEN - AMBER",IF(AND(OR(S181="CHANGE ACCEPTED",S181="PARTIAL CHANGE"),V181&lt;&gt;"Yes"),"AMBER - NOT INTEGRATED","RESOLVED")),IF(S181="","REVIEWED","RESOLVED")))))</f>
        <v/>
      </c>
      <c r="X181" s="778" t="n"/>
    </row>
    <row r="182" ht="28" customHeight="1" s="491">
      <c r="A182" s="26" t="inlineStr">
        <is>
          <t>ERF-066</t>
        </is>
      </c>
      <c r="B182" s="778" t="n"/>
      <c r="C182" s="778" t="n"/>
      <c r="D182" s="778" t="n"/>
      <c r="E182" s="778" t="n"/>
      <c r="F182" s="778" t="n"/>
      <c r="G182" s="778" t="n"/>
      <c r="H182" s="778" t="n"/>
      <c r="I182" s="778" t="n"/>
      <c r="J182" s="778" t="n"/>
      <c r="K182" s="778" t="n"/>
      <c r="L182" s="1511">
        <f>IF(OR(H182="",K182="",K182=0),"",(H182-K182)/K182)</f>
        <v/>
      </c>
      <c r="M182" s="778" t="n"/>
      <c r="N182" s="778" t="n"/>
      <c r="O182" s="778" t="n"/>
      <c r="P182" s="778" t="n"/>
      <c r="Q182" s="778" t="n"/>
      <c r="R182" s="778" t="n"/>
      <c r="S182" s="778" t="n"/>
      <c r="T182" s="778" t="n"/>
      <c r="U182" s="778" t="n"/>
      <c r="V182" s="778" t="n"/>
      <c r="W182" s="26">
        <f>IF(AND(C182="",R182=""),"",IF(P182&lt;&gt;"Yes","INFO",IF(Q182="RED",IF(S182="","OPEN - RED",IF(AND(OR(S182="CHANGE ACCEPTED",S182="PARTIAL CHANGE"),V182&lt;&gt;"Yes"),"RED - NOT INTEGRATED","RESOLVED")),IF(Q182="AMBER",IF(S182="","OPEN - AMBER",IF(AND(OR(S182="CHANGE ACCEPTED",S182="PARTIAL CHANGE"),V182&lt;&gt;"Yes"),"AMBER - NOT INTEGRATED","RESOLVED")),IF(S182="","REVIEWED","RESOLVED")))))</f>
        <v/>
      </c>
      <c r="X182" s="778" t="n"/>
    </row>
    <row r="183" ht="28" customHeight="1" s="491">
      <c r="A183" s="26" t="inlineStr">
        <is>
          <t>ERF-067</t>
        </is>
      </c>
      <c r="B183" s="778" t="n"/>
      <c r="C183" s="778" t="n"/>
      <c r="D183" s="778" t="n"/>
      <c r="E183" s="778" t="n"/>
      <c r="F183" s="778" t="n"/>
      <c r="G183" s="778" t="n"/>
      <c r="H183" s="778" t="n"/>
      <c r="I183" s="778" t="n"/>
      <c r="J183" s="778" t="n"/>
      <c r="K183" s="778" t="n"/>
      <c r="L183" s="1511">
        <f>IF(OR(H183="",K183="",K183=0),"",(H183-K183)/K183)</f>
        <v/>
      </c>
      <c r="M183" s="778" t="n"/>
      <c r="N183" s="778" t="n"/>
      <c r="O183" s="778" t="n"/>
      <c r="P183" s="778" t="n"/>
      <c r="Q183" s="778" t="n"/>
      <c r="R183" s="778" t="n"/>
      <c r="S183" s="778" t="n"/>
      <c r="T183" s="778" t="n"/>
      <c r="U183" s="778" t="n"/>
      <c r="V183" s="778" t="n"/>
      <c r="W183" s="26">
        <f>IF(AND(C183="",R183=""),"",IF(P183&lt;&gt;"Yes","INFO",IF(Q183="RED",IF(S183="","OPEN - RED",IF(AND(OR(S183="CHANGE ACCEPTED",S183="PARTIAL CHANGE"),V183&lt;&gt;"Yes"),"RED - NOT INTEGRATED","RESOLVED")),IF(Q183="AMBER",IF(S183="","OPEN - AMBER",IF(AND(OR(S183="CHANGE ACCEPTED",S183="PARTIAL CHANGE"),V183&lt;&gt;"Yes"),"AMBER - NOT INTEGRATED","RESOLVED")),IF(S183="","REVIEWED","RESOLVED")))))</f>
        <v/>
      </c>
      <c r="X183" s="778" t="n"/>
    </row>
    <row r="184" ht="28" customHeight="1" s="491">
      <c r="A184" s="26" t="inlineStr">
        <is>
          <t>ERF-068</t>
        </is>
      </c>
      <c r="B184" s="778" t="n"/>
      <c r="C184" s="778" t="n"/>
      <c r="D184" s="778" t="n"/>
      <c r="E184" s="778" t="n"/>
      <c r="F184" s="778" t="n"/>
      <c r="G184" s="778" t="n"/>
      <c r="H184" s="778" t="n"/>
      <c r="I184" s="778" t="n"/>
      <c r="J184" s="778" t="n"/>
      <c r="K184" s="778" t="n"/>
      <c r="L184" s="1511">
        <f>IF(OR(H184="",K184="",K184=0),"",(H184-K184)/K184)</f>
        <v/>
      </c>
      <c r="M184" s="778" t="n"/>
      <c r="N184" s="778" t="n"/>
      <c r="O184" s="778" t="n"/>
      <c r="P184" s="778" t="n"/>
      <c r="Q184" s="778" t="n"/>
      <c r="R184" s="778" t="n"/>
      <c r="S184" s="778" t="n"/>
      <c r="T184" s="778" t="n"/>
      <c r="U184" s="778" t="n"/>
      <c r="V184" s="778" t="n"/>
      <c r="W184" s="26">
        <f>IF(AND(C184="",R184=""),"",IF(P184&lt;&gt;"Yes","INFO",IF(Q184="RED",IF(S184="","OPEN - RED",IF(AND(OR(S184="CHANGE ACCEPTED",S184="PARTIAL CHANGE"),V184&lt;&gt;"Yes"),"RED - NOT INTEGRATED","RESOLVED")),IF(Q184="AMBER",IF(S184="","OPEN - AMBER",IF(AND(OR(S184="CHANGE ACCEPTED",S184="PARTIAL CHANGE"),V184&lt;&gt;"Yes"),"AMBER - NOT INTEGRATED","RESOLVED")),IF(S184="","REVIEWED","RESOLVED")))))</f>
        <v/>
      </c>
      <c r="X184" s="778" t="n"/>
    </row>
    <row r="185" ht="28" customHeight="1" s="491">
      <c r="A185" s="26" t="inlineStr">
        <is>
          <t>ERF-069</t>
        </is>
      </c>
      <c r="B185" s="778" t="n"/>
      <c r="C185" s="778" t="n"/>
      <c r="D185" s="778" t="n"/>
      <c r="E185" s="778" t="n"/>
      <c r="F185" s="778" t="n"/>
      <c r="G185" s="778" t="n"/>
      <c r="H185" s="778" t="n"/>
      <c r="I185" s="778" t="n"/>
      <c r="J185" s="778" t="n"/>
      <c r="K185" s="778" t="n"/>
      <c r="L185" s="1511">
        <f>IF(OR(H185="",K185="",K185=0),"",(H185-K185)/K185)</f>
        <v/>
      </c>
      <c r="M185" s="778" t="n"/>
      <c r="N185" s="778" t="n"/>
      <c r="O185" s="778" t="n"/>
      <c r="P185" s="778" t="n"/>
      <c r="Q185" s="778" t="n"/>
      <c r="R185" s="778" t="n"/>
      <c r="S185" s="778" t="n"/>
      <c r="T185" s="778" t="n"/>
      <c r="U185" s="778" t="n"/>
      <c r="V185" s="778" t="n"/>
      <c r="W185" s="26">
        <f>IF(AND(C185="",R185=""),"",IF(P185&lt;&gt;"Yes","INFO",IF(Q185="RED",IF(S185="","OPEN - RED",IF(AND(OR(S185="CHANGE ACCEPTED",S185="PARTIAL CHANGE"),V185&lt;&gt;"Yes"),"RED - NOT INTEGRATED","RESOLVED")),IF(Q185="AMBER",IF(S185="","OPEN - AMBER",IF(AND(OR(S185="CHANGE ACCEPTED",S185="PARTIAL CHANGE"),V185&lt;&gt;"Yes"),"AMBER - NOT INTEGRATED","RESOLVED")),IF(S185="","REVIEWED","RESOLVED")))))</f>
        <v/>
      </c>
      <c r="X185" s="778" t="n"/>
    </row>
    <row r="186" ht="28" customHeight="1" s="491">
      <c r="A186" s="26" t="inlineStr">
        <is>
          <t>ERF-070</t>
        </is>
      </c>
      <c r="B186" s="778" t="n"/>
      <c r="C186" s="778" t="n"/>
      <c r="D186" s="778" t="n"/>
      <c r="E186" s="778" t="n"/>
      <c r="F186" s="778" t="n"/>
      <c r="G186" s="778" t="n"/>
      <c r="H186" s="778" t="n"/>
      <c r="I186" s="778" t="n"/>
      <c r="J186" s="778" t="n"/>
      <c r="K186" s="778" t="n"/>
      <c r="L186" s="1511">
        <f>IF(OR(H186="",K186="",K186=0),"",(H186-K186)/K186)</f>
        <v/>
      </c>
      <c r="M186" s="778" t="n"/>
      <c r="N186" s="778" t="n"/>
      <c r="O186" s="778" t="n"/>
      <c r="P186" s="778" t="n"/>
      <c r="Q186" s="778" t="n"/>
      <c r="R186" s="778" t="n"/>
      <c r="S186" s="778" t="n"/>
      <c r="T186" s="778" t="n"/>
      <c r="U186" s="778" t="n"/>
      <c r="V186" s="778" t="n"/>
      <c r="W186" s="26">
        <f>IF(AND(C186="",R186=""),"",IF(P186&lt;&gt;"Yes","INFO",IF(Q186="RED",IF(S186="","OPEN - RED",IF(AND(OR(S186="CHANGE ACCEPTED",S186="PARTIAL CHANGE"),V186&lt;&gt;"Yes"),"RED - NOT INTEGRATED","RESOLVED")),IF(Q186="AMBER",IF(S186="","OPEN - AMBER",IF(AND(OR(S186="CHANGE ACCEPTED",S186="PARTIAL CHANGE"),V186&lt;&gt;"Yes"),"AMBER - NOT INTEGRATED","RESOLVED")),IF(S186="","REVIEWED","RESOLVED")))))</f>
        <v/>
      </c>
      <c r="X186" s="778" t="n"/>
    </row>
    <row r="187" ht="28" customHeight="1" s="491">
      <c r="A187" s="26" t="inlineStr">
        <is>
          <t>ERF-071</t>
        </is>
      </c>
      <c r="B187" s="778" t="n"/>
      <c r="C187" s="778" t="n"/>
      <c r="D187" s="778" t="n"/>
      <c r="E187" s="778" t="n"/>
      <c r="F187" s="778" t="n"/>
      <c r="G187" s="778" t="n"/>
      <c r="H187" s="778" t="n"/>
      <c r="I187" s="778" t="n"/>
      <c r="J187" s="778" t="n"/>
      <c r="K187" s="778" t="n"/>
      <c r="L187" s="1511">
        <f>IF(OR(H187="",K187="",K187=0),"",(H187-K187)/K187)</f>
        <v/>
      </c>
      <c r="M187" s="778" t="n"/>
      <c r="N187" s="778" t="n"/>
      <c r="O187" s="778" t="n"/>
      <c r="P187" s="778" t="n"/>
      <c r="Q187" s="778" t="n"/>
      <c r="R187" s="778" t="n"/>
      <c r="S187" s="778" t="n"/>
      <c r="T187" s="778" t="n"/>
      <c r="U187" s="778" t="n"/>
      <c r="V187" s="778" t="n"/>
      <c r="W187" s="26">
        <f>IF(AND(C187="",R187=""),"",IF(P187&lt;&gt;"Yes","INFO",IF(Q187="RED",IF(S187="","OPEN - RED",IF(AND(OR(S187="CHANGE ACCEPTED",S187="PARTIAL CHANGE"),V187&lt;&gt;"Yes"),"RED - NOT INTEGRATED","RESOLVED")),IF(Q187="AMBER",IF(S187="","OPEN - AMBER",IF(AND(OR(S187="CHANGE ACCEPTED",S187="PARTIAL CHANGE"),V187&lt;&gt;"Yes"),"AMBER - NOT INTEGRATED","RESOLVED")),IF(S187="","REVIEWED","RESOLVED")))))</f>
        <v/>
      </c>
      <c r="X187" s="778" t="n"/>
    </row>
    <row r="188" ht="28" customHeight="1" s="491">
      <c r="A188" s="26" t="inlineStr">
        <is>
          <t>ERF-072</t>
        </is>
      </c>
      <c r="B188" s="778" t="n"/>
      <c r="C188" s="778" t="n"/>
      <c r="D188" s="778" t="n"/>
      <c r="E188" s="778" t="n"/>
      <c r="F188" s="778" t="n"/>
      <c r="G188" s="778" t="n"/>
      <c r="H188" s="778" t="n"/>
      <c r="I188" s="778" t="n"/>
      <c r="J188" s="778" t="n"/>
      <c r="K188" s="778" t="n"/>
      <c r="L188" s="1511">
        <f>IF(OR(H188="",K188="",K188=0),"",(H188-K188)/K188)</f>
        <v/>
      </c>
      <c r="M188" s="778" t="n"/>
      <c r="N188" s="778" t="n"/>
      <c r="O188" s="778" t="n"/>
      <c r="P188" s="778" t="n"/>
      <c r="Q188" s="778" t="n"/>
      <c r="R188" s="778" t="n"/>
      <c r="S188" s="778" t="n"/>
      <c r="T188" s="778" t="n"/>
      <c r="U188" s="778" t="n"/>
      <c r="V188" s="778" t="n"/>
      <c r="W188" s="26">
        <f>IF(AND(C188="",R188=""),"",IF(P188&lt;&gt;"Yes","INFO",IF(Q188="RED",IF(S188="","OPEN - RED",IF(AND(OR(S188="CHANGE ACCEPTED",S188="PARTIAL CHANGE"),V188&lt;&gt;"Yes"),"RED - NOT INTEGRATED","RESOLVED")),IF(Q188="AMBER",IF(S188="","OPEN - AMBER",IF(AND(OR(S188="CHANGE ACCEPTED",S188="PARTIAL CHANGE"),V188&lt;&gt;"Yes"),"AMBER - NOT INTEGRATED","RESOLVED")),IF(S188="","REVIEWED","RESOLVED")))))</f>
        <v/>
      </c>
      <c r="X188" s="778" t="n"/>
    </row>
    <row r="189" ht="28" customHeight="1" s="491">
      <c r="A189" s="26" t="inlineStr">
        <is>
          <t>ERF-073</t>
        </is>
      </c>
      <c r="B189" s="778" t="n"/>
      <c r="C189" s="778" t="n"/>
      <c r="D189" s="778" t="n"/>
      <c r="E189" s="778" t="n"/>
      <c r="F189" s="778" t="n"/>
      <c r="G189" s="778" t="n"/>
      <c r="H189" s="778" t="n"/>
      <c r="I189" s="778" t="n"/>
      <c r="J189" s="778" t="n"/>
      <c r="K189" s="778" t="n"/>
      <c r="L189" s="1511">
        <f>IF(OR(H189="",K189="",K189=0),"",(H189-K189)/K189)</f>
        <v/>
      </c>
      <c r="M189" s="778" t="n"/>
      <c r="N189" s="778" t="n"/>
      <c r="O189" s="778" t="n"/>
      <c r="P189" s="778" t="n"/>
      <c r="Q189" s="778" t="n"/>
      <c r="R189" s="778" t="n"/>
      <c r="S189" s="778" t="n"/>
      <c r="T189" s="778" t="n"/>
      <c r="U189" s="778" t="n"/>
      <c r="V189" s="778" t="n"/>
      <c r="W189" s="26">
        <f>IF(AND(C189="",R189=""),"",IF(P189&lt;&gt;"Yes","INFO",IF(Q189="RED",IF(S189="","OPEN - RED",IF(AND(OR(S189="CHANGE ACCEPTED",S189="PARTIAL CHANGE"),V189&lt;&gt;"Yes"),"RED - NOT INTEGRATED","RESOLVED")),IF(Q189="AMBER",IF(S189="","OPEN - AMBER",IF(AND(OR(S189="CHANGE ACCEPTED",S189="PARTIAL CHANGE"),V189&lt;&gt;"Yes"),"AMBER - NOT INTEGRATED","RESOLVED")),IF(S189="","REVIEWED","RESOLVED")))))</f>
        <v/>
      </c>
      <c r="X189" s="778" t="n"/>
    </row>
    <row r="190" ht="28" customHeight="1" s="491">
      <c r="A190" s="26" t="inlineStr">
        <is>
          <t>ERF-074</t>
        </is>
      </c>
      <c r="B190" s="778" t="n"/>
      <c r="C190" s="778" t="n"/>
      <c r="D190" s="778" t="n"/>
      <c r="E190" s="778" t="n"/>
      <c r="F190" s="778" t="n"/>
      <c r="G190" s="778" t="n"/>
      <c r="H190" s="778" t="n"/>
      <c r="I190" s="778" t="n"/>
      <c r="J190" s="778" t="n"/>
      <c r="K190" s="778" t="n"/>
      <c r="L190" s="1511">
        <f>IF(OR(H190="",K190="",K190=0),"",(H190-K190)/K190)</f>
        <v/>
      </c>
      <c r="M190" s="778" t="n"/>
      <c r="N190" s="778" t="n"/>
      <c r="O190" s="778" t="n"/>
      <c r="P190" s="778" t="n"/>
      <c r="Q190" s="778" t="n"/>
      <c r="R190" s="778" t="n"/>
      <c r="S190" s="778" t="n"/>
      <c r="T190" s="778" t="n"/>
      <c r="U190" s="778" t="n"/>
      <c r="V190" s="778" t="n"/>
      <c r="W190" s="26">
        <f>IF(AND(C190="",R190=""),"",IF(P190&lt;&gt;"Yes","INFO",IF(Q190="RED",IF(S190="","OPEN - RED",IF(AND(OR(S190="CHANGE ACCEPTED",S190="PARTIAL CHANGE"),V190&lt;&gt;"Yes"),"RED - NOT INTEGRATED","RESOLVED")),IF(Q190="AMBER",IF(S190="","OPEN - AMBER",IF(AND(OR(S190="CHANGE ACCEPTED",S190="PARTIAL CHANGE"),V190&lt;&gt;"Yes"),"AMBER - NOT INTEGRATED","RESOLVED")),IF(S190="","REVIEWED","RESOLVED")))))</f>
        <v/>
      </c>
      <c r="X190" s="778" t="n"/>
    </row>
    <row r="191" ht="28" customHeight="1" s="491">
      <c r="A191" s="26" t="inlineStr">
        <is>
          <t>ERF-075</t>
        </is>
      </c>
      <c r="B191" s="778" t="n"/>
      <c r="C191" s="778" t="n"/>
      <c r="D191" s="778" t="n"/>
      <c r="E191" s="778" t="n"/>
      <c r="F191" s="778" t="n"/>
      <c r="G191" s="778" t="n"/>
      <c r="H191" s="778" t="n"/>
      <c r="I191" s="778" t="n"/>
      <c r="J191" s="778" t="n"/>
      <c r="K191" s="778" t="n"/>
      <c r="L191" s="1511">
        <f>IF(OR(H191="",K191="",K191=0),"",(H191-K191)/K191)</f>
        <v/>
      </c>
      <c r="M191" s="778" t="n"/>
      <c r="N191" s="778" t="n"/>
      <c r="O191" s="778" t="n"/>
      <c r="P191" s="778" t="n"/>
      <c r="Q191" s="778" t="n"/>
      <c r="R191" s="778" t="n"/>
      <c r="S191" s="778" t="n"/>
      <c r="T191" s="778" t="n"/>
      <c r="U191" s="778" t="n"/>
      <c r="V191" s="778" t="n"/>
      <c r="W191" s="26">
        <f>IF(AND(C191="",R191=""),"",IF(P191&lt;&gt;"Yes","INFO",IF(Q191="RED",IF(S191="","OPEN - RED",IF(AND(OR(S191="CHANGE ACCEPTED",S191="PARTIAL CHANGE"),V191&lt;&gt;"Yes"),"RED - NOT INTEGRATED","RESOLVED")),IF(Q191="AMBER",IF(S191="","OPEN - AMBER",IF(AND(OR(S191="CHANGE ACCEPTED",S191="PARTIAL CHANGE"),V191&lt;&gt;"Yes"),"AMBER - NOT INTEGRATED","RESOLVED")),IF(S191="","REVIEWED","RESOLVED")))))</f>
        <v/>
      </c>
      <c r="X191" s="778" t="n"/>
    </row>
    <row r="192" ht="28" customHeight="1" s="491">
      <c r="A192" s="26" t="inlineStr">
        <is>
          <t>ERF-076</t>
        </is>
      </c>
      <c r="B192" s="778" t="n"/>
      <c r="C192" s="778" t="n"/>
      <c r="D192" s="778" t="n"/>
      <c r="E192" s="778" t="n"/>
      <c r="F192" s="778" t="n"/>
      <c r="G192" s="778" t="n"/>
      <c r="H192" s="778" t="n"/>
      <c r="I192" s="778" t="n"/>
      <c r="J192" s="778" t="n"/>
      <c r="K192" s="778" t="n"/>
      <c r="L192" s="1511">
        <f>IF(OR(H192="",K192="",K192=0),"",(H192-K192)/K192)</f>
        <v/>
      </c>
      <c r="M192" s="778" t="n"/>
      <c r="N192" s="778" t="n"/>
      <c r="O192" s="778" t="n"/>
      <c r="P192" s="778" t="n"/>
      <c r="Q192" s="778" t="n"/>
      <c r="R192" s="778" t="n"/>
      <c r="S192" s="778" t="n"/>
      <c r="T192" s="778" t="n"/>
      <c r="U192" s="778" t="n"/>
      <c r="V192" s="778" t="n"/>
      <c r="W192" s="26">
        <f>IF(AND(C192="",R192=""),"",IF(P192&lt;&gt;"Yes","INFO",IF(Q192="RED",IF(S192="","OPEN - RED",IF(AND(OR(S192="CHANGE ACCEPTED",S192="PARTIAL CHANGE"),V192&lt;&gt;"Yes"),"RED - NOT INTEGRATED","RESOLVED")),IF(Q192="AMBER",IF(S192="","OPEN - AMBER",IF(AND(OR(S192="CHANGE ACCEPTED",S192="PARTIAL CHANGE"),V192&lt;&gt;"Yes"),"AMBER - NOT INTEGRATED","RESOLVED")),IF(S192="","REVIEWED","RESOLVED")))))</f>
        <v/>
      </c>
      <c r="X192" s="778" t="n"/>
    </row>
    <row r="193" ht="28" customHeight="1" s="491">
      <c r="A193" s="26" t="inlineStr">
        <is>
          <t>ERF-077</t>
        </is>
      </c>
      <c r="B193" s="778" t="n"/>
      <c r="C193" s="778" t="n"/>
      <c r="D193" s="778" t="n"/>
      <c r="E193" s="778" t="n"/>
      <c r="F193" s="778" t="n"/>
      <c r="G193" s="778" t="n"/>
      <c r="H193" s="778" t="n"/>
      <c r="I193" s="778" t="n"/>
      <c r="J193" s="778" t="n"/>
      <c r="K193" s="778" t="n"/>
      <c r="L193" s="1511">
        <f>IF(OR(H193="",K193="",K193=0),"",(H193-K193)/K193)</f>
        <v/>
      </c>
      <c r="M193" s="778" t="n"/>
      <c r="N193" s="778" t="n"/>
      <c r="O193" s="778" t="n"/>
      <c r="P193" s="778" t="n"/>
      <c r="Q193" s="778" t="n"/>
      <c r="R193" s="778" t="n"/>
      <c r="S193" s="778" t="n"/>
      <c r="T193" s="778" t="n"/>
      <c r="U193" s="778" t="n"/>
      <c r="V193" s="778" t="n"/>
      <c r="W193" s="26">
        <f>IF(AND(C193="",R193=""),"",IF(P193&lt;&gt;"Yes","INFO",IF(Q193="RED",IF(S193="","OPEN - RED",IF(AND(OR(S193="CHANGE ACCEPTED",S193="PARTIAL CHANGE"),V193&lt;&gt;"Yes"),"RED - NOT INTEGRATED","RESOLVED")),IF(Q193="AMBER",IF(S193="","OPEN - AMBER",IF(AND(OR(S193="CHANGE ACCEPTED",S193="PARTIAL CHANGE"),V193&lt;&gt;"Yes"),"AMBER - NOT INTEGRATED","RESOLVED")),IF(S193="","REVIEWED","RESOLVED")))))</f>
        <v/>
      </c>
      <c r="X193" s="778" t="n"/>
    </row>
    <row r="194" ht="28" customHeight="1" s="491">
      <c r="A194" s="26" t="inlineStr">
        <is>
          <t>ERF-078</t>
        </is>
      </c>
      <c r="B194" s="778" t="n"/>
      <c r="C194" s="778" t="n"/>
      <c r="D194" s="778" t="n"/>
      <c r="E194" s="778" t="n"/>
      <c r="F194" s="778" t="n"/>
      <c r="G194" s="778" t="n"/>
      <c r="H194" s="778" t="n"/>
      <c r="I194" s="778" t="n"/>
      <c r="J194" s="778" t="n"/>
      <c r="K194" s="778" t="n"/>
      <c r="L194" s="1511">
        <f>IF(OR(H194="",K194="",K194=0),"",(H194-K194)/K194)</f>
        <v/>
      </c>
      <c r="M194" s="778" t="n"/>
      <c r="N194" s="778" t="n"/>
      <c r="O194" s="778" t="n"/>
      <c r="P194" s="778" t="n"/>
      <c r="Q194" s="778" t="n"/>
      <c r="R194" s="778" t="n"/>
      <c r="S194" s="778" t="n"/>
      <c r="T194" s="778" t="n"/>
      <c r="U194" s="778" t="n"/>
      <c r="V194" s="778" t="n"/>
      <c r="W194" s="26">
        <f>IF(AND(C194="",R194=""),"",IF(P194&lt;&gt;"Yes","INFO",IF(Q194="RED",IF(S194="","OPEN - RED",IF(AND(OR(S194="CHANGE ACCEPTED",S194="PARTIAL CHANGE"),V194&lt;&gt;"Yes"),"RED - NOT INTEGRATED","RESOLVED")),IF(Q194="AMBER",IF(S194="","OPEN - AMBER",IF(AND(OR(S194="CHANGE ACCEPTED",S194="PARTIAL CHANGE"),V194&lt;&gt;"Yes"),"AMBER - NOT INTEGRATED","RESOLVED")),IF(S194="","REVIEWED","RESOLVED")))))</f>
        <v/>
      </c>
      <c r="X194" s="778" t="n"/>
    </row>
    <row r="195" ht="28" customHeight="1" s="491">
      <c r="A195" s="26" t="inlineStr">
        <is>
          <t>ERF-079</t>
        </is>
      </c>
      <c r="B195" s="778" t="n"/>
      <c r="C195" s="778" t="n"/>
      <c r="D195" s="778" t="n"/>
      <c r="E195" s="778" t="n"/>
      <c r="F195" s="778" t="n"/>
      <c r="G195" s="778" t="n"/>
      <c r="H195" s="778" t="n"/>
      <c r="I195" s="778" t="n"/>
      <c r="J195" s="778" t="n"/>
      <c r="K195" s="778" t="n"/>
      <c r="L195" s="1511">
        <f>IF(OR(H195="",K195="",K195=0),"",(H195-K195)/K195)</f>
        <v/>
      </c>
      <c r="M195" s="778" t="n"/>
      <c r="N195" s="778" t="n"/>
      <c r="O195" s="778" t="n"/>
      <c r="P195" s="778" t="n"/>
      <c r="Q195" s="778" t="n"/>
      <c r="R195" s="778" t="n"/>
      <c r="S195" s="778" t="n"/>
      <c r="T195" s="778" t="n"/>
      <c r="U195" s="778" t="n"/>
      <c r="V195" s="778" t="n"/>
      <c r="W195" s="26">
        <f>IF(AND(C195="",R195=""),"",IF(P195&lt;&gt;"Yes","INFO",IF(Q195="RED",IF(S195="","OPEN - RED",IF(AND(OR(S195="CHANGE ACCEPTED",S195="PARTIAL CHANGE"),V195&lt;&gt;"Yes"),"RED - NOT INTEGRATED","RESOLVED")),IF(Q195="AMBER",IF(S195="","OPEN - AMBER",IF(AND(OR(S195="CHANGE ACCEPTED",S195="PARTIAL CHANGE"),V195&lt;&gt;"Yes"),"AMBER - NOT INTEGRATED","RESOLVED")),IF(S195="","REVIEWED","RESOLVED")))))</f>
        <v/>
      </c>
      <c r="X195" s="778" t="n"/>
    </row>
    <row r="196" ht="28" customHeight="1" s="491">
      <c r="A196" s="26" t="inlineStr">
        <is>
          <t>ERF-080</t>
        </is>
      </c>
      <c r="B196" s="778" t="n"/>
      <c r="C196" s="778" t="n"/>
      <c r="D196" s="778" t="n"/>
      <c r="E196" s="778" t="n"/>
      <c r="F196" s="778" t="n"/>
      <c r="G196" s="778" t="n"/>
      <c r="H196" s="778" t="n"/>
      <c r="I196" s="778" t="n"/>
      <c r="J196" s="778" t="n"/>
      <c r="K196" s="778" t="n"/>
      <c r="L196" s="1511">
        <f>IF(OR(H196="",K196="",K196=0),"",(H196-K196)/K196)</f>
        <v/>
      </c>
      <c r="M196" s="778" t="n"/>
      <c r="N196" s="778" t="n"/>
      <c r="O196" s="778" t="n"/>
      <c r="P196" s="778" t="n"/>
      <c r="Q196" s="778" t="n"/>
      <c r="R196" s="778" t="n"/>
      <c r="S196" s="778" t="n"/>
      <c r="T196" s="778" t="n"/>
      <c r="U196" s="778" t="n"/>
      <c r="V196" s="778" t="n"/>
      <c r="W196" s="26">
        <f>IF(AND(C196="",R196=""),"",IF(P196&lt;&gt;"Yes","INFO",IF(Q196="RED",IF(S196="","OPEN - RED",IF(AND(OR(S196="CHANGE ACCEPTED",S196="PARTIAL CHANGE"),V196&lt;&gt;"Yes"),"RED - NOT INTEGRATED","RESOLVED")),IF(Q196="AMBER",IF(S196="","OPEN - AMBER",IF(AND(OR(S196="CHANGE ACCEPTED",S196="PARTIAL CHANGE"),V196&lt;&gt;"Yes"),"AMBER - NOT INTEGRATED","RESOLVED")),IF(S196="","REVIEWED","RESOLVED")))))</f>
        <v/>
      </c>
      <c r="X196" s="778" t="n"/>
    </row>
    <row r="197" ht="28" customHeight="1" s="491">
      <c r="A197" s="26" t="inlineStr">
        <is>
          <t>ERF-081</t>
        </is>
      </c>
      <c r="B197" s="778" t="n"/>
      <c r="C197" s="778" t="n"/>
      <c r="D197" s="778" t="n"/>
      <c r="E197" s="778" t="n"/>
      <c r="F197" s="778" t="n"/>
      <c r="G197" s="778" t="n"/>
      <c r="H197" s="778" t="n"/>
      <c r="I197" s="778" t="n"/>
      <c r="J197" s="778" t="n"/>
      <c r="K197" s="778" t="n"/>
      <c r="L197" s="1511">
        <f>IF(OR(H197="",K197="",K197=0),"",(H197-K197)/K197)</f>
        <v/>
      </c>
      <c r="M197" s="778" t="n"/>
      <c r="N197" s="778" t="n"/>
      <c r="O197" s="778" t="n"/>
      <c r="P197" s="778" t="n"/>
      <c r="Q197" s="778" t="n"/>
      <c r="R197" s="778" t="n"/>
      <c r="S197" s="778" t="n"/>
      <c r="T197" s="778" t="n"/>
      <c r="U197" s="778" t="n"/>
      <c r="V197" s="778" t="n"/>
      <c r="W197" s="26">
        <f>IF(AND(C197="",R197=""),"",IF(P197&lt;&gt;"Yes","INFO",IF(Q197="RED",IF(S197="","OPEN - RED",IF(AND(OR(S197="CHANGE ACCEPTED",S197="PARTIAL CHANGE"),V197&lt;&gt;"Yes"),"RED - NOT INTEGRATED","RESOLVED")),IF(Q197="AMBER",IF(S197="","OPEN - AMBER",IF(AND(OR(S197="CHANGE ACCEPTED",S197="PARTIAL CHANGE"),V197&lt;&gt;"Yes"),"AMBER - NOT INTEGRATED","RESOLVED")),IF(S197="","REVIEWED","RESOLVED")))))</f>
        <v/>
      </c>
      <c r="X197" s="778" t="n"/>
    </row>
    <row r="198" ht="28" customHeight="1" s="491">
      <c r="A198" s="26" t="inlineStr">
        <is>
          <t>ERF-082</t>
        </is>
      </c>
      <c r="B198" s="778" t="n"/>
      <c r="C198" s="778" t="n"/>
      <c r="D198" s="778" t="n"/>
      <c r="E198" s="778" t="n"/>
      <c r="F198" s="778" t="n"/>
      <c r="G198" s="778" t="n"/>
      <c r="H198" s="778" t="n"/>
      <c r="I198" s="778" t="n"/>
      <c r="J198" s="778" t="n"/>
      <c r="K198" s="778" t="n"/>
      <c r="L198" s="1511">
        <f>IF(OR(H198="",K198="",K198=0),"",(H198-K198)/K198)</f>
        <v/>
      </c>
      <c r="M198" s="778" t="n"/>
      <c r="N198" s="778" t="n"/>
      <c r="O198" s="778" t="n"/>
      <c r="P198" s="778" t="n"/>
      <c r="Q198" s="778" t="n"/>
      <c r="R198" s="778" t="n"/>
      <c r="S198" s="778" t="n"/>
      <c r="T198" s="778" t="n"/>
      <c r="U198" s="778" t="n"/>
      <c r="V198" s="778" t="n"/>
      <c r="W198" s="26">
        <f>IF(AND(C198="",R198=""),"",IF(P198&lt;&gt;"Yes","INFO",IF(Q198="RED",IF(S198="","OPEN - RED",IF(AND(OR(S198="CHANGE ACCEPTED",S198="PARTIAL CHANGE"),V198&lt;&gt;"Yes"),"RED - NOT INTEGRATED","RESOLVED")),IF(Q198="AMBER",IF(S198="","OPEN - AMBER",IF(AND(OR(S198="CHANGE ACCEPTED",S198="PARTIAL CHANGE"),V198&lt;&gt;"Yes"),"AMBER - NOT INTEGRATED","RESOLVED")),IF(S198="","REVIEWED","RESOLVED")))))</f>
        <v/>
      </c>
      <c r="X198" s="778" t="n"/>
    </row>
    <row r="199" ht="28" customHeight="1" s="491">
      <c r="A199" s="26" t="inlineStr">
        <is>
          <t>ERF-083</t>
        </is>
      </c>
      <c r="B199" s="778" t="n"/>
      <c r="C199" s="778" t="n"/>
      <c r="D199" s="778" t="n"/>
      <c r="E199" s="778" t="n"/>
      <c r="F199" s="778" t="n"/>
      <c r="G199" s="778" t="n"/>
      <c r="H199" s="778" t="n"/>
      <c r="I199" s="778" t="n"/>
      <c r="J199" s="778" t="n"/>
      <c r="K199" s="778" t="n"/>
      <c r="L199" s="1511">
        <f>IF(OR(H199="",K199="",K199=0),"",(H199-K199)/K199)</f>
        <v/>
      </c>
      <c r="M199" s="778" t="n"/>
      <c r="N199" s="778" t="n"/>
      <c r="O199" s="778" t="n"/>
      <c r="P199" s="778" t="n"/>
      <c r="Q199" s="778" t="n"/>
      <c r="R199" s="778" t="n"/>
      <c r="S199" s="778" t="n"/>
      <c r="T199" s="778" t="n"/>
      <c r="U199" s="778" t="n"/>
      <c r="V199" s="778" t="n"/>
      <c r="W199" s="26">
        <f>IF(AND(C199="",R199=""),"",IF(P199&lt;&gt;"Yes","INFO",IF(Q199="RED",IF(S199="","OPEN - RED",IF(AND(OR(S199="CHANGE ACCEPTED",S199="PARTIAL CHANGE"),V199&lt;&gt;"Yes"),"RED - NOT INTEGRATED","RESOLVED")),IF(Q199="AMBER",IF(S199="","OPEN - AMBER",IF(AND(OR(S199="CHANGE ACCEPTED",S199="PARTIAL CHANGE"),V199&lt;&gt;"Yes"),"AMBER - NOT INTEGRATED","RESOLVED")),IF(S199="","REVIEWED","RESOLVED")))))</f>
        <v/>
      </c>
      <c r="X199" s="778" t="n"/>
    </row>
    <row r="200" ht="28" customHeight="1" s="491">
      <c r="A200" s="26" t="inlineStr">
        <is>
          <t>ERF-084</t>
        </is>
      </c>
      <c r="B200" s="778" t="n"/>
      <c r="C200" s="778" t="n"/>
      <c r="D200" s="778" t="n"/>
      <c r="E200" s="778" t="n"/>
      <c r="F200" s="778" t="n"/>
      <c r="G200" s="778" t="n"/>
      <c r="H200" s="778" t="n"/>
      <c r="I200" s="778" t="n"/>
      <c r="J200" s="778" t="n"/>
      <c r="K200" s="778" t="n"/>
      <c r="L200" s="1511">
        <f>IF(OR(H200="",K200="",K200=0),"",(H200-K200)/K200)</f>
        <v/>
      </c>
      <c r="M200" s="778" t="n"/>
      <c r="N200" s="778" t="n"/>
      <c r="O200" s="778" t="n"/>
      <c r="P200" s="778" t="n"/>
      <c r="Q200" s="778" t="n"/>
      <c r="R200" s="778" t="n"/>
      <c r="S200" s="778" t="n"/>
      <c r="T200" s="778" t="n"/>
      <c r="U200" s="778" t="n"/>
      <c r="V200" s="778" t="n"/>
      <c r="W200" s="26">
        <f>IF(AND(C200="",R200=""),"",IF(P200&lt;&gt;"Yes","INFO",IF(Q200="RED",IF(S200="","OPEN - RED",IF(AND(OR(S200="CHANGE ACCEPTED",S200="PARTIAL CHANGE"),V200&lt;&gt;"Yes"),"RED - NOT INTEGRATED","RESOLVED")),IF(Q200="AMBER",IF(S200="","OPEN - AMBER",IF(AND(OR(S200="CHANGE ACCEPTED",S200="PARTIAL CHANGE"),V200&lt;&gt;"Yes"),"AMBER - NOT INTEGRATED","RESOLVED")),IF(S200="","REVIEWED","RESOLVED")))))</f>
        <v/>
      </c>
      <c r="X200" s="778" t="n"/>
    </row>
    <row r="201" ht="28" customHeight="1" s="491">
      <c r="A201" s="26" t="inlineStr">
        <is>
          <t>ERF-085</t>
        </is>
      </c>
      <c r="B201" s="778" t="n"/>
      <c r="C201" s="778" t="n"/>
      <c r="D201" s="778" t="n"/>
      <c r="E201" s="778" t="n"/>
      <c r="F201" s="778" t="n"/>
      <c r="G201" s="778" t="n"/>
      <c r="H201" s="778" t="n"/>
      <c r="I201" s="778" t="n"/>
      <c r="J201" s="778" t="n"/>
      <c r="K201" s="778" t="n"/>
      <c r="L201" s="1511">
        <f>IF(OR(H201="",K201="",K201=0),"",(H201-K201)/K201)</f>
        <v/>
      </c>
      <c r="M201" s="778" t="n"/>
      <c r="N201" s="778" t="n"/>
      <c r="O201" s="778" t="n"/>
      <c r="P201" s="778" t="n"/>
      <c r="Q201" s="778" t="n"/>
      <c r="R201" s="778" t="n"/>
      <c r="S201" s="778" t="n"/>
      <c r="T201" s="778" t="n"/>
      <c r="U201" s="778" t="n"/>
      <c r="V201" s="778" t="n"/>
      <c r="W201" s="26">
        <f>IF(AND(C201="",R201=""),"",IF(P201&lt;&gt;"Yes","INFO",IF(Q201="RED",IF(S201="","OPEN - RED",IF(AND(OR(S201="CHANGE ACCEPTED",S201="PARTIAL CHANGE"),V201&lt;&gt;"Yes"),"RED - NOT INTEGRATED","RESOLVED")),IF(Q201="AMBER",IF(S201="","OPEN - AMBER",IF(AND(OR(S201="CHANGE ACCEPTED",S201="PARTIAL CHANGE"),V201&lt;&gt;"Yes"),"AMBER - NOT INTEGRATED","RESOLVED")),IF(S201="","REVIEWED","RESOLVED")))))</f>
        <v/>
      </c>
      <c r="X201" s="778" t="n"/>
    </row>
    <row r="202" ht="28" customHeight="1" s="491">
      <c r="A202" s="26" t="inlineStr">
        <is>
          <t>ERF-086</t>
        </is>
      </c>
      <c r="B202" s="778" t="n"/>
      <c r="C202" s="778" t="n"/>
      <c r="D202" s="778" t="n"/>
      <c r="E202" s="778" t="n"/>
      <c r="F202" s="778" t="n"/>
      <c r="G202" s="778" t="n"/>
      <c r="H202" s="778" t="n"/>
      <c r="I202" s="778" t="n"/>
      <c r="J202" s="778" t="n"/>
      <c r="K202" s="778" t="n"/>
      <c r="L202" s="1511">
        <f>IF(OR(H202="",K202="",K202=0),"",(H202-K202)/K202)</f>
        <v/>
      </c>
      <c r="M202" s="778" t="n"/>
      <c r="N202" s="778" t="n"/>
      <c r="O202" s="778" t="n"/>
      <c r="P202" s="778" t="n"/>
      <c r="Q202" s="778" t="n"/>
      <c r="R202" s="778" t="n"/>
      <c r="S202" s="778" t="n"/>
      <c r="T202" s="778" t="n"/>
      <c r="U202" s="778" t="n"/>
      <c r="V202" s="778" t="n"/>
      <c r="W202" s="26">
        <f>IF(AND(C202="",R202=""),"",IF(P202&lt;&gt;"Yes","INFO",IF(Q202="RED",IF(S202="","OPEN - RED",IF(AND(OR(S202="CHANGE ACCEPTED",S202="PARTIAL CHANGE"),V202&lt;&gt;"Yes"),"RED - NOT INTEGRATED","RESOLVED")),IF(Q202="AMBER",IF(S202="","OPEN - AMBER",IF(AND(OR(S202="CHANGE ACCEPTED",S202="PARTIAL CHANGE"),V202&lt;&gt;"Yes"),"AMBER - NOT INTEGRATED","RESOLVED")),IF(S202="","REVIEWED","RESOLVED")))))</f>
        <v/>
      </c>
      <c r="X202" s="778" t="n"/>
    </row>
    <row r="203" ht="28" customHeight="1" s="491">
      <c r="A203" s="26" t="inlineStr">
        <is>
          <t>ERF-087</t>
        </is>
      </c>
      <c r="B203" s="778" t="n"/>
      <c r="C203" s="778" t="n"/>
      <c r="D203" s="778" t="n"/>
      <c r="E203" s="778" t="n"/>
      <c r="F203" s="778" t="n"/>
      <c r="G203" s="778" t="n"/>
      <c r="H203" s="778" t="n"/>
      <c r="I203" s="778" t="n"/>
      <c r="J203" s="778" t="n"/>
      <c r="K203" s="778" t="n"/>
      <c r="L203" s="1511">
        <f>IF(OR(H203="",K203="",K203=0),"",(H203-K203)/K203)</f>
        <v/>
      </c>
      <c r="M203" s="778" t="n"/>
      <c r="N203" s="778" t="n"/>
      <c r="O203" s="778" t="n"/>
      <c r="P203" s="778" t="n"/>
      <c r="Q203" s="778" t="n"/>
      <c r="R203" s="778" t="n"/>
      <c r="S203" s="778" t="n"/>
      <c r="T203" s="778" t="n"/>
      <c r="U203" s="778" t="n"/>
      <c r="V203" s="778" t="n"/>
      <c r="W203" s="26">
        <f>IF(AND(C203="",R203=""),"",IF(P203&lt;&gt;"Yes","INFO",IF(Q203="RED",IF(S203="","OPEN - RED",IF(AND(OR(S203="CHANGE ACCEPTED",S203="PARTIAL CHANGE"),V203&lt;&gt;"Yes"),"RED - NOT INTEGRATED","RESOLVED")),IF(Q203="AMBER",IF(S203="","OPEN - AMBER",IF(AND(OR(S203="CHANGE ACCEPTED",S203="PARTIAL CHANGE"),V203&lt;&gt;"Yes"),"AMBER - NOT INTEGRATED","RESOLVED")),IF(S203="","REVIEWED","RESOLVED")))))</f>
        <v/>
      </c>
      <c r="X203" s="778" t="n"/>
    </row>
    <row r="204" ht="28" customHeight="1" s="491">
      <c r="A204" s="26" t="inlineStr">
        <is>
          <t>ERF-088</t>
        </is>
      </c>
      <c r="B204" s="778" t="n"/>
      <c r="C204" s="778" t="n"/>
      <c r="D204" s="778" t="n"/>
      <c r="E204" s="778" t="n"/>
      <c r="F204" s="778" t="n"/>
      <c r="G204" s="778" t="n"/>
      <c r="H204" s="778" t="n"/>
      <c r="I204" s="778" t="n"/>
      <c r="J204" s="778" t="n"/>
      <c r="K204" s="778" t="n"/>
      <c r="L204" s="1511">
        <f>IF(OR(H204="",K204="",K204=0),"",(H204-K204)/K204)</f>
        <v/>
      </c>
      <c r="M204" s="778" t="n"/>
      <c r="N204" s="778" t="n"/>
      <c r="O204" s="778" t="n"/>
      <c r="P204" s="778" t="n"/>
      <c r="Q204" s="778" t="n"/>
      <c r="R204" s="778" t="n"/>
      <c r="S204" s="778" t="n"/>
      <c r="T204" s="778" t="n"/>
      <c r="U204" s="778" t="n"/>
      <c r="V204" s="778" t="n"/>
      <c r="W204" s="26">
        <f>IF(AND(C204="",R204=""),"",IF(P204&lt;&gt;"Yes","INFO",IF(Q204="RED",IF(S204="","OPEN - RED",IF(AND(OR(S204="CHANGE ACCEPTED",S204="PARTIAL CHANGE"),V204&lt;&gt;"Yes"),"RED - NOT INTEGRATED","RESOLVED")),IF(Q204="AMBER",IF(S204="","OPEN - AMBER",IF(AND(OR(S204="CHANGE ACCEPTED",S204="PARTIAL CHANGE"),V204&lt;&gt;"Yes"),"AMBER - NOT INTEGRATED","RESOLVED")),IF(S204="","REVIEWED","RESOLVED")))))</f>
        <v/>
      </c>
      <c r="X204" s="778" t="n"/>
    </row>
    <row r="205" ht="28" customHeight="1" s="491">
      <c r="A205" s="26" t="inlineStr">
        <is>
          <t>ERF-089</t>
        </is>
      </c>
      <c r="B205" s="778" t="n"/>
      <c r="C205" s="778" t="n"/>
      <c r="D205" s="778" t="n"/>
      <c r="E205" s="778" t="n"/>
      <c r="F205" s="778" t="n"/>
      <c r="G205" s="778" t="n"/>
      <c r="H205" s="778" t="n"/>
      <c r="I205" s="778" t="n"/>
      <c r="J205" s="778" t="n"/>
      <c r="K205" s="778" t="n"/>
      <c r="L205" s="1511">
        <f>IF(OR(H205="",K205="",K205=0),"",(H205-K205)/K205)</f>
        <v/>
      </c>
      <c r="M205" s="778" t="n"/>
      <c r="N205" s="778" t="n"/>
      <c r="O205" s="778" t="n"/>
      <c r="P205" s="778" t="n"/>
      <c r="Q205" s="778" t="n"/>
      <c r="R205" s="778" t="n"/>
      <c r="S205" s="778" t="n"/>
      <c r="T205" s="778" t="n"/>
      <c r="U205" s="778" t="n"/>
      <c r="V205" s="778" t="n"/>
      <c r="W205" s="26">
        <f>IF(AND(C205="",R205=""),"",IF(P205&lt;&gt;"Yes","INFO",IF(Q205="RED",IF(S205="","OPEN - RED",IF(AND(OR(S205="CHANGE ACCEPTED",S205="PARTIAL CHANGE"),V205&lt;&gt;"Yes"),"RED - NOT INTEGRATED","RESOLVED")),IF(Q205="AMBER",IF(S205="","OPEN - AMBER",IF(AND(OR(S205="CHANGE ACCEPTED",S205="PARTIAL CHANGE"),V205&lt;&gt;"Yes"),"AMBER - NOT INTEGRATED","RESOLVED")),IF(S205="","REVIEWED","RESOLVED")))))</f>
        <v/>
      </c>
      <c r="X205" s="778" t="n"/>
    </row>
    <row r="206" ht="28" customHeight="1" s="491">
      <c r="A206" s="26" t="inlineStr">
        <is>
          <t>ERF-090</t>
        </is>
      </c>
      <c r="B206" s="778" t="n"/>
      <c r="C206" s="778" t="n"/>
      <c r="D206" s="778" t="n"/>
      <c r="E206" s="778" t="n"/>
      <c r="F206" s="778" t="n"/>
      <c r="G206" s="778" t="n"/>
      <c r="H206" s="778" t="n"/>
      <c r="I206" s="778" t="n"/>
      <c r="J206" s="778" t="n"/>
      <c r="K206" s="778" t="n"/>
      <c r="L206" s="1511">
        <f>IF(OR(H206="",K206="",K206=0),"",(H206-K206)/K206)</f>
        <v/>
      </c>
      <c r="M206" s="778" t="n"/>
      <c r="N206" s="778" t="n"/>
      <c r="O206" s="778" t="n"/>
      <c r="P206" s="778" t="n"/>
      <c r="Q206" s="778" t="n"/>
      <c r="R206" s="778" t="n"/>
      <c r="S206" s="778" t="n"/>
      <c r="T206" s="778" t="n"/>
      <c r="U206" s="778" t="n"/>
      <c r="V206" s="778" t="n"/>
      <c r="W206" s="26">
        <f>IF(AND(C206="",R206=""),"",IF(P206&lt;&gt;"Yes","INFO",IF(Q206="RED",IF(S206="","OPEN - RED",IF(AND(OR(S206="CHANGE ACCEPTED",S206="PARTIAL CHANGE"),V206&lt;&gt;"Yes"),"RED - NOT INTEGRATED","RESOLVED")),IF(Q206="AMBER",IF(S206="","OPEN - AMBER",IF(AND(OR(S206="CHANGE ACCEPTED",S206="PARTIAL CHANGE"),V206&lt;&gt;"Yes"),"AMBER - NOT INTEGRATED","RESOLVED")),IF(S206="","REVIEWED","RESOLVED")))))</f>
        <v/>
      </c>
      <c r="X206" s="778" t="n"/>
    </row>
    <row r="207" ht="28" customHeight="1" s="491">
      <c r="A207" s="26" t="inlineStr">
        <is>
          <t>ERF-091</t>
        </is>
      </c>
      <c r="B207" s="778" t="n"/>
      <c r="C207" s="778" t="n"/>
      <c r="D207" s="778" t="n"/>
      <c r="E207" s="778" t="n"/>
      <c r="F207" s="778" t="n"/>
      <c r="G207" s="778" t="n"/>
      <c r="H207" s="778" t="n"/>
      <c r="I207" s="778" t="n"/>
      <c r="J207" s="778" t="n"/>
      <c r="K207" s="778" t="n"/>
      <c r="L207" s="1511">
        <f>IF(OR(H207="",K207="",K207=0),"",(H207-K207)/K207)</f>
        <v/>
      </c>
      <c r="M207" s="778" t="n"/>
      <c r="N207" s="778" t="n"/>
      <c r="O207" s="778" t="n"/>
      <c r="P207" s="778" t="n"/>
      <c r="Q207" s="778" t="n"/>
      <c r="R207" s="778" t="n"/>
      <c r="S207" s="778" t="n"/>
      <c r="T207" s="778" t="n"/>
      <c r="U207" s="778" t="n"/>
      <c r="V207" s="778" t="n"/>
      <c r="W207" s="26">
        <f>IF(AND(C207="",R207=""),"",IF(P207&lt;&gt;"Yes","INFO",IF(Q207="RED",IF(S207="","OPEN - RED",IF(AND(OR(S207="CHANGE ACCEPTED",S207="PARTIAL CHANGE"),V207&lt;&gt;"Yes"),"RED - NOT INTEGRATED","RESOLVED")),IF(Q207="AMBER",IF(S207="","OPEN - AMBER",IF(AND(OR(S207="CHANGE ACCEPTED",S207="PARTIAL CHANGE"),V207&lt;&gt;"Yes"),"AMBER - NOT INTEGRATED","RESOLVED")),IF(S207="","REVIEWED","RESOLVED")))))</f>
        <v/>
      </c>
      <c r="X207" s="778" t="n"/>
    </row>
    <row r="208" ht="28" customHeight="1" s="491">
      <c r="A208" s="26" t="inlineStr">
        <is>
          <t>ERF-092</t>
        </is>
      </c>
      <c r="B208" s="778" t="n"/>
      <c r="C208" s="778" t="n"/>
      <c r="D208" s="778" t="n"/>
      <c r="E208" s="778" t="n"/>
      <c r="F208" s="778" t="n"/>
      <c r="G208" s="778" t="n"/>
      <c r="H208" s="778" t="n"/>
      <c r="I208" s="778" t="n"/>
      <c r="J208" s="778" t="n"/>
      <c r="K208" s="778" t="n"/>
      <c r="L208" s="1511">
        <f>IF(OR(H208="",K208="",K208=0),"",(H208-K208)/K208)</f>
        <v/>
      </c>
      <c r="M208" s="778" t="n"/>
      <c r="N208" s="778" t="n"/>
      <c r="O208" s="778" t="n"/>
      <c r="P208" s="778" t="n"/>
      <c r="Q208" s="778" t="n"/>
      <c r="R208" s="778" t="n"/>
      <c r="S208" s="778" t="n"/>
      <c r="T208" s="778" t="n"/>
      <c r="U208" s="778" t="n"/>
      <c r="V208" s="778" t="n"/>
      <c r="W208" s="26">
        <f>IF(AND(C208="",R208=""),"",IF(P208&lt;&gt;"Yes","INFO",IF(Q208="RED",IF(S208="","OPEN - RED",IF(AND(OR(S208="CHANGE ACCEPTED",S208="PARTIAL CHANGE"),V208&lt;&gt;"Yes"),"RED - NOT INTEGRATED","RESOLVED")),IF(Q208="AMBER",IF(S208="","OPEN - AMBER",IF(AND(OR(S208="CHANGE ACCEPTED",S208="PARTIAL CHANGE"),V208&lt;&gt;"Yes"),"AMBER - NOT INTEGRATED","RESOLVED")),IF(S208="","REVIEWED","RESOLVED")))))</f>
        <v/>
      </c>
      <c r="X208" s="778" t="n"/>
    </row>
    <row r="209" ht="28" customHeight="1" s="491">
      <c r="A209" s="26" t="inlineStr">
        <is>
          <t>ERF-093</t>
        </is>
      </c>
      <c r="B209" s="778" t="n"/>
      <c r="C209" s="778" t="n"/>
      <c r="D209" s="778" t="n"/>
      <c r="E209" s="778" t="n"/>
      <c r="F209" s="778" t="n"/>
      <c r="G209" s="778" t="n"/>
      <c r="H209" s="778" t="n"/>
      <c r="I209" s="778" t="n"/>
      <c r="J209" s="778" t="n"/>
      <c r="K209" s="778" t="n"/>
      <c r="L209" s="1511">
        <f>IF(OR(H209="",K209="",K209=0),"",(H209-K209)/K209)</f>
        <v/>
      </c>
      <c r="M209" s="778" t="n"/>
      <c r="N209" s="778" t="n"/>
      <c r="O209" s="778" t="n"/>
      <c r="P209" s="778" t="n"/>
      <c r="Q209" s="778" t="n"/>
      <c r="R209" s="778" t="n"/>
      <c r="S209" s="778" t="n"/>
      <c r="T209" s="778" t="n"/>
      <c r="U209" s="778" t="n"/>
      <c r="V209" s="778" t="n"/>
      <c r="W209" s="26">
        <f>IF(AND(C209="",R209=""),"",IF(P209&lt;&gt;"Yes","INFO",IF(Q209="RED",IF(S209="","OPEN - RED",IF(AND(OR(S209="CHANGE ACCEPTED",S209="PARTIAL CHANGE"),V209&lt;&gt;"Yes"),"RED - NOT INTEGRATED","RESOLVED")),IF(Q209="AMBER",IF(S209="","OPEN - AMBER",IF(AND(OR(S209="CHANGE ACCEPTED",S209="PARTIAL CHANGE"),V209&lt;&gt;"Yes"),"AMBER - NOT INTEGRATED","RESOLVED")),IF(S209="","REVIEWED","RESOLVED")))))</f>
        <v/>
      </c>
      <c r="X209" s="778" t="n"/>
    </row>
    <row r="210" ht="28" customHeight="1" s="491">
      <c r="A210" s="26" t="inlineStr">
        <is>
          <t>ERF-094</t>
        </is>
      </c>
      <c r="B210" s="778" t="n"/>
      <c r="C210" s="778" t="n"/>
      <c r="D210" s="778" t="n"/>
      <c r="E210" s="778" t="n"/>
      <c r="F210" s="778" t="n"/>
      <c r="G210" s="778" t="n"/>
      <c r="H210" s="778" t="n"/>
      <c r="I210" s="778" t="n"/>
      <c r="J210" s="778" t="n"/>
      <c r="K210" s="778" t="n"/>
      <c r="L210" s="1511">
        <f>IF(OR(H210="",K210="",K210=0),"",(H210-K210)/K210)</f>
        <v/>
      </c>
      <c r="M210" s="778" t="n"/>
      <c r="N210" s="778" t="n"/>
      <c r="O210" s="778" t="n"/>
      <c r="P210" s="778" t="n"/>
      <c r="Q210" s="778" t="n"/>
      <c r="R210" s="778" t="n"/>
      <c r="S210" s="778" t="n"/>
      <c r="T210" s="778" t="n"/>
      <c r="U210" s="778" t="n"/>
      <c r="V210" s="778" t="n"/>
      <c r="W210" s="26">
        <f>IF(AND(C210="",R210=""),"",IF(P210&lt;&gt;"Yes","INFO",IF(Q210="RED",IF(S210="","OPEN - RED",IF(AND(OR(S210="CHANGE ACCEPTED",S210="PARTIAL CHANGE"),V210&lt;&gt;"Yes"),"RED - NOT INTEGRATED","RESOLVED")),IF(Q210="AMBER",IF(S210="","OPEN - AMBER",IF(AND(OR(S210="CHANGE ACCEPTED",S210="PARTIAL CHANGE"),V210&lt;&gt;"Yes"),"AMBER - NOT INTEGRATED","RESOLVED")),IF(S210="","REVIEWED","RESOLVED")))))</f>
        <v/>
      </c>
      <c r="X210" s="778" t="n"/>
    </row>
    <row r="211" ht="28" customHeight="1" s="491">
      <c r="A211" s="26" t="inlineStr">
        <is>
          <t>ERF-095</t>
        </is>
      </c>
      <c r="B211" s="778" t="n"/>
      <c r="C211" s="778" t="n"/>
      <c r="D211" s="778" t="n"/>
      <c r="E211" s="778" t="n"/>
      <c r="F211" s="778" t="n"/>
      <c r="G211" s="778" t="n"/>
      <c r="H211" s="778" t="n"/>
      <c r="I211" s="778" t="n"/>
      <c r="J211" s="778" t="n"/>
      <c r="K211" s="778" t="n"/>
      <c r="L211" s="1511">
        <f>IF(OR(H211="",K211="",K211=0),"",(H211-K211)/K211)</f>
        <v/>
      </c>
      <c r="M211" s="778" t="n"/>
      <c r="N211" s="778" t="n"/>
      <c r="O211" s="778" t="n"/>
      <c r="P211" s="778" t="n"/>
      <c r="Q211" s="778" t="n"/>
      <c r="R211" s="778" t="n"/>
      <c r="S211" s="778" t="n"/>
      <c r="T211" s="778" t="n"/>
      <c r="U211" s="778" t="n"/>
      <c r="V211" s="778" t="n"/>
      <c r="W211" s="26">
        <f>IF(AND(C211="",R211=""),"",IF(P211&lt;&gt;"Yes","INFO",IF(Q211="RED",IF(S211="","OPEN - RED",IF(AND(OR(S211="CHANGE ACCEPTED",S211="PARTIAL CHANGE"),V211&lt;&gt;"Yes"),"RED - NOT INTEGRATED","RESOLVED")),IF(Q211="AMBER",IF(S211="","OPEN - AMBER",IF(AND(OR(S211="CHANGE ACCEPTED",S211="PARTIAL CHANGE"),V211&lt;&gt;"Yes"),"AMBER - NOT INTEGRATED","RESOLVED")),IF(S211="","REVIEWED","RESOLVED")))))</f>
        <v/>
      </c>
      <c r="X211" s="778" t="n"/>
    </row>
    <row r="212" ht="28" customHeight="1" s="491">
      <c r="A212" s="26" t="inlineStr">
        <is>
          <t>ERF-096</t>
        </is>
      </c>
      <c r="B212" s="778" t="n"/>
      <c r="C212" s="778" t="n"/>
      <c r="D212" s="778" t="n"/>
      <c r="E212" s="778" t="n"/>
      <c r="F212" s="778" t="n"/>
      <c r="G212" s="778" t="n"/>
      <c r="H212" s="778" t="n"/>
      <c r="I212" s="778" t="n"/>
      <c r="J212" s="778" t="n"/>
      <c r="K212" s="778" t="n"/>
      <c r="L212" s="1511">
        <f>IF(OR(H212="",K212="",K212=0),"",(H212-K212)/K212)</f>
        <v/>
      </c>
      <c r="M212" s="778" t="n"/>
      <c r="N212" s="778" t="n"/>
      <c r="O212" s="778" t="n"/>
      <c r="P212" s="778" t="n"/>
      <c r="Q212" s="778" t="n"/>
      <c r="R212" s="778" t="n"/>
      <c r="S212" s="778" t="n"/>
      <c r="T212" s="778" t="n"/>
      <c r="U212" s="778" t="n"/>
      <c r="V212" s="778" t="n"/>
      <c r="W212" s="26">
        <f>IF(AND(C212="",R212=""),"",IF(P212&lt;&gt;"Yes","INFO",IF(Q212="RED",IF(S212="","OPEN - RED",IF(AND(OR(S212="CHANGE ACCEPTED",S212="PARTIAL CHANGE"),V212&lt;&gt;"Yes"),"RED - NOT INTEGRATED","RESOLVED")),IF(Q212="AMBER",IF(S212="","OPEN - AMBER",IF(AND(OR(S212="CHANGE ACCEPTED",S212="PARTIAL CHANGE"),V212&lt;&gt;"Yes"),"AMBER - NOT INTEGRATED","RESOLVED")),IF(S212="","REVIEWED","RESOLVED")))))</f>
        <v/>
      </c>
      <c r="X212" s="778" t="n"/>
    </row>
    <row r="213" ht="28" customHeight="1" s="491">
      <c r="A213" s="26" t="inlineStr">
        <is>
          <t>ERF-097</t>
        </is>
      </c>
      <c r="B213" s="778" t="n"/>
      <c r="C213" s="778" t="n"/>
      <c r="D213" s="778" t="n"/>
      <c r="E213" s="778" t="n"/>
      <c r="F213" s="778" t="n"/>
      <c r="G213" s="778" t="n"/>
      <c r="H213" s="778" t="n"/>
      <c r="I213" s="778" t="n"/>
      <c r="J213" s="778" t="n"/>
      <c r="K213" s="778" t="n"/>
      <c r="L213" s="1511">
        <f>IF(OR(H213="",K213="",K213=0),"",(H213-K213)/K213)</f>
        <v/>
      </c>
      <c r="M213" s="778" t="n"/>
      <c r="N213" s="778" t="n"/>
      <c r="O213" s="778" t="n"/>
      <c r="P213" s="778" t="n"/>
      <c r="Q213" s="778" t="n"/>
      <c r="R213" s="778" t="n"/>
      <c r="S213" s="778" t="n"/>
      <c r="T213" s="778" t="n"/>
      <c r="U213" s="778" t="n"/>
      <c r="V213" s="778" t="n"/>
      <c r="W213" s="26">
        <f>IF(AND(C213="",R213=""),"",IF(P213&lt;&gt;"Yes","INFO",IF(Q213="RED",IF(S213="","OPEN - RED",IF(AND(OR(S213="CHANGE ACCEPTED",S213="PARTIAL CHANGE"),V213&lt;&gt;"Yes"),"RED - NOT INTEGRATED","RESOLVED")),IF(Q213="AMBER",IF(S213="","OPEN - AMBER",IF(AND(OR(S213="CHANGE ACCEPTED",S213="PARTIAL CHANGE"),V213&lt;&gt;"Yes"),"AMBER - NOT INTEGRATED","RESOLVED")),IF(S213="","REVIEWED","RESOLVED")))))</f>
        <v/>
      </c>
      <c r="X213" s="778" t="n"/>
    </row>
    <row r="214" ht="28" customHeight="1" s="491">
      <c r="A214" s="26" t="inlineStr">
        <is>
          <t>ERF-098</t>
        </is>
      </c>
      <c r="B214" s="778" t="n"/>
      <c r="C214" s="778" t="n"/>
      <c r="D214" s="778" t="n"/>
      <c r="E214" s="778" t="n"/>
      <c r="F214" s="778" t="n"/>
      <c r="G214" s="778" t="n"/>
      <c r="H214" s="778" t="n"/>
      <c r="I214" s="778" t="n"/>
      <c r="J214" s="778" t="n"/>
      <c r="K214" s="778" t="n"/>
      <c r="L214" s="1511">
        <f>IF(OR(H214="",K214="",K214=0),"",(H214-K214)/K214)</f>
        <v/>
      </c>
      <c r="M214" s="778" t="n"/>
      <c r="N214" s="778" t="n"/>
      <c r="O214" s="778" t="n"/>
      <c r="P214" s="778" t="n"/>
      <c r="Q214" s="778" t="n"/>
      <c r="R214" s="778" t="n"/>
      <c r="S214" s="778" t="n"/>
      <c r="T214" s="778" t="n"/>
      <c r="U214" s="778" t="n"/>
      <c r="V214" s="778" t="n"/>
      <c r="W214" s="26">
        <f>IF(AND(C214="",R214=""),"",IF(P214&lt;&gt;"Yes","INFO",IF(Q214="RED",IF(S214="","OPEN - RED",IF(AND(OR(S214="CHANGE ACCEPTED",S214="PARTIAL CHANGE"),V214&lt;&gt;"Yes"),"RED - NOT INTEGRATED","RESOLVED")),IF(Q214="AMBER",IF(S214="","OPEN - AMBER",IF(AND(OR(S214="CHANGE ACCEPTED",S214="PARTIAL CHANGE"),V214&lt;&gt;"Yes"),"AMBER - NOT INTEGRATED","RESOLVED")),IF(S214="","REVIEWED","RESOLVED")))))</f>
        <v/>
      </c>
      <c r="X214" s="778" t="n"/>
    </row>
    <row r="215" ht="28" customHeight="1" s="491">
      <c r="A215" s="26" t="inlineStr">
        <is>
          <t>ERF-099</t>
        </is>
      </c>
      <c r="B215" s="778" t="n"/>
      <c r="C215" s="778" t="n"/>
      <c r="D215" s="778" t="n"/>
      <c r="E215" s="778" t="n"/>
      <c r="F215" s="778" t="n"/>
      <c r="G215" s="778" t="n"/>
      <c r="H215" s="778" t="n"/>
      <c r="I215" s="778" t="n"/>
      <c r="J215" s="778" t="n"/>
      <c r="K215" s="778" t="n"/>
      <c r="L215" s="1511">
        <f>IF(OR(H215="",K215="",K215=0),"",(H215-K215)/K215)</f>
        <v/>
      </c>
      <c r="M215" s="778" t="n"/>
      <c r="N215" s="778" t="n"/>
      <c r="O215" s="778" t="n"/>
      <c r="P215" s="778" t="n"/>
      <c r="Q215" s="778" t="n"/>
      <c r="R215" s="778" t="n"/>
      <c r="S215" s="778" t="n"/>
      <c r="T215" s="778" t="n"/>
      <c r="U215" s="778" t="n"/>
      <c r="V215" s="778" t="n"/>
      <c r="W215" s="26">
        <f>IF(AND(C215="",R215=""),"",IF(P215&lt;&gt;"Yes","INFO",IF(Q215="RED",IF(S215="","OPEN - RED",IF(AND(OR(S215="CHANGE ACCEPTED",S215="PARTIAL CHANGE"),V215&lt;&gt;"Yes"),"RED - NOT INTEGRATED","RESOLVED")),IF(Q215="AMBER",IF(S215="","OPEN - AMBER",IF(AND(OR(S215="CHANGE ACCEPTED",S215="PARTIAL CHANGE"),V215&lt;&gt;"Yes"),"AMBER - NOT INTEGRATED","RESOLVED")),IF(S215="","REVIEWED","RESOLVED")))))</f>
        <v/>
      </c>
      <c r="X215" s="778" t="n"/>
    </row>
    <row r="216" ht="28" customHeight="1" s="491">
      <c r="A216" s="26" t="inlineStr">
        <is>
          <t>ERF-100</t>
        </is>
      </c>
      <c r="B216" s="778" t="n"/>
      <c r="C216" s="778" t="n"/>
      <c r="D216" s="778" t="n"/>
      <c r="E216" s="778" t="n"/>
      <c r="F216" s="778" t="n"/>
      <c r="G216" s="778" t="n"/>
      <c r="H216" s="778" t="n"/>
      <c r="I216" s="778" t="n"/>
      <c r="J216" s="778" t="n"/>
      <c r="K216" s="778" t="n"/>
      <c r="L216" s="1511">
        <f>IF(OR(H216="",K216="",K216=0),"",(H216-K216)/K216)</f>
        <v/>
      </c>
      <c r="M216" s="778" t="n"/>
      <c r="N216" s="778" t="n"/>
      <c r="O216" s="778" t="n"/>
      <c r="P216" s="778" t="n"/>
      <c r="Q216" s="778" t="n"/>
      <c r="R216" s="778" t="n"/>
      <c r="S216" s="778" t="n"/>
      <c r="T216" s="778" t="n"/>
      <c r="U216" s="778" t="n"/>
      <c r="V216" s="778" t="n"/>
      <c r="W216" s="26">
        <f>IF(AND(C216="",R216=""),"",IF(P216&lt;&gt;"Yes","INFO",IF(Q216="RED",IF(S216="","OPEN - RED",IF(AND(OR(S216="CHANGE ACCEPTED",S216="PARTIAL CHANGE"),V216&lt;&gt;"Yes"),"RED - NOT INTEGRATED","RESOLVED")),IF(Q216="AMBER",IF(S216="","OPEN - AMBER",IF(AND(OR(S216="CHANGE ACCEPTED",S216="PARTIAL CHANGE"),V216&lt;&gt;"Yes"),"AMBER - NOT INTEGRATED","RESOLVED")),IF(S216="","REVIEWED","RESOLVED")))))</f>
        <v/>
      </c>
      <c r="X216" s="778" t="n"/>
    </row>
  </sheetData>
  <mergeCells count="19">
    <mergeCell ref="E10:J10"/>
    <mergeCell ref="E13:J13"/>
    <mergeCell ref="E9:J9"/>
    <mergeCell ref="E6:J6"/>
    <mergeCell ref="D5:J5"/>
    <mergeCell ref="A36:Q36"/>
    <mergeCell ref="A3:X3"/>
    <mergeCell ref="E11:J11"/>
    <mergeCell ref="A113:X113"/>
    <mergeCell ref="A2:X2"/>
    <mergeCell ref="A22:L22"/>
    <mergeCell ref="A35:L35"/>
    <mergeCell ref="E7:J7"/>
    <mergeCell ref="A5:B5"/>
    <mergeCell ref="E12:J12"/>
    <mergeCell ref="A34:L34"/>
    <mergeCell ref="A114:X114"/>
    <mergeCell ref="E8:J8"/>
    <mergeCell ref="A1:X1"/>
  </mergeCells>
  <conditionalFormatting sqref="K24:K33">
    <cfRule type="expression" priority="1" dxfId="2">
      <formula>LEFT(K24,8)="COMPLETE"</formula>
    </cfRule>
    <cfRule type="expression" priority="2" dxfId="19">
      <formula>LEFT(K24,3)="RED"</formula>
    </cfRule>
    <cfRule type="expression" priority="3" dxfId="20">
      <formula>LEFT(K24,4)="HOLD"</formula>
    </cfRule>
  </conditionalFormatting>
  <conditionalFormatting sqref="G40:O110">
    <cfRule type="expression" priority="4" dxfId="2">
      <formula>G40="PROVEN"</formula>
    </cfRule>
    <cfRule type="expression" priority="5" dxfId="19">
      <formula>G40="CHALLENGE - OPEN"</formula>
    </cfRule>
    <cfRule type="expression" priority="6" dxfId="23">
      <formula>G40="CHALLENGE - RESOLVED"</formula>
    </cfRule>
    <cfRule type="expression" priority="7" dxfId="20">
      <formula>G40="NOT REVIEWED"</formula>
    </cfRule>
  </conditionalFormatting>
  <conditionalFormatting sqref="P40:P110">
    <cfRule type="expression" priority="8" dxfId="2">
      <formula>P40="PASS"</formula>
    </cfRule>
    <cfRule type="expression" priority="9" dxfId="19">
      <formula>LEFT(P40,4)="HOLD"</formula>
    </cfRule>
  </conditionalFormatting>
  <conditionalFormatting sqref="W117:W216">
    <cfRule type="expression" priority="10" dxfId="2">
      <formula>W117="RESOLVED"</formula>
    </cfRule>
    <cfRule type="expression" priority="11" dxfId="20">
      <formula>LEFT(W117,4)="OPEN"</formula>
    </cfRule>
    <cfRule type="expression" priority="12" dxfId="19">
      <formula>LEFT(W117,3)="RED"</formula>
    </cfRule>
    <cfRule type="expression" priority="13" dxfId="1">
      <formula>LEFT(W117,5)="AMBER"</formula>
    </cfRule>
  </conditionalFormatting>
  <conditionalFormatting sqref="B19">
    <cfRule type="expression" priority="14" dxfId="2">
      <formula>LEFT(B19,4)="PASS"</formula>
    </cfRule>
    <cfRule type="expression" priority="15" dxfId="19">
      <formula>LEFT(B19,4)="HOLD"</formula>
    </cfRule>
  </conditionalFormatting>
  <conditionalFormatting sqref="L24:L33">
    <cfRule type="expression" priority="16" dxfId="2">
      <formula>LEFT(L24,8)="COMPLETE"</formula>
    </cfRule>
    <cfRule type="expression" priority="17" dxfId="19">
      <formula>LEFT(L24,3)="RED"</formula>
    </cfRule>
    <cfRule type="expression" priority="18" dxfId="20">
      <formula>LEFT(L24,4)="HOLD"</formula>
    </cfRule>
  </conditionalFormatting>
  <dataValidations count="11">
    <dataValidation sqref="D24:D33" showDropDown="0" showInputMessage="0" showErrorMessage="0" allowBlank="0" type="list">
      <formula1>"Yes,No"</formula1>
    </dataValidation>
    <dataValidation sqref="E24:F32" showDropDown="0" showInputMessage="0" showErrorMessage="0" allowBlank="0" type="list">
      <formula1>"Yes,No"</formula1>
    </dataValidation>
    <dataValidation sqref="G24:G33" showDropDown="0" showInputMessage="0" showErrorMessage="0" allowBlank="0" type="list">
      <formula1>"Yes,No"</formula1>
    </dataValidation>
    <dataValidation sqref="G40:O110" showDropDown="0" showInputMessage="0" showErrorMessage="0" allowBlank="0" type="list">
      <formula1>"PROVEN,CHALLENGE - OPEN,CHALLENGE - RESOLVED,N/A,NOT REVIEWED"</formula1>
    </dataValidation>
    <dataValidation sqref="B117:B216" showDropDown="0" showInputMessage="0" showErrorMessage="0" allowBlank="0" type="list">
      <formula1>"Estimate-wide,QS Item,Resource,Programme Task,Risk Truth,Commercial Input,Document / Scope,Weather,Other"</formula1>
    </dataValidation>
    <dataValidation sqref="E117:E216" showDropDown="0" showInputMessage="0" showErrorMessage="0" allowBlank="0" type="list">
      <formula1>"ERB-01,ERB-02,ERB-03,ERB-04,ERB-05,ERB-06,ERB-07,ERB-08,ERB-09"</formula1>
    </dataValidation>
    <dataValidation sqref="F117:F216" showDropDown="0" showInputMessage="0" showErrorMessage="0" allowBlank="0" type="list">
      <formula1>"Scope / omission,Quantity / takeoff,Method / productivity,Rate / procurement,Programme / time cost,Risk / duplication,Commercial,Document contradiction,Interface / by others,Other"</formula1>
    </dataValidation>
    <dataValidation sqref="P117:P216" showDropDown="0" showInputMessage="0" showErrorMessage="0" allowBlank="0" type="list">
      <formula1>"Yes,No"</formula1>
    </dataValidation>
    <dataValidation sqref="Q117:Q216" showDropDown="0" showInputMessage="0" showErrorMessage="0" allowBlank="0" type="list">
      <formula1>"GREEN,AMBER,RED"</formula1>
    </dataValidation>
    <dataValidation sqref="S117:S216" showDropDown="0" showInputMessage="0" showErrorMessage="0" allowBlank="0" type="list">
      <formula1>"NO CHANGE - PRIMARY PROVEN,CHANGE ACCEPTED,PARTIAL CHANGE,RFI / EXCLUSION,DEFER / MORE EVIDENCE"</formula1>
    </dataValidation>
    <dataValidation sqref="V117:V216" showDropDown="0" showInputMessage="0" showErrorMessage="0" allowBlank="0" type="list">
      <formula1>"Yes,No,N/A"</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4" customWidth="1" style="491" min="1" max="1"/>
    <col width="28" customWidth="1" style="491" min="2" max="2"/>
    <col width="46" customWidth="1" style="491" min="3" max="3"/>
    <col width="30" customWidth="1" style="491" min="4" max="4"/>
    <col width="32" customWidth="1" style="491" min="5" max="5"/>
    <col width="15" customWidth="1" style="491" min="6" max="6"/>
  </cols>
  <sheetData>
    <row r="1" ht="39.59999847412109" customHeight="1" s="491">
      <c r="A1" s="915" t="inlineStr">
        <is>
          <t>FORMAL ERB ADJUDICATION</t>
        </is>
      </c>
      <c r="B1" s="915" t="n"/>
      <c r="C1" s="915" t="n"/>
      <c r="D1" s="915" t="n"/>
      <c r="E1" s="915" t="n"/>
      <c r="F1" s="915" t="n"/>
    </row>
    <row r="2"/>
    <row r="3" ht="15" customHeight="1" s="491">
      <c r="A3" t="inlineStr">
        <is>
          <t>Frozen pre-Board primary</t>
        </is>
      </c>
      <c r="B3" s="211" t="n"/>
    </row>
    <row r="4" ht="15" customHeight="1" s="491">
      <c r="A4" t="inlineStr">
        <is>
          <t>Frozen primary tender excl GST</t>
        </is>
      </c>
      <c r="B4" s="1423" t="n"/>
    </row>
    <row r="5" ht="15" customHeight="1" s="491">
      <c r="A5" t="inlineStr">
        <is>
          <t>Clean-room whole estimates</t>
        </is>
      </c>
      <c r="B5" s="211" t="n"/>
    </row>
    <row r="6" ht="15" customHeight="1" s="491">
      <c r="A6" t="inlineStr">
        <is>
          <t>Board rule</t>
        </is>
      </c>
      <c r="B6" s="211" t="inlineStr">
        <is>
          <t>No averaging / no voting; strongest aligned evidence governs.</t>
        </is>
      </c>
    </row>
    <row r="7" ht="15" customHeight="1" s="491">
      <c r="A7" t="inlineStr">
        <is>
          <t>Dry tender programme</t>
        </is>
      </c>
      <c r="B7" s="211" t="n"/>
    </row>
    <row r="8" ht="15" customHeight="1" s="491">
      <c r="A8" t="inlineStr">
        <is>
          <t>Weather status</t>
        </is>
      </c>
      <c r="B8" s="211" t="n"/>
    </row>
    <row r="9" ht="15" customHeight="1" s="491">
      <c r="A9" t="inlineStr">
        <is>
          <t>Release status</t>
        </is>
      </c>
      <c r="B9" s="211" t="n"/>
    </row>
    <row r="10"/>
    <row r="11" ht="15" customHeight="1" s="491">
      <c r="A11" s="914" t="inlineStr">
        <is>
          <t>Topic</t>
        </is>
      </c>
      <c r="B11" s="914" t="inlineStr">
        <is>
          <t>Frozen primary</t>
        </is>
      </c>
      <c r="C11" s="914" t="inlineStr">
        <is>
          <t>Board evidence</t>
        </is>
      </c>
      <c r="D11" s="914" t="inlineStr">
        <is>
          <t>Adjudication</t>
        </is>
      </c>
      <c r="E11" s="914" t="inlineStr">
        <is>
          <t>Cost treatment</t>
        </is>
      </c>
      <c r="F11" s="914" t="inlineStr">
        <is>
          <t>Status</t>
        </is>
      </c>
    </row>
    <row r="12" ht="15" customHeight="1" s="491">
      <c r="D12" t="inlineStr">
        <is>
          <t>ACCEPT 55WD dry sequence</t>
        </is>
      </c>
      <c r="E12" t="inlineStr">
        <is>
          <t>PG01 base duration revised</t>
        </is>
      </c>
      <c r="F12" t="inlineStr">
        <is>
          <t>AMBER</t>
        </is>
      </c>
    </row>
    <row r="13" ht="15" customHeight="1" s="491">
      <c r="D13" t="inlineStr">
        <is>
          <t>ACCEPT</t>
        </is>
      </c>
      <c r="E13" t="inlineStr">
        <is>
          <t>Supervisor 440h; facilities 11 weeks</t>
        </is>
      </c>
      <c r="F13" t="inlineStr">
        <is>
          <t>AMBER</t>
        </is>
      </c>
    </row>
    <row r="14" ht="15" customHeight="1" s="491">
      <c r="D14" t="inlineStr">
        <is>
          <t>UPHOLD</t>
        </is>
      </c>
      <c r="E14" t="inlineStr">
        <is>
          <t>No cost change</t>
        </is>
      </c>
      <c r="F14" t="inlineStr">
        <is>
          <t>GREEN/AMBER</t>
        </is>
      </c>
    </row>
    <row r="15" ht="15" customHeight="1" s="491">
      <c r="D15" t="inlineStr">
        <is>
          <t>UPHOLD METHOD</t>
        </is>
      </c>
      <c r="E15" t="inlineStr">
        <is>
          <t>Retain PC / RFI reuse-export</t>
        </is>
      </c>
      <c r="F15" t="inlineStr">
        <is>
          <t>AMBER</t>
        </is>
      </c>
    </row>
    <row r="16" ht="15" customHeight="1" s="491">
      <c r="D16" t="inlineStr">
        <is>
          <t>UPHOLD TOTAL / VERIFY SPLIT</t>
        </is>
      </c>
      <c r="E16" t="inlineStr">
        <is>
          <t>No current total change</t>
        </is>
      </c>
      <c r="F16" t="inlineStr">
        <is>
          <t>AMBER</t>
        </is>
      </c>
    </row>
    <row r="17" ht="15" customHeight="1" s="491">
      <c r="D17" t="inlineStr">
        <is>
          <t>REOPEN QTY / INTERFACE</t>
        </is>
      </c>
      <c r="E17" t="inlineStr">
        <is>
          <t>Retain PC until quote/final measure</t>
        </is>
      </c>
      <c r="F17" t="inlineStr">
        <is>
          <t>AMBER</t>
        </is>
      </c>
    </row>
    <row r="18" ht="15" customHeight="1" s="491">
      <c r="D18" t="inlineStr">
        <is>
          <t>UPHOLD LENGTH / RFI HEIGHT</t>
        </is>
      </c>
      <c r="E18" t="inlineStr">
        <is>
          <t>PCs retained</t>
        </is>
      </c>
      <c r="F18" t="inlineStr">
        <is>
          <t>RED</t>
        </is>
      </c>
    </row>
    <row r="19" ht="15" customHeight="1" s="491">
      <c r="D19" t="inlineStr">
        <is>
          <t>UPHOLD</t>
        </is>
      </c>
      <c r="E19" t="inlineStr">
        <is>
          <t>No change</t>
        </is>
      </c>
      <c r="F19" t="inlineStr">
        <is>
          <t>AMBER</t>
        </is>
      </c>
    </row>
    <row r="20" ht="15" customHeight="1" s="491">
      <c r="D20" t="inlineStr">
        <is>
          <t>UPHOLD QTY</t>
        </is>
      </c>
      <c r="E20" t="inlineStr">
        <is>
          <t>PC retained pending grate/outlet</t>
        </is>
      </c>
      <c r="F20" t="inlineStr">
        <is>
          <t>AMBER</t>
        </is>
      </c>
    </row>
    <row r="21" ht="15" customHeight="1" s="491">
      <c r="D21" t="inlineStr">
        <is>
          <t>UPHOLD PC</t>
        </is>
      </c>
      <c r="E21" t="inlineStr">
        <is>
          <t>No change</t>
        </is>
      </c>
      <c r="F21" t="inlineStr">
        <is>
          <t>AMBER</t>
        </is>
      </c>
    </row>
    <row r="22" ht="15" customHeight="1" s="491">
      <c r="D22" t="inlineStr">
        <is>
          <t>VERIFY SOURCE / OWNERSHIP</t>
        </is>
      </c>
      <c r="E22" t="inlineStr">
        <is>
          <t>PCs retained</t>
        </is>
      </c>
      <c r="F22" t="inlineStr">
        <is>
          <t>AMBER</t>
        </is>
      </c>
    </row>
    <row r="23" ht="15" customHeight="1" s="491">
      <c r="D23" t="inlineStr">
        <is>
          <t>REMOVE / EXCLUDE CURRENT BASIS</t>
        </is>
      </c>
      <c r="E23" t="inlineStr">
        <is>
          <t>$0</t>
        </is>
      </c>
      <c r="F23" t="inlineStr">
        <is>
          <t>AMBER / CLOSED CURRENT BASIS</t>
        </is>
      </c>
    </row>
    <row r="24" ht="15" customHeight="1" s="491">
      <c r="D24" t="inlineStr">
        <is>
          <t>NO WHOLESALE RESET</t>
        </is>
      </c>
      <c r="E24" t="inlineStr">
        <is>
          <t>Quote-normalize line by line</t>
        </is>
      </c>
      <c r="F24" t="inlineStr">
        <is>
          <t>AMBER</t>
        </is>
      </c>
    </row>
    <row r="25" ht="15" customHeight="1" s="491">
      <c r="D25" t="inlineStr">
        <is>
          <t>RERUN COMPLETE FOR TENDER SCENARIO</t>
        </is>
      </c>
      <c r="E25" t="inlineStr">
        <is>
          <t>CA10 $17,883.54</t>
        </is>
      </c>
      <c r="F25" t="inlineStr">
        <is>
          <t>AMBER</t>
        </is>
      </c>
    </row>
    <row r="26" ht="15" customHeight="1" s="491">
      <c r="D26" t="inlineStr">
        <is>
          <t>ADOPT</t>
        </is>
      </c>
      <c r="E26" t="inlineStr">
        <is>
          <t>CA17/CA18 active</t>
        </is>
      </c>
      <c r="F26" t="inlineStr">
        <is>
          <t>CLOSED - PROVIDED / AMBER</t>
        </is>
      </c>
    </row>
    <row r="27">
      <c r="F27" t="inlineStr">
        <is>
          <t>RED</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3.80000019073486"/>
  <cols>
    <col width="44.296875" customWidth="1" style="491" min="1" max="1"/>
    <col width="18" customWidth="1" style="491" min="2" max="2"/>
    <col width="10" customWidth="1" style="491" min="3" max="3"/>
    <col width="13" customWidth="1" style="491" min="4" max="4"/>
    <col width="15" customWidth="1" style="491" min="5" max="5"/>
    <col width="17" customWidth="1" style="491" min="6" max="6"/>
    <col width="15" customWidth="1" style="491" min="7" max="7"/>
    <col width="17" customWidth="1" style="491" min="8" max="8"/>
    <col width="15" customWidth="1" style="491" min="9" max="10"/>
    <col width="16" customWidth="1" style="491" min="11" max="13"/>
    <col width="13" customWidth="1" style="491" min="14" max="14"/>
    <col width="17" customWidth="1" style="491" min="15" max="15"/>
    <col width="57.5" customWidth="1" style="491" min="16" max="16"/>
  </cols>
  <sheetData>
    <row r="1" ht="27.75" customHeight="1" s="491">
      <c r="A1" s="451" t="inlineStr">
        <is>
          <t>STAGE PAYMENT &amp; CASHFLOW - MASTER ESTIMATE WORKBOOK</t>
        </is>
      </c>
      <c r="B1" s="242" t="n"/>
      <c r="C1" s="242" t="n"/>
      <c r="D1" s="242" t="n"/>
      <c r="E1" s="242" t="n"/>
      <c r="F1" s="242" t="n"/>
      <c r="G1" s="242" t="n"/>
      <c r="H1" s="242" t="n"/>
      <c r="I1" s="242" t="n"/>
      <c r="J1" s="242" t="n"/>
      <c r="K1" s="242" t="n"/>
      <c r="L1" s="242" t="n"/>
      <c r="M1" s="242" t="n"/>
      <c r="N1" s="242" t="n"/>
      <c r="O1" s="242" t="n"/>
      <c r="P1" s="242" t="n"/>
    </row>
    <row r="2">
      <c r="A2" s="449" t="inlineStr">
        <is>
          <t>Only stage timing, stage percentages and retention applicability are inputs. Revenue and direct-cost allocations remain formula linked.</t>
        </is>
      </c>
      <c r="B2" s="242" t="n"/>
      <c r="C2" s="242" t="n"/>
      <c r="D2" s="242" t="n"/>
      <c r="E2" s="242" t="n"/>
      <c r="F2" s="242" t="n"/>
      <c r="G2" s="242" t="n"/>
      <c r="H2" s="242" t="n"/>
      <c r="I2" s="242" t="n"/>
      <c r="J2" s="242" t="n"/>
      <c r="K2" s="242" t="n"/>
      <c r="L2" s="242" t="n"/>
      <c r="M2" s="211" t="n"/>
      <c r="N2" s="211" t="n"/>
      <c r="O2" s="211" t="n"/>
      <c r="P2" s="211" t="n"/>
    </row>
    <row r="3" ht="20.10000038146973" customHeight="1" s="491">
      <c r="A3" s="450" t="inlineStr">
        <is>
          <t>Cash on hand = cumulative net pre-GST receipts less base direct stage costs and included pre-margin provisions. Rev34 CA16 Management Reserve is carried in the pre-margin provision row for tender/cashflow reconciliation only; it is an unallocated commercial management reserve, not forecast physical expenditure unless subsequently consumed under change control.</t>
        </is>
      </c>
      <c r="B3" s="242" t="n"/>
      <c r="C3" s="242" t="n"/>
      <c r="D3" s="242" t="n"/>
      <c r="E3" s="242" t="n"/>
      <c r="F3" s="242" t="n"/>
      <c r="G3" s="242" t="n"/>
      <c r="H3" s="242" t="n"/>
      <c r="I3" s="242" t="n"/>
      <c r="J3" s="242" t="n"/>
      <c r="K3" s="242" t="n"/>
      <c r="L3" s="242" t="n"/>
      <c r="M3" s="242" t="n"/>
      <c r="N3" s="242" t="n"/>
      <c r="O3" s="242" t="n"/>
      <c r="P3" s="242" t="n"/>
    </row>
    <row r="4" ht="28.79999923706055" customFormat="1" customHeight="1" s="217">
      <c r="A4" s="167" t="inlineStr">
        <is>
          <t>Stage</t>
        </is>
      </c>
      <c r="B4" s="167" t="inlineStr">
        <is>
          <t>Timing / milestone</t>
        </is>
      </c>
      <c r="C4" s="167" t="inlineStr">
        <is>
          <t>Stage %</t>
        </is>
      </c>
      <c r="D4" s="167" t="inlineStr">
        <is>
          <t>Retention applies?</t>
        </is>
      </c>
      <c r="E4" s="167" t="inlineStr">
        <is>
          <t>Opening cash</t>
        </is>
      </c>
      <c r="F4" s="167" t="inlineStr">
        <is>
          <t>Gross stage revenue excl. GST</t>
        </is>
      </c>
      <c r="G4" s="167" t="inlineStr">
        <is>
          <t>Retention withheld</t>
        </is>
      </c>
      <c r="H4" s="167" t="inlineStr">
        <is>
          <t>Net stage revenue excl. GST</t>
        </is>
      </c>
      <c r="I4" s="167" t="inlineStr">
        <is>
          <t>Stage cost / provision</t>
        </is>
      </c>
      <c r="J4" s="167" t="inlineStr">
        <is>
          <t>Net cash movement</t>
        </is>
      </c>
      <c r="K4" s="167" t="inlineStr">
        <is>
          <t>Closing cash on hand</t>
        </is>
      </c>
      <c r="L4" s="167" t="inlineStr">
        <is>
          <t>Cumulative net revenue</t>
        </is>
      </c>
      <c r="M4" s="31" t="inlineStr">
        <is>
          <t>Cumulative retention held</t>
        </is>
      </c>
      <c r="N4" s="31" t="inlineStr">
        <is>
          <t>GST if selected</t>
        </is>
      </c>
      <c r="O4" s="31" t="inlineStr">
        <is>
          <t>Net stage receipt incl. GST</t>
        </is>
      </c>
      <c r="P4" s="31" t="inlineStr">
        <is>
          <t>Notes</t>
        </is>
      </c>
    </row>
    <row r="5" ht="23.54999923706055" customFormat="1" customHeight="1" s="217">
      <c r="A5" s="208" t="inlineStr">
        <is>
          <t>Deposit / advance</t>
        </is>
      </c>
      <c r="B5" s="222" t="inlineStr">
        <is>
          <t>On contract award</t>
        </is>
      </c>
      <c r="C5" s="1421">
        <f>IF('Commercial Inputs'!$F$28="Yes",'Commercial Inputs'!$D$28,0)</f>
        <v/>
      </c>
      <c r="D5" s="222">
        <f>IF('Commercial Inputs'!$F$29="Yes","Yes","No")</f>
        <v/>
      </c>
      <c r="E5" s="1512">
        <f>0</f>
        <v/>
      </c>
      <c r="F5" s="1512">
        <f>'Tender Build-Up'!$B$47*C5</f>
        <v/>
      </c>
      <c r="G5" s="1512">
        <f>IF(AND(D5="Yes",'Commercial Inputs'!$F$26="Yes"),F5*'Commercial Inputs'!$D$26,0)</f>
        <v/>
      </c>
      <c r="H5" s="1512">
        <f>F5-G5</f>
        <v/>
      </c>
      <c r="I5" s="1512">
        <f>0</f>
        <v/>
      </c>
      <c r="J5" s="1512">
        <f>H5-I5</f>
        <v/>
      </c>
      <c r="K5" s="1512">
        <f>E5+J5</f>
        <v/>
      </c>
      <c r="L5" s="1512">
        <f>H5</f>
        <v/>
      </c>
      <c r="M5" s="1512">
        <f>G5</f>
        <v/>
      </c>
      <c r="N5" s="1512">
        <f>IF('Commercial Inputs'!$F$25="Yes",H5*'Commercial Inputs'!$D$25,0)</f>
        <v/>
      </c>
      <c r="O5" s="1512">
        <f>H5+N5</f>
        <v/>
      </c>
      <c r="P5" s="1513" t="inlineStr">
        <is>
          <t>No deposit assumed; CA24 remains OFF.</t>
        </is>
      </c>
    </row>
    <row r="6" ht="23.54999923706055" customFormat="1" customHeight="1" s="217">
      <c r="A6" s="208" t="inlineStr">
        <is>
          <t>Stage 1 - summary sections 1-2</t>
        </is>
      </c>
      <c r="B6" s="222" t="n"/>
      <c r="C6" s="1421" t="n"/>
      <c r="D6" s="222" t="n"/>
      <c r="E6" s="1512">
        <f>K5</f>
        <v/>
      </c>
      <c r="F6" s="1512">
        <f>'Tender Build-Up'!$B$47*C6</f>
        <v/>
      </c>
      <c r="G6" s="1512">
        <f>IF(AND(D6="Yes",'Commercial Inputs'!$F$26="Yes"),F6*'Commercial Inputs'!$D$26,0)</f>
        <v/>
      </c>
      <c r="H6" s="1512">
        <f>F6-G6</f>
        <v/>
      </c>
      <c r="I6" s="1512">
        <f>SUM(Summary!$B$23:$B$24)</f>
        <v/>
      </c>
      <c r="J6" s="1512">
        <f>H6-I6</f>
        <v/>
      </c>
      <c r="K6" s="1512">
        <f>E6+J6</f>
        <v/>
      </c>
      <c r="L6" s="1512">
        <f>L5+H6</f>
        <v/>
      </c>
      <c r="M6" s="1512">
        <f>M5+G6</f>
        <v/>
      </c>
      <c r="N6" s="1512">
        <f>IF('Commercial Inputs'!$F$25="Yes",H6*'Commercial Inputs'!$D$25,0)</f>
        <v/>
      </c>
      <c r="O6" s="1512">
        <f>H6+N6</f>
        <v/>
      </c>
      <c r="P6" s="1513" t="inlineStr">
        <is>
          <t>Revenue stage percentage intentionally 0 pending head-contract payment schedule; costs shown are estimate cost allocation only.</t>
        </is>
      </c>
    </row>
    <row r="7" ht="23.54999923706055" customFormat="1" customHeight="1" s="217">
      <c r="A7" s="208" t="inlineStr">
        <is>
          <t>Stage 2 - summary section 3</t>
        </is>
      </c>
      <c r="B7" s="222" t="n"/>
      <c r="C7" s="1421" t="n"/>
      <c r="D7" s="222" t="n"/>
      <c r="E7" s="1512">
        <f>K6</f>
        <v/>
      </c>
      <c r="F7" s="1512">
        <f>'Tender Build-Up'!$B$47*C7</f>
        <v/>
      </c>
      <c r="G7" s="1512">
        <f>IF(AND(D7="Yes",'Commercial Inputs'!$F$26="Yes"),F7*'Commercial Inputs'!$D$26,0)</f>
        <v/>
      </c>
      <c r="H7" s="1512">
        <f>F7-G7</f>
        <v/>
      </c>
      <c r="I7" s="1512">
        <f>Summary!$B$25</f>
        <v/>
      </c>
      <c r="J7" s="1512">
        <f>H7-I7</f>
        <v/>
      </c>
      <c r="K7" s="1512">
        <f>E7+J7</f>
        <v/>
      </c>
      <c r="L7" s="1512">
        <f>L6+H7</f>
        <v/>
      </c>
      <c r="M7" s="1512">
        <f>M6+G7</f>
        <v/>
      </c>
      <c r="N7" s="1512">
        <f>IF('Commercial Inputs'!$F$25="Yes",H7*'Commercial Inputs'!$D$25,0)</f>
        <v/>
      </c>
      <c r="O7" s="1512">
        <f>H7+N7</f>
        <v/>
      </c>
      <c r="P7" s="1513" t="inlineStr">
        <is>
          <t>Earthworks/import-fill cost timing control only; revenue percentage not assumed.</t>
        </is>
      </c>
    </row>
    <row r="8" ht="23.54999923706055" customFormat="1" customHeight="1" s="217">
      <c r="A8" s="208" t="inlineStr">
        <is>
          <t>Stage 3 - summary sections 4-5</t>
        </is>
      </c>
      <c r="B8" s="222" t="n"/>
      <c r="C8" s="1421" t="n"/>
      <c r="D8" s="222" t="n"/>
      <c r="E8" s="1512">
        <f>K7</f>
        <v/>
      </c>
      <c r="F8" s="1512">
        <f>'Tender Build-Up'!$B$47*C8</f>
        <v/>
      </c>
      <c r="G8" s="1512">
        <f>IF(AND(D8="Yes",'Commercial Inputs'!$F$26="Yes"),F8*'Commercial Inputs'!$D$26,0)</f>
        <v/>
      </c>
      <c r="H8" s="1512">
        <f>F8-G8</f>
        <v/>
      </c>
      <c r="I8" s="1512">
        <f>SUM(Summary!$B$26:$B$27)</f>
        <v/>
      </c>
      <c r="J8" s="1512">
        <f>H8-I8</f>
        <v/>
      </c>
      <c r="K8" s="1512">
        <f>E8+J8</f>
        <v/>
      </c>
      <c r="L8" s="1512">
        <f>L7+H8</f>
        <v/>
      </c>
      <c r="M8" s="1512">
        <f>M7+G8</f>
        <v/>
      </c>
      <c r="N8" s="1512">
        <f>IF('Commercial Inputs'!$F$25="Yes",H8*'Commercial Inputs'!$D$25,0)</f>
        <v/>
      </c>
      <c r="O8" s="1512">
        <f>H8+N8</f>
        <v/>
      </c>
      <c r="P8" s="1513" t="n"/>
    </row>
    <row r="9" ht="23.54999923706055" customFormat="1" customHeight="1" s="217">
      <c r="A9" s="208" t="inlineStr">
        <is>
          <t>Stage 4 - summary sections 6-7</t>
        </is>
      </c>
      <c r="B9" s="222" t="n"/>
      <c r="C9" s="1421" t="n"/>
      <c r="D9" s="222" t="n"/>
      <c r="E9" s="1512">
        <f>K8</f>
        <v/>
      </c>
      <c r="F9" s="1512">
        <f>'Tender Build-Up'!$B$47*C9</f>
        <v/>
      </c>
      <c r="G9" s="1512">
        <f>IF(AND(D9="Yes",'Commercial Inputs'!$F$26="Yes"),F9*'Commercial Inputs'!$D$26,0)</f>
        <v/>
      </c>
      <c r="H9" s="1512">
        <f>F9-G9</f>
        <v/>
      </c>
      <c r="I9" s="1512">
        <f>SUM(Summary!$B$28:$B$29)</f>
        <v/>
      </c>
      <c r="J9" s="1512">
        <f>H9-I9</f>
        <v/>
      </c>
      <c r="K9" s="1512">
        <f>E9+J9</f>
        <v/>
      </c>
      <c r="L9" s="1512">
        <f>L8+H9</f>
        <v/>
      </c>
      <c r="M9" s="1512">
        <f>M8+G9</f>
        <v/>
      </c>
      <c r="N9" s="1512">
        <f>IF('Commercial Inputs'!$F$25="Yes",H9*'Commercial Inputs'!$D$25,0)</f>
        <v/>
      </c>
      <c r="O9" s="1512">
        <f>H9+N9</f>
        <v/>
      </c>
      <c r="P9" s="1513" t="inlineStr">
        <is>
          <t>Pavement/external-sitework cost timing control; revenue percentage pending contract schedule.</t>
        </is>
      </c>
    </row>
    <row r="10" ht="23.54999923706055" customFormat="1" customHeight="1" s="217">
      <c r="A10" s="208" t="inlineStr">
        <is>
          <t>Stage 5 - summary section 8</t>
        </is>
      </c>
      <c r="B10" s="222" t="n"/>
      <c r="C10" s="1421" t="n"/>
      <c r="D10" s="222" t="n"/>
      <c r="E10" s="1512">
        <f>K9</f>
        <v/>
      </c>
      <c r="F10" s="1512">
        <f>'Tender Build-Up'!$B$47*C10</f>
        <v/>
      </c>
      <c r="G10" s="1512">
        <f>IF(AND(D10="Yes",'Commercial Inputs'!$F$26="Yes"),F10*'Commercial Inputs'!$D$26,0)</f>
        <v/>
      </c>
      <c r="H10" s="1512">
        <f>F10-G10</f>
        <v/>
      </c>
      <c r="I10" s="1512">
        <f>Summary!$B$30</f>
        <v/>
      </c>
      <c r="J10" s="1512">
        <f>H10-I10</f>
        <v/>
      </c>
      <c r="K10" s="1512">
        <f>E10+J10</f>
        <v/>
      </c>
      <c r="L10" s="1512">
        <f>L9+H10</f>
        <v/>
      </c>
      <c r="M10" s="1512">
        <f>M9+G10</f>
        <v/>
      </c>
      <c r="N10" s="1512">
        <f>IF('Commercial Inputs'!$F$25="Yes",H10*'Commercial Inputs'!$D$25,0)</f>
        <v/>
      </c>
      <c r="O10" s="1512">
        <f>H10+N10</f>
        <v/>
      </c>
      <c r="P10" s="1513" t="inlineStr">
        <is>
          <t>Retaining workfront timing control; actual sequence depends on fill, stormwater clearance and supplier methodology.</t>
        </is>
      </c>
    </row>
    <row r="11" ht="23.54999923706055" customFormat="1" customHeight="1" s="217">
      <c r="A11" s="208" t="inlineStr">
        <is>
          <t>Stage 6 - summary sections 9-10</t>
        </is>
      </c>
      <c r="B11" s="222" t="n"/>
      <c r="C11" s="1421" t="n"/>
      <c r="D11" s="222" t="n"/>
      <c r="E11" s="1512">
        <f>K10</f>
        <v/>
      </c>
      <c r="F11" s="1512">
        <f>'Tender Build-Up'!$B$47*C11</f>
        <v/>
      </c>
      <c r="G11" s="1512">
        <f>IF(AND(D11="Yes",'Commercial Inputs'!$F$26="Yes"),F11*'Commercial Inputs'!$D$26,0)</f>
        <v/>
      </c>
      <c r="H11" s="1512">
        <f>F11-G11</f>
        <v/>
      </c>
      <c r="I11" s="1512">
        <f>SUM(Summary!$B$31:$B$32)</f>
        <v/>
      </c>
      <c r="J11" s="1512">
        <f>H11-I11</f>
        <v/>
      </c>
      <c r="K11" s="1512">
        <f>E11+J11</f>
        <v/>
      </c>
      <c r="L11" s="1512">
        <f>L10+H11</f>
        <v/>
      </c>
      <c r="M11" s="1512">
        <f>M10+G11</f>
        <v/>
      </c>
      <c r="N11" s="1512">
        <f>IF('Commercial Inputs'!$F$25="Yes",H11*'Commercial Inputs'!$D$25,0)</f>
        <v/>
      </c>
      <c r="O11" s="1512">
        <f>H11+N11</f>
        <v/>
      </c>
      <c r="P11" s="1513" t="inlineStr">
        <is>
          <t>Testing/closeout costs occur across work and at completion; revenue percentage pending contract schedule.</t>
        </is>
      </c>
    </row>
    <row r="12" ht="23.54999923706055" customFormat="1" customHeight="1" s="217">
      <c r="A12" s="208" t="inlineStr">
        <is>
          <t>Included pre-margin provisions / Management Reserve</t>
        </is>
      </c>
      <c r="B12" s="208" t="n"/>
      <c r="C12" s="1514" t="n">
        <v>0</v>
      </c>
      <c r="D12" s="208" t="inlineStr">
        <is>
          <t>No</t>
        </is>
      </c>
      <c r="E12" s="1515">
        <f>K11</f>
        <v/>
      </c>
      <c r="F12" s="1515" t="n">
        <v>0</v>
      </c>
      <c r="G12" s="1515" t="n">
        <v>0</v>
      </c>
      <c r="H12" s="1515" t="n">
        <v>0</v>
      </c>
      <c r="I12" s="1515">
        <f>'Tender Build-Up'!$B$39</f>
        <v/>
      </c>
      <c r="J12" s="1515">
        <f>H12-I12</f>
        <v/>
      </c>
      <c r="K12" s="1515">
        <f>E12+J12</f>
        <v/>
      </c>
      <c r="L12" s="1515">
        <f>L11+H12</f>
        <v/>
      </c>
      <c r="M12" s="1515">
        <f>M11+G12</f>
        <v/>
      </c>
      <c r="N12" s="1515">
        <f>0</f>
        <v/>
      </c>
      <c r="O12" s="1515">
        <f>H12+N12</f>
        <v/>
      </c>
      <c r="P12" s="1513" t="n"/>
    </row>
    <row r="13" ht="23.54999923706055" customFormat="1" customHeight="1" s="217">
      <c r="A13" s="146" t="inlineStr">
        <is>
          <t>Retention release</t>
        </is>
      </c>
      <c r="B13" s="146" t="inlineStr">
        <is>
          <t>Post-completion - contract terms not supplied</t>
        </is>
      </c>
      <c r="C13" s="1516" t="n"/>
      <c r="D13" s="146" t="inlineStr">
        <is>
          <t>No</t>
        </is>
      </c>
      <c r="E13" s="1512">
        <f>K12</f>
        <v/>
      </c>
      <c r="F13" s="1512">
        <f>SUM(G5:G11)</f>
        <v/>
      </c>
      <c r="G13" s="1512">
        <f>0</f>
        <v/>
      </c>
      <c r="H13" s="1512">
        <f>F13</f>
        <v/>
      </c>
      <c r="I13" s="1512">
        <f>0</f>
        <v/>
      </c>
      <c r="J13" s="1512">
        <f>H13</f>
        <v/>
      </c>
      <c r="K13" s="1512">
        <f>E13+J13</f>
        <v/>
      </c>
      <c r="L13" s="1512">
        <f>L12+H13</f>
        <v/>
      </c>
      <c r="M13" s="1512">
        <f>0</f>
        <v/>
      </c>
      <c r="N13" s="1512">
        <f>IF('Commercial Inputs'!$F$25="Yes",H13*'Commercial Inputs'!$D$25,0)</f>
        <v/>
      </c>
      <c r="O13" s="1512">
        <f>H13+N13</f>
        <v/>
      </c>
      <c r="P13" s="1513" t="inlineStr">
        <is>
          <t>Retention terms/holding period are not assumed; CA22/CA23 remain OFF/0.</t>
        </is>
      </c>
    </row>
    <row r="14" ht="9.300000190734863" customHeight="1" s="491">
      <c r="A14" s="211" t="n"/>
      <c r="B14" s="211" t="n"/>
      <c r="C14" s="1424" t="n"/>
      <c r="D14" s="211" t="n"/>
      <c r="E14" s="1517" t="n"/>
      <c r="F14" s="1517" t="n"/>
      <c r="G14" s="1517" t="n"/>
      <c r="H14" s="1517" t="n"/>
      <c r="I14" s="1517" t="n"/>
      <c r="J14" s="1517" t="n"/>
      <c r="K14" s="1517" t="n"/>
      <c r="L14" s="1517" t="n"/>
      <c r="M14" s="1517" t="n"/>
      <c r="N14" s="1517" t="n"/>
      <c r="O14" s="1517" t="n"/>
      <c r="P14" s="211" t="n"/>
    </row>
    <row r="15" ht="20.10000038146973" customFormat="1" customHeight="1" s="217">
      <c r="A15" s="12" t="inlineStr">
        <is>
          <t>Cashflow checks</t>
        </is>
      </c>
      <c r="B15" s="12" t="n"/>
      <c r="C15" s="1518" t="n"/>
      <c r="D15" s="12" t="n"/>
      <c r="E15" s="1519" t="n"/>
      <c r="F15" s="1519" t="n"/>
      <c r="G15" s="1519" t="n"/>
      <c r="H15" s="1519" t="n"/>
      <c r="I15" s="1519" t="n"/>
      <c r="J15" s="1519" t="n"/>
      <c r="K15" s="1519" t="n"/>
      <c r="L15" s="1520" t="n"/>
      <c r="M15" s="242" t="n"/>
      <c r="N15" s="242" t="n"/>
      <c r="O15" s="242" t="n"/>
      <c r="P15" s="242" t="n"/>
    </row>
    <row r="16" ht="20.10000038146973" customFormat="1" customHeight="1" s="217">
      <c r="A16" s="208" t="inlineStr">
        <is>
          <t>Stage percentages total</t>
        </is>
      </c>
      <c r="B16" s="208" t="n"/>
      <c r="C16" s="1521">
        <f>SUM(C5:C11)</f>
        <v/>
      </c>
      <c r="D16" s="208" t="n"/>
      <c r="E16" s="1522" t="n"/>
      <c r="F16" s="1522" t="n"/>
      <c r="G16" s="1522" t="n"/>
      <c r="H16" s="1522" t="n"/>
      <c r="I16" s="1522" t="n"/>
      <c r="J16" s="1522" t="n"/>
      <c r="K16" s="1522" t="n"/>
      <c r="L16" s="1522" t="n"/>
      <c r="M16" s="1522" t="n"/>
      <c r="N16" s="1522" t="n"/>
      <c r="O16" s="1522" t="n"/>
      <c r="P16" s="208" t="inlineStr">
        <is>
          <t>Stage revenue percentages remain 0 until head-contract payment schedule is supplied. The current tender includes the active Commercial Inputs CA17/CA18 settings, so revenue CHECK / FUNDING REQUIRED indicators remain setup warnings rather than estimate cost-chain errors.</t>
        </is>
      </c>
    </row>
    <row r="17" ht="20.10000038146973" customFormat="1" customHeight="1" s="217">
      <c r="A17" s="208" t="inlineStr">
        <is>
          <t>Gross stage revenue equals tender excl. GST</t>
        </is>
      </c>
      <c r="B17" s="208" t="n"/>
      <c r="C17" s="208" t="n"/>
      <c r="D17" s="208" t="n"/>
      <c r="E17" s="1522" t="n"/>
      <c r="F17" s="1522">
        <f>SUM(F5:F11)</f>
        <v/>
      </c>
      <c r="G17" s="1522" t="n"/>
      <c r="H17" s="1522" t="n"/>
      <c r="I17" s="1522" t="n"/>
      <c r="J17" s="1522" t="n"/>
      <c r="K17" s="1522" t="n"/>
      <c r="L17" s="1522" t="n"/>
      <c r="M17" s="1522" t="n"/>
      <c r="N17" s="1522" t="n"/>
      <c r="O17" s="1522" t="n"/>
      <c r="P17" s="208">
        <f>IF(ABS(F17-'Tender Build-Up'!$B$47)&lt;0.01,"OK","CHECK")</f>
        <v/>
      </c>
    </row>
    <row r="18" ht="20.10000038146973" customFormat="1" customHeight="1" s="217">
      <c r="A18" s="208" t="inlineStr">
        <is>
          <t>Base direct costs + pre-margin provisions allocated</t>
        </is>
      </c>
      <c r="B18" s="208" t="n"/>
      <c r="C18" s="208" t="n"/>
      <c r="D18" s="208" t="n"/>
      <c r="E18" s="1522" t="n"/>
      <c r="F18" s="1522" t="n"/>
      <c r="G18" s="1522" t="n"/>
      <c r="H18" s="1522" t="n"/>
      <c r="I18" s="1522">
        <f>SUM(I5:I12)</f>
        <v/>
      </c>
      <c r="J18" s="1522" t="n"/>
      <c r="K18" s="1522" t="n"/>
      <c r="L18" s="1522" t="n"/>
      <c r="M18" s="1522" t="n"/>
      <c r="N18" s="1522" t="n"/>
      <c r="O18" s="1522" t="n"/>
      <c r="P18" s="208">
        <f>IF(ABS(I18-(Summary!$B$33+'Tender Build-Up'!$B$39))&lt;0.01,"OK","CHECK")</f>
        <v/>
      </c>
    </row>
    <row r="19" ht="20.10000038146973" customFormat="1" customHeight="1" s="217">
      <c r="A19" s="208" t="inlineStr">
        <is>
          <t>Net receipts plus retention release equal tender</t>
        </is>
      </c>
      <c r="B19" s="208" t="n"/>
      <c r="C19" s="208" t="n"/>
      <c r="D19" s="208" t="n"/>
      <c r="E19" s="1522" t="n"/>
      <c r="F19" s="1522" t="n"/>
      <c r="G19" s="1522" t="n"/>
      <c r="H19" s="1522" t="n"/>
      <c r="I19" s="1522" t="n"/>
      <c r="J19" s="1522" t="n"/>
      <c r="K19" s="1522" t="n"/>
      <c r="L19" s="1522">
        <f>L13</f>
        <v/>
      </c>
      <c r="M19" s="1522" t="n"/>
      <c r="N19" s="1522" t="n"/>
      <c r="O19" s="1522" t="n"/>
      <c r="P19" s="208">
        <f>IF(ABS(L19-'Tender Build-Up'!$B$47)&lt;0.01,"OK","CHECK")</f>
        <v/>
      </c>
    </row>
    <row r="20" ht="20.10000038146973" customFormat="1" customHeight="1" s="217">
      <c r="A20" s="208" t="inlineStr">
        <is>
          <t>Final cash equals commercial adjustments after cost provisions</t>
        </is>
      </c>
      <c r="B20" s="208" t="n"/>
      <c r="C20" s="208" t="n"/>
      <c r="D20" s="208" t="n"/>
      <c r="E20" s="1522" t="n"/>
      <c r="F20" s="1522" t="n"/>
      <c r="G20" s="1522" t="n"/>
      <c r="H20" s="1522" t="n"/>
      <c r="I20" s="1522" t="n"/>
      <c r="J20" s="1522" t="n"/>
      <c r="K20" s="1522">
        <f>K13</f>
        <v/>
      </c>
      <c r="L20" s="1522" t="n"/>
      <c r="M20" s="1522" t="n"/>
      <c r="N20" s="1522" t="n"/>
      <c r="O20" s="1522" t="n"/>
      <c r="P20" s="1513">
        <f>IF(ABS(K20-'Tender Build-Up'!$B$46)&lt;0.01,"OK","CHECK")</f>
        <v/>
      </c>
    </row>
    <row r="21" ht="20.10000038146973" customFormat="1" customHeight="1" s="217">
      <c r="A21" s="208" t="inlineStr">
        <is>
          <t>Lowest closing cash before retention release</t>
        </is>
      </c>
      <c r="B21" s="208" t="n"/>
      <c r="C21" s="208" t="n"/>
      <c r="D21" s="208" t="n"/>
      <c r="E21" s="1522" t="n"/>
      <c r="F21" s="1522" t="n"/>
      <c r="G21" s="1522" t="n"/>
      <c r="H21" s="1522" t="n"/>
      <c r="I21" s="1522" t="n"/>
      <c r="J21" s="1522" t="n"/>
      <c r="K21" s="1522">
        <f>MIN(K5:K12)</f>
        <v/>
      </c>
      <c r="L21" s="1522" t="n"/>
      <c r="M21" s="1522" t="n"/>
      <c r="N21" s="1522" t="n"/>
      <c r="O21" s="1522" t="n"/>
      <c r="P21" s="1513">
        <f>IF(K21&gt;=0,"POSITIVE","FUNDING REQUIRED")</f>
        <v/>
      </c>
    </row>
  </sheetData>
  <mergeCells count="4">
    <mergeCell ref="A1:P1"/>
    <mergeCell ref="A2:L2"/>
    <mergeCell ref="L15:P15"/>
    <mergeCell ref="A3:P3"/>
  </mergeCells>
  <dataValidations count="2">
    <dataValidation sqref="D5:D11" showDropDown="0" showInputMessage="0" showErrorMessage="0" allowBlank="0" type="list">
      <formula1>"Yes,No"</formula1>
    </dataValidation>
    <dataValidation sqref="B13 C16 E5:O11 E13:H13 F17 I18 J13:L13 K20:K21 L19 N13:O13 P16:P21" showDropDown="0" showInputMessage="0" showErrorMessage="1" allowBlank="1" errorTitle="Linked formula cell" error="This value is linked. Change the upstream input/source instead of overwriting this cell." type="custom">
      <formula1>FALSE</formula1>
    </dataValidation>
  </dataValidation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O64"/>
  <sheetViews>
    <sheetView workbookViewId="0">
      <selection activeCell="A1" sqref="A1"/>
    </sheetView>
  </sheetViews>
  <sheetFormatPr baseColWidth="8" defaultRowHeight="15"/>
  <cols>
    <col width="13" customWidth="1" style="491" min="1" max="1"/>
    <col width="34" customWidth="1" style="491" min="2" max="2"/>
    <col width="20" customWidth="1" style="491" min="3" max="3"/>
    <col width="24" customWidth="1" style="491" min="4" max="4"/>
    <col width="12" customWidth="1" style="491" min="5" max="5"/>
    <col width="12" customWidth="1" style="491" min="6" max="6"/>
    <col width="32" customWidth="1" style="491" min="7" max="7"/>
    <col width="40" customWidth="1" style="491" min="8" max="8"/>
    <col width="18" customWidth="1" style="491" min="9" max="9"/>
    <col width="30" customWidth="1" style="491" min="10" max="10"/>
    <col width="34" customWidth="1" style="491" min="11" max="11"/>
    <col width="16" customWidth="1" style="491" min="12" max="12"/>
    <col width="15" customWidth="1" style="491" min="13" max="13"/>
    <col width="48" customWidth="1" style="491" min="14" max="14"/>
    <col width="58" customWidth="1" style="491" min="15" max="15"/>
  </cols>
  <sheetData>
    <row r="1">
      <c r="A1" s="452" t="inlineStr">
        <is>
          <t>MATERIALS &amp; COMPONENT TAKEOFF / COVER</t>
        </is>
      </c>
      <c r="B1" s="242" t="n"/>
      <c r="C1" s="242" t="n"/>
      <c r="D1" s="242" t="n"/>
      <c r="E1" s="242" t="n"/>
      <c r="F1" s="242" t="n"/>
      <c r="G1" s="242" t="n"/>
      <c r="H1" s="242" t="n"/>
      <c r="I1" s="242" t="n"/>
      <c r="J1" s="242" t="n"/>
      <c r="K1" s="242" t="n"/>
      <c r="L1" s="242" t="n"/>
      <c r="M1" s="242" t="n"/>
      <c r="N1" s="242" t="n"/>
      <c r="O1" s="242" t="n"/>
    </row>
    <row r="2">
      <c r="A2" s="1523" t="inlineStr">
        <is>
          <t>COVERAGE AUDIT ONLY - NOT A SECOND COST CHAIN. Permanent components are linked to the existing Siteworks QS/Resource Build-Up or visibly classified as subcontract / RFI hold. Temporary ESC and ordinary consumables remain in Resource Build-Up.</t>
        </is>
      </c>
      <c r="B2" s="242" t="n"/>
      <c r="C2" s="242" t="n"/>
      <c r="D2" s="242" t="n"/>
      <c r="E2" s="242" t="n"/>
      <c r="F2" s="242" t="n"/>
      <c r="G2" s="242" t="n"/>
      <c r="H2" s="242" t="n"/>
      <c r="I2" s="242" t="n"/>
      <c r="J2" s="242" t="n"/>
      <c r="K2" s="242" t="n"/>
      <c r="L2" s="242" t="n"/>
      <c r="M2" s="242" t="n"/>
      <c r="N2" s="242" t="n"/>
      <c r="O2" s="242" t="n"/>
    </row>
    <row r="3">
      <c r="A3" s="211" t="n"/>
      <c r="B3" s="211" t="n"/>
      <c r="C3" s="211" t="n"/>
      <c r="D3" s="211" t="n"/>
      <c r="E3" s="211" t="n"/>
      <c r="F3" s="211" t="n"/>
      <c r="G3" s="211" t="n"/>
      <c r="H3" s="211" t="n"/>
      <c r="I3" s="211" t="n"/>
      <c r="J3" s="211" t="n"/>
      <c r="K3" s="211" t="n"/>
      <c r="L3" s="211" t="n"/>
      <c r="M3" s="211" t="n"/>
      <c r="N3" s="211" t="n"/>
      <c r="O3" s="211" t="n"/>
    </row>
    <row r="4">
      <c r="A4" s="743" t="inlineStr">
        <is>
          <t>Component ID</t>
        </is>
      </c>
      <c r="B4" s="743" t="inlineStr">
        <is>
          <t>Permanent component / package</t>
        </is>
      </c>
      <c r="C4" s="743" t="inlineStr">
        <is>
          <t>Owner</t>
        </is>
      </c>
      <c r="D4" s="743" t="inlineStr">
        <is>
          <t>Treatment</t>
        </is>
      </c>
      <c r="E4" s="743" t="inlineStr">
        <is>
          <t>Qty</t>
        </is>
      </c>
      <c r="F4" s="743" t="inlineStr">
        <is>
          <t>Unit</t>
        </is>
      </c>
      <c r="G4" s="743" t="inlineStr">
        <is>
          <t>Source / drawing</t>
        </is>
      </c>
      <c r="H4" s="743" t="inlineStr">
        <is>
          <t>Original source link</t>
        </is>
      </c>
      <c r="I4" s="743" t="inlineStr">
        <is>
          <t>QS Code</t>
        </is>
      </c>
      <c r="J4" s="743" t="inlineStr">
        <is>
          <t>Cost location</t>
        </is>
      </c>
      <c r="K4" s="743" t="inlineStr">
        <is>
          <t>Rate / quote source</t>
        </is>
      </c>
      <c r="L4" s="743" t="inlineStr">
        <is>
          <t>Verification</t>
        </is>
      </c>
      <c r="M4" s="743" t="inlineStr">
        <is>
          <t>Markup ID</t>
        </is>
      </c>
      <c r="N4" s="743" t="inlineStr">
        <is>
          <t>Outstanding action</t>
        </is>
      </c>
      <c r="O4" s="743" t="inlineStr">
        <is>
          <t>Notes</t>
        </is>
      </c>
    </row>
    <row r="5" ht="40.5" customHeight="1" s="491">
      <c r="A5" s="211" t="inlineStr">
        <is>
          <t>MC-001</t>
        </is>
      </c>
      <c r="B5" s="211" t="n"/>
      <c r="C5" s="211" t="n"/>
      <c r="D5" s="211" t="n"/>
      <c r="E5" s="1415" t="n"/>
      <c r="F5" s="211" t="n"/>
      <c r="G5" s="211" t="n"/>
      <c r="H5" s="211" t="n"/>
      <c r="I5" s="211" t="n"/>
      <c r="J5" s="211" t="n"/>
      <c r="K5" s="211" t="n"/>
      <c r="L5" s="211" t="n"/>
      <c r="M5" s="211" t="n"/>
      <c r="N5" s="211" t="n"/>
      <c r="O5" s="211" t="n"/>
    </row>
    <row r="6" ht="40.5" customHeight="1" s="491">
      <c r="A6" s="211" t="inlineStr">
        <is>
          <t>MC-002</t>
        </is>
      </c>
      <c r="B6" s="211" t="n"/>
      <c r="C6" s="211" t="n"/>
      <c r="D6" s="211" t="n"/>
      <c r="E6" s="1415" t="n"/>
      <c r="F6" s="211" t="n"/>
      <c r="G6" s="211" t="n"/>
      <c r="H6" s="211" t="n"/>
      <c r="I6" s="211" t="n"/>
      <c r="J6" s="211" t="n"/>
      <c r="K6" s="211" t="n"/>
      <c r="L6" s="211" t="n"/>
      <c r="M6" s="211" t="n"/>
      <c r="N6" s="211" t="n"/>
      <c r="O6" s="211" t="n"/>
    </row>
    <row r="7" ht="40.5" customHeight="1" s="491">
      <c r="A7" s="211" t="inlineStr">
        <is>
          <t>MC-003</t>
        </is>
      </c>
      <c r="B7" s="211" t="n"/>
      <c r="C7" s="211" t="n"/>
      <c r="D7" s="211" t="n"/>
      <c r="E7" s="1415" t="n"/>
      <c r="F7" s="211" t="n"/>
      <c r="G7" s="211" t="n"/>
      <c r="H7" s="211" t="n"/>
      <c r="I7" s="211" t="n"/>
      <c r="J7" s="211" t="n"/>
      <c r="K7" s="211" t="n"/>
      <c r="L7" s="211" t="n"/>
      <c r="M7" s="211" t="n"/>
      <c r="N7" s="211" t="n"/>
      <c r="O7" s="211" t="n"/>
    </row>
    <row r="8" ht="40.5" customHeight="1" s="491">
      <c r="A8" s="211" t="inlineStr">
        <is>
          <t>MC-004</t>
        </is>
      </c>
      <c r="B8" s="211" t="n"/>
      <c r="C8" s="211" t="n"/>
      <c r="D8" s="211" t="n"/>
      <c r="E8" s="1415" t="n"/>
      <c r="F8" s="211" t="n"/>
      <c r="G8" s="211" t="n"/>
      <c r="H8" s="211" t="n"/>
      <c r="I8" s="211" t="n"/>
      <c r="J8" s="211" t="n"/>
      <c r="K8" s="211" t="n"/>
      <c r="L8" s="211" t="n"/>
      <c r="M8" s="211" t="n"/>
      <c r="N8" s="211" t="n"/>
      <c r="O8" s="211" t="n"/>
    </row>
    <row r="9" ht="40.5" customHeight="1" s="491">
      <c r="A9" s="211" t="inlineStr">
        <is>
          <t>MC-005</t>
        </is>
      </c>
      <c r="B9" s="211" t="n"/>
      <c r="C9" s="211" t="n"/>
      <c r="D9" s="211" t="n"/>
      <c r="E9" s="1415" t="n"/>
      <c r="F9" s="211" t="n"/>
      <c r="G9" s="211" t="n"/>
      <c r="H9" s="211" t="n"/>
      <c r="I9" s="211" t="n"/>
      <c r="J9" s="211" t="n"/>
      <c r="K9" s="211" t="n"/>
      <c r="L9" s="211" t="n"/>
      <c r="M9" s="211" t="n"/>
      <c r="N9" s="211" t="n"/>
      <c r="O9" s="211" t="n"/>
    </row>
    <row r="10" ht="40.5" customHeight="1" s="491">
      <c r="A10" s="211" t="inlineStr">
        <is>
          <t>MC-006</t>
        </is>
      </c>
      <c r="B10" s="211" t="n"/>
      <c r="C10" s="211" t="n"/>
      <c r="D10" s="211" t="n"/>
      <c r="E10" s="1415">
        <f>'QS Takeoff'!E24</f>
        <v/>
      </c>
      <c r="F10" s="211" t="n"/>
      <c r="G10" s="211" t="n"/>
      <c r="H10" s="211">
        <f>'QS Takeoff'!P24</f>
        <v/>
      </c>
      <c r="I10" s="211" t="n"/>
      <c r="J10" s="211" t="n"/>
      <c r="K10" s="211" t="n"/>
      <c r="L10" s="211" t="n"/>
      <c r="M10" s="211" t="n"/>
      <c r="N10" s="211" t="n"/>
      <c r="O10" s="211" t="n"/>
    </row>
    <row r="11" ht="40.5" customHeight="1" s="491">
      <c r="A11" s="211" t="inlineStr">
        <is>
          <t>MC-007</t>
        </is>
      </c>
      <c r="B11" s="211" t="n"/>
      <c r="C11" s="211" t="n"/>
      <c r="D11" s="211" t="n"/>
      <c r="E11" s="1415" t="n"/>
      <c r="F11" s="211" t="n"/>
      <c r="G11" s="211" t="n"/>
      <c r="H11" s="211" t="n"/>
      <c r="I11" s="211" t="n"/>
      <c r="J11" s="211" t="n"/>
      <c r="K11" s="211" t="n"/>
      <c r="L11" s="211" t="n"/>
      <c r="M11" s="211" t="n"/>
      <c r="N11" s="211" t="n"/>
      <c r="O11" s="211" t="n"/>
    </row>
    <row r="12" ht="40.5" customHeight="1" s="491">
      <c r="A12" s="211" t="inlineStr">
        <is>
          <t>MC-008</t>
        </is>
      </c>
      <c r="B12" s="211" t="n"/>
      <c r="C12" s="211" t="n"/>
      <c r="D12" s="211" t="n"/>
      <c r="E12" s="1415" t="n"/>
      <c r="F12" s="211" t="n"/>
      <c r="G12" s="211" t="n"/>
      <c r="H12" s="211" t="n"/>
      <c r="I12" s="211" t="n"/>
      <c r="J12" s="211" t="n"/>
      <c r="K12" s="211" t="n"/>
      <c r="L12" s="211" t="n"/>
      <c r="M12" s="211" t="n"/>
      <c r="N12" s="211" t="n"/>
      <c r="O12" s="211" t="n"/>
    </row>
    <row r="13" ht="40.5" customHeight="1" s="491">
      <c r="A13" s="211" t="inlineStr">
        <is>
          <t>MC-009</t>
        </is>
      </c>
      <c r="B13" s="211" t="n"/>
      <c r="C13" s="211" t="n"/>
      <c r="D13" s="211" t="n"/>
      <c r="E13" s="1415" t="n"/>
      <c r="F13" s="211" t="n"/>
      <c r="G13" s="211" t="n"/>
      <c r="H13" s="211" t="n"/>
      <c r="I13" s="211" t="n"/>
      <c r="J13" s="211" t="n"/>
      <c r="K13" s="211" t="n"/>
      <c r="L13" s="211" t="n"/>
      <c r="M13" s="211" t="n"/>
      <c r="N13" s="211" t="n"/>
      <c r="O13" s="211" t="n"/>
    </row>
    <row r="14" ht="40.5" customHeight="1" s="491">
      <c r="A14" s="211" t="inlineStr">
        <is>
          <t>MC-010</t>
        </is>
      </c>
      <c r="B14" s="211" t="n"/>
      <c r="C14" s="211" t="n"/>
      <c r="D14" s="211" t="n"/>
      <c r="E14" s="1415" t="n"/>
      <c r="F14" s="211" t="n"/>
      <c r="G14" s="211" t="n"/>
      <c r="H14" s="211" t="n"/>
      <c r="I14" s="211" t="n"/>
      <c r="J14" s="211" t="n"/>
      <c r="K14" s="211" t="n"/>
      <c r="L14" s="211" t="n"/>
      <c r="M14" s="211" t="n"/>
      <c r="N14" s="211" t="n"/>
      <c r="O14" s="211" t="n"/>
    </row>
    <row r="15" ht="40.5" customHeight="1" s="491">
      <c r="A15" s="211" t="inlineStr">
        <is>
          <t>MC-011</t>
        </is>
      </c>
      <c r="B15" s="211" t="n"/>
      <c r="C15" s="211" t="n"/>
      <c r="D15" s="211" t="n"/>
      <c r="E15" s="1415">
        <f>'QS Takeoff'!E35</f>
        <v/>
      </c>
      <c r="F15" s="211" t="n"/>
      <c r="G15" s="211" t="n"/>
      <c r="H15" s="211">
        <f>'QS Takeoff'!P35</f>
        <v/>
      </c>
      <c r="I15" s="211" t="n"/>
      <c r="J15" s="211" t="n"/>
      <c r="K15" s="211" t="n"/>
      <c r="L15" s="211" t="n"/>
      <c r="M15" s="211" t="n"/>
      <c r="N15" s="211" t="n"/>
      <c r="O15" s="211" t="n"/>
    </row>
    <row r="16" ht="40.5" customHeight="1" s="491">
      <c r="A16" s="211" t="inlineStr">
        <is>
          <t>MC-012</t>
        </is>
      </c>
      <c r="B16" s="211" t="n"/>
      <c r="C16" s="211" t="n"/>
      <c r="D16" s="211" t="n"/>
      <c r="E16" s="1415">
        <f>'QS Takeoff'!E31</f>
        <v/>
      </c>
      <c r="F16" s="211" t="n"/>
      <c r="G16" s="211" t="n"/>
      <c r="H16" s="211">
        <f>'QS Takeoff'!P31</f>
        <v/>
      </c>
      <c r="I16" s="211" t="n"/>
      <c r="J16" s="211" t="n"/>
      <c r="K16" s="211" t="n"/>
      <c r="L16" s="211" t="n"/>
      <c r="M16" s="211" t="n"/>
      <c r="N16" s="211" t="n"/>
      <c r="O16" s="211" t="n"/>
    </row>
    <row r="17" ht="40.5" customHeight="1" s="491">
      <c r="A17" s="211" t="inlineStr">
        <is>
          <t>MC-013</t>
        </is>
      </c>
      <c r="B17" s="211" t="n"/>
      <c r="C17" s="211" t="n"/>
      <c r="D17" s="211" t="n"/>
      <c r="E17" s="1415" t="n"/>
      <c r="F17" s="211" t="n"/>
      <c r="G17" s="211" t="n"/>
      <c r="H17" s="211">
        <f>'QS Takeoff'!P30</f>
        <v/>
      </c>
      <c r="I17" s="211" t="n"/>
      <c r="J17" s="211" t="n"/>
      <c r="K17" s="211" t="n"/>
      <c r="L17" s="211" t="n"/>
      <c r="M17" s="211" t="n"/>
      <c r="N17" s="211" t="n"/>
      <c r="O17" s="211" t="n"/>
    </row>
    <row r="18" ht="40.5" customHeight="1" s="491">
      <c r="A18" s="211" t="inlineStr">
        <is>
          <t>MC-014</t>
        </is>
      </c>
      <c r="B18" s="211" t="n"/>
      <c r="C18" s="211" t="n"/>
      <c r="D18" s="211" t="n"/>
      <c r="E18" s="1415" t="n"/>
      <c r="F18" s="211" t="n"/>
      <c r="G18" s="211" t="n"/>
      <c r="H18" s="211">
        <f>'QS Takeoff'!P29</f>
        <v/>
      </c>
      <c r="I18" s="211" t="n"/>
      <c r="J18" s="211" t="n"/>
      <c r="K18" s="211" t="n"/>
      <c r="L18" s="211" t="n"/>
      <c r="M18" s="211" t="n"/>
      <c r="N18" s="211" t="n"/>
      <c r="O18" s="211" t="n"/>
    </row>
    <row r="19" ht="40.5" customHeight="1" s="491">
      <c r="A19" s="211" t="inlineStr">
        <is>
          <t>MC-015</t>
        </is>
      </c>
      <c r="B19" s="211" t="n"/>
      <c r="C19" s="211" t="n"/>
      <c r="D19" s="211" t="n"/>
      <c r="E19" s="1415" t="n"/>
      <c r="F19" s="211" t="n"/>
      <c r="G19" s="211" t="n"/>
      <c r="H19" s="211">
        <f>'QS Takeoff'!P27</f>
        <v/>
      </c>
      <c r="I19" s="211" t="n"/>
      <c r="J19" s="211" t="n"/>
      <c r="K19" s="211" t="n"/>
      <c r="L19" s="211" t="n"/>
      <c r="M19" s="211" t="n"/>
      <c r="N19" s="211" t="n"/>
      <c r="O19" s="211" t="n"/>
    </row>
    <row r="20" ht="40.5" customHeight="1" s="491">
      <c r="A20" s="211" t="inlineStr">
        <is>
          <t>MC-016</t>
        </is>
      </c>
      <c r="B20" s="211" t="n"/>
      <c r="C20" s="211" t="n"/>
      <c r="D20" s="211" t="n"/>
      <c r="E20" s="1415" t="n"/>
      <c r="F20" s="211" t="n"/>
      <c r="G20" s="211" t="n"/>
      <c r="H20" s="211" t="n"/>
      <c r="I20" s="211" t="n"/>
      <c r="J20" s="211" t="n"/>
      <c r="K20" s="211" t="n"/>
      <c r="L20" s="211" t="n"/>
      <c r="M20" s="211" t="n"/>
      <c r="N20" s="211" t="n"/>
      <c r="O20" s="211" t="n"/>
    </row>
    <row r="21" ht="40.5" customHeight="1" s="491">
      <c r="A21" s="211" t="inlineStr">
        <is>
          <t>MC-017</t>
        </is>
      </c>
      <c r="B21" s="211" t="n"/>
      <c r="C21" s="211" t="n"/>
      <c r="D21" s="211" t="n"/>
      <c r="E21" s="1415" t="n"/>
      <c r="F21" s="211" t="n"/>
      <c r="G21" s="211" t="n"/>
      <c r="H21" s="211" t="n"/>
      <c r="I21" s="211" t="n"/>
      <c r="J21" s="211" t="n"/>
      <c r="K21" s="211" t="n"/>
      <c r="L21" s="211" t="n"/>
      <c r="M21" s="211" t="n"/>
      <c r="N21" s="211" t="n"/>
      <c r="O21" s="211" t="n"/>
    </row>
    <row r="22" ht="40.5" customHeight="1" s="491">
      <c r="A22" s="211" t="inlineStr">
        <is>
          <t>MC-018</t>
        </is>
      </c>
      <c r="B22" s="211" t="n"/>
      <c r="C22" s="211" t="n"/>
      <c r="D22" s="211" t="n"/>
      <c r="E22" s="1415" t="n"/>
      <c r="F22" s="211" t="n"/>
      <c r="G22" s="211" t="n"/>
      <c r="H22" s="211" t="n"/>
      <c r="I22" s="211" t="n"/>
      <c r="J22" s="211" t="n"/>
      <c r="K22" s="211" t="n"/>
      <c r="L22" s="211" t="n"/>
      <c r="M22" s="211" t="n"/>
      <c r="N22" s="211" t="n"/>
      <c r="O22" s="211" t="n"/>
    </row>
    <row r="23" ht="45" customHeight="1" s="491">
      <c r="A23" s="211" t="inlineStr">
        <is>
          <t>MC-019</t>
        </is>
      </c>
      <c r="B23" s="211" t="n"/>
      <c r="C23" s="211" t="n"/>
      <c r="D23" s="211" t="n"/>
      <c r="E23" s="211" t="n"/>
      <c r="F23" s="211" t="n"/>
      <c r="G23" s="211" t="n"/>
      <c r="H23" s="211" t="n"/>
      <c r="I23" s="211" t="n"/>
      <c r="J23" s="211" t="n"/>
      <c r="K23" s="211" t="n"/>
      <c r="L23" s="211" t="n"/>
      <c r="M23" s="211" t="n"/>
      <c r="N23" s="211" t="n"/>
      <c r="O23" s="211" t="n"/>
    </row>
    <row r="24" ht="51" customHeight="1" s="491">
      <c r="A24" s="211" t="inlineStr">
        <is>
          <t>MC-020</t>
        </is>
      </c>
      <c r="B24" s="211" t="n"/>
      <c r="C24" s="211" t="n"/>
      <c r="D24" s="211" t="n"/>
      <c r="E24" s="211" t="n"/>
      <c r="F24" s="211" t="n"/>
      <c r="G24" s="211" t="n"/>
      <c r="H24" s="211" t="n"/>
      <c r="I24" s="211" t="n"/>
      <c r="J24" s="211" t="n"/>
      <c r="K24" s="211" t="n"/>
      <c r="L24" s="211" t="n"/>
      <c r="M24" s="211" t="n"/>
      <c r="N24" s="211" t="n"/>
      <c r="O24" s="211" t="n"/>
    </row>
    <row r="25">
      <c r="A25" s="1524" t="inlineStr">
        <is>
          <t>MC-021</t>
        </is>
      </c>
      <c r="B25" s="1524" t="n"/>
      <c r="C25" s="1524" t="n"/>
      <c r="D25" s="1524" t="n"/>
      <c r="E25" s="1524" t="n"/>
      <c r="F25" s="1524" t="n"/>
      <c r="G25" s="1524" t="n"/>
      <c r="H25" s="1524" t="n"/>
      <c r="I25" s="1524" t="n"/>
      <c r="J25" s="1524" t="n"/>
      <c r="K25" s="1524" t="n"/>
      <c r="L25" s="1524" t="n"/>
      <c r="M25" s="1524" t="n"/>
      <c r="N25" s="1524" t="n"/>
      <c r="O25" s="1524" t="n"/>
    </row>
    <row r="26">
      <c r="A26" s="1524" t="inlineStr">
        <is>
          <t>MC-022</t>
        </is>
      </c>
      <c r="B26" s="1524" t="n"/>
      <c r="C26" s="1524" t="n"/>
      <c r="D26" s="1524" t="n"/>
      <c r="E26" s="1524" t="n"/>
      <c r="F26" s="1524" t="n"/>
      <c r="G26" s="1524" t="n"/>
      <c r="H26" s="1524" t="n"/>
      <c r="I26" s="1524" t="n"/>
      <c r="J26" s="1524" t="n"/>
      <c r="K26" s="1524" t="n"/>
      <c r="L26" s="1524" t="n"/>
      <c r="M26" s="1524" t="n"/>
      <c r="N26" s="1524" t="n"/>
      <c r="O26" s="1524" t="n"/>
    </row>
    <row r="27">
      <c r="A27" s="1524" t="inlineStr">
        <is>
          <t>MC-023</t>
        </is>
      </c>
      <c r="B27" s="1524" t="n"/>
      <c r="C27" s="1524" t="n"/>
      <c r="D27" s="1524" t="n"/>
      <c r="E27" s="1524" t="n"/>
      <c r="F27" s="1524" t="n"/>
      <c r="G27" s="1524" t="n"/>
      <c r="H27" s="1524" t="n"/>
      <c r="I27" s="1524" t="n"/>
      <c r="J27" s="1524" t="n"/>
      <c r="K27" s="1524" t="n"/>
      <c r="L27" s="1524" t="n"/>
      <c r="M27" s="1524" t="n"/>
      <c r="N27" s="1524" t="n"/>
      <c r="O27" s="1524" t="n"/>
    </row>
    <row r="28">
      <c r="A28" s="1524" t="inlineStr">
        <is>
          <t>MC-024</t>
        </is>
      </c>
      <c r="B28" s="1524" t="n"/>
      <c r="C28" s="1524" t="n"/>
      <c r="D28" s="1524" t="n"/>
      <c r="E28" s="1524" t="n"/>
      <c r="F28" s="1524" t="n"/>
      <c r="G28" s="1524" t="n"/>
      <c r="H28" s="1524" t="n"/>
      <c r="I28" s="1524" t="n"/>
      <c r="J28" s="1524" t="n"/>
      <c r="K28" s="1524" t="n"/>
      <c r="L28" s="1524" t="n"/>
      <c r="M28" s="1524" t="n"/>
      <c r="N28" s="1524" t="n"/>
      <c r="O28" s="1524" t="n"/>
    </row>
    <row r="29">
      <c r="A29" s="1524" t="inlineStr">
        <is>
          <t>MC-025</t>
        </is>
      </c>
      <c r="B29" s="1524" t="n"/>
      <c r="C29" s="1524" t="n"/>
      <c r="D29" s="1524" t="n"/>
      <c r="E29" s="1524" t="n"/>
      <c r="F29" s="1524" t="n"/>
      <c r="G29" s="1524" t="n"/>
      <c r="H29" s="1524" t="n"/>
      <c r="I29" s="1524" t="n"/>
      <c r="J29" s="1524" t="n"/>
      <c r="K29" s="1524" t="n"/>
      <c r="L29" s="1524" t="n"/>
      <c r="M29" s="1524" t="n"/>
      <c r="N29" s="1524" t="n"/>
      <c r="O29" s="1524" t="n"/>
    </row>
    <row r="30">
      <c r="A30" s="1524" t="inlineStr">
        <is>
          <t>MC-026</t>
        </is>
      </c>
      <c r="B30" s="1524" t="n"/>
      <c r="C30" s="1524" t="n"/>
      <c r="D30" s="1524" t="n"/>
      <c r="E30" s="1524" t="n"/>
      <c r="F30" s="1524" t="n"/>
      <c r="G30" s="1524" t="n"/>
      <c r="H30" s="1524" t="n"/>
      <c r="I30" s="1524" t="n"/>
      <c r="J30" s="1524" t="n"/>
      <c r="K30" s="1524" t="n"/>
      <c r="L30" s="1524" t="n"/>
      <c r="M30" s="1524" t="n"/>
      <c r="N30" s="1524" t="n"/>
      <c r="O30" s="1524" t="n"/>
    </row>
    <row r="31">
      <c r="A31" s="1524" t="inlineStr">
        <is>
          <t>MC-027</t>
        </is>
      </c>
      <c r="B31" s="1524" t="n"/>
      <c r="C31" s="1524" t="n"/>
      <c r="D31" s="1524" t="n"/>
      <c r="E31" s="1524" t="n"/>
      <c r="F31" s="1524" t="n"/>
      <c r="G31" s="1524" t="n"/>
      <c r="H31" s="1524" t="n"/>
      <c r="I31" s="1524" t="n"/>
      <c r="J31" s="1524" t="n"/>
      <c r="K31" s="1524" t="n"/>
      <c r="L31" s="1524" t="n"/>
      <c r="M31" s="1524" t="n"/>
      <c r="N31" s="1524" t="n"/>
      <c r="O31" s="1524" t="n"/>
    </row>
    <row r="32">
      <c r="A32" s="1524" t="inlineStr">
        <is>
          <t>MC-028</t>
        </is>
      </c>
      <c r="B32" s="1524" t="n"/>
      <c r="C32" s="1524" t="n"/>
      <c r="D32" s="1524" t="n"/>
      <c r="E32" s="1524" t="n"/>
      <c r="F32" s="1524" t="n"/>
      <c r="G32" s="1524" t="n"/>
      <c r="H32" s="1524" t="n"/>
      <c r="I32" s="1524" t="n"/>
      <c r="J32" s="1524" t="n"/>
      <c r="K32" s="1524" t="n"/>
      <c r="L32" s="1524" t="n"/>
      <c r="M32" s="1524" t="n"/>
      <c r="N32" s="1524" t="n"/>
      <c r="O32" s="1524" t="n"/>
    </row>
    <row r="33">
      <c r="A33" s="1524" t="inlineStr">
        <is>
          <t>MC-029</t>
        </is>
      </c>
      <c r="B33" s="1524" t="n"/>
      <c r="C33" s="1524" t="n"/>
      <c r="D33" s="1524" t="n"/>
      <c r="E33" s="1524" t="n"/>
      <c r="F33" s="1524" t="n"/>
      <c r="G33" s="1524" t="n"/>
      <c r="H33" s="1524" t="n"/>
      <c r="I33" s="1524" t="n"/>
      <c r="J33" s="1524" t="n"/>
      <c r="K33" s="1524" t="n"/>
      <c r="L33" s="1524" t="n"/>
      <c r="M33" s="1524" t="n"/>
      <c r="N33" s="1524" t="n"/>
      <c r="O33" s="1524" t="n"/>
    </row>
    <row r="34">
      <c r="A34" s="1524" t="inlineStr">
        <is>
          <t>MC-030</t>
        </is>
      </c>
      <c r="B34" s="1524" t="n"/>
      <c r="C34" s="1524" t="n"/>
      <c r="D34" s="1524" t="n"/>
      <c r="E34" s="1524" t="n"/>
      <c r="F34" s="1524" t="n"/>
      <c r="G34" s="1524" t="n"/>
      <c r="H34" s="1524" t="n"/>
      <c r="I34" s="1524" t="n"/>
      <c r="J34" s="1524" t="n"/>
      <c r="K34" s="1524" t="n"/>
      <c r="L34" s="1524" t="n"/>
      <c r="M34" s="1524" t="n"/>
      <c r="N34" s="1524" t="n"/>
      <c r="O34" s="1524" t="n"/>
    </row>
    <row r="35">
      <c r="A35" s="1524" t="inlineStr">
        <is>
          <t>MC-031</t>
        </is>
      </c>
      <c r="B35" s="1524" t="n"/>
      <c r="C35" s="1524" t="n"/>
      <c r="D35" s="1524" t="n"/>
      <c r="E35" s="1524" t="n"/>
      <c r="F35" s="1524" t="n"/>
      <c r="G35" s="1524" t="n"/>
      <c r="H35" s="1524" t="n"/>
      <c r="I35" s="1524" t="n"/>
      <c r="J35" s="1524" t="n"/>
      <c r="K35" s="1524" t="n"/>
      <c r="L35" s="1524" t="n"/>
      <c r="M35" s="1524" t="n"/>
      <c r="N35" s="1524" t="n"/>
      <c r="O35" s="1524" t="n"/>
    </row>
    <row r="36">
      <c r="A36" s="1524" t="inlineStr">
        <is>
          <t>MC-032</t>
        </is>
      </c>
      <c r="B36" s="1524" t="n"/>
      <c r="C36" s="1524" t="n"/>
      <c r="D36" s="1524" t="n"/>
      <c r="E36" s="1524" t="n"/>
      <c r="F36" s="1524" t="n"/>
      <c r="G36" s="1524" t="n"/>
      <c r="H36" s="1524" t="n"/>
      <c r="I36" s="1524" t="n"/>
      <c r="J36" s="1524" t="n"/>
      <c r="K36" s="1524" t="n"/>
      <c r="L36" s="1524" t="n"/>
      <c r="M36" s="1524" t="n"/>
      <c r="N36" s="1524" t="n"/>
      <c r="O36" s="1524" t="n"/>
    </row>
    <row r="37">
      <c r="A37" s="1524" t="inlineStr">
        <is>
          <t>MC-033</t>
        </is>
      </c>
      <c r="B37" s="1524" t="n"/>
      <c r="C37" s="1524" t="n"/>
      <c r="D37" s="1524" t="n"/>
      <c r="E37" s="1524" t="n"/>
      <c r="F37" s="1524" t="n"/>
      <c r="G37" s="1524" t="n"/>
      <c r="H37" s="1524" t="n"/>
      <c r="I37" s="1524" t="n"/>
      <c r="J37" s="1524" t="n"/>
      <c r="K37" s="1524" t="n"/>
      <c r="L37" s="1524" t="n"/>
      <c r="M37" s="1524" t="n"/>
      <c r="N37" s="1524" t="n"/>
      <c r="O37" s="1524" t="n"/>
    </row>
    <row r="38">
      <c r="A38" s="1524" t="inlineStr">
        <is>
          <t>MC-034</t>
        </is>
      </c>
      <c r="B38" s="1524" t="n"/>
      <c r="C38" s="1524" t="n"/>
      <c r="D38" s="1524" t="n"/>
      <c r="E38" s="1524" t="n"/>
      <c r="F38" s="1524" t="n"/>
      <c r="G38" s="1524" t="n"/>
      <c r="H38" s="1524" t="n"/>
      <c r="I38" s="1524" t="n"/>
      <c r="J38" s="1524" t="n"/>
      <c r="K38" s="1524" t="n"/>
      <c r="L38" s="1524" t="n"/>
      <c r="M38" s="1524" t="n"/>
      <c r="N38" s="1524" t="n"/>
      <c r="O38" s="1524" t="n"/>
    </row>
    <row r="39">
      <c r="A39" s="1524" t="inlineStr">
        <is>
          <t>MC-035</t>
        </is>
      </c>
      <c r="B39" s="1524" t="n"/>
      <c r="C39" s="1524" t="n"/>
      <c r="D39" s="1524" t="n"/>
      <c r="E39" s="1524" t="n"/>
      <c r="F39" s="1524" t="n"/>
      <c r="G39" s="1524" t="n"/>
      <c r="H39" s="1524" t="n"/>
      <c r="I39" s="1524" t="n"/>
      <c r="J39" s="1524" t="n"/>
      <c r="K39" s="1524" t="n"/>
      <c r="L39" s="1524" t="n"/>
      <c r="M39" s="1524" t="n"/>
      <c r="N39" s="1524" t="n"/>
      <c r="O39" s="1524" t="n"/>
    </row>
    <row r="40">
      <c r="A40" s="1524" t="inlineStr">
        <is>
          <t>MC-036</t>
        </is>
      </c>
      <c r="B40" s="1524" t="n"/>
      <c r="C40" s="1524" t="n"/>
      <c r="D40" s="1524" t="n"/>
      <c r="E40" s="1524" t="n"/>
      <c r="F40" s="1524" t="n"/>
      <c r="G40" s="1524" t="n"/>
      <c r="H40" s="1524" t="n"/>
      <c r="I40" s="1524" t="n"/>
      <c r="J40" s="1524" t="n"/>
      <c r="K40" s="1524" t="n"/>
      <c r="L40" s="1524" t="n"/>
      <c r="M40" s="1524" t="n"/>
      <c r="N40" s="1524" t="n"/>
      <c r="O40" s="1524" t="n"/>
    </row>
    <row r="41">
      <c r="A41" s="1524" t="inlineStr">
        <is>
          <t>MC-037</t>
        </is>
      </c>
      <c r="B41" s="1524" t="n"/>
      <c r="C41" s="1524" t="n"/>
      <c r="D41" s="1524" t="n"/>
      <c r="E41" s="1524" t="n"/>
      <c r="F41" s="1524" t="n"/>
      <c r="G41" s="1524" t="n"/>
      <c r="H41" s="1524" t="n"/>
      <c r="I41" s="1524" t="n"/>
      <c r="J41" s="1524" t="n"/>
      <c r="K41" s="1524" t="n"/>
      <c r="L41" s="1524" t="n"/>
      <c r="M41" s="1524" t="n"/>
      <c r="N41" s="1524" t="n"/>
      <c r="O41" s="1524" t="n"/>
    </row>
    <row r="42">
      <c r="A42" s="1524" t="inlineStr">
        <is>
          <t>MC-038</t>
        </is>
      </c>
      <c r="B42" s="1524" t="n"/>
      <c r="C42" s="1524" t="n"/>
      <c r="D42" s="1524" t="n"/>
      <c r="E42" s="1524" t="n"/>
      <c r="F42" s="1524" t="n"/>
      <c r="G42" s="1524" t="n"/>
      <c r="H42" s="1524" t="n"/>
      <c r="I42" s="1524" t="n"/>
      <c r="J42" s="1524" t="n"/>
      <c r="K42" s="1524" t="n"/>
      <c r="L42" s="1524" t="n"/>
      <c r="M42" s="1524" t="n"/>
      <c r="N42" s="1524" t="n"/>
      <c r="O42" s="1524" t="n"/>
    </row>
    <row r="43">
      <c r="A43" s="1524" t="inlineStr">
        <is>
          <t>MC-039</t>
        </is>
      </c>
      <c r="B43" s="1524" t="n"/>
      <c r="C43" s="1524" t="n"/>
      <c r="D43" s="1524" t="n"/>
      <c r="E43" s="1524" t="n"/>
      <c r="F43" s="1524" t="n"/>
      <c r="G43" s="1524" t="n"/>
      <c r="H43" s="1524" t="n"/>
      <c r="I43" s="1524" t="n"/>
      <c r="J43" s="1524" t="n"/>
      <c r="K43" s="1524" t="n"/>
      <c r="L43" s="1524" t="n"/>
      <c r="M43" s="1524" t="n"/>
      <c r="N43" s="1524" t="n"/>
      <c r="O43" s="1524" t="n"/>
    </row>
    <row r="44">
      <c r="A44" s="1524" t="inlineStr">
        <is>
          <t>MC-040</t>
        </is>
      </c>
      <c r="B44" s="1524" t="n"/>
      <c r="C44" s="1524" t="n"/>
      <c r="D44" s="1524" t="n"/>
      <c r="E44" s="1524" t="n"/>
      <c r="F44" s="1524" t="n"/>
      <c r="G44" s="1524" t="n"/>
      <c r="H44" s="1524" t="n"/>
      <c r="I44" s="1524" t="n"/>
      <c r="J44" s="1524" t="n"/>
      <c r="K44" s="1524" t="n"/>
      <c r="L44" s="1524" t="n"/>
      <c r="M44" s="1524" t="n"/>
      <c r="N44" s="1524" t="n"/>
      <c r="O44" s="1524" t="n"/>
    </row>
    <row r="45">
      <c r="A45" s="1524" t="inlineStr">
        <is>
          <t>MC-041</t>
        </is>
      </c>
      <c r="B45" s="1524" t="n"/>
      <c r="C45" s="1524" t="n"/>
      <c r="D45" s="1524" t="n"/>
      <c r="E45" s="1524" t="n"/>
      <c r="F45" s="1524" t="n"/>
      <c r="G45" s="1524" t="n"/>
      <c r="H45" s="1524" t="n"/>
      <c r="I45" s="1524" t="n"/>
      <c r="J45" s="1524" t="n"/>
      <c r="K45" s="1524" t="n"/>
      <c r="L45" s="1524" t="n"/>
      <c r="M45" s="1524" t="n"/>
      <c r="N45" s="1524" t="n"/>
      <c r="O45" s="1524" t="n"/>
    </row>
    <row r="46">
      <c r="A46" s="1524" t="inlineStr">
        <is>
          <t>MC-042</t>
        </is>
      </c>
      <c r="B46" s="1524" t="n"/>
      <c r="C46" s="1524" t="n"/>
      <c r="D46" s="1524" t="n"/>
      <c r="E46" s="1524" t="n"/>
      <c r="F46" s="1524" t="n"/>
      <c r="G46" s="1524" t="n"/>
      <c r="H46" s="1524" t="n"/>
      <c r="I46" s="1524" t="n"/>
      <c r="J46" s="1524" t="n"/>
      <c r="K46" s="1524" t="n"/>
      <c r="L46" s="1524" t="n"/>
      <c r="M46" s="1524" t="n"/>
      <c r="N46" s="1524" t="n"/>
      <c r="O46" s="1524" t="n"/>
    </row>
    <row r="47">
      <c r="A47" s="1524" t="inlineStr">
        <is>
          <t>MC-043</t>
        </is>
      </c>
      <c r="B47" s="1524" t="n"/>
      <c r="C47" s="1524" t="n"/>
      <c r="D47" s="1524" t="n"/>
      <c r="E47" s="1524" t="n"/>
      <c r="F47" s="1524" t="n"/>
      <c r="G47" s="1524" t="n"/>
      <c r="H47" s="1524" t="n"/>
      <c r="I47" s="1524" t="n"/>
      <c r="J47" s="1524" t="n"/>
      <c r="K47" s="1524" t="n"/>
      <c r="L47" s="1524" t="n"/>
      <c r="M47" s="1524" t="n"/>
      <c r="N47" s="1524" t="n"/>
      <c r="O47" s="1524" t="n"/>
    </row>
    <row r="48">
      <c r="A48" s="1524" t="inlineStr">
        <is>
          <t>MC-044</t>
        </is>
      </c>
      <c r="B48" s="1524" t="n"/>
      <c r="C48" s="1524" t="n"/>
      <c r="D48" s="1524" t="n"/>
      <c r="E48" s="1524" t="n"/>
      <c r="F48" s="1524" t="n"/>
      <c r="G48" s="1524" t="n"/>
      <c r="H48" s="1524" t="n"/>
      <c r="I48" s="1524" t="n"/>
      <c r="J48" s="1524" t="n"/>
      <c r="K48" s="1524" t="n"/>
      <c r="L48" s="1524" t="n"/>
      <c r="M48" s="1524" t="n"/>
      <c r="N48" s="1524" t="n"/>
      <c r="O48" s="1524" t="n"/>
    </row>
    <row r="49">
      <c r="A49" s="1524" t="inlineStr">
        <is>
          <t>MC-045</t>
        </is>
      </c>
      <c r="B49" s="1524" t="n"/>
      <c r="C49" s="1524" t="n"/>
      <c r="D49" s="1524" t="n"/>
      <c r="E49" s="1524" t="n"/>
      <c r="F49" s="1524" t="n"/>
      <c r="G49" s="1524" t="n"/>
      <c r="H49" s="1524" t="n"/>
      <c r="I49" s="1524" t="n"/>
      <c r="J49" s="1524" t="n"/>
      <c r="K49" s="1524" t="n"/>
      <c r="L49" s="1524" t="n"/>
      <c r="M49" s="1524" t="n"/>
      <c r="N49" s="1524" t="n"/>
      <c r="O49" s="1524" t="n"/>
    </row>
    <row r="50">
      <c r="A50" s="1524" t="inlineStr">
        <is>
          <t>MC-046</t>
        </is>
      </c>
      <c r="B50" s="1524" t="n"/>
      <c r="C50" s="1524" t="n"/>
      <c r="D50" s="1524" t="n"/>
      <c r="E50" s="1524" t="n"/>
      <c r="F50" s="1524" t="n"/>
      <c r="G50" s="1524" t="n"/>
      <c r="H50" s="1524" t="n"/>
      <c r="I50" s="1524" t="n"/>
      <c r="J50" s="1524" t="n"/>
      <c r="K50" s="1524" t="n"/>
      <c r="L50" s="1524" t="n"/>
      <c r="M50" s="1524" t="n"/>
      <c r="N50" s="1524" t="n"/>
      <c r="O50" s="1524" t="n"/>
    </row>
    <row r="51">
      <c r="A51" s="1524" t="inlineStr">
        <is>
          <t>MC-047</t>
        </is>
      </c>
      <c r="B51" s="1524" t="n"/>
      <c r="C51" s="1524" t="n"/>
      <c r="D51" s="1524" t="n"/>
      <c r="E51" s="1524" t="n"/>
      <c r="F51" s="1524" t="n"/>
      <c r="G51" s="1524" t="n"/>
      <c r="H51" s="1524" t="n"/>
      <c r="I51" s="1524" t="n"/>
      <c r="J51" s="1524" t="n"/>
      <c r="K51" s="1524" t="n"/>
      <c r="L51" s="1524" t="n"/>
      <c r="M51" s="1524" t="n"/>
      <c r="N51" s="1524" t="n"/>
      <c r="O51" s="1524" t="n"/>
    </row>
    <row r="52">
      <c r="A52" s="1524" t="inlineStr">
        <is>
          <t>MC-048</t>
        </is>
      </c>
      <c r="B52" s="1524" t="n"/>
      <c r="C52" s="1524" t="n"/>
      <c r="D52" s="1524" t="n"/>
      <c r="E52" s="1524" t="n"/>
      <c r="F52" s="1524" t="n"/>
      <c r="G52" s="1524" t="n"/>
      <c r="H52" s="1524" t="n"/>
      <c r="I52" s="1524" t="n"/>
      <c r="J52" s="1524" t="n"/>
      <c r="K52" s="1524" t="n"/>
      <c r="L52" s="1524" t="n"/>
      <c r="M52" s="1524" t="n"/>
      <c r="N52" s="1524" t="n"/>
      <c r="O52" s="1524" t="n"/>
    </row>
    <row r="53">
      <c r="A53" s="1524" t="inlineStr">
        <is>
          <t>MC-049</t>
        </is>
      </c>
      <c r="B53" s="1524" t="n"/>
      <c r="C53" s="1524" t="n"/>
      <c r="D53" s="1524" t="n"/>
      <c r="E53" s="1524" t="n"/>
      <c r="F53" s="1524" t="n"/>
      <c r="G53" s="1524" t="n"/>
      <c r="H53" s="1524" t="n"/>
      <c r="I53" s="1524" t="n"/>
      <c r="J53" s="1524" t="n"/>
      <c r="K53" s="1524" t="n"/>
      <c r="L53" s="1524" t="n"/>
      <c r="M53" s="1524" t="n"/>
      <c r="N53" s="1524" t="n"/>
      <c r="O53" s="1524" t="n"/>
    </row>
    <row r="54">
      <c r="A54" s="1524" t="inlineStr">
        <is>
          <t>MC-050</t>
        </is>
      </c>
      <c r="B54" s="1524" t="n"/>
      <c r="C54" s="1524" t="n"/>
      <c r="D54" s="1524" t="n"/>
      <c r="E54" s="1524" t="n"/>
      <c r="F54" s="1524" t="n"/>
      <c r="G54" s="1524" t="n"/>
      <c r="H54" s="1524" t="n"/>
      <c r="I54" s="1524" t="n"/>
      <c r="J54" s="1524" t="n"/>
      <c r="K54" s="1524" t="n"/>
      <c r="L54" s="1524" t="n"/>
      <c r="M54" s="1524" t="n"/>
      <c r="N54" s="1524" t="n"/>
      <c r="O54" s="1524" t="n"/>
    </row>
    <row r="55">
      <c r="A55" s="1524" t="inlineStr">
        <is>
          <t>MC-051</t>
        </is>
      </c>
      <c r="B55" s="1524" t="n"/>
      <c r="C55" s="1524" t="n"/>
      <c r="D55" s="1524" t="n"/>
      <c r="E55" s="1524" t="n"/>
      <c r="F55" s="1524" t="n"/>
      <c r="G55" s="1524" t="n"/>
      <c r="H55" s="1524" t="n"/>
      <c r="I55" s="1524" t="n"/>
      <c r="J55" s="1524" t="n"/>
      <c r="K55" s="1524" t="n"/>
      <c r="L55" s="1524" t="n"/>
      <c r="M55" s="1524" t="n"/>
      <c r="N55" s="1524" t="n"/>
      <c r="O55" s="1524" t="n"/>
    </row>
    <row r="56">
      <c r="A56" s="1524" t="inlineStr">
        <is>
          <t>MC-052</t>
        </is>
      </c>
      <c r="B56" s="1524" t="n"/>
      <c r="C56" s="1524" t="n"/>
      <c r="D56" s="1524" t="n"/>
      <c r="E56" s="1524" t="n"/>
      <c r="F56" s="1524" t="n"/>
      <c r="G56" s="1524" t="n"/>
      <c r="H56" s="1524" t="n"/>
      <c r="I56" s="1524" t="n"/>
      <c r="J56" s="1524" t="n"/>
      <c r="K56" s="1524" t="n"/>
      <c r="L56" s="1524" t="n"/>
      <c r="M56" s="1524" t="n"/>
      <c r="N56" s="1524" t="n"/>
      <c r="O56" s="1524" t="n"/>
    </row>
    <row r="57">
      <c r="A57" s="1524" t="inlineStr">
        <is>
          <t>MC-053</t>
        </is>
      </c>
      <c r="B57" s="1524" t="n"/>
      <c r="C57" s="1524" t="n"/>
      <c r="D57" s="1524" t="n"/>
      <c r="E57" s="1524" t="n"/>
      <c r="F57" s="1524" t="n"/>
      <c r="G57" s="1524" t="n"/>
      <c r="H57" s="1524" t="n"/>
      <c r="I57" s="1524" t="n"/>
      <c r="J57" s="1524" t="n"/>
      <c r="K57" s="1524" t="n"/>
      <c r="L57" s="1524" t="n"/>
      <c r="M57" s="1524" t="n"/>
      <c r="N57" s="1524" t="n"/>
      <c r="O57" s="1524" t="n"/>
    </row>
    <row r="58">
      <c r="A58" s="1524" t="inlineStr">
        <is>
          <t>MC-054</t>
        </is>
      </c>
      <c r="B58" s="1524" t="n"/>
      <c r="C58" s="1524" t="n"/>
      <c r="D58" s="1524" t="n"/>
      <c r="E58" s="1524" t="n"/>
      <c r="F58" s="1524" t="n"/>
      <c r="G58" s="1524" t="n"/>
      <c r="H58" s="1524" t="n"/>
      <c r="I58" s="1524" t="n"/>
      <c r="J58" s="1524" t="n"/>
      <c r="K58" s="1524" t="n"/>
      <c r="L58" s="1524" t="n"/>
      <c r="M58" s="1524" t="n"/>
      <c r="N58" s="1524" t="n"/>
      <c r="O58" s="1524" t="n"/>
    </row>
    <row r="59">
      <c r="A59" s="1524" t="inlineStr">
        <is>
          <t>MC-055</t>
        </is>
      </c>
      <c r="B59" s="1524" t="n"/>
      <c r="C59" s="1524" t="n"/>
      <c r="D59" s="1524" t="n"/>
      <c r="E59" s="1524" t="n"/>
      <c r="F59" s="1524" t="n"/>
      <c r="G59" s="1524" t="n"/>
      <c r="H59" s="1524" t="n"/>
      <c r="I59" s="1524" t="n"/>
      <c r="J59" s="1524" t="n"/>
      <c r="K59" s="1524" t="n"/>
      <c r="L59" s="1524" t="n"/>
      <c r="M59" s="1524" t="n"/>
      <c r="N59" s="1524" t="n"/>
      <c r="O59" s="1524" t="n"/>
    </row>
    <row r="60">
      <c r="A60" s="1524" t="inlineStr">
        <is>
          <t>MC-056</t>
        </is>
      </c>
      <c r="B60" s="1524" t="n"/>
      <c r="C60" s="1524" t="n"/>
      <c r="D60" s="1524" t="n"/>
      <c r="E60" s="1524" t="n"/>
      <c r="F60" s="1524" t="n"/>
      <c r="G60" s="1524" t="n"/>
      <c r="H60" s="1524" t="n"/>
      <c r="I60" s="1524" t="n"/>
      <c r="J60" s="1524" t="n"/>
      <c r="K60" s="1524" t="n"/>
      <c r="L60" s="1524" t="n"/>
      <c r="M60" s="1524" t="n"/>
      <c r="N60" s="1524" t="n"/>
      <c r="O60" s="1524" t="n"/>
    </row>
    <row r="61">
      <c r="A61" s="1524" t="inlineStr">
        <is>
          <t>MC-057</t>
        </is>
      </c>
      <c r="B61" s="1524" t="n"/>
      <c r="C61" s="1524" t="n"/>
      <c r="D61" s="1524" t="n"/>
      <c r="E61" s="1524" t="n"/>
      <c r="F61" s="1524" t="n"/>
      <c r="G61" s="1524" t="n"/>
      <c r="H61" s="1524" t="n"/>
      <c r="I61" s="1524" t="n"/>
      <c r="J61" s="1524" t="n"/>
      <c r="K61" s="1524" t="n"/>
      <c r="L61" s="1524" t="n"/>
      <c r="M61" s="1524" t="n"/>
      <c r="N61" s="1524" t="n"/>
      <c r="O61" s="1524" t="n"/>
    </row>
    <row r="62">
      <c r="A62" s="1524" t="inlineStr">
        <is>
          <t>MC-058</t>
        </is>
      </c>
      <c r="B62" s="1524" t="n"/>
      <c r="C62" s="1524" t="n"/>
      <c r="D62" s="1524" t="n"/>
      <c r="E62" s="1524" t="n"/>
      <c r="F62" s="1524" t="n"/>
      <c r="G62" s="1524" t="n"/>
      <c r="H62" s="1524" t="n"/>
      <c r="I62" s="1524" t="n"/>
      <c r="J62" s="1524" t="n"/>
      <c r="K62" s="1524" t="n"/>
      <c r="L62" s="1524" t="n"/>
      <c r="M62" s="1524" t="n"/>
      <c r="N62" s="1524" t="n"/>
      <c r="O62" s="1524" t="n"/>
    </row>
    <row r="63">
      <c r="A63" s="1524" t="inlineStr">
        <is>
          <t>MC-059</t>
        </is>
      </c>
      <c r="B63" s="1524" t="n"/>
      <c r="C63" s="1524" t="n"/>
      <c r="D63" s="1524" t="n"/>
      <c r="E63" s="1524" t="n"/>
      <c r="F63" s="1524" t="n"/>
      <c r="G63" s="1524" t="n"/>
      <c r="H63" s="1524" t="n"/>
      <c r="I63" s="1524" t="n"/>
      <c r="J63" s="1524" t="n"/>
      <c r="K63" s="1524" t="n"/>
      <c r="L63" s="1524" t="n"/>
      <c r="M63" s="1524" t="n"/>
      <c r="N63" s="1524" t="n"/>
      <c r="O63" s="1524" t="n"/>
    </row>
    <row r="64">
      <c r="A64" s="1524" t="inlineStr">
        <is>
          <t>MC-060</t>
        </is>
      </c>
      <c r="B64" s="1524" t="n"/>
      <c r="C64" s="1524" t="n"/>
      <c r="D64" s="1524" t="n"/>
      <c r="E64" s="1524" t="n"/>
      <c r="F64" s="1524" t="n"/>
      <c r="G64" s="1524" t="n"/>
      <c r="H64" s="1524" t="n"/>
      <c r="I64" s="1524" t="n"/>
      <c r="J64" s="1524" t="n"/>
      <c r="K64" s="1524" t="n"/>
      <c r="L64" s="1524" t="n"/>
      <c r="M64" s="1524" t="n"/>
      <c r="N64" s="1524" t="n"/>
      <c r="O64" s="1524" t="n"/>
    </row>
  </sheetData>
  <mergeCells count="2">
    <mergeCell ref="A1:O1"/>
    <mergeCell ref="A2:O2"/>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cols>
    <col width="10" customWidth="1" style="491" min="1" max="1"/>
    <col width="28" customWidth="1" style="491" min="2" max="2"/>
    <col width="16" customWidth="1" style="491" min="3" max="3"/>
    <col width="12" customWidth="1" style="491" min="4" max="4"/>
    <col width="8" customWidth="1" style="491" min="5" max="5"/>
    <col width="18" customWidth="1" style="491" min="6" max="6"/>
    <col width="42" customWidth="1" style="491" min="7" max="7"/>
    <col width="42" customWidth="1" style="491" min="8" max="8"/>
    <col width="26" customWidth="1" style="491" min="9" max="9"/>
    <col width="16" customWidth="1" style="491" min="10" max="10"/>
    <col width="22" customWidth="1" style="491" min="11" max="11"/>
    <col width="34" customWidth="1" style="491" min="12" max="12"/>
  </cols>
  <sheetData>
    <row r="1">
      <c r="A1" s="1525" t="inlineStr">
        <is>
          <t>SUPPLIER QUOTE REGISTER</t>
        </is>
      </c>
      <c r="B1" s="242" t="n"/>
      <c r="C1" s="242" t="n"/>
      <c r="D1" s="242" t="n"/>
      <c r="E1" s="242" t="n"/>
      <c r="F1" s="242" t="n"/>
      <c r="G1" s="242" t="n"/>
      <c r="H1" s="242" t="n"/>
      <c r="I1" s="242" t="n"/>
      <c r="J1" s="242" t="n"/>
      <c r="K1" s="242" t="n"/>
      <c r="L1" s="242" t="n"/>
    </row>
    <row r="2">
      <c r="A2" s="1526" t="inlineStr">
        <is>
          <t>One row per quote or quote request (Q-01, Q-02 ...). Keep consistent with the Quote Log sheet. A quote is evidence, not automatically the controlling amount.</t>
        </is>
      </c>
      <c r="B2" s="242" t="n"/>
      <c r="C2" s="242" t="n"/>
      <c r="D2" s="242" t="n"/>
      <c r="E2" s="242" t="n"/>
      <c r="F2" s="242" t="n"/>
      <c r="G2" s="242" t="n"/>
      <c r="H2" s="242" t="n"/>
      <c r="I2" s="242" t="n"/>
      <c r="J2" s="242" t="n"/>
      <c r="K2" s="242" t="n"/>
      <c r="L2" s="242" t="n"/>
    </row>
    <row r="3">
      <c r="A3" s="211" t="n"/>
      <c r="B3" s="211" t="n"/>
      <c r="C3" s="211" t="n"/>
      <c r="D3" s="211" t="n"/>
      <c r="E3" s="211" t="n"/>
      <c r="F3" s="211" t="n"/>
      <c r="G3" s="211" t="n"/>
      <c r="H3" s="211" t="n"/>
      <c r="I3" s="211" t="n"/>
      <c r="J3" s="211" t="n"/>
      <c r="K3" s="211" t="n"/>
      <c r="L3" s="211" t="n"/>
    </row>
    <row r="4">
      <c r="A4" s="814" t="inlineStr">
        <is>
          <t>Quote ID</t>
        </is>
      </c>
      <c r="B4" s="814" t="inlineStr">
        <is>
          <t>Package</t>
        </is>
      </c>
      <c r="C4" s="814" t="inlineStr">
        <is>
          <t>Estimate Ref</t>
        </is>
      </c>
      <c r="D4" s="814" t="inlineStr">
        <is>
          <t>Current Qty</t>
        </is>
      </c>
      <c r="E4" s="814" t="inlineStr">
        <is>
          <t>Unit</t>
        </is>
      </c>
      <c r="F4" s="814" t="inlineStr">
        <is>
          <t>Current PC / Control excl. GST</t>
        </is>
      </c>
      <c r="G4" s="814" t="inlineStr">
        <is>
          <t>Required Quote Scope</t>
        </is>
      </c>
      <c r="H4" s="814" t="inlineStr">
        <is>
          <t>Documents to Issue</t>
        </is>
      </c>
      <c r="I4" s="814" t="inlineStr">
        <is>
          <t>Preferred Supplier / Recipient</t>
        </is>
      </c>
      <c r="J4" s="814" t="inlineStr">
        <is>
          <t>Status</t>
        </is>
      </c>
      <c r="K4" s="814" t="inlineStr">
        <is>
          <t>Due / Action</t>
        </is>
      </c>
      <c r="L4" s="814" t="inlineStr">
        <is>
          <t>Quote Ref / Notes</t>
        </is>
      </c>
    </row>
    <row r="5" ht="46" customHeight="1" s="491">
      <c r="A5" s="211" t="n"/>
      <c r="B5" s="211" t="n"/>
      <c r="C5" s="211" t="n"/>
      <c r="D5" s="1527" t="n"/>
      <c r="E5" s="211" t="n"/>
      <c r="F5" s="1423" t="n"/>
      <c r="G5" s="211" t="n"/>
      <c r="H5" s="211" t="n"/>
      <c r="I5" s="211" t="n"/>
      <c r="J5" s="211" t="n"/>
      <c r="K5" s="211" t="n"/>
      <c r="L5" s="211" t="n"/>
    </row>
    <row r="6" ht="46" customHeight="1" s="491">
      <c r="A6" s="211" t="n"/>
      <c r="B6" s="211" t="n"/>
      <c r="C6" s="211" t="n"/>
      <c r="D6" s="1527" t="n"/>
      <c r="E6" s="211" t="n"/>
      <c r="F6" s="1423" t="n"/>
      <c r="G6" s="211" t="n"/>
      <c r="H6" s="211" t="n"/>
      <c r="I6" s="211" t="n"/>
      <c r="J6" s="211" t="n"/>
      <c r="K6" s="211" t="n"/>
      <c r="L6" s="211" t="n"/>
    </row>
    <row r="7" ht="46" customHeight="1" s="491">
      <c r="A7" s="211" t="n"/>
      <c r="B7" s="211" t="n"/>
      <c r="C7" s="211" t="n"/>
      <c r="D7" s="1527" t="n"/>
      <c r="E7" s="211" t="n"/>
      <c r="F7" s="1423" t="n"/>
      <c r="G7" s="211" t="n"/>
      <c r="H7" s="211" t="n"/>
      <c r="I7" s="211" t="n"/>
      <c r="J7" s="211" t="n"/>
      <c r="K7" s="211" t="n"/>
      <c r="L7" s="211" t="n"/>
    </row>
    <row r="8" ht="46" customHeight="1" s="491">
      <c r="A8" s="211" t="n"/>
      <c r="B8" s="211" t="n"/>
      <c r="C8" s="211" t="n"/>
      <c r="D8" s="1527" t="n"/>
      <c r="E8" s="211" t="n"/>
      <c r="F8" s="1423" t="n"/>
      <c r="G8" s="211" t="n"/>
      <c r="H8" s="211" t="n"/>
      <c r="I8" s="211" t="n"/>
      <c r="J8" s="211" t="n"/>
      <c r="K8" s="211" t="n"/>
      <c r="L8" s="211" t="n"/>
    </row>
    <row r="9" ht="54" customHeight="1" s="491">
      <c r="A9" s="211" t="n"/>
      <c r="B9" s="211" t="n"/>
      <c r="C9" s="211" t="n"/>
      <c r="D9" s="1527" t="n"/>
      <c r="E9" s="211" t="n"/>
      <c r="F9" s="1423" t="n"/>
      <c r="G9" s="211" t="n"/>
      <c r="H9" s="211" t="n"/>
      <c r="I9" s="211" t="n"/>
      <c r="J9" s="211" t="n"/>
      <c r="K9" s="211" t="n"/>
      <c r="L9" s="211" t="n"/>
    </row>
    <row r="10" ht="46" customHeight="1" s="491">
      <c r="A10" s="211" t="n"/>
      <c r="B10" s="211" t="n"/>
      <c r="C10" s="211" t="n"/>
      <c r="D10" s="1527" t="n"/>
      <c r="E10" s="211" t="n"/>
      <c r="F10" s="1423" t="n"/>
      <c r="G10" s="211" t="n"/>
      <c r="H10" s="211" t="n"/>
      <c r="I10" s="211" t="n"/>
      <c r="J10" s="211" t="n"/>
      <c r="K10" s="211" t="n"/>
      <c r="L10" s="211" t="n"/>
    </row>
    <row r="11" ht="46" customHeight="1" s="491">
      <c r="A11" s="211" t="n"/>
      <c r="B11" s="211" t="n"/>
      <c r="C11" s="211" t="n"/>
      <c r="D11" s="1527" t="n"/>
      <c r="E11" s="211" t="n"/>
      <c r="F11" s="1423" t="n"/>
      <c r="G11" s="211" t="n"/>
      <c r="H11" s="211" t="n"/>
      <c r="I11" s="211" t="n"/>
      <c r="J11" s="211" t="n"/>
      <c r="K11" s="211" t="n"/>
      <c r="L11" s="211" t="n"/>
    </row>
    <row r="12" ht="46" customHeight="1" s="491">
      <c r="A12" s="211" t="n"/>
      <c r="B12" s="211" t="n"/>
      <c r="C12" s="211" t="n"/>
      <c r="D12" s="1527" t="n"/>
      <c r="E12" s="211" t="n"/>
      <c r="F12" s="1423" t="n"/>
      <c r="G12" s="211" t="n"/>
      <c r="H12" s="211" t="n"/>
      <c r="I12" s="211" t="n"/>
      <c r="J12" s="211" t="n"/>
      <c r="K12" s="211" t="n"/>
      <c r="L12" s="211" t="n"/>
    </row>
    <row r="13" ht="46" customHeight="1" s="491">
      <c r="A13" s="211" t="n"/>
      <c r="B13" s="211" t="n"/>
      <c r="C13" s="211" t="n"/>
      <c r="D13" s="1527" t="n"/>
      <c r="E13" s="211" t="n"/>
      <c r="F13" s="1423" t="n"/>
      <c r="G13" s="211" t="n"/>
      <c r="H13" s="211" t="n"/>
      <c r="I13" s="211" t="n"/>
      <c r="J13" s="211" t="n"/>
      <c r="K13" s="211" t="n"/>
      <c r="L13" s="211" t="n"/>
    </row>
    <row r="14" ht="46" customHeight="1" s="491">
      <c r="A14" s="211" t="n"/>
      <c r="B14" s="211" t="n"/>
      <c r="C14" s="211" t="n"/>
      <c r="D14" s="1527" t="n"/>
      <c r="E14" s="211" t="n"/>
      <c r="F14" s="1423" t="n"/>
      <c r="G14" s="211" t="n"/>
      <c r="H14" s="211" t="n"/>
      <c r="I14" s="211" t="n"/>
      <c r="J14" s="211" t="n"/>
      <c r="K14" s="211" t="n"/>
      <c r="L14" s="211" t="n"/>
    </row>
    <row r="15" ht="36" customHeight="1" s="491">
      <c r="A15" s="211" t="n"/>
      <c r="B15" s="211" t="n"/>
      <c r="C15" s="211" t="n"/>
      <c r="D15" s="211" t="n"/>
      <c r="E15" s="211" t="n"/>
      <c r="F15" s="211" t="n"/>
      <c r="G15" s="211" t="n"/>
      <c r="H15" s="211" t="n"/>
      <c r="I15" s="211" t="n"/>
      <c r="J15" s="211" t="n"/>
      <c r="K15" s="211" t="n"/>
      <c r="L15" s="211" t="n"/>
    </row>
    <row r="16" ht="43.5" customHeight="1" s="491">
      <c r="A16" s="211" t="n"/>
      <c r="B16" s="211" t="n"/>
      <c r="C16" s="211" t="n"/>
      <c r="D16" s="211" t="n"/>
      <c r="E16" s="211" t="n"/>
      <c r="F16" s="211" t="n"/>
      <c r="G16" s="211" t="n"/>
      <c r="H16" s="211" t="n"/>
      <c r="I16" s="211" t="n"/>
      <c r="J16" s="211" t="n"/>
      <c r="K16" s="211" t="n"/>
      <c r="L16" s="211" t="n"/>
    </row>
    <row r="17" ht="43.5" customHeight="1" s="491">
      <c r="A17" s="211" t="n"/>
      <c r="B17" s="211" t="n"/>
      <c r="C17" s="211" t="n"/>
      <c r="D17" s="211" t="n"/>
      <c r="E17" s="211" t="n"/>
      <c r="F17" s="211" t="n"/>
      <c r="G17" s="211" t="n"/>
      <c r="H17" s="211" t="n"/>
      <c r="I17" s="211" t="n"/>
      <c r="J17" s="211" t="n"/>
      <c r="K17" s="211" t="n"/>
      <c r="L17" s="211" t="n"/>
    </row>
    <row r="18" ht="43.5" customHeight="1" s="491">
      <c r="A18" s="211" t="n"/>
      <c r="B18" s="211" t="n"/>
      <c r="C18" s="211" t="n"/>
      <c r="D18" s="211" t="n"/>
      <c r="E18" s="211" t="n"/>
      <c r="F18" s="211" t="n"/>
      <c r="G18" s="211" t="n"/>
      <c r="H18" s="211" t="n"/>
      <c r="I18" s="211" t="n"/>
      <c r="J18" s="211" t="n"/>
      <c r="K18" s="211" t="n"/>
      <c r="L18" s="211" t="n"/>
    </row>
    <row r="19"/>
    <row r="20" ht="15" customHeight="1" s="491">
      <c r="A20" s="1528" t="n"/>
      <c r="B20" s="242" t="n"/>
      <c r="C20" s="242" t="n"/>
      <c r="D20" s="242" t="n"/>
      <c r="E20" s="242" t="n"/>
      <c r="F20" s="242" t="n"/>
      <c r="G20" s="242" t="n"/>
      <c r="H20" s="242" t="n"/>
      <c r="I20" s="242" t="n"/>
      <c r="J20" s="242" t="n"/>
      <c r="K20" s="242" t="n"/>
      <c r="L20" s="242" t="n"/>
    </row>
    <row r="21" ht="21.60000038146973" customHeight="1" s="491">
      <c r="A21" s="1002" t="n"/>
      <c r="B21" s="1002" t="n"/>
      <c r="C21" s="1002" t="n"/>
      <c r="D21" s="1002" t="n"/>
      <c r="E21" s="1002" t="n"/>
      <c r="F21" s="1002" t="n"/>
      <c r="G21" s="1002" t="n"/>
      <c r="H21" s="1002" t="n"/>
      <c r="I21" s="1002" t="n"/>
      <c r="J21" s="1002" t="n"/>
      <c r="K21" s="1002" t="n"/>
      <c r="L21" s="1002" t="n"/>
    </row>
    <row r="22" ht="21.60000038146973" customHeight="1" s="491">
      <c r="A22" s="1003" t="n"/>
      <c r="B22" s="1529" t="n"/>
      <c r="C22" s="1529" t="n"/>
      <c r="D22" s="1529" t="n"/>
      <c r="E22" s="1529" t="n"/>
      <c r="F22" s="1529" t="n"/>
      <c r="G22" s="1529" t="n"/>
      <c r="H22" s="1529" t="n"/>
      <c r="I22" s="1530" t="n"/>
      <c r="J22" s="1530" t="n"/>
      <c r="K22" s="1530" t="n"/>
      <c r="L22" s="1003" t="n"/>
    </row>
    <row r="23" ht="21.60000038146973" customHeight="1" s="491">
      <c r="A23" s="1003" t="n"/>
      <c r="B23" s="1529" t="n"/>
      <c r="C23" s="1529" t="n"/>
      <c r="D23" s="1529" t="n"/>
      <c r="E23" s="1529" t="n"/>
      <c r="F23" s="1529" t="n"/>
      <c r="G23" s="1529" t="n"/>
      <c r="H23" s="1529" t="n"/>
      <c r="I23" s="1530" t="n"/>
      <c r="J23" s="1530" t="n"/>
      <c r="K23" s="1530" t="n"/>
      <c r="L23" s="1003" t="n"/>
    </row>
    <row r="24" ht="21.60000038146973" customHeight="1" s="491">
      <c r="A24" s="1003" t="n"/>
      <c r="B24" s="1529" t="n"/>
      <c r="C24" s="1529" t="n"/>
      <c r="D24" s="1529" t="n"/>
      <c r="E24" s="1529" t="n"/>
      <c r="F24" s="1529" t="n"/>
      <c r="G24" s="1529" t="n"/>
      <c r="H24" s="1529" t="n"/>
      <c r="I24" s="1003" t="n"/>
      <c r="J24" s="1003" t="n"/>
      <c r="K24" s="1003" t="n"/>
      <c r="L24" s="1003" t="n"/>
    </row>
    <row r="25" ht="21.60000038146973" customHeight="1" s="491">
      <c r="A25" s="1003" t="n"/>
      <c r="B25" s="1529" t="n"/>
      <c r="C25" s="1529" t="n"/>
      <c r="D25" s="1529" t="n"/>
      <c r="E25" s="1529" t="n"/>
      <c r="F25" s="1529" t="n"/>
      <c r="G25" s="1529" t="n"/>
      <c r="H25" s="1529" t="n"/>
      <c r="I25" s="1003" t="n"/>
      <c r="J25" s="1003" t="n"/>
      <c r="K25" s="1003" t="n"/>
      <c r="L25" s="1003" t="n"/>
    </row>
    <row r="26" ht="21.60000038146973" customHeight="1" s="491">
      <c r="A26" s="1003" t="n"/>
      <c r="B26" s="1529" t="n"/>
      <c r="C26" s="1529" t="n"/>
      <c r="D26" s="1529" t="n"/>
      <c r="E26" s="1529" t="n"/>
      <c r="F26" s="1529" t="n"/>
      <c r="G26" s="1529" t="n"/>
      <c r="H26" s="1529" t="n"/>
      <c r="I26" s="1003" t="n"/>
      <c r="J26" s="1003" t="n"/>
      <c r="K26" s="1003" t="n"/>
      <c r="L26" s="1003" t="n"/>
    </row>
    <row r="27" ht="21.60000038146973" customHeight="1" s="491">
      <c r="A27" s="1003" t="n"/>
      <c r="B27" s="1529" t="n"/>
      <c r="C27" s="1529" t="n"/>
      <c r="D27" s="1529" t="n"/>
      <c r="E27" s="1529" t="n"/>
      <c r="F27" s="1529" t="n"/>
      <c r="G27" s="1529" t="n"/>
      <c r="H27" s="1529" t="n"/>
      <c r="I27" s="1003" t="n"/>
      <c r="J27" s="1003" t="n"/>
      <c r="K27" s="1003" t="n"/>
      <c r="L27" s="1003" t="n"/>
    </row>
    <row r="28" ht="21.60000038146973" customHeight="1" s="491">
      <c r="A28" s="1003" t="n"/>
      <c r="B28" s="1529" t="n"/>
      <c r="C28" s="1529" t="n"/>
      <c r="D28" s="1529" t="n"/>
      <c r="E28" s="1529" t="n"/>
      <c r="F28" s="1529" t="n"/>
      <c r="G28" s="1529" t="n"/>
      <c r="H28" s="1529" t="n"/>
      <c r="I28" s="1003" t="n"/>
      <c r="J28" s="1003" t="n"/>
      <c r="K28" s="1003" t="n"/>
      <c r="L28" s="1003" t="n"/>
    </row>
    <row r="29" ht="21.60000038146973" customHeight="1" s="491">
      <c r="A29" s="1003" t="n"/>
      <c r="B29" s="1529" t="n"/>
      <c r="C29" s="1529" t="n"/>
      <c r="D29" s="1529" t="n"/>
      <c r="E29" s="1529" t="n"/>
      <c r="F29" s="1529" t="n"/>
      <c r="G29" s="1529" t="n"/>
      <c r="H29" s="1529" t="n"/>
      <c r="I29" s="1003" t="n"/>
      <c r="J29" s="1003" t="n"/>
      <c r="K29" s="1003" t="n"/>
      <c r="L29" s="1003" t="n"/>
    </row>
    <row r="30" ht="21.60000038146973" customHeight="1" s="491">
      <c r="A30" s="1003" t="n"/>
      <c r="B30" s="1529" t="n"/>
      <c r="C30" s="1529" t="n"/>
      <c r="D30" s="1529" t="n"/>
      <c r="E30" s="1529" t="n"/>
      <c r="F30" s="1529" t="n"/>
      <c r="G30" s="1529" t="n"/>
      <c r="H30" s="1529" t="n"/>
      <c r="I30" s="1003" t="n"/>
      <c r="J30" s="1003" t="n"/>
      <c r="K30" s="1003" t="n"/>
      <c r="L30" s="1003" t="n"/>
    </row>
    <row r="31" ht="32.40000152587891" customHeight="1" s="491">
      <c r="A31" s="1003" t="n"/>
      <c r="B31" s="1529" t="n"/>
      <c r="C31" s="1529" t="n"/>
      <c r="D31" s="1529" t="n"/>
      <c r="E31" s="1529" t="n"/>
      <c r="F31" s="1529" t="n"/>
      <c r="G31" s="1529" t="n"/>
      <c r="H31" s="1529" t="n"/>
      <c r="I31" s="1003" t="n"/>
      <c r="J31" s="1003" t="n"/>
      <c r="K31" s="1003" t="n"/>
      <c r="L31" s="1003" t="n"/>
    </row>
    <row r="32" ht="21.60000038146973" customHeight="1" s="491">
      <c r="A32" s="1003" t="n"/>
      <c r="B32" s="1529" t="n"/>
      <c r="C32" s="1529" t="n"/>
      <c r="D32" s="1529" t="n"/>
      <c r="E32" s="1529" t="n"/>
      <c r="F32" s="1529" t="n"/>
      <c r="G32" s="1529" t="n"/>
      <c r="H32" s="1529" t="n"/>
      <c r="I32" s="1003" t="n"/>
      <c r="J32" s="1003" t="n"/>
      <c r="K32" s="1003" t="n"/>
      <c r="L32" s="1003" t="n"/>
    </row>
    <row r="33" ht="32.40000152587891" customHeight="1" s="491">
      <c r="A33" s="1003" t="n"/>
      <c r="B33" s="1003" t="n"/>
      <c r="C33" s="1003" t="n"/>
      <c r="D33" s="1003" t="n"/>
      <c r="E33" s="1003" t="n"/>
      <c r="F33" s="1003" t="n"/>
      <c r="G33" s="1003" t="n"/>
      <c r="H33" s="1003" t="n"/>
      <c r="I33" s="1003" t="n"/>
      <c r="J33" s="1003" t="n"/>
      <c r="K33" s="1003" t="n"/>
      <c r="L33" s="1003" t="n"/>
    </row>
    <row r="34" ht="54" customHeight="1" s="491">
      <c r="A34" s="1003" t="n"/>
      <c r="B34" s="1003" t="n"/>
      <c r="C34" s="1003" t="n"/>
      <c r="D34" s="1003" t="n"/>
      <c r="E34" s="1003" t="n"/>
      <c r="F34" s="1003" t="n"/>
      <c r="G34" s="1003" t="n"/>
      <c r="H34" s="1003" t="n"/>
      <c r="I34" s="1003" t="n"/>
      <c r="J34" s="1003" t="n"/>
      <c r="K34" s="1003" t="n"/>
      <c r="L34" s="1003" t="n"/>
    </row>
    <row r="35"/>
    <row r="36" ht="15" customHeight="1" s="491">
      <c r="A36" s="1528" t="n"/>
      <c r="B36" s="242" t="n"/>
      <c r="C36" s="242" t="n"/>
      <c r="D36" s="242" t="n"/>
      <c r="E36" s="242" t="n"/>
      <c r="F36" s="242" t="n"/>
      <c r="G36" s="242" t="n"/>
      <c r="H36" s="242" t="n"/>
      <c r="I36" s="242" t="n"/>
      <c r="J36" s="242" t="n"/>
      <c r="K36" s="242" t="n"/>
      <c r="L36" s="242" t="n"/>
    </row>
    <row r="37" ht="21.60000038146973" customHeight="1" s="491">
      <c r="A37" s="1002" t="n"/>
      <c r="B37" s="1002" t="n"/>
      <c r="C37" s="1002" t="n"/>
      <c r="D37" s="1002" t="n"/>
      <c r="E37" s="1002" t="n"/>
      <c r="F37" s="1002" t="n"/>
      <c r="G37" s="1002" t="n"/>
      <c r="H37" s="1002" t="n"/>
      <c r="I37" s="1002" t="n"/>
      <c r="J37" s="1002" t="n"/>
      <c r="K37" s="1002" t="n"/>
      <c r="L37" s="1002" t="n"/>
    </row>
    <row r="38" ht="15" customHeight="1" s="491">
      <c r="A38" s="1003" t="n"/>
      <c r="B38" s="1529" t="n"/>
      <c r="C38" s="1529" t="n"/>
      <c r="D38" s="1529" t="n"/>
      <c r="E38" s="1529" t="n"/>
      <c r="F38" s="1529" t="n"/>
      <c r="G38" s="1529" t="n"/>
      <c r="H38" s="1529" t="n"/>
      <c r="I38" s="1529" t="n"/>
      <c r="J38" s="1003" t="n"/>
      <c r="K38" s="1003" t="n"/>
      <c r="L38" s="1003" t="n"/>
    </row>
    <row r="39" ht="15" customHeight="1" s="491">
      <c r="A39" s="1003" t="n"/>
      <c r="B39" s="1529" t="n"/>
      <c r="C39" s="1529" t="n"/>
      <c r="D39" s="1529" t="n"/>
      <c r="E39" s="1529" t="n"/>
      <c r="F39" s="1529" t="n"/>
      <c r="G39" s="1529" t="n"/>
      <c r="H39" s="1529" t="n"/>
      <c r="I39" s="1529" t="n"/>
      <c r="J39" s="1003" t="n"/>
      <c r="K39" s="1003" t="n"/>
      <c r="L39" s="1003" t="n"/>
    </row>
    <row r="40" ht="15" customHeight="1" s="491">
      <c r="A40" s="1003" t="n"/>
      <c r="B40" s="1529" t="n"/>
      <c r="C40" s="1529" t="n"/>
      <c r="D40" s="1529" t="n"/>
      <c r="E40" s="1529" t="n"/>
      <c r="F40" s="1529" t="n"/>
      <c r="G40" s="1529" t="n"/>
      <c r="H40" s="1529" t="n"/>
      <c r="I40" s="1529" t="n"/>
      <c r="J40" s="1003" t="n"/>
      <c r="K40" s="1003" t="n"/>
      <c r="L40" s="1003" t="n"/>
    </row>
    <row r="41" ht="15" customHeight="1" s="491">
      <c r="A41" s="1003" t="n"/>
      <c r="B41" s="1529" t="n"/>
      <c r="C41" s="1529" t="n"/>
      <c r="D41" s="1529" t="n"/>
      <c r="E41" s="1529" t="n"/>
      <c r="F41" s="1529" t="n"/>
      <c r="G41" s="1529" t="n"/>
      <c r="H41" s="1529" t="n"/>
      <c r="I41" s="1529" t="n"/>
      <c r="J41" s="1003" t="n"/>
      <c r="K41" s="1003" t="n"/>
      <c r="L41" s="1003" t="n"/>
    </row>
    <row r="42" ht="15" customHeight="1" s="491">
      <c r="A42" s="1003" t="n"/>
      <c r="B42" s="1529" t="n"/>
      <c r="C42" s="1529" t="n"/>
      <c r="D42" s="1529" t="n"/>
      <c r="E42" s="1529" t="n"/>
      <c r="F42" s="1529" t="n"/>
      <c r="G42" s="1529" t="n"/>
      <c r="H42" s="1529" t="n"/>
      <c r="I42" s="1529" t="n"/>
      <c r="J42" s="1003" t="n"/>
      <c r="K42" s="1003" t="n"/>
      <c r="L42" s="1003" t="n"/>
    </row>
    <row r="43" ht="15" customHeight="1" s="491">
      <c r="A43" s="1003" t="n"/>
      <c r="B43" s="1529" t="n"/>
      <c r="C43" s="1529" t="n"/>
      <c r="D43" s="1529" t="n"/>
      <c r="E43" s="1529" t="n"/>
      <c r="F43" s="1529" t="n"/>
      <c r="G43" s="1529" t="n"/>
      <c r="H43" s="1529" t="n"/>
      <c r="I43" s="1529" t="n"/>
      <c r="J43" s="1003" t="n"/>
      <c r="K43" s="1003" t="n"/>
      <c r="L43" s="1003" t="n"/>
    </row>
    <row r="44" ht="15" customHeight="1" s="491">
      <c r="A44" s="1003" t="n"/>
      <c r="B44" s="1529" t="n"/>
      <c r="C44" s="1529" t="n"/>
      <c r="D44" s="1529" t="n"/>
      <c r="E44" s="1529" t="n"/>
      <c r="F44" s="1529" t="n"/>
      <c r="G44" s="1529" t="n"/>
      <c r="H44" s="1529" t="n"/>
      <c r="I44" s="1529" t="n"/>
      <c r="J44" s="1003" t="n"/>
      <c r="K44" s="1003" t="n"/>
      <c r="L44" s="1003" t="n"/>
    </row>
    <row r="45" ht="15" customHeight="1" s="491">
      <c r="A45" s="1003" t="n"/>
      <c r="B45" s="1529" t="n"/>
      <c r="C45" s="1529" t="n"/>
      <c r="D45" s="1529" t="n"/>
      <c r="E45" s="1529" t="n"/>
      <c r="F45" s="1529" t="n"/>
      <c r="G45" s="1529" t="n"/>
      <c r="H45" s="1529" t="n"/>
      <c r="I45" s="1529" t="n"/>
      <c r="J45" s="1003" t="n"/>
      <c r="K45" s="1003" t="n"/>
      <c r="L45" s="1003" t="n"/>
    </row>
    <row r="46" ht="15" customHeight="1" s="491">
      <c r="A46" s="1003" t="n"/>
      <c r="B46" s="1529" t="n"/>
      <c r="C46" s="1529" t="n"/>
      <c r="D46" s="1529" t="n"/>
      <c r="E46" s="1529" t="n"/>
      <c r="F46" s="1529" t="n"/>
      <c r="G46" s="1529" t="n"/>
      <c r="H46" s="1529" t="n"/>
      <c r="I46" s="1529" t="n"/>
      <c r="J46" s="1003" t="n"/>
      <c r="K46" s="1003" t="n"/>
      <c r="L46" s="1003" t="n"/>
    </row>
    <row r="47" ht="43.20000076293945" customHeight="1" s="491">
      <c r="A47" s="1003" t="n"/>
      <c r="B47" s="1529" t="n"/>
      <c r="C47" s="1529" t="n"/>
      <c r="D47" s="1529" t="n"/>
      <c r="E47" s="1529" t="n"/>
      <c r="F47" s="1529" t="n"/>
      <c r="G47" s="1529" t="n"/>
      <c r="H47" s="1529" t="n"/>
      <c r="I47" s="1529" t="n"/>
      <c r="J47" s="1003" t="n"/>
      <c r="K47" s="1003" t="n"/>
      <c r="L47" s="1003" t="n"/>
    </row>
    <row r="48" ht="54" customHeight="1" s="491">
      <c r="A48" s="1003" t="n"/>
      <c r="B48" s="1529" t="n"/>
      <c r="C48" s="1529" t="n"/>
      <c r="D48" s="1529" t="n"/>
      <c r="E48" s="1529" t="n"/>
      <c r="F48" s="1529" t="n"/>
      <c r="G48" s="1529" t="n"/>
      <c r="H48" s="1529" t="n"/>
      <c r="I48" s="1529" t="n"/>
      <c r="J48" s="1003" t="n"/>
      <c r="K48" s="1003" t="n"/>
      <c r="L48" s="1003" t="n"/>
    </row>
    <row r="49" ht="54" customHeight="1" s="491">
      <c r="A49" s="1003" t="n"/>
      <c r="B49" s="1003" t="n"/>
      <c r="C49" s="1003" t="n"/>
      <c r="D49" s="1003" t="n"/>
      <c r="E49" s="1003" t="n"/>
      <c r="F49" s="1003" t="n"/>
      <c r="G49" s="1003" t="n"/>
      <c r="H49" s="1003" t="n"/>
      <c r="I49" s="1003" t="n"/>
      <c r="J49" s="1003" t="n"/>
      <c r="K49" s="1003" t="n"/>
      <c r="L49" s="1003" t="n"/>
    </row>
    <row r="50"/>
    <row r="51" ht="15" customHeight="1" s="491">
      <c r="A51" s="1528" t="n"/>
      <c r="B51" s="242" t="n"/>
      <c r="C51" s="242" t="n"/>
      <c r="D51" s="242" t="n"/>
      <c r="E51" s="242" t="n"/>
      <c r="F51" s="242" t="n"/>
      <c r="G51" s="242" t="n"/>
      <c r="H51" s="242" t="n"/>
      <c r="I51" s="242" t="n"/>
      <c r="J51" s="242" t="n"/>
      <c r="K51" s="242" t="n"/>
      <c r="L51" s="242" t="n"/>
    </row>
    <row r="52" ht="15" customHeight="1" s="491">
      <c r="A52" s="1002" t="n"/>
      <c r="B52" s="1002" t="n"/>
      <c r="C52" s="1002" t="n"/>
      <c r="D52" s="1002" t="n"/>
      <c r="E52" s="1002" t="n"/>
      <c r="F52" s="1002" t="n"/>
      <c r="G52" s="1002" t="n"/>
      <c r="H52" s="1002" t="n"/>
      <c r="I52" s="1002" t="n"/>
      <c r="J52" s="1002" t="n"/>
      <c r="K52" s="1002" t="n"/>
      <c r="L52" s="1002" t="n"/>
    </row>
    <row r="53" ht="32.40000152587891" customHeight="1" s="491">
      <c r="A53" s="1003" t="n"/>
      <c r="B53" s="1529" t="n"/>
      <c r="C53" s="1529" t="n"/>
      <c r="D53" s="1529" t="n"/>
      <c r="E53" s="1529" t="n"/>
      <c r="F53" s="1529" t="n"/>
      <c r="G53" s="1529" t="n"/>
      <c r="H53" s="1529" t="n"/>
      <c r="I53" s="1529" t="n"/>
      <c r="J53" s="1003" t="n"/>
      <c r="K53" s="1003" t="n"/>
      <c r="L53" s="1003" t="n"/>
    </row>
    <row r="54" ht="43.20000076293945" customHeight="1" s="491">
      <c r="A54" s="1003" t="n"/>
      <c r="B54" s="1529" t="n"/>
      <c r="C54" s="1529" t="n"/>
      <c r="D54" s="1529" t="n"/>
      <c r="E54" s="1529" t="n"/>
      <c r="F54" s="1529" t="n"/>
      <c r="G54" s="1529" t="n"/>
      <c r="H54" s="1529" t="n"/>
      <c r="I54" s="1529" t="n"/>
      <c r="J54" s="1003" t="n"/>
      <c r="K54" s="1003" t="n"/>
      <c r="L54" s="1003" t="n"/>
    </row>
    <row r="55" ht="21.60000038146973" customHeight="1" s="491">
      <c r="A55" s="1003" t="n"/>
      <c r="B55" s="1529" t="n"/>
      <c r="C55" s="1529" t="n"/>
      <c r="D55" s="1529" t="n"/>
      <c r="E55" s="1529" t="n"/>
      <c r="F55" s="1529" t="n"/>
      <c r="G55" s="1529" t="n"/>
      <c r="H55" s="1529" t="n"/>
      <c r="I55" s="1529" t="n"/>
      <c r="J55" s="1003" t="n"/>
      <c r="K55" s="1003" t="n"/>
      <c r="L55" s="1003" t="n"/>
    </row>
    <row r="56"/>
    <row r="57"/>
    <row r="58"/>
    <row r="59"/>
    <row r="60"/>
  </sheetData>
  <mergeCells count="5">
    <mergeCell ref="A20:L20"/>
    <mergeCell ref="A2:L2"/>
    <mergeCell ref="A51:L51"/>
    <mergeCell ref="A1:L1"/>
    <mergeCell ref="A36:L36"/>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cols>
    <col width="14" customWidth="1" style="491" min="1" max="1"/>
    <col width="16" customWidth="1" style="491" min="2" max="2"/>
    <col width="28" customWidth="1" style="491" min="3" max="3"/>
    <col width="24" customWidth="1" style="491" min="4" max="4"/>
    <col width="19" customWidth="1" style="491" min="5" max="5"/>
    <col width="30" customWidth="1" style="491" min="6" max="6"/>
    <col width="13" customWidth="1" style="491" min="7" max="7"/>
    <col width="30" customWidth="1" style="491" min="8" max="8"/>
    <col width="30" customWidth="1" style="491" min="9" max="9"/>
    <col width="21" customWidth="1" style="491" min="10" max="10"/>
    <col width="25" customWidth="1" style="491" min="11" max="11"/>
    <col width="44" customWidth="1" style="491" min="12" max="12"/>
  </cols>
  <sheetData>
    <row r="1" ht="25.5" customHeight="1" s="491">
      <c r="A1" s="1531" t="inlineStr">
        <is>
          <t>SOURCE &amp; MARKUP REGISTER - PROVENANCE OF QUANTITIES</t>
        </is>
      </c>
      <c r="B1" s="242" t="n"/>
      <c r="C1" s="242" t="n"/>
      <c r="D1" s="242" t="n"/>
      <c r="E1" s="242" t="n"/>
      <c r="F1" s="242" t="n"/>
      <c r="G1" s="242" t="n"/>
      <c r="H1" s="242" t="n"/>
      <c r="I1" s="242" t="n"/>
      <c r="J1" s="242" t="n"/>
      <c r="K1" s="242" t="n"/>
      <c r="L1" s="242" t="n"/>
    </row>
    <row r="2" ht="24" customHeight="1" s="491">
      <c r="A2" s="730" t="inlineStr">
        <is>
          <t>Source ID</t>
        </is>
      </c>
      <c r="B2" s="730" t="inlineStr">
        <is>
          <t>Scope / QS Code</t>
        </is>
      </c>
      <c r="C2" s="730" t="inlineStr">
        <is>
          <t>Original Source</t>
        </is>
      </c>
      <c r="D2" s="730" t="inlineStr">
        <is>
          <t>Drawing / Page</t>
        </is>
      </c>
      <c r="E2" s="730" t="inlineStr">
        <is>
          <t>Revision / Date</t>
        </is>
      </c>
      <c r="F2" s="730" t="inlineStr">
        <is>
          <t>Original Source Link</t>
        </is>
      </c>
      <c r="G2" s="730" t="inlineStr">
        <is>
          <t>Markup ID</t>
        </is>
      </c>
      <c r="H2" s="730" t="inlineStr">
        <is>
          <t>Markup File</t>
        </is>
      </c>
      <c r="I2" s="730" t="inlineStr">
        <is>
          <t>Markup Link</t>
        </is>
      </c>
      <c r="J2" s="730" t="inlineStr">
        <is>
          <t>Status</t>
        </is>
      </c>
      <c r="K2" s="730" t="inlineStr">
        <is>
          <t>Use / Quantity</t>
        </is>
      </c>
      <c r="L2" s="730" t="inlineStr">
        <is>
          <t>Notes</t>
        </is>
      </c>
    </row>
    <row r="3" ht="63" customHeight="1" s="491">
      <c r="A3" s="26" t="n"/>
      <c r="B3" s="26" t="n"/>
      <c r="C3" s="26" t="n"/>
      <c r="D3" s="26" t="n"/>
      <c r="E3" s="26" t="n"/>
      <c r="F3" s="26" t="n"/>
      <c r="G3" s="26" t="n"/>
      <c r="H3" s="26" t="n"/>
      <c r="I3" s="26" t="n"/>
      <c r="J3" s="26" t="n"/>
      <c r="K3" s="26" t="n"/>
      <c r="L3" s="26" t="n"/>
    </row>
    <row r="4" ht="63" customHeight="1" s="491">
      <c r="A4" s="26" t="n"/>
      <c r="B4" s="26" t="n"/>
      <c r="C4" s="26" t="n"/>
      <c r="D4" s="26" t="n"/>
      <c r="E4" s="26" t="n"/>
      <c r="F4" s="26" t="n"/>
      <c r="G4" s="26" t="n"/>
      <c r="H4" s="26" t="n"/>
      <c r="I4" s="26" t="n"/>
      <c r="J4" s="26" t="n"/>
      <c r="K4" s="26" t="n"/>
      <c r="L4" s="26" t="n"/>
    </row>
    <row r="5" ht="54" customHeight="1" s="491">
      <c r="A5" s="211" t="n"/>
      <c r="B5" s="211" t="n"/>
      <c r="C5" s="211" t="n"/>
      <c r="D5" s="211" t="n"/>
      <c r="E5" s="211" t="n"/>
      <c r="F5" s="211" t="n"/>
      <c r="G5" s="211" t="n"/>
      <c r="H5" s="211" t="n"/>
      <c r="I5" s="211" t="n"/>
      <c r="J5" s="211" t="n"/>
      <c r="K5" s="211" t="n"/>
      <c r="L5" s="211" t="n"/>
    </row>
    <row r="6" ht="54" customHeight="1" s="491">
      <c r="A6" s="211" t="n"/>
      <c r="B6" s="211" t="n"/>
      <c r="C6" s="211" t="n"/>
      <c r="D6" s="211" t="n"/>
      <c r="E6" s="211" t="n"/>
      <c r="F6" s="211" t="n"/>
      <c r="G6" s="211" t="n"/>
      <c r="H6" s="211" t="n"/>
      <c r="I6" s="211" t="n"/>
      <c r="J6" s="211" t="n"/>
      <c r="K6" s="211" t="n"/>
      <c r="L6" s="211" t="n"/>
    </row>
    <row r="7" ht="54" customHeight="1" s="491">
      <c r="A7" s="211" t="n"/>
      <c r="B7" s="211" t="n"/>
      <c r="C7" s="211" t="n"/>
      <c r="D7" s="211" t="n"/>
      <c r="E7" s="211" t="n"/>
      <c r="F7" s="211" t="n"/>
      <c r="G7" s="211" t="n"/>
      <c r="H7" s="211" t="n"/>
      <c r="I7" s="211" t="n"/>
      <c r="J7" s="211" t="n"/>
      <c r="K7" s="211" t="n"/>
      <c r="L7" s="211" t="n"/>
    </row>
    <row r="8" ht="54" customHeight="1" s="491">
      <c r="A8" s="211" t="n"/>
      <c r="B8" s="211" t="n"/>
      <c r="C8" s="211" t="n"/>
      <c r="D8" s="211" t="n"/>
      <c r="E8" s="211" t="n"/>
      <c r="F8" s="211" t="n"/>
      <c r="G8" s="211" t="n"/>
      <c r="H8" s="211" t="n"/>
      <c r="I8" s="211" t="n"/>
      <c r="J8" s="211" t="n"/>
      <c r="K8" s="211" t="n"/>
      <c r="L8" s="211" t="n"/>
    </row>
    <row r="9" ht="54" customHeight="1" s="491">
      <c r="A9" s="211" t="n"/>
      <c r="B9" s="211" t="n"/>
      <c r="C9" s="211" t="n"/>
      <c r="D9" s="211" t="n"/>
      <c r="E9" s="211" t="n"/>
      <c r="F9" s="211" t="n"/>
      <c r="G9" s="211" t="n"/>
      <c r="H9" s="211" t="n"/>
      <c r="I9" s="211" t="n"/>
      <c r="J9" s="211" t="n"/>
      <c r="K9" s="211" t="n"/>
      <c r="L9" s="211" t="n"/>
    </row>
    <row r="10" ht="54" customHeight="1" s="491">
      <c r="A10" s="211" t="n"/>
      <c r="B10" s="211" t="n"/>
      <c r="C10" s="211" t="n"/>
      <c r="D10" s="211" t="n"/>
      <c r="E10" s="211" t="n"/>
      <c r="F10" s="211" t="n"/>
      <c r="G10" s="211" t="n"/>
      <c r="H10" s="211" t="n"/>
      <c r="I10" s="211" t="n"/>
      <c r="J10" s="211" t="n"/>
      <c r="K10" s="211" t="n"/>
      <c r="L10" s="211" t="n"/>
    </row>
    <row r="11" ht="57" customHeight="1" s="491">
      <c r="A11" s="211" t="n"/>
      <c r="B11" s="211" t="n"/>
      <c r="C11" s="211" t="n"/>
      <c r="D11" s="211" t="n"/>
      <c r="E11" s="211" t="n"/>
      <c r="F11" s="211" t="n"/>
      <c r="G11" s="211" t="n"/>
      <c r="H11" s="211" t="n"/>
      <c r="I11" s="211" t="n"/>
      <c r="J11" s="211" t="n"/>
      <c r="K11" s="211" t="n"/>
      <c r="L11" s="211" t="n"/>
    </row>
    <row r="12" ht="57" customHeight="1" s="491">
      <c r="A12" s="211" t="n"/>
      <c r="B12" s="211" t="n"/>
      <c r="C12" s="211" t="n"/>
      <c r="D12" s="211" t="n"/>
      <c r="E12" s="211" t="n"/>
      <c r="F12" s="211" t="n"/>
      <c r="G12" s="211" t="n"/>
      <c r="H12" s="211" t="n"/>
      <c r="I12" s="211" t="n"/>
      <c r="J12" s="211" t="n"/>
      <c r="K12" s="211" t="n"/>
      <c r="L12" s="211" t="n"/>
    </row>
    <row r="13" ht="57" customHeight="1" s="491">
      <c r="A13" s="211" t="n"/>
      <c r="B13" s="211" t="n"/>
      <c r="C13" s="211" t="n"/>
      <c r="D13" s="211" t="n"/>
      <c r="E13" s="211" t="n"/>
      <c r="F13" s="211" t="n"/>
      <c r="G13" s="211" t="n"/>
      <c r="H13" s="211" t="n"/>
      <c r="I13" s="211" t="n"/>
      <c r="J13" s="211" t="n"/>
      <c r="K13" s="211" t="n"/>
      <c r="L13" s="211" t="n"/>
    </row>
    <row r="14"/>
    <row r="15"/>
    <row r="16"/>
    <row r="17"/>
    <row r="18"/>
    <row r="19"/>
    <row r="20"/>
    <row r="21">
      <c r="A21" s="211" t="n"/>
      <c r="B21" s="211" t="n"/>
      <c r="C21" s="211" t="n"/>
      <c r="D21" s="211" t="n"/>
      <c r="E21" s="211" t="n"/>
      <c r="F21" s="211" t="n"/>
      <c r="G21" s="211" t="n"/>
      <c r="H21" s="211" t="n"/>
      <c r="I21" s="211" t="n"/>
      <c r="J21" s="211" t="n"/>
      <c r="K21" s="211" t="n"/>
      <c r="L21" s="211" t="n"/>
    </row>
    <row r="22"/>
    <row r="23"/>
    <row r="24"/>
    <row r="25"/>
    <row r="26"/>
    <row r="27"/>
    <row r="28"/>
    <row r="29"/>
    <row r="30"/>
    <row r="31"/>
    <row r="32"/>
    <row r="33"/>
    <row r="34"/>
    <row r="35"/>
    <row r="36"/>
    <row r="37"/>
    <row r="38"/>
    <row r="39"/>
    <row r="40"/>
  </sheetData>
  <mergeCells count="1">
    <mergeCell ref="A1:L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S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style="491" min="1" max="1"/>
    <col width="17" customWidth="1" style="491" min="2" max="2"/>
    <col width="12" customWidth="1" style="491" min="3" max="3"/>
    <col width="24" customWidth="1" style="491" min="4" max="4"/>
    <col width="24" customWidth="1" style="491" min="5" max="5"/>
    <col width="20" customWidth="1" style="491" min="6" max="6"/>
    <col width="38" customWidth="1" style="491" min="7" max="7"/>
    <col width="30" customWidth="1" style="491" min="8" max="8"/>
    <col width="16" customWidth="1" style="491" min="9" max="9"/>
    <col width="24" customWidth="1" style="491" min="10" max="10"/>
    <col width="54" customWidth="1" style="491" min="11" max="11"/>
    <col width="44" customWidth="1" style="491" min="12" max="12"/>
    <col width="32" customWidth="1" style="491" min="13" max="13"/>
    <col width="28" customWidth="1" style="491" min="14" max="14"/>
    <col width="16" customWidth="1" style="491" min="15" max="15"/>
    <col width="12" customWidth="1" style="491" min="16" max="16"/>
    <col width="14" customWidth="1" style="491" min="17" max="17"/>
    <col width="24" customWidth="1" style="491" min="18" max="18"/>
    <col width="28" customWidth="1" style="491" min="19" max="19"/>
  </cols>
  <sheetData>
    <row r="1" ht="45" customHeight="1" s="491">
      <c r="A1" s="1357" t="inlineStr">
        <is>
          <t>Email ID</t>
        </is>
      </c>
      <c r="B1" s="1357" t="inlineStr">
        <is>
          <t>Date / time</t>
        </is>
      </c>
      <c r="C1" s="1357" t="inlineStr">
        <is>
          <t>Direction (In/Out)</t>
        </is>
      </c>
      <c r="D1" s="1357" t="inlineStr">
        <is>
          <t>From</t>
        </is>
      </c>
      <c r="E1" s="1357" t="inlineStr">
        <is>
          <t>To</t>
        </is>
      </c>
      <c r="F1" s="1357" t="inlineStr">
        <is>
          <t>Cc</t>
        </is>
      </c>
      <c r="G1" s="1357" t="inlineStr">
        <is>
          <t>Subject</t>
        </is>
      </c>
      <c r="H1" s="1357" t="inlineStr">
        <is>
          <t>Source reference (thread/message ID or file)</t>
        </is>
      </c>
      <c r="I1" s="1357" t="inlineStr">
        <is>
          <t>Category</t>
        </is>
      </c>
      <c r="J1" s="1357" t="inlineStr">
        <is>
          <t>Linked refs (RFI / Quote / QS codes)</t>
        </is>
      </c>
      <c r="K1" s="1357" t="inlineStr">
        <is>
          <t>Summary (1-3 neutral sentences)</t>
        </is>
      </c>
      <c r="L1" s="1357" t="inlineStr">
        <is>
          <t>Key wording (exact words that matter)</t>
        </is>
      </c>
      <c r="M1" s="1357" t="inlineStr">
        <is>
          <t>Attachments (and Document Register IDs)</t>
        </is>
      </c>
      <c r="N1" s="1357" t="inlineStr">
        <is>
          <t>Action required (Yes/No + what)</t>
        </is>
      </c>
      <c r="O1" s="1357" t="inlineStr">
        <is>
          <t>Action owner</t>
        </is>
      </c>
      <c r="P1" s="1357" t="inlineStr">
        <is>
          <t>Due</t>
        </is>
      </c>
      <c r="Q1" s="1357" t="inlineStr">
        <is>
          <t>Status (Open/Closed/Info only)</t>
        </is>
      </c>
      <c r="R1" s="1357" t="inlineStr">
        <is>
          <t>Estimate impact (None/Quantity/Rate/Scope/Programme/Commercial)</t>
        </is>
      </c>
      <c r="S1" s="1357" t="inlineStr">
        <is>
          <t>Applied in estimate (revision + line, or Not yet)</t>
        </is>
      </c>
    </row>
    <row r="2"/>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style="491" min="1" max="1"/>
    <col width="12" customWidth="1" style="491" min="2" max="2"/>
    <col width="14" customWidth="1" style="491" min="3" max="3"/>
    <col width="18" customWidth="1" style="491" min="4" max="4"/>
    <col width="32" customWidth="1" style="491" min="5" max="5"/>
    <col width="54" customWidth="1" style="491" min="6" max="6"/>
    <col width="30" customWidth="1" style="491" min="7" max="7"/>
    <col width="40" customWidth="1" style="491" min="8" max="8"/>
    <col width="40" customWidth="1" style="491" min="9" max="9"/>
    <col width="22" customWidth="1" style="491" min="10" max="10"/>
    <col width="44" customWidth="1" style="491" min="11" max="11"/>
    <col width="16" customWidth="1" style="491" min="12" max="12"/>
    <col width="8" customWidth="1" style="491" min="13" max="13"/>
    <col width="12" customWidth="1" style="491" min="14" max="14"/>
    <col width="44" customWidth="1" style="491" min="15" max="15"/>
    <col width="24" customWidth="1" style="491" min="16" max="16"/>
    <col width="30" customWidth="1" style="491" min="17" max="17"/>
    <col width="14" customWidth="1" style="491" min="18" max="18"/>
  </cols>
  <sheetData>
    <row r="1" ht="45" customHeight="1" s="491">
      <c r="A1" s="1357" t="inlineStr">
        <is>
          <t>RFI ID</t>
        </is>
      </c>
      <c r="B1" s="1357" t="inlineStr">
        <is>
          <t>Date raised</t>
        </is>
      </c>
      <c r="C1" s="1357" t="inlineStr">
        <is>
          <t>Raised by</t>
        </is>
      </c>
      <c r="D1" s="1357" t="inlineStr">
        <is>
          <t>Addressed to</t>
        </is>
      </c>
      <c r="E1" s="1357" t="inlineStr">
        <is>
          <t>Subject</t>
        </is>
      </c>
      <c r="F1" s="1357" t="inlineStr">
        <is>
          <t>Question - what is missing</t>
        </is>
      </c>
      <c r="G1" s="1357" t="inlineStr">
        <is>
          <t>Where expected (document / drawing)</t>
        </is>
      </c>
      <c r="H1" s="1357" t="inlineStr">
        <is>
          <t>Why it matters</t>
        </is>
      </c>
      <c r="I1" s="1357" t="inlineStr">
        <is>
          <t>Decision impact (cost / programme / scope)</t>
        </is>
      </c>
      <c r="J1" s="1357" t="inlineStr">
        <is>
          <t>QS codes / risk IDs affected</t>
        </is>
      </c>
      <c r="K1" s="1357" t="inlineStr">
        <is>
          <t>Assumption in force until answered</t>
        </is>
      </c>
      <c r="L1" s="1357" t="inlineStr">
        <is>
          <t>Status (OPEN/CLOSED/SUPERSEDED)</t>
        </is>
      </c>
      <c r="M1" s="1357" t="inlineStr">
        <is>
          <t>RAG</t>
        </is>
      </c>
      <c r="N1" s="1357" t="inlineStr">
        <is>
          <t>Date answered</t>
        </is>
      </c>
      <c r="O1" s="1357" t="inlineStr">
        <is>
          <t>Answer summary</t>
        </is>
      </c>
      <c r="P1" s="1357" t="inlineStr">
        <is>
          <t>Answer source (Email ID / document)</t>
        </is>
      </c>
      <c r="Q1" s="1357" t="inlineStr">
        <is>
          <t>Resulting estimate change (revision + line)</t>
        </is>
      </c>
      <c r="R1" s="1357" t="inlineStr">
        <is>
          <t>Owner</t>
        </is>
      </c>
    </row>
    <row r="2"/>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X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style="491" min="1" max="1"/>
    <col width="28" customWidth="1" style="491" min="2" max="2"/>
    <col width="24" customWidth="1" style="491" min="3" max="3"/>
    <col width="18" customWidth="1" style="491" min="4" max="4"/>
    <col width="16" customWidth="1" style="491" min="5" max="5"/>
    <col width="12" customWidth="1" style="491" min="6" max="6"/>
    <col width="12" customWidth="1" style="491" min="7" max="7"/>
    <col width="26" customWidth="1" style="491" min="8" max="8"/>
    <col width="44" customWidth="1" style="491" min="9" max="9"/>
    <col width="44" customWidth="1" style="491" min="10" max="10"/>
    <col width="14" customWidth="1" style="491" min="11" max="11"/>
    <col width="12" customWidth="1" style="491" min="12" max="12"/>
    <col width="26" customWidth="1" style="491" min="13" max="13"/>
    <col width="22" customWidth="1" style="491" min="14" max="14"/>
    <col width="12" customWidth="1" style="491" min="15" max="15"/>
    <col width="18" customWidth="1" style="491" min="16" max="16"/>
    <col width="30" customWidth="1" style="491" min="17" max="17"/>
    <col width="14" customWidth="1" style="491" min="18" max="18"/>
    <col width="36" customWidth="1" style="491" min="19" max="19"/>
    <col width="36" customWidth="1" style="491" min="20" max="20"/>
    <col width="14" customWidth="1" style="491" min="21" max="21"/>
    <col width="22" customWidth="1" style="491" min="22" max="22"/>
    <col width="24" customWidth="1" style="491" min="23" max="23"/>
    <col width="30" customWidth="1" style="491" min="24" max="24"/>
  </cols>
  <sheetData>
    <row r="1" ht="45" customHeight="1" s="491">
      <c r="A1" s="1357" t="inlineStr">
        <is>
          <t>Quote ID</t>
        </is>
      </c>
      <c r="B1" s="1357" t="inlineStr">
        <is>
          <t>Package / scope</t>
        </is>
      </c>
      <c r="C1" s="1357" t="inlineStr">
        <is>
          <t>Supplier / subcontractor</t>
        </is>
      </c>
      <c r="D1" s="1357" t="inlineStr">
        <is>
          <t>Contact (name only)</t>
        </is>
      </c>
      <c r="E1" s="1357" t="inlineStr">
        <is>
          <t>Quote number</t>
        </is>
      </c>
      <c r="F1" s="1357" t="inlineStr">
        <is>
          <t>Quote date</t>
        </is>
      </c>
      <c r="G1" s="1357" t="inlineStr">
        <is>
          <t>Valid until</t>
        </is>
      </c>
      <c r="H1" s="1357" t="inlineStr">
        <is>
          <t>Source (Email ID or file)</t>
        </is>
      </c>
      <c r="I1" s="1357" t="inlineStr">
        <is>
          <t>Scope included</t>
        </is>
      </c>
      <c r="J1" s="1357" t="inlineStr">
        <is>
          <t>Exclusions and qualifications</t>
        </is>
      </c>
      <c r="K1" s="1357" t="inlineStr">
        <is>
          <t>Price excl. GST</t>
        </is>
      </c>
      <c r="L1" s="1357" t="inlineStr">
        <is>
          <t>GST basis</t>
        </is>
      </c>
      <c r="M1" s="1357" t="inlineStr">
        <is>
          <t>Unit rates (if given)</t>
        </is>
      </c>
      <c r="N1" s="1357" t="inlineStr">
        <is>
          <t>Payment / retention terms</t>
        </is>
      </c>
      <c r="O1" s="1357" t="inlineStr">
        <is>
          <t>Lead time</t>
        </is>
      </c>
      <c r="P1" s="1357" t="inlineStr">
        <is>
          <t>QS codes fed</t>
        </is>
      </c>
      <c r="Q1" s="1357" t="inlineStr">
        <is>
          <t>Treatment (Overlay / Fed into library rate / Reference only)</t>
        </is>
      </c>
      <c r="R1" s="1357" t="inlineStr">
        <is>
          <t>Amount used in estimate</t>
        </is>
      </c>
      <c r="S1" s="1357" t="inlineStr">
        <is>
          <t>Why this amount</t>
        </is>
      </c>
      <c r="T1" s="1357" t="inlineStr">
        <is>
          <t>Comparison with other quotes</t>
        </is>
      </c>
      <c r="U1" s="1357" t="inlineStr">
        <is>
          <t>Evidence strength (GREEN/AMBER/RED)</t>
        </is>
      </c>
      <c r="V1" s="1357" t="inlineStr">
        <is>
          <t>Status</t>
        </is>
      </c>
      <c r="W1" s="1357" t="inlineStr">
        <is>
          <t>Next action / due</t>
        </is>
      </c>
      <c r="X1" s="1357" t="inlineStr">
        <is>
          <t>Notes</t>
        </is>
      </c>
    </row>
    <row r="2"/>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style="491" min="1" max="1"/>
    <col width="40" customWidth="1" style="491" min="2" max="2"/>
    <col width="30" customWidth="1" style="491" min="3" max="3"/>
    <col width="22" customWidth="1" style="491" min="4" max="4"/>
    <col width="10" customWidth="1" style="491" min="5" max="5"/>
    <col width="12" customWidth="1" style="491" min="6" max="6"/>
    <col width="18" customWidth="1" style="491" min="7" max="7"/>
    <col width="16" customWidth="1" style="491" min="8" max="8"/>
    <col width="36" customWidth="1" style="491" min="9" max="9"/>
    <col width="12" customWidth="1" style="491" min="10" max="10"/>
    <col width="22" customWidth="1" style="491" min="11" max="11"/>
    <col width="40" customWidth="1" style="491" min="12" max="12"/>
  </cols>
  <sheetData>
    <row r="1" ht="45" customHeight="1" s="491">
      <c r="A1" s="1357" t="inlineStr">
        <is>
          <t>Doc ID</t>
        </is>
      </c>
      <c r="B1" s="1357" t="inlineStr">
        <is>
          <t>Title</t>
        </is>
      </c>
      <c r="C1" s="1357" t="inlineStr">
        <is>
          <t>Type (Plan/Specification/Schedule/Geotech/Consent/Addendum/Photo/Email/Other)</t>
        </is>
      </c>
      <c r="D1" s="1357" t="inlineStr">
        <is>
          <t>Reference / drawing number</t>
        </is>
      </c>
      <c r="E1" s="1357" t="inlineStr">
        <is>
          <t>Revision</t>
        </is>
      </c>
      <c r="F1" s="1357" t="inlineStr">
        <is>
          <t>Date</t>
        </is>
      </c>
      <c r="G1" s="1357" t="inlineStr">
        <is>
          <t>Status (CURRENT/SUPERSEDED/UNCLEAR)</t>
        </is>
      </c>
      <c r="H1" s="1357" t="inlineStr">
        <is>
          <t>Superseded by</t>
        </is>
      </c>
      <c r="I1" s="1357" t="inlineStr">
        <is>
          <t>Source (file name, link, Email ID)</t>
        </is>
      </c>
      <c r="J1" s="1357" t="inlineStr">
        <is>
          <t>Received date</t>
        </is>
      </c>
      <c r="K1" s="1357" t="inlineStr">
        <is>
          <t>Used for (QS codes)</t>
        </is>
      </c>
      <c r="L1" s="1357" t="inlineStr">
        <is>
          <t>Notes</t>
        </is>
      </c>
    </row>
    <row r="2"/>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style="491" min="1" max="1"/>
    <col width="12" customWidth="1" style="491" min="2" max="2"/>
    <col width="50" customWidth="1" style="491" min="3" max="3"/>
    <col width="16" customWidth="1" style="491" min="4" max="4"/>
    <col width="40" customWidth="1" style="491" min="5" max="5"/>
    <col width="44" customWidth="1" style="491" min="6" max="6"/>
    <col width="30" customWidth="1" style="491" min="7" max="7"/>
    <col width="14" customWidth="1" style="491" min="8" max="8"/>
    <col width="24" customWidth="1" style="491" min="9" max="9"/>
  </cols>
  <sheetData>
    <row r="1" ht="45" customHeight="1" s="491">
      <c r="A1" s="1357" t="inlineStr">
        <is>
          <t>Decision ID</t>
        </is>
      </c>
      <c r="B1" s="1357" t="inlineStr">
        <is>
          <t>Date</t>
        </is>
      </c>
      <c r="C1" s="1357" t="inlineStr">
        <is>
          <t>Decision</t>
        </is>
      </c>
      <c r="D1" s="1357" t="inlineStr">
        <is>
          <t>Made by</t>
        </is>
      </c>
      <c r="E1" s="1357" t="inlineStr">
        <is>
          <t>Options considered</t>
        </is>
      </c>
      <c r="F1" s="1357" t="inlineStr">
        <is>
          <t>Basis / evidence</t>
        </is>
      </c>
      <c r="G1" s="1357" t="inlineStr">
        <is>
          <t>Estimate impact</t>
        </is>
      </c>
      <c r="H1" s="1357" t="inlineStr">
        <is>
          <t>Revision applied</t>
        </is>
      </c>
      <c r="I1" s="1357" t="inlineStr">
        <is>
          <t>Status (Proposed/Approved by estimator/Superseded)</t>
        </is>
      </c>
    </row>
    <row r="2"/>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style="491" min="1" max="1"/>
    <col width="22" customWidth="1" style="491" min="2" max="2"/>
    <col width="22" customWidth="1" style="491" min="3" max="3"/>
    <col width="22" customWidth="1" style="491" min="4" max="4"/>
    <col width="24" customWidth="1" style="491" min="5" max="5"/>
    <col width="44" customWidth="1" style="491" min="6" max="6"/>
  </cols>
  <sheetData>
    <row r="1" ht="45" customHeight="1" s="491">
      <c r="A1" s="1357" t="inlineStr">
        <is>
          <t>Organisation</t>
        </is>
      </c>
      <c r="B1" s="1357" t="inlineStr">
        <is>
          <t>Person</t>
        </is>
      </c>
      <c r="C1" s="1357" t="inlineStr">
        <is>
          <t>Role</t>
        </is>
      </c>
      <c r="D1" s="1357" t="inlineStr">
        <is>
          <t>Package / trade</t>
        </is>
      </c>
      <c r="E1" s="1357" t="inlineStr">
        <is>
          <t>Source of contact (Email ID)</t>
        </is>
      </c>
      <c r="F1" s="1357" t="inlineStr">
        <is>
          <t>Notes (no phone numbers or home addresses)</t>
        </is>
      </c>
    </row>
    <row r="2"/>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style="491" min="1" max="1"/>
    <col width="12" customWidth="1" style="491" min="2" max="2"/>
    <col width="54" customWidth="1" style="491" min="3" max="3"/>
    <col width="40" customWidth="1" style="491" min="4" max="4"/>
    <col width="26" customWidth="1" style="491" min="5" max="5"/>
    <col width="22" customWidth="1" style="491" min="6" max="6"/>
    <col width="16" customWidth="1" style="491" min="7" max="7"/>
  </cols>
  <sheetData>
    <row r="1" ht="45" customHeight="1" s="491">
      <c r="A1" s="1357" t="inlineStr">
        <is>
          <t>Revision</t>
        </is>
      </c>
      <c r="B1" s="1357" t="inlineStr">
        <is>
          <t>Date</t>
        </is>
      </c>
      <c r="C1" s="1357" t="inlineStr">
        <is>
          <t>What changed (scope / quantity / rate / quote / commercial / risk / programme)</t>
        </is>
      </c>
      <c r="D1" s="1357" t="inlineStr">
        <is>
          <t>Reason (document, email, decision)</t>
        </is>
      </c>
      <c r="E1" s="1357" t="inlineStr">
        <is>
          <t>Lines affected</t>
        </is>
      </c>
      <c r="F1" s="1357" t="inlineStr">
        <is>
          <t>Cost movement excl. GST (from the workbook, not estimated)</t>
        </is>
      </c>
      <c r="G1" s="1357" t="inlineStr">
        <is>
          <t>Recorded by</t>
        </is>
      </c>
    </row>
    <row r="2"/>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2026-10-14T07:39:36Z</dcterms:created>
  <dcterms:modified xmlns:dcterms="http://purl.org/dc/terms/" xmlns:xsi="http://www.w3.org/2001/XMLSchema-instance" xsi:type="dcterms:W3CDTF">2026-10-14T07:39:41Z</dcterms:modified>
</cp:coreProperties>
</file>