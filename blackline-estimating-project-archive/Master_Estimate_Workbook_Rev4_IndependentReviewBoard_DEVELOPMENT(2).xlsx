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9cd54241814f04" /></Relationships>
</file>

<file path=xl/workbook.xml><?xml version="1.0" encoding="utf-8"?>
<x:workbook xmlns:x="http://schemas.openxmlformats.org/spreadsheetml/2006/main">
  <x:sheets>
    <x:sheet xmlns:r="http://schemas.openxmlformats.org/officeDocument/2006/relationships" name="Cover &amp; Instructions" sheetId="1" r:id="R049f1ea462eb417a"/>
    <x:sheet xmlns:r="http://schemas.openxmlformats.org/officeDocument/2006/relationships" name="Summary" sheetId="4" r:id="R7cbfdbfe73924d00"/>
    <x:sheet xmlns:r="http://schemas.openxmlformats.org/officeDocument/2006/relationships" name="Tender Build-Up" sheetId="5" r:id="R0941275b200f4ddc"/>
    <x:sheet xmlns:r="http://schemas.openxmlformats.org/officeDocument/2006/relationships" name="Commercial Inputs" sheetId="6" r:id="Rcb0315d096ca4a65"/>
    <x:sheet xmlns:r="http://schemas.openxmlformats.org/officeDocument/2006/relationships" name="QS Takeoff" sheetId="8" r:id="Rbaae092213bc47d5"/>
    <x:sheet xmlns:r="http://schemas.openxmlformats.org/officeDocument/2006/relationships" name="Stage Cashflow" sheetId="22" r:id="R8209f8b65460469a"/>
    <x:sheet xmlns:r="http://schemas.openxmlformats.org/officeDocument/2006/relationships" name="Resource Rate Library" sheetId="34" r:id="Rdfba065c816949f7"/>
    <x:sheet xmlns:r="http://schemas.openxmlformats.org/officeDocument/2006/relationships" name="Resource Build-Up" sheetId="35" r:id="Rdc10cbc7e932405b"/>
    <x:sheet xmlns:r="http://schemas.openxmlformats.org/officeDocument/2006/relationships" name="Rate Verification" sheetId="36" r:id="Rfd6f4218b58642ac"/>
    <x:sheet xmlns:r="http://schemas.openxmlformats.org/officeDocument/2006/relationships" name="Programme Export" sheetId="37" r:id="Reeac5e508687427f"/>
    <x:sheet xmlns:r="http://schemas.openxmlformats.org/officeDocument/2006/relationships" name="Weather Risk" sheetId="38" r:id="Ra48365bd66034496"/>
    <x:sheet xmlns:r="http://schemas.openxmlformats.org/officeDocument/2006/relationships" name="Risk Truth" sheetId="39" r:id="Rcb9959f8b8d84e46"/>
    <x:sheet xmlns:r="http://schemas.openxmlformats.org/officeDocument/2006/relationships" name="Estimate Review Board" sheetId="40" r:id="Rbd5cb06aa1fd45d0"/>
  </x:sheets>
</x:workbook>
</file>

<file path=xl/sharedStrings.xml><?xml version="1.0" encoding="utf-8"?>
<x:sst xmlns:x="http://schemas.openxmlformats.org/spreadsheetml/2006/main">
  <x:si>
    <x:t xml:space="preserve">Project</x:t>
  </x:si>
  <x:si>
    <x:t xml:space="preserve">Location</x:t>
  </x:si>
  <x:si>
    <x:t xml:space="preserve">Scope</x:t>
  </x:si>
  <x:si>
    <x:t xml:space="preserve">Base direct estimate excl. GST</x:t>
  </x:si>
  <x:si>
    <x:t xml:space="preserve">Linked from Tender Build-Up</x:t>
  </x:si>
  <x:si>
    <x:t xml:space="preserve">Issue status</x:t>
  </x:si>
  <x:si>
    <x:t xml:space="preserve">Issue date</x:t>
  </x:si>
  <x:si>
    <x:t xml:space="preserve">Estimate basis</x:t>
  </x:si>
  <x:si>
    <x:t xml:space="preserve">HOW THE WORKBOOK WORKS</x:t>
  </x:si>
  <x:si>
    <x:t xml:space="preserve">1</x:t>
  </x:si>
  <x:si>
    <x:t xml:space="preserve">Enter/confirm job scope, item codes, quantities and takeoff references in QS Takeoff.</x:t>
  </x:si>
  <x:si>
    <x:t xml:space="preserve">2</x:t>
  </x:si>
  <x:si>
    <x:t xml:space="preserve">For every active QS Code, allocate labour, plant, materials, cartage/testing or subcontract resources in Resource Build-Up.</x:t>
  </x:si>
  <x:si>
    <x:t xml:space="preserve">3</x:t>
  </x:si>
  <x:si>
    <x:t xml:space="preserve">Maintain reusable current rates and sources in Resource Rate Library; use Job Rate Override in Resource Build-Up for job-specific quotes/rates.</x:t>
  </x:si>
  <x:si>
    <x:t xml:space="preserve">4</x:t>
  </x:si>
  <x:si>
    <x:t xml:space="preserve">QS Rate and Amount calculate from Resource Build-Up. Do not enter a separate QS lump-sum rate.</x:t>
  </x:si>
  <x:si>
    <x:t xml:space="preserve">5</x:t>
  </x:si>
  <x:si>
    <x:t xml:space="preserve">Tender Build-Up pulls section totals from QS Takeoff. Commercial Inputs is the only source for below-the-line contingency/overhead and profit/GST/retention provisions.</x:t>
  </x:si>
  <x:si>
    <x:t xml:space="preserve">6</x:t>
  </x:si>
  <x:si>
    <x:t xml:space="preserve">7</x:t>
  </x:si>
  <x:si>
    <x:t xml:space="preserve">Stage Cashflow pulls tender revenue and Summary direct costs. Only stage timing/%/retention selections are inputs.</x:t>
  </x:si>
  <x:si>
    <x:t xml:space="preserve">Cover &amp; Instructions</x:t>
  </x:si>
  <x:si>
    <x:t xml:space="preserve">Job basis, document register, assumptions/RFIs, risks and release QA</x:t>
  </x:si>
  <x:si>
    <x:t xml:space="preserve">Summary</x:t>
  </x:si>
  <x:si>
    <x:t xml:space="preserve">Client/management summary plus end-to-end cost-chain integrity</x:t>
  </x:si>
  <x:si>
    <x:t xml:space="preserve">QS Takeoff</x:t>
  </x:si>
  <x:si>
    <x:t xml:space="preserve">Measured items/quantities; rate and amount are linked outputs from Resource Build-Up</x:t>
  </x:si>
  <x:si>
    <x:t xml:space="preserve">Resource Build-Up</x:t>
  </x:si>
  <x:si>
    <x:t xml:space="preserve">Direct-cost source of truth by QS Code: methodology, productivity and every allocated resource</x:t>
  </x:si>
  <x:si>
    <x:t xml:space="preserve">Resource Rate Library</x:t>
  </x:si>
  <x:si>
    <x:t xml:space="preserve">Tender Build-Up</x:t>
  </x:si>
  <x:si>
    <x:t xml:space="preserve">QS section totals plus formula-linked commercial build-up</x:t>
  </x:si>
  <x:si>
    <x:t xml:space="preserve">Commercial Inputs</x:t>
  </x:si>
  <x:si>
    <x:t xml:space="preserve">Stage Cashflow</x:t>
  </x:si>
  <x:si>
    <x:t xml:space="preserve">Formula-linked stage revenue, direct cost allocation and cashflow</x:t>
  </x:si>
  <x:si>
    <x:t xml:space="preserve">Yellow</x:t>
  </x:si>
  <x:si>
    <x:t xml:space="preserve">Intended input cells.</x:t>
  </x:si>
  <x:si>
    <x:t xml:space="preserve">Green / linked</x:t>
  </x:si>
  <x:si>
    <x:t xml:space="preserve">Formula-controlled outputs. Stop validation blocks ordinary edits and directs the estimator to the upstream source.</x:t>
  </x:si>
  <x:si>
    <x:t xml:space="preserve">QA</x:t>
  </x:si>
  <x:si>
    <x:t xml:space="preserve">If a linked formula is deliberately removed/bypassed, Summary chain checks expose a mismatch between Resource -&gt; QS -&gt; Tender -&gt; Summary.</x:t>
  </x:si>
  <x:si>
    <x:t xml:space="preserve">New-job reset</x:t>
  </x:si>
  <x:si>
    <x:t xml:space="preserve">Clear previous-job quantities/resources/sources and populate from the current takeoff. Do not carry project-specific resource rows or quotes into another job.</x:t>
  </x:si>
  <x:si>
    <x:t xml:space="preserve">Template rule</x:t>
  </x:si>
  <x:si>
    <x:t xml:space="preserve">STREAMLINED LINKED MODEL - WORKBOOK FLOW &amp; JOB CONTROLS</x:t>
  </x:si>
  <x:si>
    <x:t xml:space="preserve">Cost chain</x:t>
  </x:si>
  <x:si>
    <x:t xml:space="preserve">Resource Rate Library -&gt; Resource Build-Up -&gt; QS Takeoff -&gt; Tender Build-Up -&gt; Summary</x:t>
  </x:si>
  <x:si>
    <x:t xml:space="preserve">Commercial chain</x:t>
  </x:si>
  <x:si>
    <x:t xml:space="preserve">Commercial Inputs -&gt; Tender Build-Up -&gt; Summary</x:t>
  </x:si>
  <x:si>
    <x:t xml:space="preserve">Cashflow chain</x:t>
  </x:si>
  <x:si>
    <x:t xml:space="preserve">Tender total -&gt; Stage Cashflow</x:t>
  </x:si>
  <x:si>
    <x:t xml:space="preserve">Direct cost rule</x:t>
  </x:si>
  <x:si>
    <x:t xml:space="preserve">No direct-cost lump sum is typed into QS, Tender Build-Up or Summary. Every QS item cost must be created in Resource Build-Up using the same QS Code.</x:t>
  </x:si>
  <x:si>
    <x:t xml:space="preserve">Input rule</x:t>
  </x:si>
  <x:si>
    <x:t xml:space="preserve">Allowances / quotes</x:t>
  </x:si>
  <x:si>
    <x:t xml:space="preserve">Allowances, PC sums and specialist quotes still require a Resource Build-Up row (normally Lump Sum / Quote mode) unless they are below-the-line Commercial Inputs.</x:t>
  </x:si>
  <x:si>
    <x:t xml:space="preserve">Issue gate</x:t>
  </x:si>
  <x:si>
    <x:t xml:space="preserve">Summary cost-chain checks must all read OK before tender issue.</x:t>
  </x:si>
  <x:si>
    <x:t xml:space="preserve">DRAWING / DOCUMENT REGISTER</x:t>
  </x:si>
  <x:si>
    <x:t xml:space="preserve">Document / Drawing</x:t>
  </x:si>
  <x:si>
    <x:t xml:space="preserve">Reference</x:t>
  </x:si>
  <x:si>
    <x:t xml:space="preserve">Estimate use</x:t>
  </x:si>
  <x:si>
    <x:t xml:space="preserve">ASSUMPTIONS / QUALIFICATIONS / RFIs</x:t>
  </x:si>
  <x:si>
    <x:t xml:space="preserve">A1</x:t>
  </x:si>
  <x:si>
    <x:t xml:space="preserve">Price is for civil works only. Buildings, architectural fit-out, playground equipment, soft landscaping, architectural fencing and above-ground MEP are excluded.</x:t>
  </x:si>
  <x:si>
    <x:t xml:space="preserve">KEY RISKS / WATCHOUTS</x:t>
  </x:si>
  <x:si>
    <x:t xml:space="preserve">Risk ID</x:t>
  </x:si>
  <x:si>
    <x:t xml:space="preserve">Impact</x:t>
  </x:si>
  <x:si>
    <x:t xml:space="preserve">Rating</x:t>
  </x:si>
  <x:si>
    <x:t xml:space="preserve">Allowance / Response</x:t>
  </x:si>
  <x:si>
    <x:t xml:space="preserve">Owner</x:t>
  </x:si>
  <x:si>
    <x:t xml:space="preserve">Status</x:t>
  </x:si>
  <x:si>
    <x:t xml:space="preserve">Estimator</x:t>
  </x:si>
  <x:si>
    <x:t xml:space="preserve">Open</x:t>
  </x:si>
  <x:si>
    <x:t xml:space="preserve">PM / QS</x:t>
  </x:si>
  <x:si>
    <x:t xml:space="preserve">Geotech / QS</x:t>
  </x:si>
  <x:si>
    <x:t xml:space="preserve">Site team</x:t>
  </x:si>
  <x:si>
    <x:t xml:space="preserve">QS</x:t>
  </x:si>
  <x:si>
    <x:t xml:space="preserve">Engineer / QS</x:t>
  </x:si>
  <x:si>
    <x:t xml:space="preserve">PM</x:t>
  </x:si>
  <x:si>
    <x:t xml:space="preserve">Geotech</x:t>
  </x:si>
  <x:si>
    <x:t xml:space="preserve">TENDER RELEASE QA</x:t>
  </x:si>
  <x:si>
    <x:t xml:space="preserve">Section</x:t>
  </x:si>
  <x:si>
    <x:t xml:space="preserve">Required Before Tender?</x:t>
  </x:si>
  <x:si>
    <x:t xml:space="preserve">Evidence / Reference</x:t>
  </x:si>
  <x:si>
    <x:t xml:space="preserve">Notes</x:t>
  </x:si>
  <x:si>
    <x:t xml:space="preserve">Drawing set</x:t>
  </x:si>
  <x:si>
    <x:t xml:space="preserve">Source file</x:t>
  </x:si>
  <x:si>
    <x:t xml:space="preserve">Prepared</x:t>
  </x:si>
  <x:si>
    <x:t xml:space="preserve">Prepared by</x:t>
  </x:si>
  <x:si>
    <x:t xml:space="preserve">Scope basis</x:t>
  </x:si>
  <x:si>
    <x:t xml:space="preserve">Key Quantities</x:t>
  </x:si>
  <x:si>
    <x:t xml:space="preserve">Category</x:t>
  </x:si>
  <x:si>
    <x:t xml:space="preserve">Key item</x:t>
  </x:si>
  <x:si>
    <x:t xml:space="preserve">Quantity</x:t>
  </x:si>
  <x:si>
    <x:t xml:space="preserve">Unit</x:t>
  </x:si>
  <x:si>
    <x:t xml:space="preserve">Basis / note</x:t>
  </x:si>
  <x:si>
    <x:t xml:space="preserve">Amount</x:t>
  </x:si>
  <x:si>
    <x:t xml:space="preserve">1 Preliminaries &amp; General</x:t>
  </x:si>
  <x:si>
    <x:t xml:space="preserve">2 Erosion &amp; Sediment Control</x:t>
  </x:si>
  <x:si>
    <x:t xml:space="preserve">3 Earthworks</x:t>
  </x:si>
  <x:si>
    <x:t xml:space="preserve">4 Stormwater &amp; Detention</x:t>
  </x:si>
  <x:si>
    <x:t xml:space="preserve">5 Wastewater &amp; Water</x:t>
  </x:si>
  <x:si>
    <x:t xml:space="preserve">6 Pavements &amp; Concrete</x:t>
  </x:si>
  <x:si>
    <x:t xml:space="preserve">7 Kerbs, Channels &amp; External Sitework</x:t>
  </x:si>
  <x:si>
    <x:t xml:space="preserve">8 Retaining Walls</x:t>
  </x:si>
  <x:si>
    <x:t xml:space="preserve">9 Testing, As-Builts &amp; Compliance</x:t>
  </x:si>
  <x:si>
    <x:t xml:space="preserve">10 Reinstatement &amp; Handover</x:t>
  </x:si>
  <x:si>
    <x:t xml:space="preserve">Total priced amount excl. GST</x:t>
  </x:si>
  <x:si>
    <x:t xml:space="preserve">Pricing basis</x:t>
  </x:si>
  <x:si>
    <x:t xml:space="preserve">Resource-linked direct cost; specialist quote/PC rows are visible in Resource Build-Up.</x:t>
  </x:si>
  <x:si>
    <x:t xml:space="preserve">GST</x:t>
  </x:si>
  <x:si>
    <x:t xml:space="preserve">Accuracy</x:t>
  </x:si>
  <x:si>
    <x:t xml:space="preserve">Programme basis</x:t>
  </x:si>
  <x:si>
    <x:t xml:space="preserve">Tender Completion Build-Up (client-adjustable commercial provisions)</x:t>
  </x:si>
  <x:si>
    <x:t xml:space="preserve">Purpose</x:t>
  </x:si>
  <x:si>
    <x:t xml:space="preserve">This block reflects Tender Build-Up and current Commercial Inputs selections.</x:t>
  </x:si>
  <x:si>
    <x:t xml:space="preserve">Input sheet</x:t>
  </x:si>
  <x:si>
    <x:t xml:space="preserve">Use Commercial Inputs to adjust allowances, overhead and profit method, bonds, retention finance and GST.</x:t>
  </x:si>
  <x:si>
    <x:t xml:space="preserve">Line</x:t>
  </x:si>
  <x:si>
    <x:t xml:space="preserve">QS direct-cost estimate</x:t>
  </x:si>
  <x:si>
    <x:t xml:space="preserve">Commercial Inputs CA01-CA16</x:t>
  </x:si>
  <x:si>
    <x:t xml:space="preserve">Commercial adjustments</x:t>
  </x:si>
  <x:si>
    <x:t xml:space="preserve">Tender total excl. GST</x:t>
  </x:si>
  <x:si>
    <x:t xml:space="preserve">GST if selected</x:t>
  </x:si>
  <x:si>
    <x:t xml:space="preserve">Optional display</x:t>
  </x:si>
  <x:si>
    <x:t xml:space="preserve">Tender total incl. GST if selected</x:t>
  </x:si>
  <x:si>
    <x:t xml:space="preserve">Optional tax-inclusive check</x:t>
  </x:si>
  <x:si>
    <x:t xml:space="preserve">Net pre-GST payment after retention</x:t>
  </x:si>
  <x:si>
    <x:t xml:space="preserve">Retention release after holding period</x:t>
  </x:si>
  <x:si>
    <x:t xml:space="preserve">Deposit / advance payment</x:t>
  </x:si>
  <x:si>
    <x:t xml:space="preserve">Part of tender total; controlled by CA24</x:t>
  </x:si>
  <x:si>
    <x:t xml:space="preserve">Stage cashflow tab</x:t>
  </x:si>
  <x:si>
    <x:t xml:space="preserve">Editable stage profile and cumulative cashflow</x:t>
  </x:si>
  <x:si>
    <x:t xml:space="preserve">COST CHAIN INTEGRITY</x:t>
  </x:si>
  <x:si>
    <x:t xml:space="preserve">Check</x:t>
  </x:si>
  <x:si>
    <x:t xml:space="preserve">Upstream</x:t>
  </x:si>
  <x:si>
    <x:t xml:space="preserve">Downstream</x:t>
  </x:si>
  <x:si>
    <x:t xml:space="preserve">Difference</x:t>
  </x:si>
  <x:si>
    <x:t xml:space="preserve">Resource Build-Up -&gt; QS</x:t>
  </x:si>
  <x:si>
    <x:t xml:space="preserve">QS -&gt; Tender Build-Up</x:t>
  </x:si>
  <x:si>
    <x:t xml:space="preserve">Tender Build-Up -&gt; Summary</x:t>
  </x:si>
  <x:si>
    <x:t xml:space="preserve">Commercial Inputs -&gt; Tender Build-Up</x:t>
  </x:si>
  <x:si>
    <x:t xml:space="preserve">Formula control</x:t>
  </x:si>
  <x:si>
    <x:t xml:space="preserve">Formula/output cells are edit-blocked with Stop validation; yellow cells are intended inputs.</x:t>
  </x:si>
  <x:si>
    <x:t xml:space="preserve">Release rule</x:t>
  </x:si>
  <x:si>
    <x:t xml:space="preserve">All chain checks must read OK before issue.</x:t>
  </x:si>
  <x:si>
    <x:t xml:space="preserve">RATE &amp; PROGRAMME QA RELEASE GATE</x:t>
  </x:si>
  <x:si>
    <x:t xml:space="preserve">Count / Amount</x:t>
  </x:si>
  <x:si>
    <x:t xml:space="preserve">Action</x:t>
  </x:si>
  <x:si>
    <x:t xml:space="preserve">GREEN active resource rows</x:t>
  </x:si>
  <x:si>
    <x:t xml:space="preserve">Three checks present</x:t>
  </x:si>
  <x:si>
    <x:t xml:space="preserve">AMBER active resource rows</x:t>
  </x:si>
  <x:si>
    <x:t xml:space="preserve">Disclose allowance and firm before award</x:t>
  </x:si>
  <x:si>
    <x:t xml:space="preserve">RED active resource rows</x:t>
  </x:si>
  <x:si>
    <x:t xml:space="preserve">Quote/design evidence required</x:t>
  </x:si>
  <x:si>
    <x:t xml:space="preserve">Programme task count</x:t>
  </x:si>
  <x:si>
    <x:t xml:space="preserve">CSV matches one task per QS code</x:t>
  </x:si>
  <x:si>
    <x:t xml:space="preserve">Overall release</x:t>
  </x:si>
  <x:si>
    <x:t xml:space="preserve">Tender issue only while RED items remain</x:t>
  </x:si>
  <x:si>
    <x:t xml:space="preserve">Pricing status</x:t>
  </x:si>
  <x:si>
    <x:t xml:space="preserve">Optional GST display via Commercial Inputs CA21.</x:t>
  </x:si>
  <x:si>
    <x:t xml:space="preserve">Retention</x:t>
  </x:si>
  <x:si>
    <x:t xml:space="preserve">Cashflow only by default.</x:t>
  </x:si>
  <x:si>
    <x:t xml:space="preserve">No direct-cost values are entered on this sheet. Base costs flow from QS Takeoff; commercial provisions flow from Commercial Inputs.</x:t>
  </x:si>
  <x:si>
    <x:t xml:space="preserve">Amount excl. GST</x:t>
  </x:si>
  <x:si>
    <x:t xml:space="preserve">Source</x:t>
  </x:si>
  <x:si>
    <x:t xml:space="preserve">Treatment</x:t>
  </x:si>
  <x:si>
    <x:t xml:space="preserve">Preliminaries &amp; General</x:t>
  </x:si>
  <x:si>
    <x:t xml:space="preserve">Priced / provisional</x:t>
  </x:si>
  <x:si>
    <x:t xml:space="preserve">Erosion &amp; Sediment Control</x:t>
  </x:si>
  <x:si>
    <x:t xml:space="preserve">Earthworks</x:t>
  </x:si>
  <x:si>
    <x:t xml:space="preserve">Stormwater &amp; Detention</x:t>
  </x:si>
  <x:si>
    <x:t xml:space="preserve">Wastewater &amp; Water</x:t>
  </x:si>
  <x:si>
    <x:t xml:space="preserve">Pavements &amp; Concrete</x:t>
  </x:si>
  <x:si>
    <x:t xml:space="preserve">Kerbs, Channels &amp; External Sitework</x:t>
  </x:si>
  <x:si>
    <x:t xml:space="preserve">Retaining Walls</x:t>
  </x:si>
  <x:si>
    <x:t xml:space="preserve">Testing, As-Builts &amp; Compliance</x:t>
  </x:si>
  <x:si>
    <x:t xml:space="preserve">Reinstatement &amp; Handover</x:t>
  </x:si>
  <x:si>
    <x:t xml:space="preserve">Subtotal</x:t>
  </x:si>
  <x:si>
    <x:t xml:space="preserve">Calculated amount excl. GST</x:t>
  </x:si>
  <x:si>
    <x:t xml:space="preserve">Input source</x:t>
  </x:si>
  <x:si>
    <x:t xml:space="preserve">Include?</x:t>
  </x:si>
  <x:si>
    <x:t xml:space="preserve">Basis / Notes</x:t>
  </x:si>
  <x:si>
    <x:t xml:space="preserve">Pre-margin additions subtotal</x:t>
  </x:si>
  <x:si>
    <x:t xml:space="preserve">Subtotal before commercial adjustments</x:t>
  </x:si>
  <x:si>
    <x:t xml:space="preserve">Overhead, profit and other commercial adjustments</x:t>
  </x:si>
  <x:si>
    <x:t xml:space="preserve">Commercial adjustments subtotal</x:t>
  </x:si>
  <x:si>
    <x:t xml:space="preserve">Commercial Inputs CA21</x:t>
  </x:si>
  <x:si>
    <x:t xml:space="preserve">Optional</x:t>
  </x:si>
  <x:si>
    <x:t xml:space="preserve">GST applies only when CA21 Include? is Yes.</x:t>
  </x:si>
  <x:si>
    <x:t xml:space="preserve">For GST-inclusive check only.</x:t>
  </x:si>
  <x:si>
    <x:t xml:space="preserve">Cashflow / contract security visibility only</x:t>
  </x:si>
  <x:si>
    <x:t xml:space="preserve">Calculated value</x:t>
  </x:si>
  <x:si>
    <x:t xml:space="preserve">Contract retention withholding</x:t>
  </x:si>
  <x:si>
    <x:t xml:space="preserve">Commercial Inputs CA22</x:t>
  </x:si>
  <x:si>
    <x:t xml:space="preserve">Cashflow only</x:t>
  </x:si>
  <x:si>
    <x:t xml:space="preserve">Calculated</x:t>
  </x:si>
  <x:si>
    <x:t xml:space="preserve">Tender total excl. GST less current retention withholding.</x:t>
  </x:si>
  <x:si>
    <x:t xml:space="preserve">Retention holding period</x:t>
  </x:si>
  <x:si>
    <x:t xml:space="preserve">Commercial Inputs CA23</x:t>
  </x:si>
  <x:si>
    <x:t xml:space="preserve">Months from practical completion unless contract states otherwise.</x:t>
  </x:si>
  <x:si>
    <x:t xml:space="preserve">Retention released after holding period</x:t>
  </x:si>
  <x:si>
    <x:t xml:space="preserve">Equals current retention withholding; released after the CA23 holding period.</x:t>
  </x:si>
  <x:si>
    <x:t xml:space="preserve">Total pre-GST receipts including retention release</x:t>
  </x:si>
  <x:si>
    <x:t xml:space="preserve">Equals tender total excl. GST.</x:t>
  </x:si>
  <x:si>
    <x:t xml:space="preserve">Stage payment cashflow</x:t>
  </x:si>
  <x:si>
    <x:t xml:space="preserve">COMMERCIAL INPUTS - BELOW-THE-LINE SOURCE OF TRUTH</x:t>
  </x:si>
  <x:si>
    <x:t xml:space="preserve">Ref</x:t>
  </x:si>
  <x:si>
    <x:t xml:space="preserve">Allowance / adjustment</x:t>
  </x:si>
  <x:si>
    <x:t xml:space="preserve">Input method</x:t>
  </x:si>
  <x:si>
    <x:t xml:space="preserve">Input %</x:t>
  </x:si>
  <x:si>
    <x:t xml:space="preserve">PC Sum excl. GST</x:t>
  </x:si>
  <x:si>
    <x:t xml:space="preserve">Pricing stage</x:t>
  </x:si>
  <x:si>
    <x:t xml:space="preserve">Calculation / treatment</x:t>
  </x:si>
  <x:si>
    <x:t xml:space="preserve">Notes / basis</x:t>
  </x:si>
  <x:si>
    <x:t xml:space="preserve">Firm-up action</x:t>
  </x:si>
  <x:si>
    <x:t xml:space="preserve">Pricing method / flag shown in QS</x:t>
  </x:si>
  <x:si>
    <x:t xml:space="preserve">CA01</x:t>
  </x:si>
  <x:si>
    <x:t xml:space="preserve">Pre-margin addition</x:t>
  </x:si>
  <x:si>
    <x:t xml:space="preserve">CA02</x:t>
  </x:si>
  <x:si>
    <x:t xml:space="preserve">CA03</x:t>
  </x:si>
  <x:si>
    <x:t xml:space="preserve">Escalation / tender validity allowance</x:t>
  </x:si>
  <x:si>
    <x:t xml:space="preserve">Confirm construction start and validity.</x:t>
  </x:si>
  <x:si>
    <x:t xml:space="preserve">CA04</x:t>
  </x:si>
  <x:si>
    <x:t xml:space="preserve">Final subcontractor quote gap / market adjustment</x:t>
  </x:si>
  <x:si>
    <x:t xml:space="preserve">Reconcile tank, walls and connections.</x:t>
  </x:si>
  <x:si>
    <x:t xml:space="preserve">CA05</x:t>
  </x:si>
  <x:si>
    <x:t xml:space="preserve">Council / authority consent and inspection fees</x:t>
  </x:si>
  <x:si>
    <x:t xml:space="preserve">Confirm fee responsibility.</x:t>
  </x:si>
  <x:si>
    <x:t xml:space="preserve">CA06</x:t>
  </x:si>
  <x:si>
    <x:t xml:space="preserve">Utility authority fees / relocations</x:t>
  </x:si>
  <x:si>
    <x:t xml:space="preserve">Confirm utilities.</x:t>
  </x:si>
  <x:si>
    <x:t xml:space="preserve">CA07</x:t>
  </x:si>
  <x:si>
    <x:t xml:space="preserve">Temporary works engineering / PS documentation</x:t>
  </x:si>
  <x:si>
    <x:t xml:space="preserve">Avoid duplication.</x:t>
  </x:si>
  <x:si>
    <x:t xml:space="preserve">CA08</x:t>
  </x:si>
  <x:si>
    <x:t xml:space="preserve">Abnormal ground / contamination / rock allowance</x:t>
  </x:si>
  <x:si>
    <x:t xml:space="preserve">Review geotech/contamination data.</x:t>
  </x:si>
  <x:si>
    <x:t xml:space="preserve">CA09</x:t>
  </x:si>
  <x:si>
    <x:t xml:space="preserve">Construction dewatering / groundwater control</x:t>
  </x:si>
  <x:si>
    <x:t xml:space="preserve">Confirm methodology/groundwater.</x:t>
  </x:si>
  <x:si>
    <x:t xml:space="preserve">CA11</x:t>
  </x:si>
  <x:si>
    <x:t xml:space="preserve">No</x:t>
  </x:si>
  <x:si>
    <x:t xml:space="preserve">CA12</x:t>
  </x:si>
  <x:si>
    <x:t xml:space="preserve">Defects liability / maintenance beyond base</x:t>
  </x:si>
  <x:si>
    <x:t xml:space="preserve">Reasonable defects attendance included under RH02.</x:t>
  </x:si>
  <x:si>
    <x:t xml:space="preserve">Confirm special maintenance obligations.</x:t>
  </x:si>
  <x:si>
    <x:t xml:space="preserve">CA13</x:t>
  </x:si>
  <x:si>
    <x:t xml:space="preserve">Stakeholder liaison / access marshals beyond base</x:t>
  </x:si>
  <x:si>
    <x:t xml:space="preserve">Basic traffic/pedestrian management included in PG07.</x:t>
  </x:si>
  <x:si>
    <x:t xml:space="preserve">Confirm restricted operations.</x:t>
  </x:si>
  <x:si>
    <x:t xml:space="preserve">CA14</x:t>
  </x:si>
  <x:si>
    <x:t xml:space="preserve">Out-of-hours / restricted access premium</x:t>
  </x:si>
  <x:si>
    <x:t xml:space="preserve">Normal weekday access assumed.</x:t>
  </x:si>
  <x:si>
    <x:t xml:space="preserve">Confirm work windows.</x:t>
  </x:si>
  <x:si>
    <x:t xml:space="preserve">CA15</x:t>
  </x:si>
  <x:si>
    <x:t xml:space="preserve">Unforeseen post-tender client scope additions</x:t>
  </x:si>
  <x:si>
    <x:t xml:space="preserve">No allowance for later scope changes.</x:t>
  </x:si>
  <x:si>
    <x:t xml:space="preserve">Include only if instructed.</x:t>
  </x:si>
  <x:si>
    <x:t xml:space="preserve">CA16</x:t>
  </x:si>
  <x:si>
    <x:t xml:space="preserve">Final tender rounding / adjudication adjustment</x:t>
  </x:si>
  <x:si>
    <x:t xml:space="preserve">No balancing adjustment applied.</x:t>
  </x:si>
  <x:si>
    <x:t xml:space="preserve">Use only at approved adjudication.</x:t>
  </x:si>
  <x:si>
    <x:t xml:space="preserve">CA17</x:t>
  </x:si>
  <x:si>
    <x:t xml:space="preserve">Company overhead recovery</x:t>
  </x:si>
  <x:si>
    <x:t xml:space="preserve">Commercial adjustment</x:t>
  </x:si>
  <x:si>
    <x:t xml:space="preserve">Markup applied to cost subtotal before profit</x:t>
  </x:si>
  <x:si>
    <x:t xml:space="preserve">Jason to enter the verified company overhead recovery rate.</x:t>
  </x:si>
  <x:si>
    <x:t xml:space="preserve">% user input provision</x:t>
  </x:si>
  <x:si>
    <x:t xml:space="preserve">CA18</x:t>
  </x:si>
  <x:si>
    <x:t xml:space="preserve">Contractor profit</x:t>
  </x:si>
  <x:si>
    <x:t xml:space="preserve">Selectable true margin or markup after overhead and other commercial costs</x:t>
  </x:si>
  <x:si>
    <x:t xml:space="preserve">Confirm the target profit and calculation method at adjudication.</x:t>
  </x:si>
  <x:si>
    <x:t xml:space="preserve">CA19</x:t>
  </x:si>
  <x:si>
    <x:t xml:space="preserve">Bonds / contract securities allowance</x:t>
  </x:si>
  <x:si>
    <x:t xml:space="preserve">Applied if selected</x:t>
  </x:si>
  <x:si>
    <x:t xml:space="preserve">Confirm security terms.</x:t>
  </x:si>
  <x:si>
    <x:t xml:space="preserve">CA20</x:t>
  </x:si>
  <x:si>
    <x:t xml:space="preserve">Retention finance / cashflow cost allowance</x:t>
  </x:si>
  <x:si>
    <x:t xml:space="preserve">Confirm retention terms.</x:t>
  </x:si>
  <x:si>
    <x:t xml:space="preserve">CA21</x:t>
  </x:si>
  <x:si>
    <x:t xml:space="preserve">Tax</x:t>
  </x:si>
  <x:si>
    <x:t xml:space="preserve">Applied to tender total if selected</x:t>
  </x:si>
  <x:si>
    <x:t xml:space="preserve">Confirm submission format.</x:t>
  </x:si>
  <x:si>
    <x:t xml:space="preserve">CA22</x:t>
  </x:si>
  <x:si>
    <x:t xml:space="preserve">Visibility only</x:t>
  </x:si>
  <x:si>
    <x:t xml:space="preserve">Not added to tender price.</x:t>
  </x:si>
  <x:si>
    <x:t xml:space="preserve">Confirm retention cap/terms.</x:t>
  </x:si>
  <x:si>
    <x:t xml:space="preserve">User input</x:t>
  </x:si>
  <x:si>
    <x:t xml:space="preserve">CA23</x:t>
  </x:si>
  <x:si>
    <x:t xml:space="preserve">Times retention release</x:t>
  </x:si>
  <x:si>
    <x:t xml:space="preserve">Assumed 12 months.</x:t>
  </x:si>
  <x:si>
    <x:t xml:space="preserve">Confirm contract.</x:t>
  </x:si>
  <x:si>
    <x:t xml:space="preserve">CA24</x:t>
  </x:si>
  <x:si>
    <x:t xml:space="preserve">Part of tender value</x:t>
  </x:si>
  <x:si>
    <x:t xml:space="preserve">Used as first cashflow stage.</x:t>
  </x:si>
  <x:si>
    <x:t xml:space="preserve">Confirm whether permitted.</x:t>
  </x:si>
  <x:si>
    <x:t xml:space="preserve">User selection</x:t>
  </x:si>
  <x:si>
    <x:t xml:space="preserve">CA25</x:t>
  </x:si>
  <x:si>
    <x:t xml:space="preserve">Retention applies to deposit</x:t>
  </x:si>
  <x:si>
    <x:t xml:space="preserve">Yes/No selection</x:t>
  </x:si>
  <x:si>
    <x:t xml:space="preserve">Normally No.</x:t>
  </x:si>
  <x:si>
    <x:t xml:space="preserve">Leave Include? as No for any provision that is not to be included. Enter Input % or PC Sum depending on the intended basis; PC Sum overrides % where populated.</x:t>
  </x:si>
  <x:si>
    <x:t xml:space="preserve">Retentions are included as cashflow/security visibility only. They do not increase the tender price unless CA20 retention finance/cashflow cost is included.</x:t>
  </x:si>
  <x:si>
    <x:t xml:space="preserve">The deposit and stage cashflow are portions of the tender total, not additional revenue. Stage percentages must total 100%.</x:t>
  </x:si>
  <x:si>
    <x:t xml:space="preserve">Rate and Amount are linked from Resource Build-Up. Change scope/quantity here; change cost resources in Resource Build-Up.</x:t>
  </x:si>
  <x:si>
    <x:t xml:space="preserve">Civil Scope / WBS</x:t>
  </x:si>
  <x:si>
    <x:t xml:space="preserve">Code</x:t>
  </x:si>
  <x:si>
    <x:t xml:space="preserve">Description</x:t>
  </x:si>
  <x:si>
    <x:t xml:space="preserve">Rate excl. GST</x:t>
  </x:si>
  <x:si>
    <x:t xml:space="preserve">Quantity Basis</x:t>
  </x:si>
  <x:si>
    <x:t xml:space="preserve">Source drawing / scope</x:t>
  </x:si>
  <x:si>
    <x:t xml:space="preserve">Notes / Assumptions</x:t>
  </x:si>
  <x:si>
    <x:t xml:space="preserve">Pricing Method</x:t>
  </x:si>
  <x:si>
    <x:t xml:space="preserve">Pricing Basis / Build-up</x:t>
  </x:si>
  <x:si>
    <x:t xml:space="preserve">Source Type</x:t>
  </x:si>
  <x:si>
    <x:t xml:space="preserve">Source URL(s)</x:t>
  </x:si>
  <x:si>
    <x:t xml:space="preserve">Pricing Flag</x:t>
  </x:si>
  <x:si>
    <x:t xml:space="preserve">Confidence / Firm-up Action</x:t>
  </x:si>
  <x:si>
    <x:t xml:space="preserve">Verification Status</x:t>
  </x:si>
  <x:si>
    <x:t xml:space="preserve">Quote / Reference</x:t>
  </x:si>
  <x:si>
    <x:t xml:space="preserve">TOTAL MEASURED DIRECT COST</x:t>
  </x:si>
  <x:si>
    <x:t xml:space="preserve">Stage</x:t>
  </x:si>
  <x:si>
    <x:t xml:space="preserve">Timing / milestone</x:t>
  </x:si>
  <x:si>
    <x:t xml:space="preserve">Stage %</x:t>
  </x:si>
  <x:si>
    <x:t xml:space="preserve">Retention applies?</x:t>
  </x:si>
  <x:si>
    <x:t xml:space="preserve">Opening cash</x:t>
  </x:si>
  <x:si>
    <x:t xml:space="preserve">Gross stage revenue excl. GST</x:t>
  </x:si>
  <x:si>
    <x:t xml:space="preserve">Retention withheld</x:t>
  </x:si>
  <x:si>
    <x:t xml:space="preserve">Net stage revenue excl. GST</x:t>
  </x:si>
  <x:si>
    <x:t xml:space="preserve">Net cash movement</x:t>
  </x:si>
  <x:si>
    <x:t xml:space="preserve">Closing cash on hand</x:t>
  </x:si>
  <x:si>
    <x:t xml:space="preserve">Cumulative net revenue</x:t>
  </x:si>
  <x:si>
    <x:t xml:space="preserve">Cumulative retention held</x:t>
  </x:si>
  <x:si>
    <x:t xml:space="preserve">Net stage receipt incl. GST</x:t>
  </x:si>
  <x:si>
    <x:t xml:space="preserve">Deposit / advance</x:t>
  </x:si>
  <x:si>
    <x:t xml:space="preserve">On contract award</x:t>
  </x:si>
  <x:si>
    <x:t xml:space="preserve">Mobilisation, preliminaries and ESC</x:t>
  </x:si>
  <x:si>
    <x:t xml:space="preserve">Earthworks and imported fill</x:t>
  </x:si>
  <x:si>
    <x:t xml:space="preserve">Stormwater, detention, sewer and water</x:t>
  </x:si>
  <x:si>
    <x:t xml:space="preserve">Pavements, kerbs and sitework</x:t>
  </x:si>
  <x:si>
    <x:t xml:space="preserve">Retaining walls and interfaces</x:t>
  </x:si>
  <x:si>
    <x:t xml:space="preserve">Testing, completion and handover</x:t>
  </x:si>
  <x:si>
    <x:t xml:space="preserve">Retention release</x:t>
  </x:si>
  <x:si>
    <x:t xml:space="preserve">Cashflow checks</x:t>
  </x:si>
  <x:si>
    <x:t xml:space="preserve">Stage percentages total</x:t>
  </x:si>
  <x:si>
    <x:t xml:space="preserve">Gross stage revenue equals tender excl. GST</x:t>
  </x:si>
  <x:si>
    <x:t xml:space="preserve">Net receipts plus retention release equal tender</x:t>
  </x:si>
  <x:si>
    <x:t xml:space="preserve">Lowest closing cash before retention release</x:t>
  </x:si>
  <x:si>
    <x:t xml:space="preserve">Jason: enter verified actual company/supplier rates with source, date, region, GST basis, inclusions and exclusions. Mark replaced rates superseded/inactive rather than deleting them.</x:t>
  </x:si>
  <x:si>
    <x:t xml:space="preserve">Resource Code</x:t>
  </x:si>
  <x:si>
    <x:t xml:space="preserve">Resource Category</x:t>
  </x:si>
  <x:si>
    <x:t xml:space="preserve">Resource Description</x:t>
  </x:si>
  <x:si>
    <x:t xml:space="preserve">Default Cost Type</x:t>
  </x:si>
  <x:si>
    <x:t xml:space="preserve">Procurement Mode</x:t>
  </x:si>
  <x:si>
    <x:t xml:space="preserve">Operator Included?</x:t>
  </x:si>
  <x:si>
    <x:t xml:space="preserve">Fuel Included?</x:t>
  </x:si>
  <x:si>
    <x:t xml:space="preserve">Base Rate excl. GST</x:t>
  </x:si>
  <x:si>
    <x:t xml:space="preserve">Region / Market</x:t>
  </x:si>
  <x:si>
    <x:t xml:space="preserve">Effective Date</x:t>
  </x:si>
  <x:si>
    <x:t xml:space="preserve">Supplier / Source</x:t>
  </x:si>
  <x:si>
    <x:t xml:space="preserve">Source URL / Quote Ref</x:t>
  </x:si>
  <x:si>
    <x:t xml:space="preserve">Minimum / Mobilisation</x:t>
  </x:si>
  <x:si>
    <x:t xml:space="preserve">Rate Inclusions</x:t>
  </x:si>
  <x:si>
    <x:t xml:space="preserve">Rate Exclusions</x:t>
  </x:si>
  <x:si>
    <x:t xml:space="preserve">Confidence</x:t>
  </x:si>
  <x:si>
    <x:t xml:space="preserve">LAB-FOREMAN</x:t>
  </x:si>
  <x:si>
    <x:t xml:space="preserve">Labour</x:t>
  </x:si>
  <x:si>
    <x:t xml:space="preserve">Civil foreman / working foreman</x:t>
  </x:si>
  <x:si>
    <x:t xml:space="preserve">hr</x:t>
  </x:si>
  <x:si>
    <x:t xml:space="preserve">Internal / agency</x:t>
  </x:si>
  <x:si>
    <x:t xml:space="preserve">N/A</x:t>
  </x:si>
  <x:si>
    <x:t xml:space="preserve">Auckland / NZ</x:t>
  </x:si>
  <x:si>
    <x:t xml:space="preserve">13-Aug-2026</x:t>
  </x:si>
  <x:si>
    <x:t xml:space="preserve">Template market benchmark</x:t>
  </x:si>
  <x:si>
    <x:t xml:space="preserve">SEEK / statutory on-cost basis</x:t>
  </x:si>
  <x:si>
    <x:t xml:space="preserve">https://nz.seek.com/civil-drainage-jobs/in-All-Auckland | https://nz.seek.com/drainage-foreman-jobs/in-All-Auckland/full-time</x:t>
  </x:si>
  <x:si>
    <x:t xml:space="preserve">Direct employment allowance</x:t>
  </x:si>
  <x:si>
    <x:t xml:space="preserve">Margin, vehicle, overtime</x:t>
  </x:si>
  <x:si>
    <x:t xml:space="preserve">Medium</x:t>
  </x:si>
  <x:si>
    <x:t xml:space="preserve">AMBER - market/on-cost benchmark; company payroll required</x:t>
  </x:si>
  <x:si>
    <x:t xml:space="preserve">Firm to company payroll before award</x:t>
  </x:si>
  <x:si>
    <x:t xml:space="preserve">LAB-SUPERVISOR</x:t>
  </x:si>
  <x:si>
    <x:t xml:space="preserve">Site supervisor / project manager</x:t>
  </x:si>
  <x:si>
    <x:t xml:space="preserve">LAB-OPERATOR</x:t>
  </x:si>
  <x:si>
    <x:t xml:space="preserve">Plant operator</x:t>
  </x:si>
  <x:si>
    <x:t xml:space="preserve">Auckland civil market</x:t>
  </x:si>
  <x:si>
    <x:t xml:space="preserve">Plant and overtime</x:t>
  </x:si>
  <x:si>
    <x:t xml:space="preserve">LAB-DRAINLAYER</x:t>
  </x:si>
  <x:si>
    <x:t xml:space="preserve">Registered drainlayer / pipe layer</x:t>
  </x:si>
  <x:si>
    <x:t xml:space="preserve">Vehicle and overtime</x:t>
  </x:si>
  <x:si>
    <x:t xml:space="preserve">LAB-LABOURER</x:t>
  </x:si>
  <x:si>
    <x:t xml:space="preserve">Civil labourer</x:t>
  </x:si>
  <x:si>
    <x:t xml:space="preserve">Overtime</x:t>
  </x:si>
  <x:si>
    <x:t xml:space="preserve">LAB-CONCRETE</x:t>
  </x:si>
  <x:si>
    <x:t xml:space="preserve">Concrete placer / finisher</x:t>
  </x:si>
  <x:si>
    <x:t xml:space="preserve">Specialist pump</x:t>
  </x:si>
  <x:si>
    <x:t xml:space="preserve">PL-EXC-1.7</x:t>
  </x:si>
  <x:si>
    <x:t xml:space="preserve">Plant</x:t>
  </x:si>
  <x:si>
    <x:t xml:space="preserve">1.7 t excavator wet hire</x:t>
  </x:si>
  <x:si>
    <x:t xml:space="preserve">Wet hire</x:t>
  </x:si>
  <x:si>
    <x:t xml:space="preserve">Yes</x:t>
  </x:si>
  <x:si>
    <x:t xml:space="preserve">Auckland</x:t>
  </x:si>
  <x:si>
    <x:t xml:space="preserve">Published supplier wet-hire rate</x:t>
  </x:si>
  <x:si>
    <x:t xml:space="preserve">ASAP Machine Hire; NZ Machine Hire cross-check</x:t>
  </x:si>
  <x:si>
    <x:t xml:space="preserve">https://www.asapmachinehire.co.nz/price-list | https://www.nzmachinehire.co.nz/_files/ugd/d7f8c7_1379402df1a242f88fef70fc3ce1475c.pdf</x:t>
  </x:si>
  <x:si>
    <x:t xml:space="preserve">Delivery by quote</x:t>
  </x:si>
  <x:si>
    <x:t xml:space="preserve">Machine, operator, fuel and normal buckets</x:t>
  </x:si>
  <x:si>
    <x:t xml:space="preserve">Delivery, overtime and specialist attachments</x:t>
  </x:si>
  <x:si>
    <x:t xml:space="preserve">High</x:t>
  </x:si>
  <x:si>
    <x:t xml:space="preserve">GREEN - 3-point checked</x:t>
  </x:si>
  <x:si>
    <x:t xml:space="preserve">Wet rate. Do not add a separate operator or fuel line.</x:t>
  </x:si>
  <x:si>
    <x:t xml:space="preserve">PL-EXC-5</x:t>
  </x:si>
  <x:si>
    <x:t xml:space="preserve">5.5 t excavator wet hire</x:t>
  </x:si>
  <x:si>
    <x:t xml:space="preserve">Wet rate. Separate excavator-operator lines set to zero.</x:t>
  </x:si>
  <x:si>
    <x:t xml:space="preserve">PL-EXC-13</x:t>
  </x:si>
  <x:si>
    <x:t xml:space="preserve">14 t excavator wet hire</x:t>
  </x:si>
  <x:si>
    <x:t xml:space="preserve">Published current wet rate. Separate excavator-operator lines set to zero.</x:t>
  </x:si>
  <x:si>
    <x:t xml:space="preserve">PL-ROLLER</x:t>
  </x:si>
  <x:si>
    <x:t xml:space="preserve">7-9 t roller wet-hire equivalent</x:t>
  </x:si>
  <x:si>
    <x:t xml:space="preserve">Wet-hire equivalent</x:t>
  </x:si>
  <x:si>
    <x:t xml:space="preserve">Two-supplier dry-rate build-up</x:t>
  </x:si>
  <x:si>
    <x:t xml:space="preserve">NZ Machine Hire; Hire Smart</x:t>
  </x:si>
  <x:si>
    <x:t xml:space="preserve">https://www.nzmachinehire.co.nz/all-rollers | https://www.hiresmart.co.nz/for-hire/rollers/</x:t>
  </x:si>
  <x:si>
    <x:t xml:space="preserve">Transport by quote</x:t>
  </x:si>
  <x:si>
    <x:t xml:space="preserve">Dry hire, operator, normal fuel and insurance allowance</x:t>
  </x:si>
  <x:si>
    <x:t xml:space="preserve">Transport, overtime and specialist attachments</x:t>
  </x:si>
  <x:si>
    <x:t xml:space="preserve">AMBER - 3-point benchmark; quote required</x:t>
  </x:si>
  <x:si>
    <x:t xml:space="preserve">Built from two published dry rates plus operator/fuel allowance; obtain a project quote.</x:t>
  </x:si>
  <x:si>
    <x:t xml:space="preserve">PL-LOADER</x:t>
  </x:si>
  <x:si>
    <x:t xml:space="preserve">Loader / skid-steer dry hire</x:t>
  </x:si>
  <x:si>
    <x:t xml:space="preserve">Dry hire</x:t>
  </x:si>
  <x:si>
    <x:t xml:space="preserve">Estimator benchmark</x:t>
  </x:si>
  <x:si>
    <x:t xml:space="preserve">Plant-hire market</x:t>
  </x:si>
  <x:si>
    <x:t xml:space="preserve">Allowance - obtain hire quote</x:t>
  </x:si>
  <x:si>
    <x:t xml:space="preserve">Machine only</x:t>
  </x:si>
  <x:si>
    <x:t xml:space="preserve">Operator, fuel, mobilisation</x:t>
  </x:si>
  <x:si>
    <x:t xml:space="preserve">AMBER - benchmark/allowance only</x:t>
  </x:si>
  <x:si>
    <x:t xml:space="preserve">MAT-IMPFILL</x:t>
  </x:si>
  <x:si>
    <x:t xml:space="preserve">Material</x:t>
  </x:si>
  <x:si>
    <x:t xml:space="preserve">AP65-equivalent approved engineered fill delivered</x:t>
  </x:si>
  <x:si>
    <x:t xml:space="preserve">m3</x:t>
  </x:si>
  <x:si>
    <x:t xml:space="preserve">Merchant supply</x:t>
  </x:si>
  <x:si>
    <x:t xml:space="preserve">Tender allowance</x:t>
  </x:si>
  <x:si>
    <x:t xml:space="preserve">Aggregate supplier</x:t>
  </x:si>
  <x:si>
    <x:t xml:space="preserve">https://www.urbanquarry.co.nz/pricelist-2-2 | https://www.aggregate2u.co.nz/aggregates-delivery-south-auckland</x:t>
  </x:si>
  <x:si>
    <x:t xml:space="preserve">Delivered clean approved fill</x:t>
  </x:si>
  <x:si>
    <x:t xml:space="preserve">Testing and placement</x:t>
  </x:si>
  <x:si>
    <x:t xml:space="preserve">Low</x:t>
  </x:si>
  <x:si>
    <x:t xml:space="preserve">AMBER - two market checks; specification/delivery quote required</x:t>
  </x:si>
  <x:si>
    <x:t xml:space="preserve">Product specification and delivered rate still require supplier confirmation.</x:t>
  </x:si>
  <x:si>
    <x:t xml:space="preserve">MAT-AP65</x:t>
  </x:si>
  <x:si>
    <x:t xml:space="preserve">AP65 subbase aggregate</x:t>
  </x:si>
  <x:si>
    <x:t xml:space="preserve">t</x:t>
  </x:si>
  <x:si>
    <x:t xml:space="preserve">Auckland quarry market</x:t>
  </x:si>
  <x:si>
    <x:t xml:space="preserve">Ex-quarry / base material allowance</x:t>
  </x:si>
  <x:si>
    <x:t xml:space="preserve">Haul and placement</x:t>
  </x:si>
  <x:si>
    <x:t xml:space="preserve">Published GAP/AP benchmark; confirm specified grading and haul.</x:t>
  </x:si>
  <x:si>
    <x:t xml:space="preserve">MAT-AP40</x:t>
  </x:si>
  <x:si>
    <x:t xml:space="preserve">AP40 / GAP40 basecourse aggregate</x:t>
  </x:si>
  <x:si>
    <x:t xml:space="preserve">MAT-DRAINAGG</x:t>
  </x:si>
  <x:si>
    <x:t xml:space="preserve">Drainage aggregate</x:t>
  </x:si>
  <x:si>
    <x:t xml:space="preserve">https://www.aggregate2u.co.nz/aggregates-delivery-south-auckland | https://www.urbanquarry.co.nz/pricelist-2-2</x:t>
  </x:si>
  <x:si>
    <x:t xml:space="preserve">Aggregate</x:t>
  </x:si>
  <x:si>
    <x:t xml:space="preserve">Drainage aggregate benchmark; confirm delivered project quote.</x:t>
  </x:si>
  <x:si>
    <x:t xml:space="preserve">MAT-GEOTEXTILE</x:t>
  </x:si>
  <x:si>
    <x:t xml:space="preserve">Bidim A19 or approved geotextile</x:t>
  </x:si>
  <x:si>
    <x:t xml:space="preserve">m2</x:t>
  </x:si>
  <x:si>
    <x:t xml:space="preserve">Civil merchant</x:t>
  </x:si>
  <x:si>
    <x:t xml:space="preserve">Template baseline dated 13-Aug-2026</x:t>
  </x:si>
  <x:si>
    <x:t xml:space="preserve">Material only</x:t>
  </x:si>
  <x:si>
    <x:t xml:space="preserve">Installation</x:t>
  </x:si>
  <x:si>
    <x:t xml:space="preserve">MAT-CONC25</x:t>
  </x:si>
  <x:si>
    <x:t xml:space="preserve">25 MPa ready-mix concrete</x:t>
  </x:si>
  <x:si>
    <x:t xml:space="preserve">Delivered supply</x:t>
  </x:si>
  <x:si>
    <x:t xml:space="preserve">Ready-mix market</x:t>
  </x:si>
  <x:si>
    <x:t xml:space="preserve">Delivered concrete allowance</x:t>
  </x:si>
  <x:si>
    <x:t xml:space="preserve">Pump, testing, placing</x:t>
  </x:si>
  <x:si>
    <x:t xml:space="preserve">MAT-MESH</x:t>
  </x:si>
  <x:si>
    <x:t xml:space="preserve">SE62 / 662 mesh allowance</x:t>
  </x:si>
  <x:si>
    <x:t xml:space="preserve">Steel merchant</x:t>
  </x:si>
  <x:si>
    <x:t xml:space="preserve">Mesh material</x:t>
  </x:si>
  <x:si>
    <x:t xml:space="preserve">Chairs, laps above waste factor</x:t>
  </x:si>
  <x:si>
    <x:t xml:space="preserve">MAT-PIPE150</x:t>
  </x:si>
  <x:si>
    <x:t xml:space="preserve">150 mm uPVC RRJ drainage pipe</x:t>
  </x:si>
  <x:si>
    <x:t xml:space="preserve">lm</x:t>
  </x:si>
  <x:si>
    <x:t xml:space="preserve">Quote required</x:t>
  </x:si>
  <x:si>
    <x:t xml:space="preserve">Pipe and standard joints</x:t>
  </x:si>
  <x:si>
    <x:t xml:space="preserve">Fittings, bedding, install</x:t>
  </x:si>
  <x:si>
    <x:t xml:space="preserve">MAT-PIPE225</x:t>
  </x:si>
  <x:si>
    <x:t xml:space="preserve">225 mm uPVC RRJ stormwater pipe</x:t>
  </x:si>
  <x:si>
    <x:t xml:space="preserve">MAT-SUB110</x:t>
  </x:si>
  <x:si>
    <x:t xml:space="preserve">110 mm perforated subsoil pipe with sock</x:t>
  </x:si>
  <x:si>
    <x:t xml:space="preserve">Pipe and sock</x:t>
  </x:si>
  <x:si>
    <x:t xml:space="preserve">Aggregate and install</x:t>
  </x:si>
  <x:si>
    <x:t xml:space="preserve">MAT-WATER50</x:t>
  </x:si>
  <x:si>
    <x:t xml:space="preserve">50 mm PE watermain and fittings allowance</x:t>
  </x:si>
  <x:si>
    <x:t xml:space="preserve">PE pipe and normal fittings</x:t>
  </x:si>
  <x:si>
    <x:t xml:space="preserve">Connection, meter, testing</x:t>
  </x:si>
  <x:si>
    <x:t xml:space="preserve">MAT-SWMH</x:t>
  </x:si>
  <x:si>
    <x:t xml:space="preserve">Precast stormwater manhole set</x:t>
  </x:si>
  <x:si>
    <x:t xml:space="preserve">ea</x:t>
  </x:si>
  <x:si>
    <x:t xml:space="preserve">Precast supplier</x:t>
  </x:si>
  <x:si>
    <x:t xml:space="preserve">Chamber/riser/lid allowance</x:t>
  </x:si>
  <x:si>
    <x:t xml:space="preserve">Excavation, concrete, install</x:t>
  </x:si>
  <x:si>
    <x:t xml:space="preserve">MAT-SSMH</x:t>
  </x:si>
  <x:si>
    <x:t xml:space="preserve">Precast sewer manhole set</x:t>
  </x:si>
  <x:si>
    <x:t xml:space="preserve">Excavation, testing, install</x:t>
  </x:si>
  <x:si>
    <x:t xml:space="preserve">MAT-IC600</x:t>
  </x:si>
  <x:si>
    <x:t xml:space="preserve">600 mm inspection chamber set</x:t>
  </x:si>
  <x:si>
    <x:t xml:space="preserve">Chamber and lid</x:t>
  </x:si>
  <x:si>
    <x:t xml:space="preserve">Excavation and install</x:t>
  </x:si>
  <x:si>
    <x:t xml:space="preserve">MAT-CP</x:t>
  </x:si>
  <x:si>
    <x:t xml:space="preserve">Standard catchpit set</x:t>
  </x:si>
  <x:si>
    <x:t xml:space="preserve">Chamber, lid and grate</x:t>
  </x:si>
  <x:si>
    <x:t xml:space="preserve">MAT-DCP</x:t>
  </x:si>
  <x:si>
    <x:t xml:space="preserve">Double side-entry cesspit set</x:t>
  </x:si>
  <x:si>
    <x:t xml:space="preserve">Chamber, lid and grates</x:t>
  </x:si>
  <x:si>
    <x:t xml:space="preserve">SUB-ASPHALT30</x:t>
  </x:si>
  <x:si>
    <x:t xml:space="preserve">Subcontract</x:t>
  </x:si>
  <x:si>
    <x:t xml:space="preserve">30 mm asphalt surfacing incl prime/seal</x:t>
  </x:si>
  <x:si>
    <x:t xml:space="preserve">Specialist subcontract</x:t>
  </x:si>
  <x:si>
    <x:t xml:space="preserve">Budget allowance</x:t>
  </x:si>
  <x:si>
    <x:t xml:space="preserve">Asphalt subcontractor</x:t>
  </x:si>
  <x:si>
    <x:t xml:space="preserve">30 mm asphalt surfacing allowance</x:t>
  </x:si>
  <x:si>
    <x:t xml:space="preserve">Basecourse and testing</x:t>
  </x:si>
  <x:si>
    <x:t xml:space="preserve">RED - quote or job-specific evidence required</x:t>
  </x:si>
  <x:si>
    <x:t xml:space="preserve">SUB-KERB-T3</x:t>
  </x:si>
  <x:si>
    <x:t xml:space="preserve">Type 3 kerb and channel installed</x:t>
  </x:si>
  <x:si>
    <x:t xml:space="preserve">Kerb contractor</x:t>
  </x:si>
  <x:si>
    <x:t xml:space="preserve">Form/place/finish concrete kerb/channel</x:t>
  </x:si>
  <x:si>
    <x:t xml:space="preserve">Excavation and major base repair</x:t>
  </x:si>
  <x:si>
    <x:t xml:space="preserve">SUB-KERB-T7</x:t>
  </x:si>
  <x:si>
    <x:t xml:space="preserve">Type 7 kerb installed</x:t>
  </x:si>
  <x:si>
    <x:t xml:space="preserve">Form/place/finish kerb</x:t>
  </x:si>
  <x:si>
    <x:t xml:space="preserve">SUB-ACO-K100</x:t>
  </x:si>
  <x:si>
    <x:t xml:space="preserve">ACO K100S channel drain installed</x:t>
  </x:si>
  <x:si>
    <x:t xml:space="preserve">ACO / drainage installer</x:t>
  </x:si>
  <x:si>
    <x:t xml:space="preserve">Channel, grates and concrete surround allowance</x:t>
  </x:si>
  <x:si>
    <x:t xml:space="preserve">Outlet structures and design changes</x:t>
  </x:si>
  <x:si>
    <x:t xml:space="preserve">SUB-SPECIALIST</x:t>
  </x:si>
  <x:si>
    <x:t xml:space="preserve">Project-specific specialist package</x:t>
  </x:si>
  <x:si>
    <x:t xml:space="preserve">LS</x:t>
  </x:si>
  <x:si>
    <x:t xml:space="preserve">Project-specific</x:t>
  </x:si>
  <x:si>
    <x:t xml:space="preserve">Job override required</x:t>
  </x:si>
  <x:si>
    <x:t xml:space="preserve">Relevant specialist</x:t>
  </x:si>
  <x:si>
    <x:t xml:space="preserve">Quote / PC allowance shown in Resource Build-Up</x:t>
  </x:si>
  <x:si>
    <x:t xml:space="preserve">Only scope stated on build-up row</x:t>
  </x:si>
  <x:si>
    <x:t xml:space="preserve">Unstated scope</x:t>
  </x:si>
  <x:si>
    <x:t xml:space="preserve">Base $1 forces explicit job-rate override</x:t>
  </x:si>
  <x:si>
    <x:t xml:space="preserve">OTH-GENERAL</x:t>
  </x:si>
  <x:si>
    <x:t xml:space="preserve">Other</x:t>
  </x:si>
  <x:si>
    <x:t xml:space="preserve">Project-specific transparent allowance</x:t>
  </x:si>
  <x:si>
    <x:t xml:space="preserve">Job-specific</x:t>
  </x:si>
  <x:si>
    <x:t xml:space="preserve">Estimator allowance</x:t>
  </x:si>
  <x:si>
    <x:t xml:space="preserve">Basis shown in Resource Build-Up</x:t>
  </x:si>
  <x:si>
    <x:t xml:space="preserve">OTH-DISPOSAL</x:t>
  </x:si>
  <x:si>
    <x:t xml:space="preserve">Clean spoil disposal / tipping fee</x:t>
  </x:si>
  <x:si>
    <x:t xml:space="preserve">Commercial tip</x:t>
  </x:si>
  <x:si>
    <x:t xml:space="preserve">Auckland disposal market</x:t>
  </x:si>
  <x:si>
    <x:t xml:space="preserve">Clean spoil tipping</x:t>
  </x:si>
  <x:si>
    <x:t xml:space="preserve">Haul and contaminated material</x:t>
  </x:si>
  <x:si>
    <x:t xml:space="preserve">Ordinary civil plant stays Plant whether owned or hired. Specialist delivered capability such as mobile cranes is normally Subcontract. Wet hire must record operator/fuel inclusions to stop double counting.</x:t>
  </x:si>
  <x:si>
    <x:t xml:space="preserve">Build-Up Row ID</x:t>
  </x:si>
  <x:si>
    <x:t xml:space="preserve">QS Code</x:t>
  </x:si>
  <x:si>
    <x:t xml:space="preserve">WBS / Section</x:t>
  </x:si>
  <x:si>
    <x:t xml:space="preserve">Task Description</x:t>
  </x:si>
  <x:si>
    <x:t xml:space="preserve">QS Qty</x:t>
  </x:si>
  <x:si>
    <x:t xml:space="preserve">QS Unit</x:t>
  </x:si>
  <x:si>
    <x:t xml:space="preserve">Estimate Class</x:t>
  </x:si>
  <x:si>
    <x:t xml:space="preserve">Methodology / Work Step</x:t>
  </x:si>
  <x:si>
    <x:t xml:space="preserve">Productivity Rate</x:t>
  </x:si>
  <x:si>
    <x:t xml:space="preserve">Productivity Unit</x:t>
  </x:si>
  <x:si>
    <x:t xml:space="preserve">Calc Duration hrs</x:t>
  </x:si>
  <x:si>
    <x:t xml:space="preserve">Duration Override hrs</x:t>
  </x:si>
  <x:si>
    <x:t xml:space="preserve">Applied Duration hrs</x:t>
  </x:si>
  <x:si>
    <x:t xml:space="preserve">Calculation Mode</x:t>
  </x:si>
  <x:si>
    <x:t xml:space="preserve">Resource Type</x:t>
  </x:si>
  <x:si>
    <x:t xml:space="preserve">Resource Count / Factor</x:t>
  </x:si>
  <x:si>
    <x:t xml:space="preserve">Manual Resource Qty</x:t>
  </x:si>
  <x:si>
    <x:t xml:space="preserve">Resource Unit</x:t>
  </x:si>
  <x:si>
    <x:t xml:space="preserve">Utilisation %</x:t>
  </x:si>
  <x:si>
    <x:t xml:space="preserve">Waste %</x:t>
  </x:si>
  <x:si>
    <x:t xml:space="preserve">Library Rate</x:t>
  </x:si>
  <x:si>
    <x:t xml:space="preserve">Job Rate Override</x:t>
  </x:si>
  <x:si>
    <x:t xml:space="preserve">Applied Rate</x:t>
  </x:si>
  <x:si>
    <x:t xml:space="preserve">Extended Cost</x:t>
  </x:si>
  <x:si>
    <x:t xml:space="preserve">Library Source</x:t>
  </x:si>
  <x:si>
    <x:t xml:space="preserve">Job Quote / Source Ref</x:t>
  </x:si>
  <x:si>
    <x:t xml:space="preserve">Source Date</x:t>
  </x:si>
  <x:si>
    <x:t xml:space="preserve">Assumption / RFI</x:t>
  </x:si>
  <x:si>
    <x:t xml:space="preserve">Verified?</x:t>
  </x:si>
  <x:si>
    <x:t xml:space="preserve">QA / Double-Count Check</x:t>
  </x:si>
  <x:si>
    <x:t xml:space="preserve">Active rows</x:t>
  </x:si>
  <x:si>
    <x:t xml:space="preserve">Cost exposure excl. GST</x:t>
  </x:si>
  <x:si>
    <x:t xml:space="preserve">GREEN</x:t>
  </x:si>
  <x:si>
    <x:t xml:space="preserve">RED</x:t>
  </x:si>
  <x:si>
    <x:t xml:space="preserve">AMBER</x:t>
  </x:si>
  <x:si>
    <x:t xml:space="preserve">Release gate</x:t>
  </x:si>
  <x:si>
    <x:t xml:space="preserve">Tender issue only</x:t>
  </x:si>
  <x:si>
    <x:t xml:space="preserve">RED items must be disclosed and replaced before award</x:t>
  </x:si>
  <x:si>
    <x:t xml:space="preserve">Audit ID</x:t>
  </x:si>
  <x:si>
    <x:t xml:space="preserve">Build-Up Row</x:t>
  </x:si>
  <x:si>
    <x:t xml:space="preserve">Task / Method</x:t>
  </x:si>
  <x:si>
    <x:t xml:space="preserve">Resource</x:t>
  </x:si>
  <x:si>
    <x:t xml:space="preserve">Evidence 1 - primary/current</x:t>
  </x:si>
  <x:si>
    <x:t xml:space="preserve">Result 1</x:t>
  </x:si>
  <x:si>
    <x:t xml:space="preserve">Evidence 2 - independent check</x:t>
  </x:si>
  <x:si>
    <x:t xml:space="preserve">Result 2</x:t>
  </x:si>
  <x:si>
    <x:t xml:space="preserve">Evidence 3 - build-up/scope</x:t>
  </x:si>
  <x:si>
    <x:t xml:space="preserve">Result 3</x:t>
  </x:si>
  <x:si>
    <x:t xml:space="preserve">Score</x:t>
  </x:si>
  <x:si>
    <x:t xml:space="preserve">Release Status</x:t>
  </x:si>
  <x:si>
    <x:t xml:space="preserve">Required Action</x:t>
  </x:si>
  <x:si>
    <x:t xml:space="preserve">Scope / Assumption</x:t>
  </x:si>
  <x:si>
    <x:t xml:space="preserve">RV-001</x:t>
  </x:si>
  <x:si>
    <x:t xml:space="preserve">RV-002</x:t>
  </x:si>
  <x:si>
    <x:t xml:space="preserve">RV-003</x:t>
  </x:si>
  <x:si>
    <x:t xml:space="preserve">RV-004</x:t>
  </x:si>
  <x:si>
    <x:t xml:space="preserve">RV-005</x:t>
  </x:si>
  <x:si>
    <x:t xml:space="preserve">RV-006</x:t>
  </x:si>
  <x:si>
    <x:t xml:space="preserve">RV-007</x:t>
  </x:si>
  <x:si>
    <x:t xml:space="preserve">RV-008</x:t>
  </x:si>
  <x:si>
    <x:t xml:space="preserve">RV-009</x:t>
  </x:si>
  <x:si>
    <x:t xml:space="preserve">RV-010</x:t>
  </x:si>
  <x:si>
    <x:t xml:space="preserve">RV-011</x:t>
  </x:si>
  <x:si>
    <x:t xml:space="preserve">RV-012</x:t>
  </x:si>
  <x:si>
    <x:t xml:space="preserve">RV-013</x:t>
  </x:si>
  <x:si>
    <x:t xml:space="preserve">RV-014</x:t>
  </x:si>
  <x:si>
    <x:t xml:space="preserve">RV-015</x:t>
  </x:si>
  <x:si>
    <x:t xml:space="preserve">RV-016</x:t>
  </x:si>
  <x:si>
    <x:t xml:space="preserve">RV-017</x:t>
  </x:si>
  <x:si>
    <x:t xml:space="preserve">RV-018</x:t>
  </x:si>
  <x:si>
    <x:t xml:space="preserve">RV-019</x:t>
  </x:si>
  <x:si>
    <x:t xml:space="preserve">RV-020</x:t>
  </x:si>
  <x:si>
    <x:t xml:space="preserve">RV-021</x:t>
  </x:si>
  <x:si>
    <x:t xml:space="preserve">RV-022</x:t>
  </x:si>
  <x:si>
    <x:t xml:space="preserve">RV-023</x:t>
  </x:si>
  <x:si>
    <x:t xml:space="preserve">RV-024</x:t>
  </x:si>
  <x:si>
    <x:t xml:space="preserve">RV-025</x:t>
  </x:si>
  <x:si>
    <x:t xml:space="preserve">RV-026</x:t>
  </x:si>
  <x:si>
    <x:t xml:space="preserve">RV-027</x:t>
  </x:si>
  <x:si>
    <x:t xml:space="preserve">RV-028</x:t>
  </x:si>
  <x:si>
    <x:t xml:space="preserve">RV-029</x:t>
  </x:si>
  <x:si>
    <x:t xml:space="preserve">RV-030</x:t>
  </x:si>
  <x:si>
    <x:t xml:space="preserve">RV-031</x:t>
  </x:si>
  <x:si>
    <x:t xml:space="preserve">RV-032</x:t>
  </x:si>
  <x:si>
    <x:t xml:space="preserve">RV-033</x:t>
  </x:si>
  <x:si>
    <x:t xml:space="preserve">RV-034</x:t>
  </x:si>
  <x:si>
    <x:t xml:space="preserve">RV-035</x:t>
  </x:si>
  <x:si>
    <x:t xml:space="preserve">RV-036</x:t>
  </x:si>
  <x:si>
    <x:t xml:space="preserve">RV-037</x:t>
  </x:si>
  <x:si>
    <x:t xml:space="preserve">RV-038</x:t>
  </x:si>
  <x:si>
    <x:t xml:space="preserve">RV-039</x:t>
  </x:si>
  <x:si>
    <x:t xml:space="preserve">RV-040</x:t>
  </x:si>
  <x:si>
    <x:t xml:space="preserve">RV-041</x:t>
  </x:si>
  <x:si>
    <x:t xml:space="preserve">RV-042</x:t>
  </x:si>
  <x:si>
    <x:t xml:space="preserve">RV-043</x:t>
  </x:si>
  <x:si>
    <x:t xml:space="preserve">RV-044</x:t>
  </x:si>
  <x:si>
    <x:t xml:space="preserve">RV-045</x:t>
  </x:si>
  <x:si>
    <x:t xml:space="preserve">RV-046</x:t>
  </x:si>
  <x:si>
    <x:t xml:space="preserve">RV-047</x:t>
  </x:si>
  <x:si>
    <x:t xml:space="preserve">RV-048</x:t>
  </x:si>
  <x:si>
    <x:t xml:space="preserve">RV-049</x:t>
  </x:si>
  <x:si>
    <x:t xml:space="preserve">RV-050</x:t>
  </x:si>
  <x:si>
    <x:t xml:space="preserve">RV-051</x:t>
  </x:si>
  <x:si>
    <x:t xml:space="preserve">RV-052</x:t>
  </x:si>
  <x:si>
    <x:t xml:space="preserve">RV-053</x:t>
  </x:si>
  <x:si>
    <x:t xml:space="preserve">RV-054</x:t>
  </x:si>
  <x:si>
    <x:t xml:space="preserve">RV-055</x:t>
  </x:si>
  <x:si>
    <x:t xml:space="preserve">RV-056</x:t>
  </x:si>
  <x:si>
    <x:t xml:space="preserve">RV-057</x:t>
  </x:si>
  <x:si>
    <x:t xml:space="preserve">RV-058</x:t>
  </x:si>
  <x:si>
    <x:t xml:space="preserve">RV-059</x:t>
  </x:si>
  <x:si>
    <x:t xml:space="preserve">RV-060</x:t>
  </x:si>
  <x:si>
    <x:t xml:space="preserve">RV-061</x:t>
  </x:si>
  <x:si>
    <x:t xml:space="preserve">RV-062</x:t>
  </x:si>
  <x:si>
    <x:t xml:space="preserve">RV-063</x:t>
  </x:si>
  <x:si>
    <x:t xml:space="preserve">RV-064</x:t>
  </x:si>
  <x:si>
    <x:t xml:space="preserve">RV-065</x:t>
  </x:si>
  <x:si>
    <x:t xml:space="preserve">RV-066</x:t>
  </x:si>
  <x:si>
    <x:t xml:space="preserve">RV-067</x:t>
  </x:si>
  <x:si>
    <x:t xml:space="preserve">RV-068</x:t>
  </x:si>
  <x:si>
    <x:t xml:space="preserve">RV-069</x:t>
  </x:si>
  <x:si>
    <x:t xml:space="preserve">RV-070</x:t>
  </x:si>
  <x:si>
    <x:t xml:space="preserve">RV-071</x:t>
  </x:si>
  <x:si>
    <x:t xml:space="preserve">RV-072</x:t>
  </x:si>
  <x:si>
    <x:t xml:space="preserve">RV-073</x:t>
  </x:si>
  <x:si>
    <x:t xml:space="preserve">RV-074</x:t>
  </x:si>
  <x:si>
    <x:t xml:space="preserve">RV-075</x:t>
  </x:si>
  <x:si>
    <x:t xml:space="preserve">RV-076</x:t>
  </x:si>
  <x:si>
    <x:t xml:space="preserve">RV-077</x:t>
  </x:si>
  <x:si>
    <x:t xml:space="preserve">RV-078</x:t>
  </x:si>
  <x:si>
    <x:t xml:space="preserve">RV-079</x:t>
  </x:si>
  <x:si>
    <x:t xml:space="preserve">RV-080</x:t>
  </x:si>
  <x:si>
    <x:t xml:space="preserve">RV-081</x:t>
  </x:si>
  <x:si>
    <x:t xml:space="preserve">RV-082</x:t>
  </x:si>
  <x:si>
    <x:t xml:space="preserve">RV-083</x:t>
  </x:si>
  <x:si>
    <x:t xml:space="preserve">RV-084</x:t>
  </x:si>
  <x:si>
    <x:t xml:space="preserve">RV-085</x:t>
  </x:si>
  <x:si>
    <x:t xml:space="preserve">RV-086</x:t>
  </x:si>
  <x:si>
    <x:t xml:space="preserve">RV-087</x:t>
  </x:si>
  <x:si>
    <x:t xml:space="preserve">RV-088</x:t>
  </x:si>
  <x:si>
    <x:t xml:space="preserve">RV-089</x:t>
  </x:si>
  <x:si>
    <x:t xml:space="preserve">RV-090</x:t>
  </x:si>
  <x:si>
    <x:t xml:space="preserve">RV-091</x:t>
  </x:si>
  <x:si>
    <x:t xml:space="preserve">RV-092</x:t>
  </x:si>
  <x:si>
    <x:t xml:space="preserve">RV-093</x:t>
  </x:si>
  <x:si>
    <x:t xml:space="preserve">RV-094</x:t>
  </x:si>
  <x:si>
    <x:t xml:space="preserve">RV-095</x:t>
  </x:si>
  <x:si>
    <x:t xml:space="preserve">RV-096</x:t>
  </x:si>
  <x:si>
    <x:t xml:space="preserve">RV-097</x:t>
  </x:si>
  <x:si>
    <x:t xml:space="preserve">RV-098</x:t>
  </x:si>
  <x:si>
    <x:t xml:space="preserve">RV-099</x:t>
  </x:si>
  <x:si>
    <x:t xml:space="preserve">RV-100</x:t>
  </x:si>
  <x:si>
    <x:t xml:space="preserve">RV-101</x:t>
  </x:si>
  <x:si>
    <x:t xml:space="preserve">RV-102</x:t>
  </x:si>
  <x:si>
    <x:t xml:space="preserve">RV-103</x:t>
  </x:si>
  <x:si>
    <x:t xml:space="preserve">RV-104</x:t>
  </x:si>
  <x:si>
    <x:t xml:space="preserve">RV-105</x:t>
  </x:si>
  <x:si>
    <x:t xml:space="preserve">RV-106</x:t>
  </x:si>
  <x:si>
    <x:t xml:space="preserve">RV-107</x:t>
  </x:si>
  <x:si>
    <x:t xml:space="preserve">RV-108</x:t>
  </x:si>
  <x:si>
    <x:t xml:space="preserve">RV-109</x:t>
  </x:si>
  <x:si>
    <x:t xml:space="preserve">RV-110</x:t>
  </x:si>
  <x:si>
    <x:t xml:space="preserve">RV-111</x:t>
  </x:si>
  <x:si>
    <x:t xml:space="preserve">RV-112</x:t>
  </x:si>
  <x:si>
    <x:t xml:space="preserve">RV-113</x:t>
  </x:si>
  <x:si>
    <x:t xml:space="preserve">RV-114</x:t>
  </x:si>
  <x:si>
    <x:t xml:space="preserve">RV-115</x:t>
  </x:si>
  <x:si>
    <x:t xml:space="preserve">RV-116</x:t>
  </x:si>
  <x:si>
    <x:t xml:space="preserve">RV-117</x:t>
  </x:si>
  <x:si>
    <x:t xml:space="preserve">RV-118</x:t>
  </x:si>
  <x:si>
    <x:t xml:space="preserve">RV-119</x:t>
  </x:si>
  <x:si>
    <x:t xml:space="preserve">RV-120</x:t>
  </x:si>
  <x:si>
    <x:t xml:space="preserve">RV-121</x:t>
  </x:si>
  <x:si>
    <x:t xml:space="preserve">RV-122</x:t>
  </x:si>
  <x:si>
    <x:t xml:space="preserve">RV-123</x:t>
  </x:si>
  <x:si>
    <x:t xml:space="preserve">RV-124</x:t>
  </x:si>
  <x:si>
    <x:t xml:space="preserve">RV-125</x:t>
  </x:si>
  <x:si>
    <x:t xml:space="preserve">RV-126</x:t>
  </x:si>
  <x:si>
    <x:t xml:space="preserve">RV-127</x:t>
  </x:si>
  <x:si>
    <x:t xml:space="preserve">RV-128</x:t>
  </x:si>
  <x:si>
    <x:t xml:space="preserve">RV-129</x:t>
  </x:si>
  <x:si>
    <x:t xml:space="preserve">Microsoft import guidance: https://support.microsoft.com/en-us/project/export-or-import-data-to-another-file-format</x:t>
  </x:si>
  <x:si>
    <x:t xml:space="preserve">Import ID</x:t>
  </x:si>
  <x:si>
    <x:t xml:space="preserve">QS Row</x:t>
  </x:si>
  <x:si>
    <x:t xml:space="preserve">Task Name</x:t>
  </x:si>
  <x:si>
    <x:t xml:space="preserve">QS Fixed Cost</x:t>
  </x:si>
  <x:si>
    <x:t xml:space="preserve">Resource Cost Check</x:t>
  </x:si>
  <x:si>
    <x:t xml:space="preserve">Max Resource Duration hrs</x:t>
  </x:si>
  <x:si>
    <x:t xml:space="preserve">Derived Duration days</x:t>
  </x:si>
  <x:si>
    <x:t xml:space="preserve">Programme Override days</x:t>
  </x:si>
  <x:si>
    <x:t xml:space="preserve">Export Duration days</x:t>
  </x:si>
  <x:si>
    <x:t xml:space="preserve">Duration</x:t>
  </x:si>
  <x:si>
    <x:t xml:space="preserve">Duration Basis</x:t>
  </x:si>
  <x:si>
    <x:t xml:space="preserve">Predecessor QS Codes</x:t>
  </x:si>
  <x:si>
    <x:t xml:space="preserve">Predecessors</x:t>
  </x:si>
  <x:si>
    <x:t xml:space="preserve">Resource Summary</x:t>
  </x:si>
  <x:si>
    <x:t xml:space="preserve">Rate QA Status</x:t>
  </x:si>
  <x:si>
    <x:t xml:space="preserve">QS / Resource Difference</x:t>
  </x:si>
  <x:si>
    <x:t xml:space="preserve">Cost Check</x:t>
  </x:si>
  <x:si>
    <x:t xml:space="preserve">Task Mode</x:t>
  </x:si>
  <x:si>
    <x:t xml:space="preserve">Cost Accrual</x:t>
  </x:si>
</x:sst>
</file>

<file path=xl/styles.xml><?xml version="1.0" encoding="utf-8"?>
<x:styleSheet xmlns:x="http://schemas.openxmlformats.org/spreadsheetml/2006/main">
  <x:numFmts count="13">
    <x:numFmt numFmtId="44" formatCode="_-&quot;$&quot;* #,##0.00_-;\-&quot;$&quot;* #,##0.00_-;_-&quot;$&quot;* &quot;-&quot;??_-;_-@_-"/>
    <x:numFmt numFmtId="164" formatCode="\$#,##0.00"/>
    <x:numFmt numFmtId="165" formatCode="\$#,##0.00;[Red]\-\$#,##0.00"/>
    <x:numFmt numFmtId="166" formatCode="0\ &quot;months&quot;"/>
    <x:numFmt numFmtId="167" formatCode="0.0%"/>
    <x:numFmt numFmtId="168" formatCode="0.0"/>
    <x:numFmt numFmtId="200" formatCode="#,##0.00"/>
    <x:numFmt numFmtId="201" formatCode="dd-mmm-yyyy"/>
    <x:numFmt numFmtId="202" formatCode="0"/>
    <x:numFmt numFmtId="203" formatCode="$#,##0.00"/>
    <x:numFmt numFmtId="204" formatCode="0.00%"/>
    <x:numFmt numFmtId="205" formatCode="0.00"/>
    <x:numFmt numFmtId="206" formatCode="$#,##0.00;[Red]-$#,##0.00"/>
  </x:numFmts>
  <x:fonts count="19">
    <x:font>
      <x:sz val="11"/>
      <x:name val="Carlito"/>
    </x:font>
    <x:font>
      <x:b/>
      <x:sz val="13"/>
      <x:color rgb="FFFFFFFF"/>
      <x:name val="Carlito"/>
    </x:font>
    <x:font>
      <x:b/>
      <x:sz val="11"/>
      <x:name val="Carlito"/>
    </x:font>
    <x:font>
      <x:b/>
      <x:sz val="12"/>
      <x:color rgb="FFFFFFFF"/>
      <x:name val="Carlito"/>
    </x:font>
    <x:font>
      <x:b/>
      <x:sz val="11"/>
      <x:color rgb="FFFFFFFF"/>
      <x:name val="Carlito"/>
    </x:font>
    <x:font>
      <x:b/>
      <x:sz val="14"/>
      <x:color rgb="FFFFFFFF"/>
      <x:name val="Carlito"/>
    </x:font>
    <x:font>
      <x:sz val="11"/>
      <x:name val="Carlito"/>
    </x:font>
    <x:font>
      <x:b/>
      <x:sz val="12"/>
      <x:color theme="0"/>
      <x:name val="Carlito"/>
    </x:font>
    <x:font>
      <x:sz val="11"/>
      <x:color theme="0"/>
      <x:name val="Carlito"/>
    </x:font>
    <x:font>
      <x:i/>
      <x:sz val="11"/>
      <x:color rgb="FF1F1F1F"/>
      <x:name val="Carlito"/>
    </x:font>
    <x:font>
      <x:sz val="10"/>
      <x:name val="Carlito"/>
    </x:font>
    <x:font>
      <x:b/>
      <x:sz val="11"/>
      <x:color rgb="FFC00000"/>
      <x:name val="Carlito"/>
    </x:font>
    <x:font>
      <x:b/>
      <x:sz val="11"/>
      <x:color rgb="FF000000"/>
      <x:name val="Carlito"/>
    </x:font>
    <x:font>
      <x:i/>
      <x:sz val="11"/>
      <x:name val="Carlito"/>
    </x:font>
    <x:font>
      <x:sz val="11"/>
      <x:color rgb="FFC00000"/>
      <x:name val="Carlito"/>
    </x:font>
    <x:font>
      <x:b/>
      <x:sz val="11"/>
      <x:color rgb="FF375623"/>
      <x:name val="Carlito"/>
    </x:font>
    <x:font>
      <x:i/>
      <x:sz val="11"/>
      <x:color rgb="FF666666"/>
      <x:name val="Carlito"/>
    </x:font>
    <x:font>
      <x:b/>
      <x:sz val="11"/>
      <x:color rgb="FF1F1F1F"/>
      <x:name val="Carlito"/>
    </x:font>
    <x:font>
      <x:b/>
      <x:i/>
      <x:sz val="11"/>
      <x:name val="Carlito"/>
    </x:font>
  </x:fonts>
  <x:fills count="5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D9EAD3"/>
      </x:patternFill>
    </x:fill>
    <x:fill>
      <x:patternFill patternType="solid">
        <x:fgColor rgb="FFFCE4D6"/>
      </x:patternFill>
    </x:fill>
    <x:fill>
      <x:patternFill patternType="solid">
        <x:fgColor rgb="FFE2F0D9"/>
      </x:patternFill>
    </x:fill>
    <x:fill>
      <x:patternFill patternType="solid">
        <x:fgColor rgb="FFFFF2CC"/>
      </x:patternFill>
    </x:fill>
    <x:fill>
      <x:patternFill patternType="solid">
        <x:fgColor rgb="FFEAF2F8"/>
      </x:patternFill>
    </x:fill>
    <x:fill>
      <x:patternFill patternType="solid">
        <x:fgColor rgb="FF5B9BD5"/>
      </x:patternFill>
    </x:fill>
    <x:fill>
      <x:patternFill patternType="solid">
        <x:fgColor rgb="FFFF9999"/>
      </x:patternFill>
    </x:fill>
    <x:fill>
      <x:patternFill patternType="solid">
        <x:fgColor rgb="FFF4B183"/>
      </x:patternFill>
    </x:fill>
    <x:fill>
      <x:patternFill patternType="solid">
        <x:fgColor rgb="FF17365D"/>
      </x:patternFill>
    </x:fill>
    <x:fill>
      <x:patternFill patternType="solid">
        <x:fgColor rgb="FFFFFFFF"/>
      </x:patternFill>
    </x:fill>
    <x:fill>
      <x:patternFill patternType="solid">
        <x:fgColor rgb="FFF2F2F2"/>
      </x:patternFill>
    </x:fill>
    <x:fill>
      <x:patternFill patternType="solid">
        <x:fgColor rgb="FF4472C4"/>
      </x:patternFill>
    </x:fill>
    <x:fill>
      <x:patternFill patternType="solid">
        <x:fgColor rgb="FFEAF4E2"/>
      </x:patternFill>
    </x:fill>
    <x:fill>
      <x:patternFill patternType="solid">
        <x:fgColor rgb="FFFFF2CC"/>
      </x:patternFill>
    </x:fill>
    <x:fill>
      <x:patternFill patternType="solid">
        <x:fgColor rgb="FFE2F0D9"/>
      </x:patternFill>
    </x:fill>
    <x:fill>
      <x:patternFill patternType="solid">
        <x:fgColor rgb="FF1F4E78"/>
      </x:patternFill>
    </x:fill>
    <x:fill>
      <x:patternFill patternType="solid">
        <x:fgColor rgb="FFF4B183"/>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F4CCCC"/>
      </x:patternFill>
    </x:fill>
    <x:fill>
      <x:patternFill patternType="solid">
        <x:fgColor rgb="FFFCE4D6"/>
      </x:patternFill>
    </x:fill>
    <x:fill>
      <x:patternFill patternType="solid">
        <x:fgColor rgb="FF5B9BD5"/>
      </x:patternFill>
    </x:fill>
    <x:fill>
      <x:patternFill patternType="solid">
        <x:fgColor rgb="FFE2F0D9"/>
      </x:patternFill>
    </x:fill>
    <x:fill>
      <x:patternFill patternType="solid">
        <x:fgColor rgb="FF17365D"/>
      </x:patternFill>
    </x:fill>
    <x:fill>
      <x:patternFill patternType="solid">
        <x:fgColor rgb="FFF3F6F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1F4E78"/>
      </x:patternFill>
    </x:fill>
    <x:fill>
      <x:patternFill patternType="solid">
        <x:fgColor rgb="FFD9EAD3"/>
      </x:patternFill>
    </x:fill>
    <x:fill>
      <x:patternFill patternType="solid">
        <x:fgColor rgb="FF5B9BD5"/>
      </x:patternFill>
    </x:fill>
    <x:fill>
      <x:patternFill patternType="solid">
        <x:fgColor rgb="FFD9EAF7"/>
      </x:patternFill>
    </x:fill>
    <x:fill>
      <x:patternFill patternType="solid">
        <x:fgColor rgb="FFE2F0D9"/>
      </x:patternFill>
    </x:fill>
    <x:fill>
      <x:patternFill patternType="solid">
        <x:fgColor rgb="FFFCE4D6"/>
      </x:patternFill>
    </x:fill>
    <x:fill>
      <x:patternFill patternType="solid">
        <x:fgColor rgb="FFFFF2CC"/>
      </x:patternFill>
    </x:fill>
    <x:fill>
      <x:patternFill patternType="solid">
        <x:fgColor rgb="FFE7E6E6"/>
      </x:patternFill>
    </x:fill>
    <x:fill>
      <x:patternFill patternType="solid">
        <x:fgColor rgb="FF5B9BD5"/>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CE4D6"/>
      </x:patternFill>
    </x:fill>
    <x:fill>
      <x:patternFill patternType="solid">
        <x:fgColor rgb="FFFFF2CC"/>
      </x:patternFill>
    </x:fill>
    <x:fill>
      <x:patternFill patternType="solid">
        <x:fgColor rgb="FF1F4E78"/>
      </x:patternFill>
    </x:fill>
    <x:fill>
      <x:patternFill patternType="solid">
        <x:fgColor rgb="FFE2F0D9"/>
      </x:patternFill>
    </x:fill>
    <x:fill>
      <x:patternFill patternType="solid">
        <x:fgColor rgb="FF1F4E78"/>
      </x:patternFill>
    </x:fill>
    <x:fill>
      <x:patternFill patternType="solid">
        <x:fgColor rgb="FFFCE4D6"/>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E2F0D9"/>
      </x:patternFill>
    </x:fill>
    <x:fill>
      <x:patternFill patternType="solid">
        <x:fgColor rgb="FFFFFFFF"/>
      </x:patternFill>
    </x:fill>
  </x:fills>
  <x:borders count="29">
    <x:border/>
    <x:border>
      <x:left style="thin">
        <x:color rgb="FFD9E1F2"/>
      </x:left>
      <x:right style="thin">
        <x:color rgb="FFD9E1F2"/>
      </x:right>
      <x:top style="thin">
        <x:color rgb="FFD9E1F2"/>
      </x:top>
      <x:bottom style="thin">
        <x:color rgb="FFD9E1F2"/>
      </x:bottom>
    </x:border>
    <x:border>
      <x:left style="thin">
        <x:color rgb="FFD9E1F2"/>
      </x:left>
    </x:border>
    <x:border>
      <x:left style="thin">
        <x:color rgb="FFD9E1F2"/>
      </x:left>
      <x:right style="thin">
        <x:color rgb="FFD9E1F2"/>
      </x:right>
      <x:top style="thin">
        <x:color rgb="FF000000"/>
      </x:top>
      <x:bottom style="thin">
        <x:color rgb="FFD9E1F2"/>
      </x:bottom>
    </x:border>
    <x:border/>
    <x:border>
      <x:left style="thin">
        <x:color rgb="FFD9E1F2"/>
      </x:left>
      <x:bottom style="thin">
        <x:color rgb="FFD9E1F2"/>
      </x:bottom>
    </x:border>
    <x:border>
      <x:bottom style="thin">
        <x:color rgb="FFD9E1F2"/>
      </x:bottom>
    </x:border>
    <x:border>
      <x:left style="thin">
        <x:color rgb="FFD9E1F2"/>
      </x:left>
      <x:top style="thin">
        <x:color rgb="FFD9E1F2"/>
      </x:top>
    </x:border>
    <x:border>
      <x:top style="thin">
        <x:color rgb="FFD9E1F2"/>
      </x:top>
    </x:border>
    <x:border>
      <x:right style="thin">
        <x:color rgb="FFD9E1F2"/>
      </x:right>
      <x:top style="thin">
        <x:color rgb="FFD9E1F2"/>
      </x:top>
    </x:border>
    <x:border>
      <x:right style="thin">
        <x:color rgb="FFD9E1F2"/>
      </x:right>
    </x:border>
    <x:border>
      <x:right style="thin">
        <x:color rgb="FFD9E1F2"/>
      </x:right>
      <x:bottom style="thin">
        <x:color rgb="FFD9E1F2"/>
      </x:bottom>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border>
      <x:left style="thin">
        <x:color rgb="FFD9E1F2"/>
      </x:left>
      <x:right style="thin">
        <x:color rgb="FFD9E1F2"/>
      </x:right>
      <x:top style="thin">
        <x:color rgb="FFD9E1F2"/>
      </x:top>
      <x:bottom style="thin">
        <x:color rgb="FFD9E1F2"/>
      </x:bottom>
    </x:border>
    <x:border>
      <x:left style="thin">
        <x:color rgb="FFD9E1F2"/>
      </x:left>
      <x:top style="thin">
        <x:color rgb="FFD9E1F2"/>
      </x:top>
    </x:border>
    <x:border>
      <x:top style="thin">
        <x:color rgb="FFD9E1F2"/>
      </x:top>
    </x:border>
    <x:border>
      <x:left style="thin">
        <x:color rgb="FFD9E1F2"/>
      </x:left>
    </x:border>
    <x:border>
      <x:right style="thin">
        <x:color rgb="FFD9E1F2"/>
      </x:right>
      <x:top style="thin">
        <x:color rgb="FFD9E1F2"/>
      </x:top>
    </x:border>
    <x:border>
      <x:right style="thin">
        <x:color rgb="FFD9E1F2"/>
      </x:right>
    </x:border>
    <x:border>
      <x:bottom style="thin">
        <x:color rgb="FFD9E1F2"/>
      </x:bottom>
    </x:border>
    <x:border>
      <x:right style="thin">
        <x:color rgb="FFD9E1F2"/>
      </x:right>
      <x:bottom style="thin">
        <x:color rgb="FFD9E1F2"/>
      </x:bottom>
    </x:border>
    <x:border>
      <x:left style="thin">
        <x:color rgb="FFD9E1F2"/>
      </x:left>
      <x:bottom style="thin">
        <x:color rgb="FFD9E1F2"/>
      </x:bottom>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left style="thin">
        <x:color rgb="FFD9E1F2"/>
      </x:left>
      <x:right style="thin">
        <x:color rgb="FFD9E1F2"/>
      </x:right>
      <x:top style="thin">
        <x:color rgb="FF000000"/>
      </x:top>
      <x:bottom style="thin">
        <x:color rgb="FFD9E1F2"/>
      </x:bottom>
    </x:border>
  </x:borders>
  <x:cellStyleXfs count="2">
    <x:xf numFmtId="0" fontId="0" fillId="0" borderId="4"/>
    <x:xf numFmtId="44" fontId="6" fillId="0" borderId="4"/>
  </x:cellStyleXfs>
  <x:cellXfs count="789">
    <x:xf numFmtId="0" fontId="0" fillId="0" borderId="0" xfId="0" applyBorder="1"/>
    <x:xf numFmtId="0" fontId="0" fillId="0" borderId="0" xfId="0" applyBorder="1"/>
    <x:xf numFmtId="0" fontId="8" fillId="0" borderId="0" xfId="0" applyFont="1" applyBorder="1" applyAlignment="1">
      <x:alignment vertical="center"/>
    </x:xf>
    <x:xf numFmtId="0" fontId="0" fillId="0" borderId="0" xfId="0" applyBorder="1" applyAlignment="1">
      <x:alignment vertical="center"/>
    </x:xf>
    <x:xf numFmtId="44" fontId="0" fillId="0" borderId="0" xfId="1" applyFont="1" applyBorder="1"/>
    <x:xf numFmtId="44" fontId="2" fillId="8" borderId="1" xfId="0" applyNumberFormat="1" applyFont="1" applyFill="1" applyBorder="1" applyAlignment="1">
      <x:alignment vertical="top" wrapText="1"/>
    </x:xf>
    <x:xf numFmtId="44" fontId="2" fillId="4"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2" fillId="8"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4" fillId="2" borderId="1" xfId="0" applyNumberFormat="1" applyFont="1" applyFill="1" applyBorder="1" applyAlignment="1">
      <x:alignment vertical="center" wrapText="1"/>
    </x:xf>
    <x:xf numFmtId="4" fontId="4" fillId="2" borderId="1" xfId="0" applyNumberFormat="1" applyFont="1" applyFill="1" applyBorder="1" applyAlignment="1">
      <x:alignment vertical="center" wrapText="1"/>
    </x:xf>
    <x:xf numFmtId="164" fontId="4" fillId="2" borderId="1" xfId="0" applyNumberFormat="1" applyFont="1" applyFill="1" applyBorder="1" applyAlignment="1">
      <x:alignment vertical="center" wrapText="1"/>
    </x:xf>
    <x:xf numFmtId="0" fontId="3" fillId="2" borderId="0" xfId="0" applyNumberFormat="1" applyFont="1" applyFill="1" applyBorder="1" applyAlignment="1">
      <x:alignment vertical="top" wrapText="1"/>
    </x:xf>
    <x:xf numFmtId="4" fontId="2" fillId="7" borderId="0" xfId="0" applyNumberFormat="1" applyFont="1" applyFill="1" applyBorder="1" applyAlignment="1">
      <x:alignment vertical="center" wrapText="1"/>
    </x:xf>
    <x:xf numFmtId="4" fontId="2" fillId="6" borderId="1" xfId="0" applyNumberFormat="1" applyFont="1" applyFill="1" applyBorder="1" applyAlignment="1">
      <x:alignment vertical="center" wrapText="1"/>
    </x:xf>
    <x:xf numFmtId="0" fontId="4" fillId="15" borderId="0" xfId="0" applyNumberFormat="1" applyFont="1" applyFill="1" applyBorder="1" applyAlignment="1">
      <x:alignment horizontal="center" vertical="center" wrapText="1"/>
    </x:xf>
    <x:xf numFmtId="0" fontId="2" fillId="0" borderId="1"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4" fontId="2" fillId="0" borderId="0" xfId="0" applyNumberFormat="1" applyFont="1" applyFill="1" applyBorder="1" applyAlignment="1">
      <x:alignment vertical="center" wrapText="1"/>
    </x:xf>
    <x:xf numFmtId="164" fontId="2" fillId="0" borderId="0" xfId="0" applyNumberFormat="1" applyFont="1" applyFill="1" applyBorder="1" applyAlignment="1">
      <x:alignment vertical="center" wrapText="1"/>
    </x:xf>
    <x:xf numFmtId="165" fontId="2" fillId="0" borderId="1" xfId="0" applyNumberFormat="1" applyFont="1" applyFill="1" applyBorder="1" applyAlignment="1">
      <x:alignment vertical="center" wrapText="1"/>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vertical="top" wrapText="1"/>
    </x:xf>
    <x:xf numFmtId="0" fontId="7" fillId="2"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4" fillId="2" borderId="0"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2" fillId="14" borderId="1" xfId="0" applyNumberFormat="1" applyFont="1" applyFill="1" applyBorder="1" applyAlignment="1">
      <x:alignment vertical="center" wrapText="1"/>
    </x:xf>
    <x:xf numFmtId="0" fontId="2" fillId="14" borderId="0" xfId="0" applyNumberFormat="1" applyFont="1" applyFill="1" applyBorder="1" applyAlignment="1">
      <x:alignment vertical="center" wrapText="1"/>
    </x:xf>
    <x:xf numFmtId="0" fontId="2" fillId="13" borderId="1" xfId="0" applyNumberFormat="1" applyFont="1" applyFill="1" applyBorder="1" applyAlignment="1">
      <x:alignment vertical="center" wrapText="1"/>
    </x:xf>
    <x:xf numFmtId="0" fontId="2" fillId="13" borderId="0" xfId="0" applyNumberFormat="1" applyFont="1" applyFill="1" applyBorder="1" applyAlignment="1">
      <x:alignment vertical="center" wrapText="1"/>
    </x:xf>
    <x:xf numFmtId="166" fontId="0" fillId="0" borderId="0" xfId="0" applyNumberFormat="1" applyFont="1" applyFill="1" applyBorder="1" applyAlignment="1">
      <x:alignment vertical="top" wrapText="1"/>
    </x:xf>
    <x:xf numFmtId="44" fontId="0" fillId="0" borderId="0" xfId="0" applyNumberFormat="1" applyFont="1" applyFill="1" applyBorder="1" applyAlignment="1">
      <x:alignment vertical="top" wrapText="1"/>
    </x:xf>
    <x:xf numFmtId="44" fontId="0" fillId="8" borderId="1" xfId="0" applyNumberFormat="1" applyFont="1" applyFill="1" applyBorder="1" applyAlignment="1">
      <x:alignment vertical="top" wrapText="1"/>
    </x:xf>
    <x:xf numFmtId="44" fontId="0" fillId="8" borderId="0" xfId="0" applyNumberFormat="1" applyFont="1" applyFill="1" applyBorder="1" applyAlignment="1">
      <x:alignment vertical="top" wrapText="1"/>
    </x:xf>
    <x:xf numFmtId="44" fontId="4" fillId="2" borderId="0" xfId="0" applyNumberFormat="1" applyFont="1" applyFill="1" applyBorder="1" applyAlignment="1">
      <x:alignment vertical="top" wrapText="1"/>
    </x:xf>
    <x:xf numFmtId="44" fontId="0" fillId="0" borderId="0" xfId="0" applyNumberFormat="1" applyFont="1" applyFill="1" applyBorder="1" applyAlignment="1">
      <x:alignment wrapText="1"/>
    </x:xf>
    <x:xf numFmtId="167" fontId="0" fillId="0" borderId="0" xfId="0" applyNumberFormat="1" applyFont="1" applyFill="1" applyBorder="1" applyAlignment="1">
      <x:alignment wrapText="1"/>
    </x:xf>
    <x:xf numFmtId="164" fontId="0" fillId="0" borderId="0" xfId="0" applyNumberFormat="1" applyFont="1" applyFill="1" applyBorder="1" applyAlignment="1">
      <x:alignment vertical="top" wrapText="1"/>
    </x:xf>
    <x:xf numFmtId="0" fontId="0" fillId="16" borderId="7" xfId="0" applyNumberFormat="1" applyFont="1" applyFill="1" applyBorder="1" applyAlignment="1">
      <x:alignment wrapText="1"/>
    </x:xf>
    <x:xf numFmtId="0" fontId="0" fillId="16" borderId="8" xfId="0" applyNumberFormat="1" applyFont="1" applyFill="1" applyBorder="1" applyAlignment="1">
      <x:alignment wrapText="1"/>
    </x:xf>
    <x:xf numFmtId="0" fontId="0" fillId="16" borderId="2" xfId="0" applyNumberFormat="1" applyFont="1" applyFill="1" applyBorder="1" applyAlignment="1">
      <x:alignment wrapText="1"/>
    </x:xf>
    <x:xf numFmtId="0" fontId="0" fillId="16" borderId="0" xfId="0" applyNumberFormat="1" applyFont="1" applyFill="1" applyBorder="1" applyAlignment="1">
      <x:alignment wrapText="1"/>
    </x:xf>
    <x:xf numFmtId="164" fontId="0" fillId="7" borderId="8" xfId="0" applyNumberFormat="1" applyFont="1" applyFill="1" applyBorder="1" applyAlignment="1">
      <x:alignment wrapText="1"/>
    </x:xf>
    <x:xf numFmtId="0" fontId="0" fillId="7" borderId="8" xfId="0" applyNumberFormat="1" applyFont="1" applyFill="1" applyBorder="1" applyAlignment="1">
      <x:alignment wrapText="1"/>
    </x:xf>
    <x:xf numFmtId="0" fontId="0" fillId="7" borderId="9" xfId="0" applyNumberFormat="1" applyFont="1" applyFill="1" applyBorder="1" applyAlignment="1">
      <x:alignment wrapText="1"/>
    </x:xf>
    <x:xf numFmtId="164" fontId="0" fillId="7"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10" xfId="0" applyNumberFormat="1" applyFont="1" applyFill="1" applyBorder="1" applyAlignment="1">
      <x:alignment wrapText="1"/>
    </x:xf>
    <x:xf numFmtId="164" fontId="0" fillId="7" borderId="6" xfId="0" applyNumberFormat="1" applyFont="1" applyFill="1" applyBorder="1" applyAlignment="1">
      <x:alignment wrapText="1"/>
    </x:xf>
    <x:xf numFmtId="0" fontId="0" fillId="7" borderId="6" xfId="0" applyNumberFormat="1" applyFont="1" applyFill="1" applyBorder="1" applyAlignment="1">
      <x:alignment wrapText="1"/>
    </x:xf>
    <x:xf numFmtId="0" fontId="0" fillId="7" borderId="11" xfId="0" applyNumberFormat="1" applyFont="1" applyFill="1" applyBorder="1" applyAlignment="1">
      <x:alignment wrapText="1"/>
    </x:xf>
    <x:xf numFmtId="49" fontId="0" fillId="7" borderId="8" xfId="0" applyNumberFormat="1" applyFont="1" applyFill="1" applyBorder="1" applyAlignment="1">
      <x:alignment wrapText="1"/>
    </x:xf>
    <x:xf numFmtId="49" fontId="0" fillId="7" borderId="0" xfId="0" applyNumberFormat="1" applyFont="1" applyFill="1" applyBorder="1" applyAlignment="1">
      <x:alignment wrapText="1"/>
    </x:xf>
    <x:xf numFmtId="2" fontId="0" fillId="7" borderId="0" xfId="0" applyNumberFormat="1" applyFont="1" applyFill="1" applyBorder="1" applyAlignment="1">
      <x:alignment wrapText="1"/>
    </x:xf>
    <x:xf numFmtId="2" fontId="0" fillId="7" borderId="6" xfId="0" applyNumberFormat="1" applyFont="1" applyFill="1" applyBorder="1" applyAlignment="1">
      <x:alignment wrapText="1"/>
    </x:xf>
    <x:xf numFmtId="167" fontId="0" fillId="7" borderId="0" xfId="0" applyNumberFormat="1" applyFont="1" applyFill="1" applyBorder="1" applyAlignment="1">
      <x:alignment wrapText="1"/>
    </x:xf>
    <x:xf numFmtId="167" fontId="0" fillId="7" borderId="6" xfId="0" applyNumberFormat="1" applyFont="1" applyFill="1" applyBorder="1" applyAlignment="1">
      <x:alignment wrapText="1"/>
    </x:xf>
    <x:xf numFmtId="49" fontId="0" fillId="7" borderId="6" xfId="0" applyNumberFormat="1" applyFont="1" applyFill="1" applyBorder="1" applyAlignment="1">
      <x:alignment wrapText="1"/>
    </x:xf>
    <x:xf numFmtId="0" fontId="10" fillId="16" borderId="2" xfId="0" applyNumberFormat="1" applyFont="1" applyFill="1" applyBorder="1" applyAlignment="1">
      <x:alignment wrapText="1"/>
    </x:xf>
    <x:xf numFmtId="0" fontId="10" fillId="16" borderId="0" xfId="0" applyNumberFormat="1" applyFont="1" applyFill="1" applyBorder="1" applyAlignment="1">
      <x:alignment wrapText="1"/>
    </x:xf>
    <x:xf numFmtId="0" fontId="10" fillId="16" borderId="5" xfId="0" applyNumberFormat="1" applyFont="1" applyFill="1" applyBorder="1" applyAlignment="1">
      <x:alignment wrapText="1"/>
    </x:xf>
    <x:xf numFmtId="0" fontId="10" fillId="16" borderId="6" xfId="0" applyNumberFormat="1" applyFont="1" applyFill="1" applyBorder="1" applyAlignment="1">
      <x:alignment wrapText="1"/>
    </x:xf>
    <x:xf numFmtId="4" fontId="2" fillId="6" borderId="0" xfId="0" applyNumberFormat="1" applyFont="1" applyFill="1" applyBorder="1" applyAlignment="1">
      <x:alignment vertical="center" wrapText="1"/>
    </x:xf>
    <x:xf numFmtId="0" fontId="2" fillId="6" borderId="1" xfId="0" applyNumberFormat="1" applyFont="1" applyFill="1" applyBorder="1" applyAlignment="1">
      <x:alignment vertical="center" wrapText="1"/>
    </x:xf>
    <x:xf numFmtId="0" fontId="2" fillId="6" borderId="0" xfId="0" applyNumberFormat="1" applyFont="1" applyFill="1" applyBorder="1" applyAlignment="1">
      <x:alignment vertical="center" wrapText="1"/>
    </x:xf>
    <x:xf numFmtId="164" fontId="10" fillId="7" borderId="0" xfId="0" applyNumberFormat="1" applyFont="1" applyFill="1" applyBorder="1" applyAlignment="1">
      <x:alignment wrapText="1"/>
    </x:xf>
    <x:xf numFmtId="0" fontId="10" fillId="7" borderId="0" xfId="0" applyNumberFormat="1" applyFont="1" applyFill="1" applyBorder="1" applyAlignment="1">
      <x:alignment wrapText="1"/>
    </x:xf>
    <x:xf numFmtId="49" fontId="10" fillId="7" borderId="0" xfId="0" applyNumberFormat="1" applyFont="1" applyFill="1" applyBorder="1" applyAlignment="1">
      <x:alignment wrapText="1"/>
    </x:xf>
    <x:xf numFmtId="0" fontId="10" fillId="7" borderId="10" xfId="0" applyNumberFormat="1" applyFont="1" applyFill="1" applyBorder="1" applyAlignment="1">
      <x:alignment wrapText="1"/>
    </x:xf>
    <x:xf numFmtId="164" fontId="10" fillId="7" borderId="6" xfId="0" applyNumberFormat="1" applyFont="1" applyFill="1" applyBorder="1" applyAlignment="1">
      <x:alignment wrapText="1"/>
    </x:xf>
    <x:xf numFmtId="0" fontId="10" fillId="7" borderId="6" xfId="0" applyNumberFormat="1" applyFont="1" applyFill="1" applyBorder="1" applyAlignment="1">
      <x:alignment wrapText="1"/>
    </x:xf>
    <x:xf numFmtId="49" fontId="10" fillId="7" borderId="6" xfId="0" applyNumberFormat="1" applyFont="1" applyFill="1" applyBorder="1" applyAlignment="1">
      <x:alignment wrapText="1"/>
    </x:xf>
    <x:xf numFmtId="0" fontId="10" fillId="7" borderId="11" xfId="0" applyNumberFormat="1" applyFont="1" applyFill="1" applyBorder="1" applyAlignment="1">
      <x:alignment wrapText="1"/>
    </x:xf>
    <x:xf numFmtId="0" fontId="0" fillId="6" borderId="2" xfId="0" applyNumberFormat="1" applyFont="1" applyFill="1" applyBorder="1" applyAlignment="1">
      <x:alignment wrapText="1"/>
    </x:xf>
    <x:xf numFmtId="0" fontId="0" fillId="6" borderId="0" xfId="0" applyNumberFormat="1" applyFont="1" applyFill="1" applyBorder="1" applyAlignment="1">
      <x:alignment wrapText="1"/>
    </x:xf>
    <x:xf numFmtId="2" fontId="0" fillId="6" borderId="0" xfId="0" applyNumberFormat="1" applyFont="1" applyFill="1" applyBorder="1" applyAlignment="1">
      <x:alignment wrapText="1"/>
    </x:xf>
    <x:xf numFmtId="164" fontId="0" fillId="6" borderId="0" xfId="0" applyNumberFormat="1" applyFont="1" applyFill="1" applyBorder="1" applyAlignment="1">
      <x:alignment wrapText="1"/>
    </x:xf>
    <x:xf numFmtId="0" fontId="0" fillId="6" borderId="5" xfId="0" applyNumberFormat="1" applyFont="1" applyFill="1" applyBorder="1" applyAlignment="1">
      <x:alignment wrapText="1"/>
    </x:xf>
    <x:xf numFmtId="0" fontId="0" fillId="6" borderId="6" xfId="0" applyNumberFormat="1" applyFont="1" applyFill="1" applyBorder="1" applyAlignment="1">
      <x:alignment wrapText="1"/>
    </x:xf>
    <x:xf numFmtId="2" fontId="0" fillId="6" borderId="6" xfId="0" applyNumberFormat="1" applyFont="1" applyFill="1" applyBorder="1" applyAlignment="1">
      <x:alignment wrapText="1"/>
    </x:xf>
    <x:xf numFmtId="164" fontId="0" fillId="6" borderId="6" xfId="0" applyNumberFormat="1" applyFont="1" applyFill="1" applyBorder="1" applyAlignment="1">
      <x:alignment wrapText="1"/>
    </x:xf>
    <x:xf numFmtId="164" fontId="11" fillId="17" borderId="0" xfId="0" applyNumberFormat="1" applyFont="1" applyFill="1" applyBorder="1" applyAlignment="1">
      <x:alignment wrapText="1"/>
    </x:xf>
    <x:xf numFmtId="164" fontId="0" fillId="18" borderId="0" xfId="0" applyNumberFormat="1" applyFont="1" applyFill="1" applyBorder="1" applyAlignment="1">
      <x:alignment wrapText="1"/>
    </x:xf>
    <x:xf numFmtId="0" fontId="2" fillId="21" borderId="0" xfId="0" applyNumberFormat="1" applyFont="1" applyFill="1" applyBorder="1"/>
    <x:xf numFmtId="0" fontId="0" fillId="22" borderId="0" xfId="0" applyNumberFormat="1" applyFont="1" applyFill="1" applyBorder="1"/>
    <x:xf numFmtId="0" fontId="0" fillId="23" borderId="0" xfId="0" applyNumberFormat="1" applyFont="1" applyFill="1" applyBorder="1"/>
    <x:xf numFmtId="0" fontId="0" fillId="24" borderId="0" xfId="0" applyNumberFormat="1" applyFont="1" applyFill="1" applyBorder="1"/>
    <x:xf numFmtId="0" fontId="2" fillId="25" borderId="0" xfId="0" applyNumberFormat="1" applyFont="1" applyFill="1" applyBorder="1"/>
    <x:xf numFmtId="0" fontId="4" fillId="26" borderId="12" xfId="0" applyNumberFormat="1" applyFont="1" applyFill="1" applyBorder="1" applyAlignment="1">
      <x:alignment vertical="top" wrapText="1"/>
    </x:xf>
    <x:xf numFmtId="0" fontId="4" fillId="26" borderId="13" xfId="0" applyNumberFormat="1" applyFont="1" applyFill="1" applyBorder="1" applyAlignment="1">
      <x:alignment vertical="top" wrapText="1"/>
    </x:xf>
    <x:xf numFmtId="0" fontId="4" fillId="26" borderId="14" xfId="0" applyNumberFormat="1" applyFont="1" applyFill="1" applyBorder="1" applyAlignment="1">
      <x:alignment vertical="top" wrapText="1"/>
    </x:xf>
    <x:xf numFmtId="0" fontId="0" fillId="0" borderId="0" xfId="0" applyNumberFormat="1" applyFont="1" applyFill="1" applyBorder="1" applyAlignment="1">
      <x:alignment vertical="top"/>
    </x:xf>
    <x:xf numFmtId="0" fontId="2" fillId="23" borderId="0" xfId="0" applyNumberFormat="1" applyFont="1" applyFill="1" applyBorder="1" applyAlignment="1">
      <x:alignment vertical="top" wrapText="1"/>
    </x:xf>
    <x:xf numFmtId="0" fontId="2" fillId="24" borderId="0" xfId="0" applyNumberFormat="1" applyFont="1" applyFill="1" applyBorder="1" applyAlignment="1">
      <x:alignment vertical="top" wrapText="1"/>
    </x:xf>
    <x:xf numFmtId="0" fontId="2" fillId="22" borderId="0" xfId="0" applyNumberFormat="1" applyFont="1" applyFill="1" applyBorder="1" applyAlignment="1">
      <x:alignment vertical="top" wrapText="1"/>
    </x:xf>
    <x:xf numFmtId="0" fontId="2" fillId="0" borderId="0" xfId="0" applyFont="1" applyBorder="1"/>
    <x:xf numFmtId="0" fontId="2" fillId="0" borderId="0" xfId="0" applyFont="1" applyBorder="1" applyAlignment="1">
      <x:alignment vertical="center"/>
    </x:xf>
    <x:xf numFmtId="0" fontId="2" fillId="5" borderId="1" xfId="0" applyNumberFormat="1" applyFont="1" applyFill="1" applyBorder="1" applyAlignment="1">
      <x:alignment vertical="center" wrapText="1"/>
    </x:xf>
    <x:xf numFmtId="0" fontId="2" fillId="5"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2" fillId="4" borderId="1" xfId="0" applyNumberFormat="1" applyFont="1" applyFill="1" applyBorder="1" applyAlignment="1">
      <x:alignment vertical="center" wrapText="1"/>
    </x:xf>
    <x:xf numFmtId="0" fontId="2" fillId="4" borderId="0" xfId="0" applyNumberFormat="1" applyFont="1" applyFill="1" applyBorder="1" applyAlignment="1">
      <x:alignment vertical="center" wrapText="1"/>
    </x:xf>
    <x:xf numFmtId="0" fontId="0" fillId="7" borderId="1"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2" fillId="21" borderId="0" xfId="0" applyNumberFormat="1" applyFont="1" applyFill="1" applyBorder="1" applyAlignment="1">
      <x:alignment horizontal="center" vertical="center"/>
    </x:xf>
    <x:xf numFmtId="0" fontId="0" fillId="23" borderId="0" xfId="0" applyNumberFormat="1" applyFont="1" applyFill="1" applyBorder="1" applyAlignment="1">
      <x:alignment vertical="center" wrapText="1"/>
    </x:xf>
    <x:xf numFmtId="0" fontId="0" fillId="0" borderId="1" xfId="0" applyNumberFormat="1" applyFont="1" applyFill="1" applyBorder="1" applyAlignment="1">
      <x:alignment vertical="center"/>
    </x:xf>
    <x:xf numFmtId="4" fontId="0" fillId="0" borderId="1" xfId="0" applyNumberFormat="1" applyFont="1" applyFill="1" applyBorder="1" applyAlignment="1">
      <x:alignment vertical="center" wrapText="1"/>
    </x:xf>
    <x:xf numFmtId="44" fontId="0" fillId="0" borderId="1" xfId="0" applyNumberFormat="1" applyFont="1" applyFill="1" applyBorder="1" applyAlignment="1">
      <x:alignment vertical="center" wrapText="1"/>
    </x:xf>
    <x:xf numFmtId="44" fontId="0" fillId="0" borderId="0" xfId="0" applyNumberFormat="1" applyFont="1" applyFill="1" applyBorder="1" applyAlignment="1">
      <x:alignment vertical="center" wrapText="1"/>
    </x:xf>
    <x:xf numFmtId="44" fontId="2" fillId="3" borderId="1"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44" fontId="0" fillId="8" borderId="1" xfId="0" applyNumberFormat="1" applyFont="1" applyFill="1" applyBorder="1" applyAlignment="1">
      <x:alignment vertical="center" wrapText="1"/>
    </x:xf>
    <x:xf numFmtId="164" fontId="0" fillId="8" borderId="1" xfId="0" applyNumberFormat="1" applyFont="1" applyFill="1" applyBorder="1" applyAlignment="1">
      <x:alignment vertical="center"/>
    </x:xf>
    <x:xf numFmtId="164" fontId="2" fillId="4" borderId="1" xfId="0" applyNumberFormat="1" applyFont="1" applyFill="1" applyBorder="1" applyAlignment="1">
      <x:alignment vertical="center"/>
    </x:xf>
    <x:xf numFmtId="44" fontId="0" fillId="0" borderId="2" xfId="0" applyNumberFormat="1" applyFont="1" applyFill="1" applyBorder="1" applyAlignment="1">
      <x:alignment vertical="center" wrapText="1"/>
    </x:xf>
    <x:xf numFmtId="164" fontId="2" fillId="4" borderId="1" xfId="0" applyNumberFormat="1" applyFont="1" applyFill="1" applyBorder="1" applyAlignment="1">
      <x:alignment vertical="center" wrapText="1"/>
    </x:xf>
    <x:xf numFmtId="164" fontId="0" fillId="8" borderId="1" xfId="0" applyNumberFormat="1" applyFont="1" applyFill="1" applyBorder="1" applyAlignment="1">
      <x:alignment vertical="center" wrapText="1"/>
    </x:xf>
    <x:xf numFmtId="164" fontId="0" fillId="0" borderId="0" xfId="0" applyNumberFormat="1" applyFont="1" applyFill="1" applyBorder="1" applyAlignment="1">
      <x:alignment vertical="center" wrapText="1"/>
    </x:xf>
    <x:xf numFmtId="44" fontId="2" fillId="8" borderId="1" xfId="0" applyNumberFormat="1" applyFont="1" applyFill="1" applyBorder="1" applyAlignment="1">
      <x:alignment vertical="center" wrapText="1"/>
    </x:xf>
    <x:xf numFmtId="44" fontId="2" fillId="4" borderId="1" xfId="0" applyNumberFormat="1" applyFont="1" applyFill="1" applyBorder="1" applyAlignment="1">
      <x:alignment vertical="center" wrapText="1"/>
    </x:xf>
    <x:xf numFmtId="44" fontId="0" fillId="8" borderId="0" xfId="0" applyNumberFormat="1" applyFont="1" applyFill="1" applyBorder="1" applyAlignment="1">
      <x:alignment vertical="center" wrapText="1"/>
    </x:xf>
    <x:xf numFmtId="44" fontId="2" fillId="8"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10" fontId="0" fillId="7" borderId="0" xfId="0" applyNumberFormat="1" applyFont="1" applyFill="1" applyBorder="1" applyAlignment="1">
      <x:alignment vertical="center" wrapText="1"/>
    </x:xf>
    <x:xf numFmtId="164" fontId="0" fillId="7" borderId="0" xfId="0" applyNumberFormat="1" applyFont="1" applyFill="1" applyBorder="1" applyAlignment="1">
      <x:alignment vertical="center" wrapText="1"/>
    </x:xf>
    <x:xf numFmtId="0" fontId="0" fillId="10" borderId="1" xfId="0" applyNumberFormat="1" applyFont="1" applyFill="1" applyBorder="1" applyAlignment="1">
      <x:alignment vertical="center" wrapText="1"/>
    </x:xf>
    <x:xf numFmtId="0" fontId="0" fillId="11" borderId="1"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167" fontId="0" fillId="7" borderId="0" xfId="0" applyNumberFormat="1" applyFont="1" applyFill="1" applyBorder="1" applyAlignment="1">
      <x:alignment vertical="center" wrapText="1"/>
    </x:xf>
    <x:xf numFmtId="0" fontId="5" fillId="12" borderId="0" xfId="0" applyNumberFormat="1" applyFont="1" applyFill="1" applyBorder="1" applyAlignment="1">
      <x:alignment vertical="center" wrapText="1"/>
    </x:xf>
    <x:xf numFmtId="4" fontId="5" fillId="12" borderId="0" xfId="0" applyNumberFormat="1" applyFont="1" applyFill="1" applyBorder="1" applyAlignment="1">
      <x:alignment vertical="center" wrapText="1"/>
    </x:xf>
    <x:xf numFmtId="164" fontId="5" fillId="12" borderId="0" xfId="0" applyNumberFormat="1" applyFont="1" applyFill="1" applyBorder="1" applyAlignment="1">
      <x:alignment vertical="center" wrapText="1"/>
    </x:xf>
    <x:xf numFmtId="0" fontId="5" fillId="12" borderId="1"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14" borderId="1" xfId="0" applyNumberFormat="1" applyFont="1" applyFill="1" applyBorder="1" applyAlignment="1">
      <x:alignment vertical="center" wrapText="1"/>
    </x:xf>
    <x:xf numFmtId="4" fontId="0" fillId="7" borderId="1" xfId="0" applyNumberFormat="1" applyFont="1" applyFill="1" applyBorder="1" applyAlignment="1">
      <x:alignment vertical="center" wrapText="1"/>
    </x:xf>
    <x:xf numFmtId="4" fontId="0" fillId="6" borderId="1" xfId="0" applyNumberFormat="1" applyFont="1" applyFill="1" applyBorder="1" applyAlignment="1">
      <x:alignment vertical="center" wrapText="1"/>
    </x:xf>
    <x:xf numFmtId="0" fontId="0" fillId="6" borderId="1" xfId="0" applyNumberFormat="1" applyFont="1" applyFill="1" applyBorder="1" applyAlignment="1">
      <x:alignment vertical="center" wrapText="1"/>
    </x:xf>
    <x:xf numFmtId="0" fontId="0" fillId="13" borderId="1" xfId="0" applyNumberFormat="1" applyFont="1" applyFill="1" applyBorder="1" applyAlignment="1">
      <x:alignment vertical="center" wrapText="1"/>
    </x:xf>
    <x:xf numFmtId="4" fontId="2" fillId="7" borderId="1" xfId="0" applyNumberFormat="1" applyFont="1" applyFill="1" applyBorder="1" applyAlignment="1">
      <x:alignment vertical="center" wrapText="1"/>
    </x:xf>
    <x:xf numFmtId="0" fontId="0" fillId="14" borderId="0" xfId="0" applyNumberFormat="1" applyFont="1" applyFill="1" applyBorder="1" applyAlignment="1">
      <x:alignment vertical="center" wrapText="1"/>
    </x:xf>
    <x:xf numFmtId="4" fontId="0" fillId="7" borderId="0" xfId="0" applyNumberFormat="1" applyFont="1" applyFill="1" applyBorder="1" applyAlignment="1">
      <x:alignment vertical="center" wrapText="1"/>
    </x:xf>
    <x:xf numFmtId="4" fontId="0" fillId="6" borderId="0" xfId="0" applyNumberFormat="1" applyFont="1" applyFill="1" applyBorder="1" applyAlignment="1">
      <x:alignment vertical="center" wrapText="1"/>
    </x:xf>
    <x:xf numFmtId="0" fontId="0" fillId="13" borderId="0" xfId="0" applyNumberFormat="1" applyFont="1" applyFill="1" applyBorder="1" applyAlignment="1">
      <x:alignment vertical="center" wrapText="1"/>
    </x:xf>
    <x:xf numFmtId="0" fontId="2" fillId="4" borderId="3" xfId="0" applyNumberFormat="1" applyFont="1" applyFill="1" applyBorder="1" applyAlignment="1">
      <x:alignment vertical="center" wrapText="1"/>
    </x:xf>
    <x:xf numFmtId="4" fontId="2" fillId="4" borderId="3" xfId="0" applyNumberFormat="1" applyFont="1" applyFill="1" applyBorder="1" applyAlignment="1">
      <x:alignment vertical="center" wrapText="1"/>
    </x:xf>
    <x:xf numFmtId="164" fontId="2" fillId="4" borderId="3" xfId="0" applyNumberFormat="1" applyFont="1" applyFill="1" applyBorder="1" applyAlignment="1">
      <x:alignment vertical="center" wrapText="1"/>
    </x:xf>
    <x:xf numFmtId="164" fontId="0" fillId="0" borderId="1" xfId="0" applyNumberFormat="1" applyFont="1" applyFill="1" applyBorder="1" applyAlignment="1">
      <x:alignment vertical="center" wrapText="1"/>
    </x:xf>
    <x:xf numFmtId="165" fontId="0" fillId="0" borderId="1" xfId="0" applyNumberFormat="1" applyFont="1" applyFill="1" applyBorder="1" applyAlignment="1">
      <x:alignment vertical="center" wrapText="1"/>
    </x:xf>
    <x:xf numFmtId="4" fontId="2" fillId="0" borderId="1" xfId="0" applyNumberFormat="1" applyFont="1" applyFill="1" applyBorder="1" applyAlignment="1">
      <x:alignment vertical="center" wrapText="1"/>
    </x:xf>
    <x:xf numFmtId="164" fontId="2" fillId="0" borderId="1" xfId="0" applyNumberFormat="1" applyFont="1" applyFill="1" applyBorder="1" applyAlignment="1">
      <x:alignment vertical="center" wrapText="1"/>
    </x:xf>
    <x:xf numFmtId="4" fontId="0" fillId="0" borderId="0" xfId="0" applyNumberFormat="1" applyFont="1" applyFill="1" applyBorder="1" applyAlignment="1">
      <x:alignment vertical="center" wrapText="1"/>
    </x:xf>
    <x:xf numFmtId="10" fontId="0" fillId="0" borderId="1" xfId="0" applyNumberFormat="1" applyFont="1" applyFill="1" applyBorder="1" applyAlignment="1">
      <x:alignment vertical="center" wrapText="1"/>
    </x:xf>
    <x:xf numFmtId="165" fontId="0" fillId="0" borderId="0" xfId="0" applyNumberFormat="1" applyFont="1" applyFill="1" applyBorder="1" applyAlignment="1">
      <x:alignment vertical="center" wrapText="1"/>
    </x:xf>
    <x:xf numFmtId="0" fontId="4" fillId="9" borderId="0" xfId="0" applyNumberFormat="1" applyFont="1" applyFill="1" applyBorder="1" applyAlignment="1">
      <x:alignment vertical="center" wrapText="1"/>
    </x:xf>
    <x:xf numFmtId="44" fontId="0" fillId="6" borderId="0" xfId="0" applyNumberFormat="1" applyFont="1" applyFill="1" applyBorder="1" applyAlignment="1">
      <x:alignment vertical="center" wrapText="1"/>
    </x:xf>
    <x:xf numFmtId="167" fontId="0" fillId="0" borderId="0" xfId="0" applyNumberFormat="1" applyFont="1" applyFill="1" applyBorder="1" applyAlignment="1">
      <x:alignment vertical="center" wrapText="1"/>
    </x:xf>
    <x:xf numFmtId="167" fontId="0" fillId="6" borderId="0" xfId="0" applyNumberFormat="1" applyFont="1" applyFill="1" applyBorder="1" applyAlignment="1">
      <x:alignment vertical="center" wrapText="1"/>
    </x:xf>
    <x:xf numFmtId="167" fontId="4" fillId="2" borderId="0" xfId="0" applyNumberFormat="1" applyFont="1" applyFill="1" applyBorder="1" applyAlignment="1">
      <x:alignment vertical="center" wrapText="1"/>
    </x:xf>
    <x:xf numFmtId="44" fontId="4" fillId="2" borderId="0" xfId="0" applyNumberFormat="1" applyFont="1" applyFill="1" applyBorder="1" applyAlignment="1">
      <x:alignment vertic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2" fillId="21" borderId="0" xfId="0" applyNumberFormat="1" applyFont="1" applyFill="1" applyBorder="1" applyAlignment="1">
      <x:alignment vertical="center"/>
    </x:xf>
    <x:xf numFmtId="0" fontId="0" fillId="22" borderId="0" xfId="0" applyNumberFormat="1" applyFont="1" applyFill="1" applyBorder="1" applyAlignment="1">
      <x:alignment vertical="center"/>
    </x:xf>
    <x:xf numFmtId="164" fontId="0" fillId="22" borderId="0" xfId="0" applyNumberFormat="1" applyFont="1" applyFill="1" applyBorder="1" applyAlignment="1">
      <x:alignment vertical="center"/>
    </x:xf>
    <x:xf numFmtId="0" fontId="0" fillId="24" borderId="0" xfId="0" applyNumberFormat="1" applyFont="1" applyFill="1" applyBorder="1" applyAlignment="1">
      <x:alignment vertical="center"/>
    </x:xf>
    <x:xf numFmtId="164" fontId="0" fillId="24" borderId="0" xfId="0" applyNumberFormat="1" applyFont="1" applyFill="1" applyBorder="1" applyAlignment="1">
      <x:alignment vertical="center"/>
    </x:xf>
    <x:xf numFmtId="0" fontId="0" fillId="23" borderId="0" xfId="0" applyNumberFormat="1" applyFont="1" applyFill="1" applyBorder="1" applyAlignment="1">
      <x:alignment vertical="center"/>
    </x:xf>
    <x:xf numFmtId="164" fontId="0" fillId="23" borderId="0" xfId="0" applyNumberFormat="1" applyFont="1" applyFill="1" applyBorder="1" applyAlignment="1">
      <x:alignment vertical="center"/>
    </x:xf>
    <x:xf numFmtId="0" fontId="2" fillId="25" borderId="0" xfId="0" applyNumberFormat="1" applyFont="1" applyFill="1" applyBorder="1" applyAlignment="1">
      <x:alignment vertical="center"/>
    </x:xf>
    <x:xf numFmtId="0" fontId="4" fillId="26" borderId="0" xfId="0" applyNumberFormat="1" applyFont="1" applyFill="1" applyBorder="1" applyAlignment="1">
      <x:alignment vertical="center" wrapText="1"/>
    </x:xf>
    <x:xf numFmtId="164" fontId="0" fillId="22" borderId="0" xfId="0" applyNumberFormat="1" applyFont="1" applyFill="1" applyBorder="1" applyAlignment="1">
      <x:alignment vertical="center" wrapText="1"/>
    </x:xf>
    <x:xf numFmtId="168" fontId="0" fillId="22" borderId="0" xfId="0" applyNumberFormat="1" applyFont="1" applyFill="1" applyBorder="1" applyAlignment="1">
      <x:alignment vertical="center" wrapText="1"/>
    </x:xf>
    <x:xf numFmtId="168" fontId="11" fillId="23" borderId="0" xfId="0" applyNumberFormat="1" applyFont="1" applyFill="1" applyBorder="1" applyAlignment="1">
      <x:alignment vertical="center" wrapText="1"/>
    </x:xf>
    <x:xf numFmtId="0" fontId="0" fillId="22" borderId="0" xfId="0" applyNumberFormat="1" applyFont="1" applyFill="1" applyBorder="1" applyAlignment="1">
      <x:alignment vertical="center" wrapText="1"/>
    </x:xf>
    <x:xf numFmtId="0" fontId="2" fillId="23" borderId="0" xfId="0" applyNumberFormat="1" applyFont="1" applyFill="1" applyBorder="1" applyAlignment="1">
      <x:alignment vertical="center" wrapText="1"/>
    </x:xf>
    <x:xf numFmtId="0" fontId="2" fillId="24" borderId="0" xfId="0" applyNumberFormat="1" applyFont="1" applyFill="1" applyBorder="1" applyAlignment="1">
      <x:alignment vertical="center" wrapText="1"/>
    </x:xf>
    <x:xf numFmtId="168" fontId="14" fillId="23" borderId="0" xfId="0" applyNumberFormat="1" applyFont="1" applyFill="1" applyBorder="1" applyAlignment="1">
      <x:alignment vertical="center" wrapText="1"/>
    </x:xf>
    <x:xf numFmtId="0" fontId="2" fillId="22" borderId="0" xfId="0" applyNumberFormat="1" applyFont="1" applyFill="1" applyBorder="1" applyAlignment="1">
      <x:alignment vertical="center" wrapText="1"/>
    </x:xf>
    <x:xf numFmtId="164" fontId="2" fillId="6" borderId="1" xfId="0" applyNumberFormat="1" applyFont="1" applyFill="1" applyBorder="1" applyAlignment="1">
      <x:alignment horizontal="center" vertical="center" wrapText="1"/>
    </x:xf>
    <x:xf numFmtId="10" fontId="0" fillId="7" borderId="0" xfId="0" applyNumberFormat="1" applyFont="1" applyFill="1" applyBorder="1" applyAlignment="1">
      <x:alignment vertical="center" wrapText="1"/>
    </x:xf>
    <x:xf numFmtId="10" fontId="0" fillId="7" borderId="1" xfId="0" applyNumberFormat="1" applyFont="1" applyFill="1" applyBorder="1" applyAlignment="1">
      <x:alignment vertical="center" wrapText="1"/>
    </x:xf>
    <x:xf numFmtId="1" fontId="0" fillId="7" borderId="0" xfId="0" applyNumberFormat="1" applyFont="1" applyFill="1" applyBorder="1" applyAlignment="1">
      <x:alignment vertical="center" wrapText="1"/>
    </x:xf>
    <x:xf numFmtId="0" fontId="4" fillId="19"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5" fillId="2"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1"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2" fillId="3" borderId="7" xfId="0" applyNumberFormat="1" applyFont="1" applyFill="1" applyBorder="1" applyAlignment="1">
      <x:alignment vertical="center" wrapText="1"/>
    </x:xf>
    <x:xf numFmtId="0" fontId="2" fillId="3" borderId="8" xfId="0" applyNumberFormat="1" applyFont="1" applyFill="1" applyBorder="1" applyAlignment="1">
      <x:alignment vertical="center" wrapText="1"/>
    </x:xf>
    <x:xf numFmtId="0" fontId="2" fillId="3" borderId="9"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164" fontId="0" fillId="0" borderId="2"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4" fillId="19" borderId="0" xfId="0" applyNumberFormat="1" applyFont="1" applyFill="1" applyBorder="1"/>
    <x:xf numFmtId="0" fontId="7" fillId="2" borderId="2"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11" borderId="2" xfId="0" applyNumberFormat="1" applyFont="1" applyFill="1" applyBorder="1" applyAlignment="1">
      <x:alignment vertical="center" wrapText="1"/>
    </x:xf>
    <x:xf numFmtId="44" fontId="0" fillId="0" borderId="2" xfId="0" applyNumberFormat="1" applyFont="1" applyFill="1" applyBorder="1" applyAlignment="1">
      <x:alignment vertical="top" wrapText="1"/>
    </x:xf>
    <x:xf numFmtId="44" fontId="0" fillId="0" borderId="2" xfId="0" applyNumberFormat="1" applyFont="1" applyFill="1" applyBorder="1" applyAlignment="1">
      <x:alignment vertical="top"/>
    </x:xf>
    <x:xf numFmtId="0" fontId="0" fillId="0" borderId="0" xfId="0" applyNumberFormat="1" applyFont="1" applyFill="1" applyBorder="1" applyAlignment="1"/>
    <x:xf numFmtId="44" fontId="0" fillId="0" borderId="2" xfId="0" applyNumberFormat="1" applyFont="1" applyFill="1" applyBorder="1" applyAlignment="1">
      <x:alignment vertical="center"/>
    </x:xf>
    <x:xf numFmtId="0" fontId="0" fillId="0" borderId="0" xfId="0" applyNumberFormat="1" applyFont="1" applyFill="1" applyBorder="1" applyAlignment="1">
      <x:alignment vertical="center"/>
    </x:xf>
    <x:xf numFmtId="44" fontId="2" fillId="3" borderId="2" xfId="0" applyNumberFormat="1" applyFont="1" applyFill="1" applyBorder="1" applyAlignment="1">
      <x:alignment vertical="top" wrapText="1"/>
    </x:xf>
    <x:xf numFmtId="0" fontId="4" fillId="2" borderId="2"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10" fontId="0" fillId="7" borderId="0"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2" fillId="7" borderId="5" xfId="0" applyNumberFormat="1" applyFont="1" applyFill="1" applyBorder="1" applyAlignment="1">
      <x:alignment vertical="center" wrapText="1"/>
    </x:xf>
    <x:xf numFmtId="0" fontId="2" fillId="7" borderId="6" xfId="0" applyNumberFormat="1" applyFont="1" applyFill="1" applyBorder="1" applyAlignment="1">
      <x:alignment vertical="center" wrapText="1"/>
    </x:xf>
    <x:xf numFmtId="0" fontId="5" fillId="12"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5" fillId="12" borderId="4" xfId="0" applyNumberFormat="1" applyFont="1" applyFill="1" applyBorder="1" applyAlignment="1">
      <x:alignment vertical="center" wrapText="1"/>
    </x:xf>
    <x:xf numFmtId="0" fontId="0" fillId="3" borderId="0" xfId="0" applyNumberFormat="1" applyFont="1" applyFill="1" applyBorder="1" applyAlignment="1">
      <x:alignment wrapText="1"/>
    </x:xf>
    <x:xf numFmtId="0" fontId="9" fillId="3"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44" fontId="4" fillId="2" borderId="0" xfId="0" applyNumberFormat="1" applyFont="1" applyFill="1" applyBorder="1" applyAlignment="1">
      <x:alignment vertical="center" wrapText="1"/>
    </x:xf>
    <x:xf numFmtId="0" fontId="2" fillId="5" borderId="0" xfId="0" applyNumberFormat="1" applyFont="1" applyFill="1" applyBorder="1" applyAlignment="1">
      <x:alignment vertical="center" wrapText="1"/>
    </x:xf>
    <x:xf numFmtId="0" fontId="2" fillId="7" borderId="0" xfId="0" applyNumberFormat="1" applyFont="1" applyFill="1" applyBorder="1" applyAlignment="1">
      <x:alignment vertical="center" wrapText="1"/>
    </x:xf>
    <x:xf numFmtId="0" fontId="5" fillId="2"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5" fillId="19" borderId="0" xfId="0" applyNumberFormat="1" applyFont="1" applyFill="1" applyBorder="1" applyAlignment="1">
      <x:alignment vertical="center"/>
    </x:xf>
    <x:xf numFmtId="0" fontId="12" fillId="20" borderId="0" xfId="0" applyNumberFormat="1" applyFont="1" applyFill="1" applyBorder="1" applyAlignment="1">
      <x:alignment vertical="center" wrapText="1"/>
    </x:xf>
    <x:xf numFmtId="0" fontId="2" fillId="20" borderId="0" xfId="0" applyNumberFormat="1" applyFont="1" applyFill="1" applyBorder="1" applyAlignment="1">
      <x:alignment vertical="center" wrapText="1"/>
    </x:xf>
    <x:xf numFmtId="0" fontId="0" fillId="21" borderId="0" xfId="0" applyNumberFormat="1" applyFont="1" applyFill="1" applyBorder="1" applyAlignment="1">
      <x:alignment vertical="center" wrapText="1"/>
    </x:xf>
    <x:xf numFmtId="0" fontId="13" fillId="22" borderId="0" xfId="0" applyNumberFormat="1" applyFont="1" applyFill="1" applyBorder="1" applyAlignment="1">
      <x:alignment vertical="center"/>
    </x:xf>
    <x:xf numFmtId="0" fontId="15" fillId="27" borderId="0" xfId="0" applyNumberFormat="1" applyFont="1" applyFill="1" applyBorder="1" applyAlignment="1">
      <x:alignment vertical="center" wrapText="1"/>
    </x:xf>
    <x:xf numFmtId="0" fontId="0" fillId="0" borderId="15" xfId="0" applyNumberFormat="1" applyFont="1" applyFill="1" applyBorder="1"/>
    <x:xf numFmtId="0" fontId="8" fillId="0" borderId="15" xfId="0" applyNumberFormat="1" applyFont="1" applyFill="1" applyBorder="1" applyAlignment="1">
      <x:alignment vertical="center"/>
    </x:xf>
    <x:xf numFmtId="0" fontId="0" fillId="0" borderId="15" xfId="0" applyNumberFormat="1" applyFont="1" applyFill="1" applyBorder="1" applyAlignment="1">
      <x:alignment vertical="center"/>
    </x:xf>
    <x:xf numFmtId="44" fontId="0" fillId="0" borderId="15" xfId="0" applyNumberFormat="1" applyFont="1" applyFill="1" applyBorder="1"/>
    <x:xf numFmtId="44" fontId="2" fillId="8" borderId="16" xfId="0" applyNumberFormat="1" applyFont="1" applyFill="1" applyBorder="1" applyAlignment="1">
      <x:alignment vertical="top" wrapText="1"/>
    </x:xf>
    <x:xf numFmtId="44" fontId="2" fillId="4" borderId="16" xfId="0" applyNumberFormat="1" applyFont="1" applyFill="1" applyBorder="1" applyAlignment="1">
      <x:alignment vertical="top" wrapText="1"/>
    </x:xf>
    <x:xf numFmtId="0" fontId="2" fillId="4" borderId="16" xfId="0" applyNumberFormat="1" applyFont="1" applyFill="1" applyBorder="1" applyAlignment="1">
      <x:alignment vertical="top" wrapText="1"/>
    </x:xf>
    <x:xf numFmtId="0" fontId="2" fillId="8" borderId="16" xfId="0" applyNumberFormat="1" applyFont="1" applyFill="1" applyBorder="1" applyAlignment="1">
      <x:alignment vertical="top" wrapText="1"/>
    </x:xf>
    <x:xf numFmtId="0" fontId="2" fillId="3" borderId="16" xfId="0" applyNumberFormat="1" applyFont="1" applyFill="1" applyBorder="1" applyAlignment="1">
      <x:alignment vertical="top" wrapText="1"/>
    </x:xf>
    <x:xf numFmtId="0" fontId="2" fillId="4" borderId="15" xfId="0" applyNumberFormat="1" applyFont="1" applyFill="1" applyBorder="1" applyAlignment="1">
      <x:alignment vertical="top" wrapText="1"/>
    </x:xf>
    <x:xf numFmtId="0" fontId="4" fillId="2" borderId="15" xfId="0" applyNumberFormat="1" applyFont="1" applyFill="1" applyBorder="1" applyAlignment="1">
      <x:alignment vertical="top" wrapText="1"/>
    </x:xf>
    <x:xf numFmtId="0" fontId="4" fillId="2" borderId="15" xfId="0" applyNumberFormat="1" applyFont="1" applyFill="1" applyBorder="1" applyAlignment="1">
      <x:alignment vertical="center" wrapText="1"/>
    </x:xf>
    <x:xf numFmtId="0" fontId="4" fillId="2" borderId="16" xfId="0" applyNumberFormat="1" applyFont="1" applyFill="1" applyBorder="1" applyAlignment="1">
      <x:alignment vertical="center" wrapText="1"/>
    </x:xf>
    <x:xf numFmtId="4" fontId="4" fillId="2" borderId="16" xfId="0" applyNumberFormat="1" applyFont="1" applyFill="1" applyBorder="1" applyAlignment="1">
      <x:alignment vertical="center" wrapText="1"/>
    </x:xf>
    <x:xf numFmtId="164" fontId="4" fillId="2" borderId="16" xfId="0" applyNumberFormat="1" applyFont="1" applyFill="1" applyBorder="1" applyAlignment="1">
      <x:alignment vertical="center" wrapText="1"/>
    </x:xf>
    <x:xf numFmtId="0" fontId="3" fillId="2" borderId="15" xfId="0" applyNumberFormat="1" applyFont="1" applyFill="1" applyBorder="1" applyAlignment="1">
      <x:alignment vertical="top" wrapText="1"/>
    </x:xf>
    <x:xf numFmtId="4" fontId="2" fillId="7" borderId="15" xfId="0" applyNumberFormat="1" applyFont="1" applyFill="1" applyBorder="1" applyAlignment="1">
      <x:alignment vertical="center" wrapText="1"/>
    </x:xf>
    <x:xf numFmtId="4" fontId="2" fillId="6" borderId="16" xfId="0" applyNumberFormat="1" applyFont="1" applyFill="1" applyBorder="1" applyAlignment="1">
      <x:alignment vertical="center" wrapText="1"/>
    </x:xf>
    <x:xf numFmtId="0" fontId="4" fillId="15" borderId="15" xfId="0" applyNumberFormat="1" applyFont="1" applyFill="1" applyBorder="1" applyAlignment="1">
      <x:alignment horizontal="center" vertical="center" wrapText="1"/>
    </x:xf>
    <x:xf numFmtId="0" fontId="2" fillId="0" borderId="16" xfId="0" applyNumberFormat="1" applyFont="1" applyFill="1" applyBorder="1" applyAlignment="1">
      <x:alignment vertical="center" wrapText="1"/>
    </x:xf>
    <x:xf numFmtId="0" fontId="2" fillId="0" borderId="15" xfId="0" applyNumberFormat="1" applyFont="1" applyFill="1" applyBorder="1" applyAlignment="1">
      <x:alignment vertical="center" wrapText="1"/>
    </x:xf>
    <x:xf numFmtId="4" fontId="2" fillId="0" borderId="15" xfId="0" applyNumberFormat="1" applyFont="1" applyFill="1" applyBorder="1" applyAlignment="1">
      <x:alignment vertical="center" wrapText="1"/>
    </x:xf>
    <x:xf numFmtId="164" fontId="2" fillId="0" borderId="15" xfId="0" applyNumberFormat="1" applyFont="1" applyFill="1" applyBorder="1" applyAlignment="1">
      <x:alignment vertical="center" wrapText="1"/>
    </x:xf>
    <x:xf numFmtId="165" fontId="2" fillId="0" borderId="16" xfId="0" applyNumberFormat="1" applyFont="1" applyFill="1" applyBorder="1" applyAlignment="1">
      <x:alignment vertical="center" wrapText="1"/>
    </x:xf>
    <x:xf numFmtId="0" fontId="2" fillId="0" borderId="15"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vertical="top" wrapText="1"/>
    </x:xf>
    <x:xf numFmtId="0" fontId="7" fillId="2" borderId="15" xfId="0" applyNumberFormat="1" applyFont="1" applyFill="1" applyBorder="1" applyAlignment="1">
      <x:alignment vertical="center" wrapText="1"/>
    </x:xf>
    <x:xf numFmtId="0" fontId="4" fillId="2" borderId="15" xfId="0" applyNumberFormat="1" applyFont="1" applyFill="1" applyBorder="1" applyAlignment="1">
      <x:alignment horizontal="center" vertical="center" wrapText="1"/>
    </x:xf>
    <x:xf numFmtId="0" fontId="2" fillId="3" borderId="16" xfId="0" applyNumberFormat="1" applyFont="1" applyFill="1" applyBorder="1" applyAlignment="1">
      <x:alignment vertical="center" wrapText="1"/>
    </x:xf>
    <x:xf numFmtId="0" fontId="2" fillId="14" borderId="16" xfId="0" applyNumberFormat="1" applyFont="1" applyFill="1" applyBorder="1" applyAlignment="1">
      <x:alignment vertical="center" wrapText="1"/>
    </x:xf>
    <x:xf numFmtId="0" fontId="2" fillId="14" borderId="15" xfId="0" applyNumberFormat="1" applyFont="1" applyFill="1" applyBorder="1" applyAlignment="1">
      <x:alignment vertical="center" wrapText="1"/>
    </x:xf>
    <x:xf numFmtId="0" fontId="2" fillId="13" borderId="16" xfId="0" applyNumberFormat="1" applyFont="1" applyFill="1" applyBorder="1" applyAlignment="1">
      <x:alignment vertical="center" wrapText="1"/>
    </x:xf>
    <x:xf numFmtId="0" fontId="2" fillId="13" borderId="15" xfId="0" applyNumberFormat="1" applyFont="1" applyFill="1" applyBorder="1" applyAlignment="1">
      <x:alignment vertical="center" wrapText="1"/>
    </x:xf>
    <x:xf numFmtId="166" fontId="0" fillId="0" borderId="15" xfId="0" applyNumberFormat="1" applyFont="1" applyFill="1" applyBorder="1" applyAlignment="1">
      <x:alignment vertical="top" wrapText="1"/>
    </x:xf>
    <x:xf numFmtId="44" fontId="0" fillId="0" borderId="15" xfId="0" applyNumberFormat="1" applyFont="1" applyFill="1" applyBorder="1" applyAlignment="1">
      <x:alignment vertical="top" wrapText="1"/>
    </x:xf>
    <x:xf numFmtId="44" fontId="0" fillId="8" borderId="16" xfId="0" applyNumberFormat="1" applyFont="1" applyFill="1" applyBorder="1" applyAlignment="1">
      <x:alignment vertical="top" wrapText="1"/>
    </x:xf>
    <x:xf numFmtId="44" fontId="0" fillId="8" borderId="15" xfId="0" applyNumberFormat="1" applyFont="1" applyFill="1" applyBorder="1" applyAlignment="1">
      <x:alignment vertical="top" wrapText="1"/>
    </x:xf>
    <x:xf numFmtId="44" fontId="4" fillId="2" borderId="15" xfId="0" applyNumberFormat="1" applyFont="1" applyFill="1" applyBorder="1" applyAlignment="1">
      <x:alignment vertical="top" wrapText="1"/>
    </x:xf>
    <x:xf numFmtId="44" fontId="0" fillId="0" borderId="15" xfId="0" applyNumberFormat="1" applyFont="1" applyFill="1" applyBorder="1" applyAlignment="1">
      <x:alignment wrapText="1"/>
    </x:xf>
    <x:xf numFmtId="167" fontId="0" fillId="0" borderId="15" xfId="0" applyNumberFormat="1" applyFont="1" applyFill="1" applyBorder="1" applyAlignment="1">
      <x:alignment wrapText="1"/>
    </x:xf>
    <x:xf numFmtId="164" fontId="0" fillId="0" borderId="15" xfId="0" applyNumberFormat="1" applyFont="1" applyFill="1" applyBorder="1" applyAlignment="1">
      <x:alignment vertical="top" wrapText="1"/>
    </x:xf>
    <x:xf numFmtId="0" fontId="0" fillId="16" borderId="17" xfId="0" applyNumberFormat="1" applyFont="1" applyFill="1" applyBorder="1" applyAlignment="1">
      <x:alignment wrapText="1"/>
    </x:xf>
    <x:xf numFmtId="0" fontId="0" fillId="16" borderId="18" xfId="0" applyNumberFormat="1" applyFont="1" applyFill="1" applyBorder="1" applyAlignment="1">
      <x:alignment wrapText="1"/>
    </x:xf>
    <x:xf numFmtId="0" fontId="0" fillId="16" borderId="19" xfId="0" applyNumberFormat="1" applyFont="1" applyFill="1" applyBorder="1" applyAlignment="1">
      <x:alignment wrapText="1"/>
    </x:xf>
    <x:xf numFmtId="0" fontId="0" fillId="16" borderId="15" xfId="0" applyNumberFormat="1" applyFont="1" applyFill="1" applyBorder="1" applyAlignment="1">
      <x:alignment wrapText="1"/>
    </x:xf>
    <x:xf numFmtId="164" fontId="0" fillId="7" borderId="18" xfId="0" applyNumberFormat="1" applyFont="1" applyFill="1" applyBorder="1" applyAlignment="1">
      <x:alignment wrapText="1"/>
    </x:xf>
    <x:xf numFmtId="0" fontId="0" fillId="7" borderId="18" xfId="0" applyNumberFormat="1" applyFont="1" applyFill="1" applyBorder="1" applyAlignment="1">
      <x:alignment wrapText="1"/>
    </x:xf>
    <x:xf numFmtId="0" fontId="0" fillId="7" borderId="20" xfId="0" applyNumberFormat="1" applyFont="1" applyFill="1" applyBorder="1" applyAlignment="1">
      <x:alignment wrapText="1"/>
    </x:xf>
    <x:xf numFmtId="164" fontId="0" fillId="7" borderId="15" xfId="0" applyNumberFormat="1" applyFont="1" applyFill="1" applyBorder="1" applyAlignment="1">
      <x:alignment wrapText="1"/>
    </x:xf>
    <x:xf numFmtId="0" fontId="0" fillId="7" borderId="15" xfId="0" applyNumberFormat="1" applyFont="1" applyFill="1" applyBorder="1" applyAlignment="1">
      <x:alignment wrapText="1"/>
    </x:xf>
    <x:xf numFmtId="0" fontId="0" fillId="7" borderId="21" xfId="0" applyNumberFormat="1" applyFont="1" applyFill="1" applyBorder="1" applyAlignment="1">
      <x:alignment wrapText="1"/>
    </x:xf>
    <x:xf numFmtId="164" fontId="0" fillId="7" borderId="22" xfId="0" applyNumberFormat="1" applyFont="1" applyFill="1" applyBorder="1" applyAlignment="1">
      <x:alignment wrapText="1"/>
    </x:xf>
    <x:xf numFmtId="0" fontId="0" fillId="7" borderId="22" xfId="0" applyNumberFormat="1" applyFont="1" applyFill="1" applyBorder="1" applyAlignment="1">
      <x:alignment wrapText="1"/>
    </x:xf>
    <x:xf numFmtId="0" fontId="0" fillId="7" borderId="23" xfId="0" applyNumberFormat="1" applyFont="1" applyFill="1" applyBorder="1" applyAlignment="1">
      <x:alignment wrapText="1"/>
    </x:xf>
    <x:xf numFmtId="49" fontId="0" fillId="7" borderId="18" xfId="0" applyNumberFormat="1" applyFont="1" applyFill="1" applyBorder="1" applyAlignment="1">
      <x:alignment wrapText="1"/>
    </x:xf>
    <x:xf numFmtId="49" fontId="0" fillId="7" borderId="15" xfId="0" applyNumberFormat="1" applyFont="1" applyFill="1" applyBorder="1" applyAlignment="1">
      <x:alignment wrapText="1"/>
    </x:xf>
    <x:xf numFmtId="2" fontId="0" fillId="7" borderId="15" xfId="0" applyNumberFormat="1" applyFont="1" applyFill="1" applyBorder="1" applyAlignment="1">
      <x:alignment wrapText="1"/>
    </x:xf>
    <x:xf numFmtId="2" fontId="0" fillId="7" borderId="22" xfId="0" applyNumberFormat="1" applyFont="1" applyFill="1" applyBorder="1" applyAlignment="1">
      <x:alignment wrapText="1"/>
    </x:xf>
    <x:xf numFmtId="167" fontId="0" fillId="7" borderId="15" xfId="0" applyNumberFormat="1" applyFont="1" applyFill="1" applyBorder="1" applyAlignment="1">
      <x:alignment wrapText="1"/>
    </x:xf>
    <x:xf numFmtId="167" fontId="0" fillId="7" borderId="22" xfId="0" applyNumberFormat="1" applyFont="1" applyFill="1" applyBorder="1" applyAlignment="1">
      <x:alignment wrapText="1"/>
    </x:xf>
    <x:xf numFmtId="49" fontId="0" fillId="7" borderId="22" xfId="0" applyNumberFormat="1" applyFont="1" applyFill="1" applyBorder="1" applyAlignment="1">
      <x:alignment wrapText="1"/>
    </x:xf>
    <x:xf numFmtId="0" fontId="10" fillId="16" borderId="19"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24" xfId="0" applyNumberFormat="1" applyFont="1" applyFill="1" applyBorder="1" applyAlignment="1">
      <x:alignment wrapText="1"/>
    </x:xf>
    <x:xf numFmtId="0" fontId="10" fillId="16" borderId="22" xfId="0" applyNumberFormat="1" applyFont="1" applyFill="1" applyBorder="1" applyAlignment="1">
      <x:alignment wrapText="1"/>
    </x:xf>
    <x:xf numFmtId="4" fontId="2" fillId="6" borderId="15" xfId="0" applyNumberFormat="1" applyFont="1" applyFill="1" applyBorder="1" applyAlignment="1">
      <x:alignment vertical="center" wrapText="1"/>
    </x:xf>
    <x:xf numFmtId="0" fontId="2" fillId="6" borderId="16" xfId="0" applyNumberFormat="1" applyFont="1" applyFill="1" applyBorder="1" applyAlignment="1">
      <x:alignment vertical="center" wrapText="1"/>
    </x:xf>
    <x:xf numFmtId="0" fontId="2" fillId="6" borderId="15" xfId="0" applyNumberFormat="1" applyFont="1" applyFill="1" applyBorder="1" applyAlignment="1">
      <x:alignment vertical="center" wrapText="1"/>
    </x:xf>
    <x:xf numFmtId="164" fontId="10" fillId="7" borderId="15" xfId="0" applyNumberFormat="1" applyFont="1" applyFill="1" applyBorder="1" applyAlignment="1">
      <x:alignment wrapText="1"/>
    </x:xf>
    <x:xf numFmtId="0" fontId="10" fillId="7" borderId="15" xfId="0" applyNumberFormat="1" applyFont="1" applyFill="1" applyBorder="1" applyAlignment="1">
      <x:alignment wrapText="1"/>
    </x:xf>
    <x:xf numFmtId="49" fontId="10" fillId="7" borderId="15" xfId="0" applyNumberFormat="1" applyFont="1" applyFill="1" applyBorder="1" applyAlignment="1">
      <x:alignment wrapText="1"/>
    </x:xf>
    <x:xf numFmtId="0" fontId="10" fillId="7" borderId="21" xfId="0" applyNumberFormat="1" applyFont="1" applyFill="1" applyBorder="1" applyAlignment="1">
      <x:alignment wrapText="1"/>
    </x:xf>
    <x:xf numFmtId="164" fontId="10" fillId="7" borderId="22" xfId="0" applyNumberFormat="1" applyFont="1" applyFill="1" applyBorder="1" applyAlignment="1">
      <x:alignment wrapText="1"/>
    </x:xf>
    <x:xf numFmtId="0" fontId="10" fillId="7" borderId="22" xfId="0" applyNumberFormat="1" applyFont="1" applyFill="1" applyBorder="1" applyAlignment="1">
      <x:alignment wrapText="1"/>
    </x:xf>
    <x:xf numFmtId="49" fontId="10" fillId="7" borderId="22" xfId="0" applyNumberFormat="1" applyFont="1" applyFill="1" applyBorder="1" applyAlignment="1">
      <x:alignment wrapText="1"/>
    </x:xf>
    <x:xf numFmtId="0" fontId="10" fillId="7" borderId="23" xfId="0" applyNumberFormat="1" applyFont="1" applyFill="1" applyBorder="1" applyAlignment="1">
      <x:alignment wrapText="1"/>
    </x:xf>
    <x:xf numFmtId="0" fontId="0" fillId="6" borderId="19" xfId="0" applyNumberFormat="1" applyFont="1" applyFill="1" applyBorder="1" applyAlignment="1">
      <x:alignment wrapText="1"/>
    </x:xf>
    <x:xf numFmtId="0" fontId="0" fillId="6" borderId="15" xfId="0" applyNumberFormat="1" applyFont="1" applyFill="1" applyBorder="1" applyAlignment="1">
      <x:alignment wrapText="1"/>
    </x:xf>
    <x:xf numFmtId="2" fontId="0" fillId="6" borderId="15" xfId="0" applyNumberFormat="1" applyFont="1" applyFill="1" applyBorder="1" applyAlignment="1">
      <x:alignment wrapText="1"/>
    </x:xf>
    <x:xf numFmtId="164" fontId="0" fillId="6" borderId="15" xfId="0" applyNumberFormat="1" applyFont="1" applyFill="1" applyBorder="1" applyAlignment="1">
      <x:alignment wrapText="1"/>
    </x:xf>
    <x:xf numFmtId="0" fontId="0" fillId="6" borderId="24" xfId="0" applyNumberFormat="1" applyFont="1" applyFill="1" applyBorder="1" applyAlignment="1">
      <x:alignment wrapText="1"/>
    </x:xf>
    <x:xf numFmtId="0" fontId="0" fillId="6" borderId="22" xfId="0" applyNumberFormat="1" applyFont="1" applyFill="1" applyBorder="1" applyAlignment="1">
      <x:alignment wrapText="1"/>
    </x:xf>
    <x:xf numFmtId="2" fontId="0" fillId="6" borderId="22" xfId="0" applyNumberFormat="1" applyFont="1" applyFill="1" applyBorder="1" applyAlignment="1">
      <x:alignment wrapText="1"/>
    </x:xf>
    <x:xf numFmtId="164" fontId="0" fillId="6" borderId="22" xfId="0" applyNumberFormat="1" applyFont="1" applyFill="1" applyBorder="1" applyAlignment="1">
      <x:alignment wrapText="1"/>
    </x:xf>
    <x:xf numFmtId="164" fontId="11" fillId="7" borderId="15" xfId="0" applyNumberFormat="1" applyFont="1" applyFill="1" applyBorder="1" applyAlignment="1">
      <x:alignment wrapText="1"/>
    </x:xf>
    <x:xf numFmtId="0" fontId="2" fillId="3" borderId="15" xfId="0" applyNumberFormat="1" applyFont="1" applyFill="1" applyBorder="1"/>
    <x:xf numFmtId="0" fontId="0" fillId="6" borderId="15" xfId="0" applyNumberFormat="1" applyFont="1" applyFill="1" applyBorder="1"/>
    <x:xf numFmtId="0" fontId="0" fillId="7" borderId="15" xfId="0" applyNumberFormat="1" applyFont="1" applyFill="1" applyBorder="1"/>
    <x:xf numFmtId="0" fontId="0" fillId="24" borderId="15" xfId="0" applyNumberFormat="1" applyFont="1" applyFill="1" applyBorder="1"/>
    <x:xf numFmtId="0" fontId="2" fillId="5" borderId="15" xfId="0" applyNumberFormat="1" applyFont="1" applyFill="1" applyBorder="1"/>
    <x:xf numFmtId="0" fontId="4" fillId="9" borderId="25" xfId="0" applyNumberFormat="1" applyFont="1" applyFill="1" applyBorder="1" applyAlignment="1">
      <x:alignment vertical="top" wrapText="1"/>
    </x:xf>
    <x:xf numFmtId="0" fontId="4" fillId="9" borderId="26" xfId="0" applyNumberFormat="1" applyFont="1" applyFill="1" applyBorder="1" applyAlignment="1">
      <x:alignment vertical="top" wrapText="1"/>
    </x:xf>
    <x:xf numFmtId="0" fontId="4" fillId="9" borderId="27" xfId="0" applyNumberFormat="1" applyFont="1" applyFill="1" applyBorder="1" applyAlignment="1">
      <x:alignment vertical="top" wrapText="1"/>
    </x:xf>
    <x:xf numFmtId="0" fontId="0" fillId="0" borderId="15" xfId="0" applyNumberFormat="1" applyFont="1" applyFill="1" applyBorder="1" applyAlignment="1">
      <x:alignment vertical="top"/>
    </x:xf>
    <x:xf numFmtId="0" fontId="2" fillId="7" borderId="15" xfId="0" applyNumberFormat="1" applyFont="1" applyFill="1" applyBorder="1" applyAlignment="1">
      <x:alignment vertical="top" wrapText="1"/>
    </x:xf>
    <x:xf numFmtId="0" fontId="2" fillId="24" borderId="15" xfId="0" applyNumberFormat="1" applyFont="1" applyFill="1" applyBorder="1" applyAlignment="1">
      <x:alignment vertical="top" wrapText="1"/>
    </x:xf>
    <x:xf numFmtId="0" fontId="2" fillId="6" borderId="15" xfId="0" applyNumberFormat="1" applyFont="1" applyFill="1" applyBorder="1" applyAlignment="1">
      <x:alignment vertical="top" wrapText="1"/>
    </x:xf>
    <x:xf numFmtId="0" fontId="2" fillId="0" borderId="15" xfId="0" applyNumberFormat="1" applyFont="1" applyFill="1" applyBorder="1"/>
    <x:xf numFmtId="0" fontId="2" fillId="0" borderId="15" xfId="0" applyNumberFormat="1" applyFont="1" applyFill="1" applyBorder="1" applyAlignment="1">
      <x:alignment vertical="center"/>
    </x:xf>
    <x:xf numFmtId="0" fontId="2" fillId="5" borderId="16" xfId="0" applyNumberFormat="1" applyFont="1" applyFill="1" applyBorder="1" applyAlignment="1">
      <x:alignment vertical="center" wrapText="1"/>
    </x:xf>
    <x:xf numFmtId="0" fontId="2" fillId="5" borderId="15"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0" borderId="16" xfId="0" applyNumberFormat="1" applyFont="1" applyFill="1" applyBorder="1" applyAlignment="1">
      <x:alignment vertical="center" wrapText="1"/>
    </x:xf>
    <x:xf numFmtId="0" fontId="2" fillId="4" borderId="16" xfId="0" applyNumberFormat="1" applyFont="1" applyFill="1" applyBorder="1" applyAlignment="1">
      <x:alignment vertical="center" wrapText="1"/>
    </x:xf>
    <x:xf numFmtId="0" fontId="2" fillId="4" borderId="15" xfId="0" applyNumberFormat="1" applyFont="1" applyFill="1" applyBorder="1" applyAlignment="1">
      <x:alignment vertical="center" wrapText="1"/>
    </x:xf>
    <x:xf numFmtId="0" fontId="0" fillId="7" borderId="16" xfId="0" applyNumberFormat="1" applyFont="1" applyFill="1" applyBorder="1" applyAlignment="1">
      <x:alignment vertical="center" wrapText="1"/>
    </x:xf>
    <x:xf numFmtId="0" fontId="0" fillId="0" borderId="19" xfId="0" applyNumberFormat="1" applyFont="1" applyFill="1" applyBorder="1" applyAlignment="1">
      <x:alignment vertical="center" wrapText="1"/>
    </x:xf>
    <x:xf numFmtId="0" fontId="0" fillId="0" borderId="21" xfId="0" applyNumberFormat="1" applyFont="1" applyFill="1" applyBorder="1" applyAlignment="1">
      <x:alignment vertical="center" wrapText="1"/>
    </x:xf>
    <x:xf numFmtId="0" fontId="0" fillId="0" borderId="24" xfId="0" applyNumberFormat="1" applyFont="1" applyFill="1" applyBorder="1" applyAlignment="1">
      <x:alignment vertical="center" wrapText="1"/>
    </x:xf>
    <x:xf numFmtId="0" fontId="0" fillId="0" borderId="22" xfId="0" applyNumberFormat="1" applyFont="1" applyFill="1" applyBorder="1" applyAlignment="1">
      <x:alignment vertical="center" wrapText="1"/>
    </x:xf>
    <x:xf numFmtId="0" fontId="0" fillId="0" borderId="23" xfId="0" applyNumberFormat="1" applyFont="1" applyFill="1" applyBorder="1" applyAlignment="1">
      <x:alignment vertical="center" wrapText="1"/>
    </x:xf>
    <x:xf numFmtId="0" fontId="2" fillId="3" borderId="15" xfId="0" applyNumberFormat="1" applyFont="1" applyFill="1" applyBorder="1" applyAlignment="1">
      <x:alignment horizontal="center" vertical="center"/>
    </x:xf>
    <x:xf numFmtId="0" fontId="0" fillId="7" borderId="15" xfId="0" applyNumberFormat="1" applyFont="1" applyFill="1" applyBorder="1" applyAlignment="1">
      <x:alignment vertical="center" wrapText="1"/>
    </x:xf>
    <x:xf numFmtId="0" fontId="0" fillId="0" borderId="16" xfId="0" applyNumberFormat="1" applyFont="1" applyFill="1" applyBorder="1" applyAlignment="1">
      <x:alignment vertical="center"/>
    </x:xf>
    <x:xf numFmtId="4" fontId="0" fillId="0" borderId="16" xfId="0" applyNumberFormat="1" applyFont="1" applyFill="1" applyBorder="1" applyAlignment="1">
      <x:alignment vertical="center" wrapText="1"/>
    </x:xf>
    <x:xf numFmtId="44" fontId="0" fillId="0" borderId="16" xfId="0" applyNumberFormat="1" applyFont="1" applyFill="1" applyBorder="1" applyAlignment="1">
      <x:alignment vertical="center" wrapText="1"/>
    </x:xf>
    <x:xf numFmtId="44" fontId="0" fillId="0" borderId="15" xfId="0" applyNumberFormat="1" applyFont="1" applyFill="1" applyBorder="1" applyAlignment="1">
      <x:alignment vertical="center" wrapText="1"/>
    </x:xf>
    <x:xf numFmtId="44" fontId="2" fillId="3" borderId="16" xfId="0" applyNumberFormat="1" applyFont="1" applyFill="1" applyBorder="1" applyAlignment="1">
      <x:alignment vertical="center" wrapText="1"/>
    </x:xf>
    <x:xf numFmtId="0" fontId="2" fillId="3" borderId="15" xfId="0" applyNumberFormat="1" applyFont="1" applyFill="1" applyBorder="1" applyAlignment="1">
      <x:alignment vertical="center" wrapText="1"/>
    </x:xf>
    <x:xf numFmtId="44" fontId="0" fillId="8" borderId="16" xfId="0" applyNumberFormat="1" applyFont="1" applyFill="1" applyBorder="1" applyAlignment="1">
      <x:alignment vertical="center" wrapText="1"/>
    </x:xf>
    <x:xf numFmtId="164" fontId="0" fillId="8" borderId="16" xfId="0" applyNumberFormat="1" applyFont="1" applyFill="1" applyBorder="1" applyAlignment="1">
      <x:alignment vertical="center"/>
    </x:xf>
    <x:xf numFmtId="164" fontId="2" fillId="4" borderId="16" xfId="0" applyNumberFormat="1" applyFont="1" applyFill="1" applyBorder="1" applyAlignment="1">
      <x:alignment vertical="center"/>
    </x:xf>
    <x:xf numFmtId="44" fontId="0" fillId="0" borderId="19" xfId="0" applyNumberFormat="1" applyFont="1" applyFill="1" applyBorder="1" applyAlignment="1">
      <x:alignment vertical="center" wrapText="1"/>
    </x:xf>
    <x:xf numFmtId="164" fontId="2" fillId="4" borderId="16" xfId="0" applyNumberFormat="1" applyFont="1" applyFill="1" applyBorder="1" applyAlignment="1">
      <x:alignment vertical="center" wrapText="1"/>
    </x:xf>
    <x:xf numFmtId="164" fontId="0" fillId="8" borderId="16" xfId="0" applyNumberFormat="1" applyFont="1" applyFill="1" applyBorder="1" applyAlignment="1">
      <x:alignment vertical="center" wrapText="1"/>
    </x:xf>
    <x:xf numFmtId="164" fontId="0" fillId="0" borderId="15" xfId="0" applyNumberFormat="1" applyFont="1" applyFill="1" applyBorder="1" applyAlignment="1">
      <x:alignment vertical="center" wrapText="1"/>
    </x:xf>
    <x:xf numFmtId="44" fontId="2" fillId="8" borderId="16" xfId="0" applyNumberFormat="1" applyFont="1" applyFill="1" applyBorder="1" applyAlignment="1">
      <x:alignment vertical="center" wrapText="1"/>
    </x:xf>
    <x:xf numFmtId="44" fontId="2" fillId="4" borderId="16" xfId="0" applyNumberFormat="1" applyFont="1" applyFill="1" applyBorder="1" applyAlignment="1">
      <x:alignment vertical="center" wrapText="1"/>
    </x:xf>
    <x:xf numFmtId="44" fontId="0" fillId="8" borderId="15" xfId="0" applyNumberFormat="1" applyFont="1" applyFill="1" applyBorder="1" applyAlignment="1">
      <x:alignment vertical="center" wrapText="1"/>
    </x:xf>
    <x:xf numFmtId="44" fontId="2" fillId="8" borderId="15" xfId="0" applyNumberFormat="1" applyFont="1" applyFill="1" applyBorder="1" applyAlignment="1">
      <x:alignment vertical="top" wrapText="1"/>
    </x:xf>
    <x:xf numFmtId="0" fontId="3" fillId="2" borderId="15" xfId="0" applyNumberFormat="1" applyFont="1" applyFill="1" applyBorder="1" applyAlignment="1">
      <x:alignment vertical="center" wrapText="1"/>
    </x:xf>
    <x:xf numFmtId="10" fontId="0" fillId="7" borderId="15" xfId="0" applyNumberFormat="1" applyFont="1" applyFill="1" applyBorder="1" applyAlignment="1">
      <x:alignment vertical="center" wrapText="1"/>
    </x:xf>
    <x:xf numFmtId="164" fontId="0" fillId="7" borderId="15" xfId="0" applyNumberFormat="1" applyFont="1" applyFill="1" applyBorder="1" applyAlignment="1">
      <x:alignment vertical="center" wrapText="1"/>
    </x:xf>
    <x:xf numFmtId="0" fontId="0" fillId="10" borderId="16" xfId="0" applyNumberFormat="1" applyFont="1" applyFill="1" applyBorder="1" applyAlignment="1">
      <x:alignment vertical="center" wrapText="1"/>
    </x:xf>
    <x:xf numFmtId="0" fontId="0" fillId="11" borderId="16" xfId="0" applyNumberFormat="1" applyFont="1" applyFill="1" applyBorder="1" applyAlignment="1">
      <x:alignment vertical="center" wrapText="1"/>
    </x:xf>
    <x:xf numFmtId="167" fontId="0" fillId="7" borderId="15"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4" fontId="5" fillId="12" borderId="15" xfId="0" applyNumberFormat="1" applyFont="1" applyFill="1" applyBorder="1" applyAlignment="1">
      <x:alignment vertical="center" wrapText="1"/>
    </x:xf>
    <x:xf numFmtId="164" fontId="5" fillId="12" borderId="15" xfId="0" applyNumberFormat="1" applyFont="1" applyFill="1" applyBorder="1" applyAlignment="1">
      <x:alignment vertical="center" wrapText="1"/>
    </x:xf>
    <x:xf numFmtId="0" fontId="5" fillId="12" borderId="16" xfId="0" applyNumberFormat="1" applyFont="1" applyFill="1" applyBorder="1" applyAlignment="1">
      <x:alignment vertical="center" wrapText="1"/>
    </x:xf>
    <x:xf numFmtId="0" fontId="0" fillId="6" borderId="15" xfId="0" applyNumberFormat="1" applyFont="1" applyFill="1" applyBorder="1" applyAlignment="1">
      <x:alignment vertical="center" wrapText="1"/>
    </x:xf>
    <x:xf numFmtId="0" fontId="0" fillId="14" borderId="16" xfId="0" applyNumberFormat="1" applyFont="1" applyFill="1" applyBorder="1" applyAlignment="1">
      <x:alignment vertical="center" wrapText="1"/>
    </x:xf>
    <x:xf numFmtId="4" fontId="0" fillId="7" borderId="16" xfId="0" applyNumberFormat="1" applyFont="1" applyFill="1" applyBorder="1" applyAlignment="1">
      <x:alignment vertical="center" wrapText="1"/>
    </x:xf>
    <x:xf numFmtId="4" fontId="0" fillId="6" borderId="16" xfId="0" applyNumberFormat="1" applyFont="1" applyFill="1" applyBorder="1" applyAlignment="1">
      <x:alignment vertical="center" wrapText="1"/>
    </x:xf>
    <x:xf numFmtId="0" fontId="0" fillId="6" borderId="16" xfId="0" applyNumberFormat="1" applyFont="1" applyFill="1" applyBorder="1" applyAlignment="1">
      <x:alignment vertical="center" wrapText="1"/>
    </x:xf>
    <x:xf numFmtId="0" fontId="0" fillId="13" borderId="16" xfId="0" applyNumberFormat="1" applyFont="1" applyFill="1" applyBorder="1" applyAlignment="1">
      <x:alignment vertical="center" wrapText="1"/>
    </x:xf>
    <x:xf numFmtId="4" fontId="2" fillId="7" borderId="16" xfId="0" applyNumberFormat="1" applyFont="1" applyFill="1" applyBorder="1" applyAlignment="1">
      <x:alignment vertical="center" wrapText="1"/>
    </x:xf>
    <x:xf numFmtId="0" fontId="0" fillId="14" borderId="15" xfId="0" applyNumberFormat="1" applyFont="1" applyFill="1" applyBorder="1" applyAlignment="1">
      <x:alignment vertical="center" wrapText="1"/>
    </x:xf>
    <x:xf numFmtId="4" fontId="0" fillId="7" borderId="15" xfId="0" applyNumberFormat="1" applyFont="1" applyFill="1" applyBorder="1" applyAlignment="1">
      <x:alignment vertical="center" wrapText="1"/>
    </x:xf>
    <x:xf numFmtId="4" fontId="0" fillId="6" borderId="15" xfId="0" applyNumberFormat="1" applyFont="1" applyFill="1" applyBorder="1" applyAlignment="1">
      <x:alignment vertical="center" wrapText="1"/>
    </x:xf>
    <x:xf numFmtId="0" fontId="0" fillId="13" borderId="15" xfId="0" applyNumberFormat="1" applyFont="1" applyFill="1" applyBorder="1" applyAlignment="1">
      <x:alignment vertical="center" wrapText="1"/>
    </x:xf>
    <x:xf numFmtId="0" fontId="2" fillId="4" borderId="28" xfId="0" applyNumberFormat="1" applyFont="1" applyFill="1" applyBorder="1" applyAlignment="1">
      <x:alignment vertical="center" wrapText="1"/>
    </x:xf>
    <x:xf numFmtId="4" fontId="2" fillId="4" borderId="28" xfId="0" applyNumberFormat="1" applyFont="1" applyFill="1" applyBorder="1" applyAlignment="1">
      <x:alignment vertical="center" wrapText="1"/>
    </x:xf>
    <x:xf numFmtId="164" fontId="2" fillId="4" borderId="28" xfId="0" applyNumberFormat="1" applyFont="1" applyFill="1" applyBorder="1" applyAlignment="1">
      <x:alignment vertical="center" wrapText="1"/>
    </x:xf>
    <x:xf numFmtId="164" fontId="0" fillId="0" borderId="16" xfId="0" applyNumberFormat="1" applyFont="1" applyFill="1" applyBorder="1" applyAlignment="1">
      <x:alignment vertical="center" wrapText="1"/>
    </x:xf>
    <x:xf numFmtId="165" fontId="0" fillId="0" borderId="16" xfId="0" applyNumberFormat="1" applyFont="1" applyFill="1" applyBorder="1" applyAlignment="1">
      <x:alignment vertical="center" wrapText="1"/>
    </x:xf>
    <x:xf numFmtId="4" fontId="2" fillId="0" borderId="16" xfId="0" applyNumberFormat="1" applyFont="1" applyFill="1" applyBorder="1" applyAlignment="1">
      <x:alignment vertical="center" wrapText="1"/>
    </x:xf>
    <x:xf numFmtId="164" fontId="2" fillId="0" borderId="16" xfId="0" applyNumberFormat="1" applyFont="1" applyFill="1" applyBorder="1" applyAlignment="1">
      <x:alignment vertical="center" wrapText="1"/>
    </x:xf>
    <x:xf numFmtId="4" fontId="0" fillId="0" borderId="15" xfId="0" applyNumberFormat="1" applyFont="1" applyFill="1" applyBorder="1" applyAlignment="1">
      <x:alignment vertical="center" wrapText="1"/>
    </x:xf>
    <x:xf numFmtId="10" fontId="0" fillId="0" borderId="16" xfId="0" applyNumberFormat="1" applyFont="1" applyFill="1" applyBorder="1" applyAlignment="1">
      <x:alignment vertical="center" wrapText="1"/>
    </x:xf>
    <x:xf numFmtId="165" fontId="0" fillId="0" borderId="15" xfId="0" applyNumberFormat="1" applyFont="1" applyFill="1" applyBorder="1" applyAlignment="1">
      <x:alignment vertical="center" wrapText="1"/>
    </x:xf>
    <x:xf numFmtId="0" fontId="4" fillId="9" borderId="15" xfId="0" applyNumberFormat="1" applyFont="1" applyFill="1" applyBorder="1" applyAlignment="1">
      <x:alignment vertical="center" wrapText="1"/>
    </x:xf>
    <x:xf numFmtId="44" fontId="0" fillId="6" borderId="15" xfId="0" applyNumberFormat="1" applyFont="1" applyFill="1" applyBorder="1" applyAlignment="1">
      <x:alignment vertical="center" wrapText="1"/>
    </x:xf>
    <x:xf numFmtId="167" fontId="0" fillId="0" borderId="15" xfId="0" applyNumberFormat="1" applyFont="1" applyFill="1" applyBorder="1" applyAlignment="1">
      <x:alignment vertical="center" wrapText="1"/>
    </x:xf>
    <x:xf numFmtId="167" fontId="0" fillId="6" borderId="15" xfId="0" applyNumberFormat="1" applyFont="1" applyFill="1" applyBorder="1" applyAlignment="1">
      <x:alignment vertical="center" wrapText="1"/>
    </x:xf>
    <x:xf numFmtId="167" fontId="4" fillId="2" borderId="15" xfId="0" applyNumberFormat="1" applyFont="1" applyFill="1" applyBorder="1" applyAlignment="1">
      <x:alignment vertical="center" wrapText="1"/>
    </x:xf>
    <x:xf numFmtId="44" fontId="4" fillId="2" borderId="15" xfId="0" applyNumberFormat="1" applyFont="1" applyFill="1" applyBorder="1" applyAlignment="1">
      <x:alignment vertical="center" wrapText="1"/>
    </x:xf>
    <x:xf numFmtId="0" fontId="4" fillId="2" borderId="17" xfId="0" applyNumberFormat="1" applyFont="1" applyFill="1" applyBorder="1" applyAlignment="1">
      <x:alignment horizontal="center" vertical="center" wrapText="1"/>
    </x:xf>
    <x:xf numFmtId="0" fontId="4" fillId="2" borderId="18" xfId="0" applyNumberFormat="1" applyFont="1" applyFill="1" applyBorder="1" applyAlignment="1">
      <x:alignment horizontal="center" vertical="center" wrapText="1"/>
    </x:xf>
    <x:xf numFmtId="0" fontId="4" fillId="2" borderId="20" xfId="0" applyNumberFormat="1" applyFont="1" applyFill="1" applyBorder="1" applyAlignment="1">
      <x:alignment horizontal="center" vertical="center" wrapText="1"/>
    </x:xf>
    <x:xf numFmtId="0" fontId="2" fillId="3" borderId="15" xfId="0" applyNumberFormat="1" applyFont="1" applyFill="1" applyBorder="1" applyAlignment="1">
      <x:alignment vertical="center"/>
    </x:xf>
    <x:xf numFmtId="0" fontId="0" fillId="6" borderId="15" xfId="0" applyNumberFormat="1" applyFont="1" applyFill="1" applyBorder="1" applyAlignment="1">
      <x:alignment vertical="center"/>
    </x:xf>
    <x:xf numFmtId="164" fontId="0" fillId="6" borderId="15" xfId="0" applyNumberFormat="1" applyFont="1" applyFill="1" applyBorder="1" applyAlignment="1">
      <x:alignment vertical="center"/>
    </x:xf>
    <x:xf numFmtId="0" fontId="0" fillId="24" borderId="15" xfId="0" applyNumberFormat="1" applyFont="1" applyFill="1" applyBorder="1" applyAlignment="1">
      <x:alignment vertical="center"/>
    </x:xf>
    <x:xf numFmtId="164" fontId="0" fillId="24" borderId="15" xfId="0" applyNumberFormat="1" applyFont="1" applyFill="1" applyBorder="1" applyAlignment="1">
      <x:alignment vertical="center"/>
    </x:xf>
    <x:xf numFmtId="0" fontId="0" fillId="7" borderId="15" xfId="0" applyNumberFormat="1" applyFont="1" applyFill="1" applyBorder="1" applyAlignment="1">
      <x:alignment vertical="center"/>
    </x:xf>
    <x:xf numFmtId="164" fontId="0" fillId="7" borderId="15" xfId="0" applyNumberFormat="1" applyFont="1" applyFill="1" applyBorder="1" applyAlignment="1">
      <x:alignment vertical="center"/>
    </x:xf>
    <x:xf numFmtId="0" fontId="2" fillId="5" borderId="15" xfId="0" applyNumberFormat="1" applyFont="1" applyFill="1" applyBorder="1" applyAlignment="1">
      <x:alignment vertical="center"/>
    </x:xf>
    <x:xf numFmtId="164" fontId="0" fillId="6" borderId="15" xfId="0" applyNumberFormat="1" applyFont="1" applyFill="1" applyBorder="1" applyAlignment="1">
      <x:alignment vertical="center" wrapText="1"/>
    </x:xf>
    <x:xf numFmtId="168" fontId="0" fillId="6" borderId="15" xfId="0" applyNumberFormat="1" applyFont="1" applyFill="1" applyBorder="1" applyAlignment="1">
      <x:alignment vertical="center" wrapText="1"/>
    </x:xf>
    <x:xf numFmtId="168" fontId="11" fillId="7" borderId="15" xfId="0" applyNumberFormat="1" applyFont="1" applyFill="1" applyBorder="1" applyAlignment="1">
      <x:alignment vertical="center" wrapText="1"/>
    </x:xf>
    <x:xf numFmtId="0" fontId="2" fillId="7" borderId="15" xfId="0" applyNumberFormat="1" applyFont="1" applyFill="1" applyBorder="1" applyAlignment="1">
      <x:alignment vertical="center" wrapText="1"/>
    </x:xf>
    <x:xf numFmtId="0" fontId="2" fillId="24" borderId="15" xfId="0" applyNumberFormat="1" applyFont="1" applyFill="1" applyBorder="1" applyAlignment="1">
      <x:alignment vertical="center" wrapText="1"/>
    </x:xf>
    <x:xf numFmtId="168" fontId="14" fillId="7" borderId="15" xfId="0" applyNumberFormat="1" applyFont="1" applyFill="1" applyBorder="1" applyAlignment="1">
      <x:alignment vertical="center" wrapText="1"/>
    </x:xf>
    <x:xf numFmtId="164" fontId="2" fillId="6" borderId="16" xfId="0" applyNumberFormat="1" applyFont="1" applyFill="1" applyBorder="1" applyAlignment="1">
      <x:alignment horizontal="center" vertical="center" wrapText="1"/>
    </x:xf>
    <x:xf numFmtId="10" fontId="0" fillId="7" borderId="16" xfId="0" applyNumberFormat="1" applyFont="1" applyFill="1" applyBorder="1" applyAlignment="1">
      <x:alignment vertical="center" wrapText="1"/>
    </x:xf>
    <x:xf numFmtId="1" fontId="0" fillId="7" borderId="15" xfId="0" applyNumberFormat="1" applyFont="1" applyFill="1" applyBorder="1" applyAlignment="1">
      <x:alignment vertical="center" wrapText="1"/>
    </x:xf>
    <x:xf numFmtId="0" fontId="4" fillId="2" borderId="15" xfId="0" applyNumberFormat="1" applyFont="1" applyFill="1" applyBorder="1" applyAlignment="1">
      <x:alignment vertical="center"/>
    </x:xf>
    <x:xf numFmtId="0" fontId="5" fillId="2" borderId="16" xfId="0" applyNumberFormat="1" applyFont="1" applyFill="1" applyBorder="1" applyAlignment="1">
      <x:alignment vertical="center" wrapText="1"/>
    </x:xf>
    <x:xf numFmtId="0" fontId="1" fillId="2" borderId="15" xfId="0" applyNumberFormat="1" applyFont="1" applyFill="1" applyBorder="1" applyAlignment="1">
      <x:alignment vertical="center" wrapText="1"/>
    </x:xf>
    <x:xf numFmtId="0" fontId="2" fillId="3" borderId="17" xfId="0" applyNumberFormat="1" applyFont="1" applyFill="1" applyBorder="1" applyAlignment="1">
      <x:alignment vertical="center" wrapText="1"/>
    </x:xf>
    <x:xf numFmtId="0" fontId="2" fillId="3" borderId="18" xfId="0" applyNumberFormat="1" applyFont="1" applyFill="1" applyBorder="1" applyAlignment="1">
      <x:alignment vertical="center" wrapText="1"/>
    </x:xf>
    <x:xf numFmtId="0" fontId="2" fillId="3" borderId="20" xfId="0" applyNumberFormat="1" applyFont="1" applyFill="1" applyBorder="1" applyAlignment="1">
      <x:alignment vertical="center" wrapText="1"/>
    </x:xf>
    <x:xf numFmtId="164" fontId="0" fillId="0" borderId="19" xfId="0" applyNumberFormat="1" applyFont="1" applyFill="1" applyBorder="1" applyAlignment="1">
      <x:alignment vertical="center" wrapText="1"/>
    </x:xf>
    <x:xf numFmtId="0" fontId="4" fillId="2" borderId="15" xfId="0" applyNumberFormat="1" applyFont="1" applyFill="1" applyBorder="1"/>
    <x:xf numFmtId="0" fontId="7" fillId="2" borderId="19" xfId="0" applyNumberFormat="1" applyFont="1" applyFill="1" applyBorder="1" applyAlignment="1">
      <x:alignment vertical="center" wrapText="1"/>
    </x:xf>
    <x:xf numFmtId="0" fontId="2" fillId="11" borderId="19" xfId="0" applyNumberFormat="1" applyFont="1" applyFill="1" applyBorder="1" applyAlignment="1">
      <x:alignment vertical="center" wrapText="1"/>
    </x:xf>
    <x:xf numFmtId="44" fontId="0" fillId="0" borderId="19" xfId="0" applyNumberFormat="1" applyFont="1" applyFill="1" applyBorder="1" applyAlignment="1">
      <x:alignment vertical="top" wrapText="1"/>
    </x:xf>
    <x:xf numFmtId="44" fontId="0" fillId="0" borderId="19" xfId="0" applyNumberFormat="1" applyFont="1" applyFill="1" applyBorder="1" applyAlignment="1">
      <x:alignment vertical="top"/>
    </x:xf>
    <x:xf numFmtId="44" fontId="0" fillId="0" borderId="19" xfId="0" applyNumberFormat="1" applyFont="1" applyFill="1" applyBorder="1" applyAlignment="1">
      <x:alignment vertical="center"/>
    </x:xf>
    <x:xf numFmtId="44" fontId="2" fillId="3" borderId="19" xfId="0" applyNumberFormat="1" applyFont="1" applyFill="1" applyBorder="1" applyAlignment="1">
      <x:alignment vertical="top" wrapText="1"/>
    </x:xf>
    <x:xf numFmtId="0" fontId="4" fillId="2" borderId="19" xfId="0" applyNumberFormat="1" applyFont="1" applyFill="1" applyBorder="1" applyAlignment="1">
      <x:alignment vertical="center" wrapText="1"/>
    </x:xf>
    <x:xf numFmtId="0" fontId="2" fillId="7" borderId="24" xfId="0" applyNumberFormat="1" applyFont="1" applyFill="1" applyBorder="1" applyAlignment="1">
      <x:alignment vertical="center" wrapText="1"/>
    </x:xf>
    <x:xf numFmtId="0" fontId="2" fillId="7" borderId="22" xfId="0" applyNumberFormat="1" applyFont="1" applyFill="1" applyBorder="1" applyAlignment="1">
      <x:alignment vertical="center" wrapText="1"/>
    </x:xf>
    <x:xf numFmtId="0" fontId="5" fillId="12" borderId="24" xfId="0" applyNumberFormat="1" applyFont="1" applyFill="1" applyBorder="1" applyAlignment="1">
      <x:alignment vertical="center" wrapText="1"/>
    </x:xf>
    <x:xf numFmtId="0" fontId="0" fillId="3" borderId="15" xfId="0" applyNumberFormat="1" applyFont="1" applyFill="1" applyBorder="1" applyAlignment="1">
      <x:alignment wrapText="1"/>
    </x:xf>
    <x:xf numFmtId="0" fontId="9" fillId="3" borderId="15" xfId="0" applyNumberFormat="1" applyFont="1" applyFill="1" applyBorder="1" applyAlignment="1">
      <x:alignment wrapText="1"/>
    </x:xf>
    <x:xf numFmtId="0" fontId="5" fillId="2" borderId="15" xfId="0" applyNumberFormat="1" applyFont="1" applyFill="1" applyBorder="1" applyAlignment="1">
      <x:alignment vertical="center" wrapText="1"/>
    </x:xf>
    <x:xf numFmtId="0" fontId="5" fillId="2" borderId="15" xfId="0" applyNumberFormat="1" applyFont="1" applyFill="1" applyBorder="1" applyAlignment="1">
      <x:alignment wrapText="1"/>
    </x:xf>
    <x:xf numFmtId="0" fontId="5" fillId="2" borderId="15" xfId="0" applyNumberFormat="1" applyFont="1" applyFill="1" applyBorder="1" applyAlignment="1">
      <x:alignment vertical="center"/>
    </x:xf>
    <x:xf numFmtId="0" fontId="12" fillId="11" borderId="15" xfId="0" applyNumberFormat="1" applyFont="1" applyFill="1" applyBorder="1" applyAlignment="1">
      <x:alignment vertical="center" wrapText="1"/>
    </x:xf>
    <x:xf numFmtId="0" fontId="2" fillId="11" borderId="15" xfId="0" applyNumberFormat="1" applyFont="1" applyFill="1" applyBorder="1" applyAlignment="1">
      <x:alignment vertical="center" wrapText="1"/>
    </x:xf>
    <x:xf numFmtId="0" fontId="0" fillId="3" borderId="15" xfId="0" applyNumberFormat="1" applyFont="1" applyFill="1" applyBorder="1" applyAlignment="1">
      <x:alignment vertical="center" wrapText="1"/>
    </x:xf>
    <x:xf numFmtId="0" fontId="13" fillId="6" borderId="15" xfId="0" applyNumberFormat="1" applyFont="1" applyFill="1" applyBorder="1" applyAlignment="1">
      <x:alignment vertical="center"/>
    </x:xf>
    <x:xf numFmtId="0" fontId="15" fillId="6" borderId="15" xfId="0" applyNumberFormat="1" applyFont="1" applyFill="1" applyBorder="1" applyAlignment="1">
      <x:alignment vertical="center" wrapText="1"/>
    </x:xf>
    <x:xf numFmtId="0" fontId="0" fillId="28" borderId="0" xfId="0" applyNumberFormat="1" applyFont="1" applyFill="1" applyBorder="1"/>
    <x:xf numFmtId="0" fontId="5" fillId="28" borderId="0" xfId="0" applyNumberFormat="1" applyFont="1" applyFill="1" applyBorder="1"/>
    <x:xf numFmtId="0" fontId="5" fillId="28" borderId="0" xfId="0" applyNumberFormat="1" applyFont="1" applyFill="1" applyBorder="1" applyAlignment="1">
      <x:alignment vertical="center"/>
    </x:xf>
    <x:xf numFmtId="0" fontId="0" fillId="28" borderId="15" xfId="0" applyNumberFormat="1" applyFont="1" applyFill="1" applyBorder="1"/>
    <x:xf numFmtId="0" fontId="5" fillId="28" borderId="15" xfId="0" applyNumberFormat="1" applyFont="1" applyFill="1" applyBorder="1"/>
    <x:xf numFmtId="0" fontId="5" fillId="28" borderId="15" xfId="0" applyNumberFormat="1" applyFont="1" applyFill="1" applyBorder="1" applyAlignment="1">
      <x:alignment vertical="center"/>
    </x:xf>
    <x:xf numFmtId="0" fontId="0" fillId="29" borderId="0" xfId="0" applyNumberFormat="1" applyFont="1" applyFill="1" applyBorder="1"/>
    <x:xf numFmtId="0" fontId="16" fillId="29" borderId="0" xfId="0" applyNumberFormat="1" applyFont="1" applyFill="1" applyBorder="1"/>
    <x:xf numFmtId="0" fontId="16" fillId="29" borderId="0" xfId="0" applyNumberFormat="1" applyFont="1" applyFill="1" applyBorder="1" applyAlignment="1">
      <x:alignment wrapText="1"/>
    </x:xf>
    <x:xf numFmtId="0" fontId="0" fillId="29" borderId="15" xfId="0" applyNumberFormat="1" applyFont="1" applyFill="1" applyBorder="1"/>
    <x:xf numFmtId="0" fontId="16" fillId="29" borderId="15" xfId="0" applyNumberFormat="1" applyFont="1" applyFill="1" applyBorder="1"/>
    <x:xf numFmtId="0" fontId="16" fillId="29" borderId="15" xfId="0" applyNumberFormat="1" applyFont="1" applyFill="1" applyBorder="1" applyAlignment="1">
      <x:alignment wrapText="1"/>
    </x:xf>
    <x:xf numFmtId="0" fontId="4" fillId="28" borderId="0" xfId="0" applyNumberFormat="1" applyFont="1" applyFill="1" applyBorder="1"/>
    <x:xf numFmtId="0" fontId="4" fillId="28" borderId="15" xfId="0" applyNumberFormat="1" applyFont="1" applyFill="1" applyBorder="1"/>
    <x:xf numFmtId="0" fontId="0" fillId="30" borderId="0" xfId="0" applyNumberFormat="1" applyFont="1" applyFill="1" applyBorder="1"/>
    <x:xf numFmtId="0" fontId="0" fillId="30" borderId="15" xfId="0" applyNumberFormat="1" applyFont="1" applyFill="1" applyBorder="1"/>
    <x:xf numFmtId="200" fontId="0" fillId="0" borderId="0" xfId="0" applyNumberFormat="1" applyFont="1" applyFill="1" applyBorder="1"/>
    <x:xf numFmtId="200" fontId="0" fillId="30" borderId="0" xfId="0" applyNumberFormat="1" applyFont="1" applyFill="1" applyBorder="1"/>
    <x:xf numFmtId="200" fontId="0" fillId="0" borderId="15" xfId="0" applyNumberFormat="1" applyFont="1" applyFill="1" applyBorder="1"/>
    <x:xf numFmtId="200" fontId="0" fillId="30" borderId="15" xfId="0" applyNumberFormat="1" applyFont="1" applyFill="1" applyBorder="1"/>
    <x:xf numFmtId="201" fontId="0" fillId="30" borderId="0" xfId="0" applyNumberFormat="1" applyFont="1" applyFill="1" applyBorder="1"/>
    <x:xf numFmtId="201" fontId="0" fillId="30" borderId="15" xfId="0" applyNumberFormat="1" applyFont="1" applyFill="1" applyBorder="1"/>
    <x:xf numFmtId="201" fontId="0" fillId="0" borderId="0" xfId="0" applyNumberFormat="1" applyFont="1" applyFill="1" applyBorder="1"/>
    <x:xf numFmtId="201" fontId="0" fillId="0" borderId="15" xfId="0" applyNumberFormat="1" applyFont="1" applyFill="1" applyBorder="1"/>
    <x:xf numFmtId="202" fontId="0" fillId="0" borderId="0" xfId="0" applyNumberFormat="1" applyFont="1" applyFill="1" applyBorder="1"/>
    <x:xf numFmtId="202" fontId="0" fillId="30" borderId="0" xfId="0" applyNumberFormat="1" applyFont="1" applyFill="1" applyBorder="1"/>
    <x:xf numFmtId="202" fontId="0" fillId="0" borderId="15" xfId="0" applyNumberFormat="1" applyFont="1" applyFill="1" applyBorder="1"/>
    <x:xf numFmtId="202" fontId="0" fillId="30" borderId="15" xfId="0" applyNumberFormat="1" applyFont="1" applyFill="1" applyBorder="1"/>
    <x:xf numFmtId="203" fontId="0" fillId="0" borderId="0" xfId="0" applyNumberFormat="1" applyFont="1" applyFill="1" applyBorder="1"/>
    <x:xf numFmtId="203" fontId="0" fillId="30" borderId="0" xfId="0" applyNumberFormat="1" applyFont="1" applyFill="1" applyBorder="1"/>
    <x:xf numFmtId="203" fontId="0" fillId="0" borderId="15" xfId="0" applyNumberFormat="1" applyFont="1" applyFill="1" applyBorder="1"/>
    <x:xf numFmtId="203" fontId="0" fillId="30" borderId="15" xfId="0" applyNumberFormat="1" applyFont="1" applyFill="1" applyBorder="1"/>
    <x:xf numFmtId="0" fontId="0" fillId="0" borderId="0" xfId="0" applyNumberFormat="1" applyFont="1" applyFill="1" applyBorder="1"/>
    <x:xf numFmtId="204" fontId="0" fillId="0" borderId="0" xfId="0" applyNumberFormat="1" applyFont="1" applyFill="1" applyBorder="1"/>
    <x:xf numFmtId="204" fontId="0" fillId="0" borderId="15" xfId="0" applyNumberFormat="1" applyFont="1" applyFill="1" applyBorder="1"/>
    <x:xf numFmtId="205" fontId="0" fillId="30" borderId="0" xfId="0" applyNumberFormat="1" applyFont="1" applyFill="1" applyBorder="1"/>
    <x:xf numFmtId="205" fontId="0" fillId="30" borderId="15" xfId="0" applyNumberFormat="1" applyFont="1" applyFill="1" applyBorder="1"/>
    <x:xf numFmtId="0" fontId="0" fillId="31" borderId="0" xfId="0" applyNumberFormat="1" applyFont="1" applyFill="1" applyBorder="1"/>
    <x:xf numFmtId="0" fontId="2" fillId="31" borderId="0" xfId="0" applyNumberFormat="1" applyFont="1" applyFill="1" applyBorder="1"/>
    <x:xf numFmtId="0" fontId="0" fillId="31" borderId="15" xfId="0" applyNumberFormat="1" applyFont="1" applyFill="1" applyBorder="1"/>
    <x:xf numFmtId="0" fontId="2" fillId="31" borderId="15" xfId="0" applyNumberFormat="1" applyFont="1" applyFill="1" applyBorder="1"/>
    <x:xf numFmtId="203" fontId="0" fillId="31" borderId="0" xfId="0" applyNumberFormat="1" applyFont="1" applyFill="1" applyBorder="1"/>
    <x:xf numFmtId="203" fontId="2" fillId="31" borderId="0" xfId="0" applyNumberFormat="1" applyFont="1" applyFill="1" applyBorder="1"/>
    <x:xf numFmtId="203" fontId="0" fillId="31" borderId="15" xfId="0" applyNumberFormat="1" applyFont="1" applyFill="1" applyBorder="1"/>
    <x:xf numFmtId="203" fontId="2" fillId="31" borderId="15" xfId="0" applyNumberFormat="1" applyFont="1" applyFill="1" applyBorder="1"/>
    <x:xf numFmtId="0" fontId="0" fillId="29" borderId="0" xfId="0" applyNumberFormat="1" applyFont="1" applyFill="1" applyBorder="1" applyAlignment="1">
      <x:alignment wrapText="1"/>
    </x:xf>
    <x:xf numFmtId="0" fontId="0" fillId="29" borderId="15" xfId="0" applyNumberFormat="1" applyFont="1" applyFill="1" applyBorder="1" applyAlignment="1">
      <x:alignment wrapText="1"/>
    </x:xf>
    <x:xf numFmtId="0" fontId="0" fillId="32" borderId="0" xfId="0" applyNumberFormat="1" applyFont="1" applyFill="1" applyBorder="1"/>
    <x:xf numFmtId="0" fontId="2" fillId="32" borderId="0" xfId="0" applyNumberFormat="1" applyFont="1" applyFill="1" applyBorder="1"/>
    <x:xf numFmtId="0" fontId="0" fillId="32" borderId="15" xfId="0" applyNumberFormat="1" applyFont="1" applyFill="1" applyBorder="1"/>
    <x:xf numFmtId="0" fontId="2" fillId="32" borderId="15" xfId="0" applyNumberFormat="1" applyFont="1" applyFill="1" applyBorder="1"/>
    <x:xf numFmtId="0" fontId="5" fillId="28" borderId="0" xfId="0" applyNumberFormat="1" applyFont="1" applyFill="1" applyBorder="1" applyAlignment="1">
      <x:alignment vertical="top"/>
    </x:xf>
    <x:xf numFmtId="0" fontId="16" fillId="29" borderId="0" xfId="0" applyNumberFormat="1" applyFont="1" applyFill="1" applyBorder="1" applyAlignment="1">
      <x:alignment vertical="top" wrapText="1"/>
    </x:xf>
    <x:xf numFmtId="0" fontId="4" fillId="28" borderId="0" xfId="0" applyNumberFormat="1" applyFont="1" applyFill="1" applyBorder="1" applyAlignment="1">
      <x:alignment vertical="top"/>
    </x:xf>
    <x:xf numFmtId="200" fontId="0" fillId="0" borderId="0" xfId="0" applyNumberFormat="1" applyFont="1" applyFill="1" applyBorder="1" applyAlignment="1">
      <x:alignment vertical="top"/>
    </x:xf>
    <x:xf numFmtId="200" fontId="0" fillId="30" borderId="0" xfId="0" applyNumberFormat="1" applyFont="1" applyFill="1" applyBorder="1" applyAlignment="1">
      <x:alignment vertical="top"/>
    </x:xf>
    <x:xf numFmtId="201" fontId="0" fillId="30" borderId="0" xfId="0" applyNumberFormat="1" applyFont="1" applyFill="1" applyBorder="1" applyAlignment="1">
      <x:alignment vertical="top"/>
    </x:xf>
    <x:xf numFmtId="202" fontId="0" fillId="0" borderId="0" xfId="0" applyNumberFormat="1" applyFont="1" applyFill="1" applyBorder="1" applyAlignment="1">
      <x:alignment vertical="top"/>
    </x:xf>
    <x:xf numFmtId="202" fontId="0" fillId="30" borderId="0" xfId="0" applyNumberFormat="1" applyFont="1" applyFill="1" applyBorder="1" applyAlignment="1">
      <x:alignment vertical="top"/>
    </x:xf>
    <x:xf numFmtId="201" fontId="0" fillId="0" borderId="0" xfId="0" applyNumberFormat="1" applyFont="1" applyFill="1" applyBorder="1" applyAlignment="1">
      <x:alignment vertical="top"/>
    </x:xf>
    <x:xf numFmtId="203" fontId="0" fillId="0" borderId="0" xfId="0" applyNumberFormat="1" applyFont="1" applyFill="1" applyBorder="1" applyAlignment="1">
      <x:alignment vertical="top"/>
    </x:xf>
    <x:xf numFmtId="0" fontId="0" fillId="29" borderId="0" xfId="0" applyNumberFormat="1" applyFont="1" applyFill="1" applyBorder="1" applyAlignment="1">
      <x:alignment vertical="top" wrapText="1"/>
    </x:xf>
    <x:xf numFmtId="203" fontId="0" fillId="30" borderId="0" xfId="0" applyNumberFormat="1" applyFont="1" applyFill="1" applyBorder="1" applyAlignment="1">
      <x:alignment vertical="top"/>
    </x:xf>
    <x:xf numFmtId="0" fontId="0" fillId="30" borderId="0" xfId="0" applyNumberFormat="1" applyFont="1" applyFill="1" applyBorder="1" applyAlignment="1">
      <x:alignment vertical="top"/>
    </x:xf>
    <x:xf numFmtId="204" fontId="0" fillId="0" borderId="0" xfId="0" applyNumberFormat="1" applyFont="1" applyFill="1" applyBorder="1" applyAlignment="1">
      <x:alignment vertical="top"/>
    </x:xf>
    <x:xf numFmtId="205" fontId="0" fillId="30" borderId="0" xfId="0" applyNumberFormat="1" applyFont="1" applyFill="1" applyBorder="1" applyAlignment="1">
      <x:alignment vertical="top"/>
    </x:xf>
    <x:xf numFmtId="0" fontId="2" fillId="31" borderId="0" xfId="0" applyNumberFormat="1" applyFont="1" applyFill="1" applyBorder="1" applyAlignment="1">
      <x:alignment vertical="top"/>
    </x:xf>
    <x:xf numFmtId="203" fontId="2" fillId="31" borderId="0" xfId="0" applyNumberFormat="1" applyFont="1" applyFill="1" applyBorder="1" applyAlignment="1">
      <x:alignment vertical="top"/>
    </x:xf>
    <x:xf numFmtId="0" fontId="2" fillId="32" borderId="0" xfId="0" applyNumberFormat="1" applyFont="1" applyFill="1" applyBorder="1" applyAlignment="1">
      <x:alignment vertical="top"/>
    </x:xf>
    <x:xf numFmtId="0" fontId="0" fillId="29" borderId="0" xfId="0" applyNumberFormat="1" applyFont="1" applyFill="1" applyBorder="1" applyAlignment="1">
      <x:alignment vertical="top"/>
    </x:xf>
    <x:xf numFmtId="0" fontId="5" fillId="28" borderId="15" xfId="0" applyNumberFormat="1" applyFont="1" applyFill="1" applyBorder="1" applyAlignment="1">
      <x:alignment vertical="top"/>
    </x:xf>
    <x:xf numFmtId="0" fontId="16" fillId="29" borderId="15" xfId="0" applyNumberFormat="1" applyFont="1" applyFill="1" applyBorder="1" applyAlignment="1">
      <x:alignment vertical="top" wrapText="1"/>
    </x:xf>
    <x:xf numFmtId="0" fontId="4" fillId="28" borderId="15" xfId="0" applyNumberFormat="1" applyFont="1" applyFill="1" applyBorder="1" applyAlignment="1">
      <x:alignment vertical="top"/>
    </x:xf>
    <x:xf numFmtId="200" fontId="0" fillId="0" borderId="15" xfId="0" applyNumberFormat="1" applyFont="1" applyFill="1" applyBorder="1" applyAlignment="1">
      <x:alignment vertical="top"/>
    </x:xf>
    <x:xf numFmtId="200" fontId="0" fillId="30" borderId="15" xfId="0" applyNumberFormat="1" applyFont="1" applyFill="1" applyBorder="1" applyAlignment="1">
      <x:alignment vertical="top"/>
    </x:xf>
    <x:xf numFmtId="201" fontId="0" fillId="30" borderId="15" xfId="0" applyNumberFormat="1" applyFont="1" applyFill="1" applyBorder="1" applyAlignment="1">
      <x:alignment vertical="top"/>
    </x:xf>
    <x:xf numFmtId="202" fontId="0" fillId="0" borderId="15" xfId="0" applyNumberFormat="1" applyFont="1" applyFill="1" applyBorder="1" applyAlignment="1">
      <x:alignment vertical="top"/>
    </x:xf>
    <x:xf numFmtId="202" fontId="0" fillId="30" borderId="15" xfId="0" applyNumberFormat="1" applyFont="1" applyFill="1" applyBorder="1" applyAlignment="1">
      <x:alignment vertical="top"/>
    </x:xf>
    <x:xf numFmtId="201" fontId="0" fillId="0" borderId="15" xfId="0" applyNumberFormat="1" applyFont="1" applyFill="1" applyBorder="1" applyAlignment="1">
      <x:alignment vertical="top"/>
    </x:xf>
    <x:xf numFmtId="203" fontId="0" fillId="0" borderId="15" xfId="0" applyNumberFormat="1" applyFont="1" applyFill="1" applyBorder="1" applyAlignment="1">
      <x:alignment vertical="top"/>
    </x:xf>
    <x:xf numFmtId="0" fontId="0" fillId="29" borderId="15" xfId="0" applyNumberFormat="1" applyFont="1" applyFill="1" applyBorder="1" applyAlignment="1">
      <x:alignment vertical="top" wrapText="1"/>
    </x:xf>
    <x:xf numFmtId="203" fontId="0" fillId="30" borderId="15" xfId="0" applyNumberFormat="1" applyFont="1" applyFill="1" applyBorder="1" applyAlignment="1">
      <x:alignment vertical="top"/>
    </x:xf>
    <x:xf numFmtId="0" fontId="0" fillId="30" borderId="15" xfId="0" applyNumberFormat="1" applyFont="1" applyFill="1" applyBorder="1" applyAlignment="1">
      <x:alignment vertical="top"/>
    </x:xf>
    <x:xf numFmtId="204" fontId="0" fillId="0" borderId="15" xfId="0" applyNumberFormat="1" applyFont="1" applyFill="1" applyBorder="1" applyAlignment="1">
      <x:alignment vertical="top"/>
    </x:xf>
    <x:xf numFmtId="205" fontId="0" fillId="30" borderId="15" xfId="0" applyNumberFormat="1" applyFont="1" applyFill="1" applyBorder="1" applyAlignment="1">
      <x:alignment vertical="top"/>
    </x:xf>
    <x:xf numFmtId="0" fontId="2" fillId="31" borderId="15" xfId="0" applyNumberFormat="1" applyFont="1" applyFill="1" applyBorder="1" applyAlignment="1">
      <x:alignment vertical="top"/>
    </x:xf>
    <x:xf numFmtId="203" fontId="2" fillId="31" borderId="15" xfId="0" applyNumberFormat="1" applyFont="1" applyFill="1" applyBorder="1" applyAlignment="1">
      <x:alignment vertical="top"/>
    </x:xf>
    <x:xf numFmtId="0" fontId="2" fillId="32" borderId="15" xfId="0" applyNumberFormat="1" applyFont="1" applyFill="1" applyBorder="1" applyAlignment="1">
      <x:alignment vertical="top"/>
    </x:xf>
    <x:xf numFmtId="0" fontId="0" fillId="29" borderId="15" xfId="0" applyNumberFormat="1" applyFont="1" applyFill="1" applyBorder="1" applyAlignment="1">
      <x:alignment vertical="top"/>
    </x:xf>
    <x:xf numFmtId="0" fontId="5" fillId="28" borderId="0" xfId="0" applyNumberFormat="1" applyFont="1" applyFill="1" applyBorder="1" applyAlignment="1">
      <x:alignment vertical="top" wrapText="1"/>
    </x:xf>
    <x:xf numFmtId="0" fontId="4" fillId="28"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30" borderId="0" xfId="0" applyNumberFormat="1" applyFont="1" applyFill="1" applyBorder="1" applyAlignment="1">
      <x:alignment vertical="top" wrapText="1"/>
    </x:xf>
    <x:xf numFmtId="201" fontId="0" fillId="3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3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3" fontId="0" fillId="30" borderId="0" xfId="0" applyNumberFormat="1" applyFont="1" applyFill="1" applyBorder="1" applyAlignment="1">
      <x:alignment vertical="top" wrapText="1"/>
    </x:xf>
    <x:xf numFmtId="0" fontId="0" fillId="30" borderId="0"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205" fontId="0" fillId="30" borderId="0" xfId="0" applyNumberFormat="1" applyFont="1" applyFill="1" applyBorder="1" applyAlignment="1">
      <x:alignment vertical="top" wrapText="1"/>
    </x:xf>
    <x:xf numFmtId="0" fontId="2" fillId="31" borderId="0" xfId="0" applyNumberFormat="1" applyFont="1" applyFill="1" applyBorder="1" applyAlignment="1">
      <x:alignment vertical="top" wrapText="1"/>
    </x:xf>
    <x:xf numFmtId="203" fontId="2" fillId="31" borderId="0" xfId="0" applyNumberFormat="1" applyFont="1" applyFill="1" applyBorder="1" applyAlignment="1">
      <x:alignment vertical="top" wrapText="1"/>
    </x:xf>
    <x:xf numFmtId="0" fontId="2" fillId="32" borderId="0" xfId="0" applyNumberFormat="1" applyFont="1" applyFill="1" applyBorder="1" applyAlignment="1">
      <x:alignment vertical="top" wrapText="1"/>
    </x:xf>
    <x:xf numFmtId="0" fontId="5" fillId="28" borderId="15" xfId="0" applyNumberFormat="1" applyFont="1" applyFill="1" applyBorder="1" applyAlignment="1">
      <x:alignment vertical="top" wrapText="1"/>
    </x:xf>
    <x:xf numFmtId="0" fontId="4" fillId="28" borderId="15"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30" borderId="15" xfId="0" applyNumberFormat="1" applyFont="1" applyFill="1" applyBorder="1" applyAlignment="1">
      <x:alignment vertical="top" wrapText="1"/>
    </x:xf>
    <x:xf numFmtId="201" fontId="0" fillId="30" borderId="15" xfId="0" applyNumberFormat="1" applyFont="1" applyFill="1" applyBorder="1" applyAlignment="1">
      <x:alignment vertical="top" wrapText="1"/>
    </x:xf>
    <x:xf numFmtId="202" fontId="0" fillId="0" borderId="15" xfId="0" applyNumberFormat="1" applyFont="1" applyFill="1" applyBorder="1" applyAlignment="1">
      <x:alignment vertical="top" wrapText="1"/>
    </x:xf>
    <x:xf numFmtId="202" fontId="0" fillId="30" borderId="15" xfId="0" applyNumberFormat="1" applyFont="1" applyFill="1" applyBorder="1" applyAlignment="1">
      <x:alignment vertical="top" wrapText="1"/>
    </x:xf>
    <x:xf numFmtId="201" fontId="0" fillId="0" borderId="15" xfId="0" applyNumberFormat="1" applyFont="1" applyFill="1" applyBorder="1" applyAlignment="1">
      <x:alignment vertical="top" wrapText="1"/>
    </x:xf>
    <x:xf numFmtId="203" fontId="0" fillId="0" borderId="15" xfId="0" applyNumberFormat="1" applyFont="1" applyFill="1" applyBorder="1" applyAlignment="1">
      <x:alignment vertical="top" wrapText="1"/>
    </x:xf>
    <x:xf numFmtId="203" fontId="0" fillId="30" borderId="15" xfId="0" applyNumberFormat="1" applyFont="1" applyFill="1" applyBorder="1" applyAlignment="1">
      <x:alignment vertical="top" wrapText="1"/>
    </x:xf>
    <x:xf numFmtId="0" fontId="0" fillId="30" borderId="15" xfId="0" applyNumberFormat="1" applyFont="1" applyFill="1" applyBorder="1" applyAlignment="1">
      <x:alignment vertical="top" wrapText="1"/>
    </x:xf>
    <x:xf numFmtId="204" fontId="0" fillId="0" borderId="15" xfId="0" applyNumberFormat="1" applyFont="1" applyFill="1" applyBorder="1" applyAlignment="1">
      <x:alignment vertical="top" wrapText="1"/>
    </x:xf>
    <x:xf numFmtId="205" fontId="0" fillId="30" borderId="15" xfId="0" applyNumberFormat="1" applyFont="1" applyFill="1" applyBorder="1" applyAlignment="1">
      <x:alignment vertical="top" wrapText="1"/>
    </x:xf>
    <x:xf numFmtId="0" fontId="2" fillId="31" borderId="15" xfId="0" applyNumberFormat="1" applyFont="1" applyFill="1" applyBorder="1" applyAlignment="1">
      <x:alignment vertical="top" wrapText="1"/>
    </x:xf>
    <x:xf numFmtId="203" fontId="2" fillId="31" borderId="15" xfId="0" applyNumberFormat="1" applyFont="1" applyFill="1" applyBorder="1" applyAlignment="1">
      <x:alignment vertical="top" wrapText="1"/>
    </x:xf>
    <x:xf numFmtId="0" fontId="2" fillId="32" borderId="15" xfId="0" applyNumberFormat="1" applyFont="1" applyFill="1" applyBorder="1" applyAlignment="1">
      <x:alignment vertical="top" wrapText="1"/>
    </x:xf>
    <x:xf numFmtId="0" fontId="4" fillId="28" borderId="0" xfId="0" applyNumberFormat="1" applyFont="1" applyFill="1" applyBorder="1" applyAlignment="1">
      <x:alignment wrapText="1"/>
    </x:xf>
    <x:xf numFmtId="0" fontId="4" fillId="28" borderId="0" xfId="0" applyNumberFormat="1" applyFont="1" applyFill="1" applyBorder="1" applyAlignment="1">
      <x:alignment horizontal="center" wrapText="1"/>
    </x:xf>
    <x:xf numFmtId="0" fontId="4" fillId="28" borderId="15" xfId="0" applyNumberFormat="1" applyFont="1" applyFill="1" applyBorder="1" applyAlignment="1">
      <x:alignment wrapText="1"/>
    </x:xf>
    <x:xf numFmtId="0" fontId="4" fillId="28" borderId="15" xfId="0" applyNumberFormat="1" applyFont="1" applyFill="1" applyBorder="1" applyAlignment="1">
      <x:alignment horizontal="center" wrapText="1"/>
    </x:xf>
    <x:xf numFmtId="164" fontId="0" fillId="31" borderId="0" xfId="0" applyNumberFormat="1" applyFont="1" applyFill="1" applyBorder="1" applyAlignment="1">
      <x:alignment vertical="center" wrapText="1"/>
    </x:xf>
    <x:xf numFmtId="164" fontId="2" fillId="31" borderId="0" xfId="0" applyNumberFormat="1" applyFont="1" applyFill="1" applyBorder="1" applyAlignment="1">
      <x:alignment vertical="center" wrapText="1"/>
    </x:xf>
    <x:xf numFmtId="203" fontId="2" fillId="31" borderId="0" xfId="0" applyNumberFormat="1" applyFont="1" applyFill="1" applyBorder="1" applyAlignment="1">
      <x:alignment vertical="center" wrapText="1"/>
    </x:xf>
    <x:xf numFmtId="164" fontId="0" fillId="31" borderId="15" xfId="0" applyNumberFormat="1" applyFont="1" applyFill="1" applyBorder="1" applyAlignment="1">
      <x:alignment vertical="center" wrapText="1"/>
    </x:xf>
    <x:xf numFmtId="164" fontId="2" fillId="31" borderId="15" xfId="0" applyNumberFormat="1" applyFont="1" applyFill="1" applyBorder="1" applyAlignment="1">
      <x:alignment vertical="center" wrapText="1"/>
    </x:xf>
    <x:xf numFmtId="203" fontId="2" fillId="31" borderId="15" xfId="0" applyNumberFormat="1" applyFont="1" applyFill="1" applyBorder="1" applyAlignment="1">
      <x:alignment vertical="center" wrapText="1"/>
    </x:xf>
    <x:xf numFmtId="10" fontId="0" fillId="29" borderId="0" xfId="0" applyNumberFormat="1" applyFont="1" applyFill="1" applyBorder="1" applyAlignment="1">
      <x:alignment vertical="center" wrapText="1"/>
    </x:xf>
    <x:xf numFmtId="10" fontId="0" fillId="29" borderId="15" xfId="0" applyNumberFormat="1" applyFont="1" applyFill="1" applyBorder="1" applyAlignment="1">
      <x:alignment vertical="center" wrapText="1"/>
    </x:xf>
    <x:xf numFmtId="204" fontId="0" fillId="0" borderId="0" xfId="0" applyNumberFormat="1" applyFont="1" applyFill="1" applyBorder="1" applyAlignment="1">
      <x:alignment vertical="center" wrapText="1"/>
    </x:xf>
    <x:xf numFmtId="204" fontId="0" fillId="0" borderId="15" xfId="0" applyNumberFormat="1" applyFont="1" applyFill="1" applyBorder="1" applyAlignment="1">
      <x:alignment vertical="center" wrapText="1"/>
    </x:xf>
    <x:xf numFmtId="203" fontId="0" fillId="6" borderId="0" xfId="0" applyNumberFormat="1" applyFont="1" applyFill="1" applyBorder="1" applyAlignment="1">
      <x:alignment vertical="center" wrapText="1"/>
    </x:xf>
    <x:xf numFmtId="203" fontId="0" fillId="6" borderId="15" xfId="0" applyNumberFormat="1" applyFont="1" applyFill="1" applyBorder="1" applyAlignment="1">
      <x:alignment vertical="center" wrapText="1"/>
    </x:xf>
    <x:xf numFmtId="203" fontId="0" fillId="0" borderId="0" xfId="0" applyNumberFormat="1" applyFont="1" applyFill="1" applyBorder="1" applyAlignment="1">
      <x:alignment wrapText="1"/>
    </x:xf>
    <x:xf numFmtId="203" fontId="0" fillId="0" borderId="15" xfId="0" applyNumberFormat="1" applyFont="1" applyFill="1" applyBorder="1" applyAlignment="1">
      <x:alignment wrapText="1"/>
    </x:xf>
    <x:xf numFmtId="0" fontId="8" fillId="0" borderId="0" xfId="0" applyNumberFormat="1" applyFont="1" applyFill="1" applyBorder="1" applyAlignment="1">
      <x:alignment vertical="center"/>
    </x:xf>
    <x:xf numFmtId="44" fontId="0" fillId="0" borderId="0" xfId="0" applyNumberFormat="1" applyFont="1" applyFill="1" applyBorder="1"/>
    <x:xf numFmtId="164" fontId="11" fillId="7" borderId="0" xfId="0" applyNumberFormat="1" applyFont="1" applyFill="1" applyBorder="1" applyAlignment="1">
      <x:alignment wrapText="1"/>
    </x:xf>
    <x:xf numFmtId="0" fontId="2" fillId="3" borderId="0" xfId="0" applyNumberFormat="1" applyFont="1" applyFill="1" applyBorder="1"/>
    <x:xf numFmtId="0" fontId="0" fillId="6" borderId="0" xfId="0" applyNumberFormat="1" applyFont="1" applyFill="1" applyBorder="1"/>
    <x:xf numFmtId="0" fontId="0" fillId="7" borderId="0" xfId="0" applyNumberFormat="1" applyFont="1" applyFill="1" applyBorder="1"/>
    <x:xf numFmtId="0" fontId="2" fillId="5" borderId="0" xfId="0" applyNumberFormat="1" applyFont="1" applyFill="1" applyBorder="1"/>
    <x:xf numFmtId="0" fontId="4" fillId="9" borderId="12" xfId="0" applyNumberFormat="1" applyFont="1" applyFill="1" applyBorder="1" applyAlignment="1">
      <x:alignment vertical="top" wrapText="1"/>
    </x:xf>
    <x:xf numFmtId="0" fontId="4" fillId="9" borderId="13" xfId="0" applyNumberFormat="1" applyFont="1" applyFill="1" applyBorder="1" applyAlignment="1">
      <x:alignment vertical="top" wrapText="1"/>
    </x:xf>
    <x:xf numFmtId="0" fontId="4" fillId="9" borderId="14"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0" borderId="0" xfId="0" applyNumberFormat="1" applyFont="1" applyFill="1" applyBorder="1"/>
    <x:xf numFmtId="0" fontId="2" fillId="0" borderId="0" xfId="0" applyNumberFormat="1" applyFont="1" applyFill="1" applyBorder="1" applyAlignment="1">
      <x:alignment vertical="center"/>
    </x:xf>
    <x:xf numFmtId="0" fontId="2" fillId="3" borderId="0" xfId="0" applyNumberFormat="1" applyFont="1" applyFill="1" applyBorder="1" applyAlignment="1">
      <x:alignment horizontal="center" vertical="center"/>
    </x:xf>
    <x:xf numFmtId="0" fontId="2" fillId="3" borderId="0" xfId="0" applyNumberFormat="1" applyFont="1" applyFill="1" applyBorder="1" applyAlignment="1">
      <x:alignment vertical="center"/>
    </x:xf>
    <x:xf numFmtId="0" fontId="0" fillId="6" borderId="0" xfId="0" applyNumberFormat="1" applyFont="1" applyFill="1" applyBorder="1" applyAlignment="1">
      <x:alignment vertical="center"/>
    </x:xf>
    <x:xf numFmtId="164" fontId="0" fillId="6" borderId="0" xfId="0" applyNumberFormat="1" applyFont="1" applyFill="1" applyBorder="1" applyAlignment="1">
      <x:alignment vertical="center"/>
    </x:xf>
    <x:xf numFmtId="0" fontId="0" fillId="7" borderId="0" xfId="0" applyNumberFormat="1" applyFont="1" applyFill="1" applyBorder="1" applyAlignment="1">
      <x:alignment vertical="center"/>
    </x:xf>
    <x:xf numFmtId="164" fontId="0" fillId="7" borderId="0" xfId="0" applyNumberFormat="1" applyFont="1" applyFill="1" applyBorder="1" applyAlignment="1">
      <x:alignment vertical="center"/>
    </x:xf>
    <x:xf numFmtId="0" fontId="2" fillId="5" borderId="0" xfId="0" applyNumberFormat="1" applyFont="1" applyFill="1" applyBorder="1" applyAlignment="1">
      <x:alignment vertical="center"/>
    </x:xf>
    <x:xf numFmtId="164" fontId="0" fillId="6" borderId="0" xfId="0" applyNumberFormat="1" applyFont="1" applyFill="1" applyBorder="1" applyAlignment="1">
      <x:alignment vertical="center" wrapText="1"/>
    </x:xf>
    <x:xf numFmtId="168" fontId="0" fillId="6" borderId="0" xfId="0" applyNumberFormat="1" applyFont="1" applyFill="1" applyBorder="1" applyAlignment="1">
      <x:alignment vertical="center" wrapText="1"/>
    </x:xf>
    <x:xf numFmtId="168" fontId="11" fillId="7" borderId="0" xfId="0" applyNumberFormat="1" applyFont="1" applyFill="1" applyBorder="1" applyAlignment="1">
      <x:alignment vertical="center" wrapText="1"/>
    </x:xf>
    <x:xf numFmtId="168" fontId="14" fillId="7" borderId="0" xfId="0" applyNumberFormat="1" applyFont="1" applyFill="1" applyBorder="1" applyAlignment="1">
      <x:alignment vertical="center" wrapText="1"/>
    </x:xf>
    <x:xf numFmtId="0" fontId="4" fillId="2" borderId="0" xfId="0" applyNumberFormat="1" applyFont="1" applyFill="1" applyBorder="1" applyAlignment="1">
      <x:alignment vertical="center"/>
    </x:xf>
    <x:xf numFmtId="0" fontId="4" fillId="2" borderId="0" xfId="0" applyNumberFormat="1" applyFont="1" applyFill="1" applyBorder="1"/>
    <x:xf numFmtId="0" fontId="5" fillId="2" borderId="0" xfId="0" applyNumberFormat="1" applyFont="1" applyFill="1" applyBorder="1" applyAlignment="1">
      <x:alignment vertical="center"/>
    </x:xf>
    <x:xf numFmtId="0" fontId="12" fillId="11" borderId="0" xfId="0" applyNumberFormat="1" applyFont="1" applyFill="1" applyBorder="1" applyAlignment="1">
      <x:alignment vertical="center" wrapText="1"/>
    </x:xf>
    <x:xf numFmtId="0" fontId="2" fillId="11" borderId="0" xfId="0" applyNumberFormat="1" applyFont="1" applyFill="1" applyBorder="1" applyAlignment="1">
      <x:alignment vertical="center" wrapText="1"/>
    </x:xf>
    <x:xf numFmtId="0" fontId="0" fillId="3" borderId="0" xfId="0" applyNumberFormat="1" applyFont="1" applyFill="1" applyBorder="1" applyAlignment="1">
      <x:alignment vertical="center" wrapText="1"/>
    </x:xf>
    <x:xf numFmtId="0" fontId="13" fillId="6" borderId="0" xfId="0" applyNumberFormat="1" applyFont="1" applyFill="1" applyBorder="1" applyAlignment="1">
      <x:alignment vertical="center"/>
    </x:xf>
    <x:xf numFmtId="0" fontId="15" fillId="6" borderId="0" xfId="0" applyNumberFormat="1" applyFont="1" applyFill="1" applyBorder="1" applyAlignment="1">
      <x:alignment vertical="center" wrapText="1"/>
    </x:xf>
    <x:xf numFmtId="0" fontId="0"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vertical="center"/>
    </x:xf>
    <x:xf numFmtId="0" fontId="4" fillId="12" borderId="0" xfId="0" applyNumberFormat="1" applyFont="1" applyFill="1" applyBorder="1"/>
    <x:xf numFmtId="200" fontId="0" fillId="7" borderId="0" xfId="0" applyNumberFormat="1" applyFont="1" applyFill="1" applyBorder="1"/>
    <x:xf numFmtId="201" fontId="0" fillId="7" borderId="0" xfId="0" applyNumberFormat="1" applyFont="1" applyFill="1" applyBorder="1"/>
    <x:xf numFmtId="202" fontId="0" fillId="7" borderId="0" xfId="0" applyNumberFormat="1" applyFont="1" applyFill="1" applyBorder="1"/>
    <x:xf numFmtId="203" fontId="0" fillId="7" borderId="0" xfId="0" applyNumberFormat="1" applyFont="1" applyFill="1" applyBorder="1"/>
    <x:xf numFmtId="205" fontId="0" fillId="7" borderId="0" xfId="0" applyNumberFormat="1" applyFont="1" applyFill="1" applyBorder="1"/>
    <x:xf numFmtId="0" fontId="2" fillId="6" borderId="0" xfId="0" applyNumberFormat="1" applyFont="1" applyFill="1" applyBorder="1"/>
    <x:xf numFmtId="203" fontId="0" fillId="6" borderId="0" xfId="0" applyNumberFormat="1" applyFont="1" applyFill="1" applyBorder="1"/>
    <x:xf numFmtId="203" fontId="2" fillId="6" borderId="0" xfId="0" applyNumberFormat="1" applyFont="1" applyFill="1" applyBorder="1"/>
    <x:xf numFmtId="0" fontId="0" fillId="3" borderId="0" xfId="0" applyNumberFormat="1" applyFont="1" applyFill="1" applyBorder="1"/>
    <x:xf numFmtId="0" fontId="5" fillId="12" borderId="0" xfId="0" applyNumberFormat="1" applyFont="1" applyFill="1" applyBorder="1" applyAlignment="1">
      <x:alignment vertical="top"/>
    </x:xf>
    <x:xf numFmtId="0" fontId="4" fillId="12" borderId="0" xfId="0" applyNumberFormat="1" applyFont="1" applyFill="1" applyBorder="1" applyAlignment="1">
      <x:alignment vertical="top"/>
    </x:xf>
    <x:xf numFmtId="200" fontId="0" fillId="7" borderId="0" xfId="0" applyNumberFormat="1" applyFont="1" applyFill="1" applyBorder="1" applyAlignment="1">
      <x:alignment vertical="top"/>
    </x:xf>
    <x:xf numFmtId="201" fontId="0" fillId="7" borderId="0" xfId="0" applyNumberFormat="1" applyFont="1" applyFill="1" applyBorder="1" applyAlignment="1">
      <x:alignment vertical="top"/>
    </x:xf>
    <x:xf numFmtId="202" fontId="0" fillId="7" borderId="0" xfId="0" applyNumberFormat="1" applyFont="1" applyFill="1" applyBorder="1" applyAlignment="1">
      <x:alignment vertical="top"/>
    </x:xf>
    <x:xf numFmtId="203" fontId="0" fillId="7" borderId="0" xfId="0" applyNumberFormat="1" applyFont="1" applyFill="1" applyBorder="1" applyAlignment="1">
      <x:alignment vertical="top"/>
    </x:xf>
    <x:xf numFmtId="0" fontId="0" fillId="7" borderId="0" xfId="0" applyNumberFormat="1" applyFont="1" applyFill="1" applyBorder="1" applyAlignment="1">
      <x:alignment vertical="top"/>
    </x:xf>
    <x:xf numFmtId="205" fontId="0" fillId="7" borderId="0" xfId="0" applyNumberFormat="1" applyFont="1" applyFill="1" applyBorder="1" applyAlignment="1">
      <x:alignment vertical="top"/>
    </x:xf>
    <x:xf numFmtId="0" fontId="2" fillId="6" borderId="0" xfId="0" applyNumberFormat="1" applyFont="1" applyFill="1" applyBorder="1" applyAlignment="1">
      <x:alignment vertical="top"/>
    </x:xf>
    <x:xf numFmtId="203" fontId="2" fillId="6" borderId="0" xfId="0" applyNumberFormat="1" applyFont="1" applyFill="1" applyBorder="1" applyAlignment="1">
      <x:alignment vertical="top"/>
    </x:xf>
    <x:xf numFmtId="0" fontId="2" fillId="3" borderId="0" xfId="0" applyNumberFormat="1" applyFont="1" applyFill="1" applyBorder="1" applyAlignment="1">
      <x:alignment vertical="top"/>
    </x:xf>
    <x:xf numFmtId="0" fontId="5"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200" fontId="0" fillId="7" borderId="0" xfId="0" applyNumberFormat="1" applyFont="1" applyFill="1" applyBorder="1" applyAlignment="1">
      <x:alignment vertical="top" wrapText="1"/>
    </x:xf>
    <x:xf numFmtId="201" fontId="0" fillId="7" borderId="0" xfId="0" applyNumberFormat="1" applyFont="1" applyFill="1" applyBorder="1" applyAlignment="1">
      <x:alignment vertical="top" wrapText="1"/>
    </x:xf>
    <x:xf numFmtId="202" fontId="0" fillId="7" borderId="0" xfId="0" applyNumberFormat="1" applyFont="1" applyFill="1" applyBorder="1" applyAlignment="1">
      <x:alignment vertical="top" wrapText="1"/>
    </x:xf>
    <x:xf numFmtId="203" fontId="0" fillId="7"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205" fontId="0" fillId="7" borderId="0" xfId="0" applyNumberFormat="1" applyFont="1" applyFill="1" applyBorder="1" applyAlignment="1">
      <x:alignment vertical="top" wrapText="1"/>
    </x:xf>
    <x:xf numFmtId="203" fontId="2" fillId="6"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4" fillId="12" borderId="0" xfId="0" applyNumberFormat="1" applyFont="1" applyFill="1" applyBorder="1" applyAlignment="1">
      <x:alignment wrapText="1"/>
    </x:xf>
    <x:xf numFmtId="0" fontId="4" fillId="12" borderId="0" xfId="0" applyNumberFormat="1" applyFont="1" applyFill="1" applyBorder="1" applyAlignment="1">
      <x:alignment horizontal="center" wrapText="1"/>
    </x:xf>
    <x:xf numFmtId="164" fontId="2" fillId="6" borderId="0" xfId="0" applyNumberFormat="1" applyFont="1" applyFill="1" applyBorder="1" applyAlignment="1">
      <x:alignment vertical="center" wrapText="1"/>
    </x:xf>
    <x:xf numFmtId="203" fontId="2" fillId="6" borderId="0" xfId="0" applyNumberFormat="1" applyFont="1" applyFill="1" applyBorder="1" applyAlignment="1">
      <x:alignment vertical="center" wrapText="1"/>
    </x:xf>
    <x:xf numFmtId="0" fontId="0" fillId="33" borderId="0" xfId="0" applyNumberFormat="1" applyFont="1" applyFill="1" applyBorder="1"/>
    <x:xf numFmtId="0" fontId="5" fillId="33" borderId="0" xfId="0" applyNumberFormat="1" applyFont="1" applyFill="1" applyBorder="1"/>
    <x:xf numFmtId="0" fontId="5" fillId="33" borderId="0" xfId="0" applyNumberFormat="1" applyFont="1" applyFill="1" applyBorder="1" applyAlignment="1">
      <x:alignment vertical="center"/>
    </x:xf>
    <x:xf numFmtId="0" fontId="0" fillId="34" borderId="0" xfId="0" applyNumberFormat="1" applyFont="1" applyFill="1" applyBorder="1"/>
    <x:xf numFmtId="0" fontId="2" fillId="34" borderId="0" xfId="0" applyNumberFormat="1" applyFont="1" applyFill="1" applyBorder="1"/>
    <x:xf numFmtId="0" fontId="2" fillId="34" borderId="0" xfId="0" applyNumberFormat="1" applyFont="1" applyFill="1" applyBorder="1" applyAlignment="1">
      <x:alignment wrapText="1"/>
    </x:xf>
    <x:xf numFmtId="0" fontId="0" fillId="35" borderId="0" xfId="0" applyNumberFormat="1" applyFont="1" applyFill="1" applyBorder="1"/>
    <x:xf numFmtId="0" fontId="4" fillId="35" borderId="0" xfId="0" applyNumberFormat="1" applyFont="1" applyFill="1" applyBorder="1"/>
    <x:xf numFmtId="0" fontId="4" fillId="35" borderId="0" xfId="0" applyNumberFormat="1" applyFont="1" applyFill="1" applyBorder="1" applyAlignment="1">
      <x:alignment wrapText="1"/>
    </x:xf>
    <x:xf numFmtId="0" fontId="4" fillId="35" borderId="0" xfId="0" applyNumberFormat="1" applyFont="1" applyFill="1" applyBorder="1" applyAlignment="1">
      <x:alignment vertical="center" wrapText="1"/>
    </x:xf>
    <x:xf numFmtId="0" fontId="0" fillId="36" borderId="0" xfId="0" applyNumberFormat="1" applyFont="1" applyFill="1" applyBorder="1"/>
    <x:xf numFmtId="0" fontId="17" fillId="36" borderId="0" xfId="0" applyNumberFormat="1" applyFont="1" applyFill="1" applyBorder="1"/>
    <x:xf numFmtId="0" fontId="17" fillId="36" borderId="0" xfId="0" applyNumberFormat="1" applyFont="1" applyFill="1" applyBorder="1" applyAlignment="1">
      <x:alignment vertical="center"/>
    </x:xf>
    <x:xf numFmtId="203" fontId="0" fillId="37" borderId="0" xfId="0" applyNumberFormat="1" applyFont="1" applyFill="1" applyBorder="1" applyAlignment="1">
      <x:alignment wrapText="1"/>
    </x:xf>
    <x:xf numFmtId="0" fontId="0" fillId="37" borderId="0" xfId="0" applyNumberFormat="1" applyFont="1" applyFill="1" applyBorder="1" applyAlignment="1">
      <x:alignment wrapText="1"/>
    </x:xf>
    <x:xf numFmtId="0" fontId="0" fillId="38" borderId="0" xfId="0" applyNumberFormat="1" applyFont="1" applyFill="1" applyBorder="1" applyAlignment="1">
      <x:alignment wrapText="1"/>
    </x:xf>
    <x:xf numFmtId="0" fontId="0" fillId="39" borderId="0" xfId="0" applyNumberFormat="1" applyFont="1" applyFill="1" applyBorder="1" applyAlignment="1">
      <x:alignment wrapText="1"/>
    </x:xf>
    <x:xf numFmtId="203" fontId="0" fillId="39" borderId="0" xfId="0" applyNumberFormat="1" applyFont="1" applyFill="1" applyBorder="1" applyAlignment="1">
      <x:alignment wrapText="1"/>
    </x:xf>
    <x:xf numFmtId="167" fontId="0" fillId="39" borderId="0" xfId="0" applyNumberFormat="1" applyFont="1" applyFill="1" applyBorder="1" applyAlignment="1">
      <x:alignment wrapText="1"/>
    </x:xf>
    <x:xf numFmtId="10" fontId="0" fillId="40" borderId="0" xfId="0" applyNumberFormat="1" applyFont="1" applyFill="1" applyBorder="1" applyAlignment="1">
      <x:alignment vertical="center" wrapText="1"/>
    </x:xf>
    <x:xf numFmtId="164" fontId="0" fillId="37" borderId="0" xfId="0" applyNumberFormat="1" applyFont="1" applyFill="1" applyBorder="1" applyAlignment="1">
      <x:alignment vertical="center" wrapText="1"/>
    </x:xf>
    <x:xf numFmtId="0" fontId="0" fillId="36" borderId="0" xfId="0" applyNumberFormat="1" applyFont="1" applyFill="1" applyBorder="1" applyAlignment="1">
      <x:alignment wrapText="1"/>
    </x:xf>
    <x:xf numFmtId="203" fontId="0" fillId="36" borderId="0" xfId="0" applyNumberFormat="1" applyFont="1" applyFill="1" applyBorder="1" applyAlignment="1">
      <x:alignment wrapText="1"/>
    </x:xf>
    <x:xf numFmtId="0" fontId="17" fillId="36" borderId="0" xfId="0" applyNumberFormat="1" applyFont="1" applyFill="1" applyBorder="1" applyAlignment="1">
      <x:alignment wrapText="1"/>
    </x:xf>
    <x:xf numFmtId="203" fontId="17" fillId="36" borderId="0" xfId="0" applyNumberFormat="1" applyFont="1" applyFill="1" applyBorder="1" applyAlignment="1">
      <x:alignment wrapText="1"/>
    </x:xf>
    <x:xf numFmtId="0" fontId="17" fillId="36" borderId="0" xfId="0" applyNumberFormat="1" applyFont="1" applyFill="1" applyBorder="1" applyAlignment="1">
      <x:alignment vertical="center" wrapText="1"/>
    </x:xf>
    <x:xf numFmtId="203" fontId="17" fillId="36" borderId="0" xfId="0" applyNumberFormat="1" applyFont="1" applyFill="1" applyBorder="1" applyAlignment="1">
      <x:alignment vertical="center" wrapText="1"/>
    </x:xf>
    <x:xf numFmtId="0" fontId="0" fillId="36" borderId="0" xfId="0" applyNumberFormat="1" applyFont="1" applyFill="1" applyBorder="1" applyAlignment="1">
      <x:alignment vertical="center" wrapText="1"/>
    </x:xf>
    <x:xf numFmtId="0" fontId="0" fillId="38" borderId="0" xfId="0" applyNumberFormat="1" applyFont="1" applyFill="1" applyBorder="1" applyAlignment="1">
      <x:alignment vertical="center" wrapText="1"/>
    </x:xf>
    <x:xf numFmtId="0" fontId="0" fillId="2" borderId="0" xfId="0" applyNumberFormat="1" applyFont="1" applyFill="1" applyBorder="1"/>
    <x:xf numFmtId="0" fontId="5" fillId="2"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17" fillId="3" borderId="0" xfId="0" applyNumberFormat="1" applyFont="1" applyFill="1" applyBorder="1"/>
    <x:xf numFmtId="0" fontId="17" fillId="3" borderId="0" xfId="0" applyNumberFormat="1" applyFont="1" applyFill="1" applyBorder="1" applyAlignment="1">
      <x:alignment vertical="center"/>
    </x:xf>
    <x:xf numFmtId="203" fontId="0" fillId="6" borderId="0" xfId="0" applyNumberFormat="1" applyFont="1" applyFill="1" applyBorder="1" applyAlignment="1">
      <x:alignment wrapText="1"/>
    </x:xf>
    <x:xf numFmtId="0" fontId="0" fillId="5" borderId="0" xfId="0" applyNumberFormat="1" applyFont="1" applyFill="1" applyBorder="1" applyAlignment="1">
      <x:alignment wrapText="1"/>
    </x:xf>
    <x:xf numFmtId="203" fontId="0" fillId="7" borderId="0" xfId="0" applyNumberFormat="1" applyFont="1" applyFill="1" applyBorder="1" applyAlignment="1">
      <x:alignment wrapText="1"/>
    </x:xf>
    <x:xf numFmtId="203" fontId="0" fillId="3" borderId="0" xfId="0" applyNumberFormat="1" applyFont="1" applyFill="1" applyBorder="1" applyAlignment="1">
      <x:alignment wrapText="1"/>
    </x:xf>
    <x:xf numFmtId="0" fontId="17" fillId="3" borderId="0" xfId="0" applyNumberFormat="1" applyFont="1" applyFill="1" applyBorder="1" applyAlignment="1">
      <x:alignment wrapText="1"/>
    </x:xf>
    <x:xf numFmtId="203" fontId="17" fillId="3" borderId="0" xfId="0" applyNumberFormat="1" applyFont="1" applyFill="1" applyBorder="1" applyAlignment="1">
      <x:alignment wrapText="1"/>
    </x:xf>
    <x:xf numFmtId="0" fontId="17" fillId="3" borderId="0" xfId="0" applyNumberFormat="1" applyFont="1" applyFill="1" applyBorder="1" applyAlignment="1">
      <x:alignment vertical="center" wrapText="1"/>
    </x:xf>
    <x:xf numFmtId="203" fontId="17" fillId="3" borderId="0"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0" fillId="41" borderId="0" xfId="0" applyNumberFormat="1" applyFont="1" applyFill="1" applyBorder="1"/>
    <x:xf numFmtId="0" fontId="4" fillId="41" borderId="0" xfId="0" applyNumberFormat="1" applyFont="1" applyFill="1" applyBorder="1"/>
    <x:xf numFmtId="0" fontId="4" fillId="41" borderId="0" xfId="0" applyNumberFormat="1" applyFont="1" applyFill="1" applyBorder="1" applyAlignment="1">
      <x:alignment wrapText="1"/>
    </x:xf>
    <x:xf numFmtId="0" fontId="0" fillId="42" borderId="0" xfId="0" applyNumberFormat="1" applyFont="1" applyFill="1" applyBorder="1"/>
    <x:xf numFmtId="0" fontId="2" fillId="42" borderId="0" xfId="0" applyNumberFormat="1" applyFont="1" applyFill="1" applyBorder="1"/>
    <x:xf numFmtId="0" fontId="2" fillId="42" borderId="0" xfId="0" applyNumberFormat="1" applyFont="1" applyFill="1" applyBorder="1" applyAlignment="1">
      <x:alignment wrapText="1"/>
    </x:xf>
    <x:xf numFmtId="0" fontId="0" fillId="43" borderId="0" xfId="0" applyNumberFormat="1" applyFont="1" applyFill="1" applyBorder="1"/>
    <x:xf numFmtId="0" fontId="1" fillId="43" borderId="0" xfId="0" applyNumberFormat="1" applyFont="1" applyFill="1" applyBorder="1"/>
    <x:xf numFmtId="0" fontId="1" fillId="43" borderId="0" xfId="0" applyNumberFormat="1" applyFont="1" applyFill="1" applyBorder="1" applyAlignment="1">
      <x:alignment vertical="center"/>
    </x:xf>
    <x:xf numFmtId="0" fontId="0" fillId="44" borderId="0" xfId="0" applyNumberFormat="1" applyFont="1" applyFill="1" applyBorder="1" applyAlignment="1">
      <x:alignment wrapText="1"/>
    </x:xf>
    <x:xf numFmtId="0" fontId="2" fillId="44" borderId="0" xfId="0" applyNumberFormat="1" applyFont="1" applyFill="1" applyBorder="1" applyAlignment="1">
      <x:alignment wrapText="1"/>
    </x:xf>
    <x:xf numFmtId="0" fontId="0" fillId="45" borderId="0" xfId="0" applyNumberFormat="1" applyFont="1" applyFill="1" applyBorder="1" applyAlignment="1">
      <x:alignment wrapText="1"/>
    </x:xf>
    <x:xf numFmtId="0" fontId="2" fillId="45"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x:xf numFmtId="0" fontId="1" fillId="2" borderId="0" xfId="0" applyNumberFormat="1" applyFont="1" applyFill="1" applyBorder="1" applyAlignment="1">
      <x:alignment vertical="center"/>
    </x:xf>
    <x:xf numFmtId="0" fontId="2" fillId="6" borderId="0" xfId="0" applyNumberFormat="1" applyFont="1" applyFill="1" applyBorder="1" applyAlignment="1">
      <x:alignment wrapText="1"/>
    </x:xf>
    <x:xf numFmtId="0" fontId="2" fillId="5" borderId="0" xfId="0" applyNumberFormat="1" applyFont="1" applyFill="1" applyBorder="1" applyAlignment="1">
      <x:alignment wrapText="1"/>
    </x:xf>
    <x:xf numFmtId="0" fontId="0" fillId="46" borderId="1" xfId="0" applyNumberFormat="1" applyFont="1" applyFill="1" applyBorder="1" applyAlignment="1">
      <x:alignment vertical="center" wrapText="1"/>
    </x:xf>
    <x:xf numFmtId="0" fontId="0" fillId="46" borderId="0" xfId="0" applyNumberFormat="1" applyFont="1" applyFill="1" applyBorder="1" applyAlignment="1">
      <x:alignment vertical="center" wrapText="1"/>
    </x:xf>
    <x:xf numFmtId="0" fontId="0" fillId="47" borderId="0" xfId="0" applyNumberFormat="1" applyFont="1" applyFill="1" applyBorder="1"/>
    <x:xf numFmtId="0" fontId="4" fillId="47" borderId="0" xfId="0" applyNumberFormat="1" applyFont="1" applyFill="1" applyBorder="1"/>
    <x:xf numFmtId="0" fontId="4" fillId="47" borderId="0" xfId="0" applyNumberFormat="1" applyFont="1" applyFill="1" applyBorder="1" applyAlignment="1">
      <x:alignment wrapText="1"/>
    </x:xf>
    <x:xf numFmtId="0" fontId="0" fillId="48" borderId="0" xfId="0" applyNumberFormat="1" applyFont="1" applyFill="1" applyBorder="1"/>
    <x:xf numFmtId="206" fontId="0" fillId="48" borderId="0" xfId="0" applyNumberFormat="1" applyFont="1" applyFill="1" applyBorder="1"/>
    <x:xf numFmtId="206" fontId="0" fillId="48" borderId="0" xfId="0" applyNumberFormat="1" applyFont="1" applyFill="1" applyBorder="1" applyAlignment="1">
      <x:alignment wrapText="1"/>
    </x:xf>
    <x:xf numFmtId="0" fontId="4" fillId="2" borderId="0" xfId="0" applyNumberFormat="1" applyFont="1" applyFill="1" applyBorder="1" applyAlignment="1">
      <x:alignment wrapText="1"/>
    </x:xf>
    <x:xf numFmtId="206" fontId="0" fillId="6" borderId="0" xfId="0" applyNumberFormat="1" applyFont="1" applyFill="1" applyBorder="1"/>
    <x:xf numFmtId="206" fontId="0" fillId="6" borderId="0" xfId="0" applyNumberFormat="1" applyFont="1" applyFill="1" applyBorder="1" applyAlignment="1">
      <x:alignment wrapText="1"/>
    </x:xf>
    <x:xf numFmtId="0" fontId="0" fillId="49" borderId="0" xfId="0" applyNumberFormat="1" applyFont="1" applyFill="1" applyBorder="1"/>
    <x:xf numFmtId="0" fontId="4" fillId="49" borderId="0" xfId="0" applyNumberFormat="1" applyFont="1" applyFill="1" applyBorder="1"/>
    <x:xf numFmtId="0" fontId="4" fillId="49" borderId="0" xfId="0" applyNumberFormat="1" applyFont="1" applyFill="1" applyBorder="1" applyAlignment="1">
      <x:alignment wrapText="1"/>
    </x:xf>
    <x:xf numFmtId="0" fontId="4" fillId="49" borderId="0" xfId="0" applyNumberFormat="1" applyFont="1" applyFill="1" applyBorder="1" applyAlignment="1">
      <x:alignment vertical="center" wrapText="1"/>
    </x:xf>
    <x:xf numFmtId="0" fontId="0" fillId="50" borderId="0" xfId="0" applyNumberFormat="1" applyFont="1" applyFill="1" applyBorder="1"/>
    <x:xf numFmtId="0" fontId="2" fillId="50" borderId="0" xfId="0" applyNumberFormat="1" applyFont="1" applyFill="1" applyBorder="1"/>
    <x:xf numFmtId="0" fontId="2" fillId="50" borderId="0" xfId="0" applyNumberFormat="1" applyFont="1" applyFill="1" applyBorder="1" applyAlignment="1">
      <x:alignment wrapText="1"/>
    </x:xf>
    <x:xf numFmtId="0" fontId="2" fillId="50" borderId="0" xfId="0" applyNumberFormat="1" applyFont="1" applyFill="1" applyBorder="1" applyAlignment="1">
      <x:alignment vertical="center" wrapText="1"/>
    </x:xf>
    <x:xf numFmtId="0" fontId="0" fillId="51" borderId="0" xfId="0" applyNumberFormat="1" applyFont="1" applyFill="1" applyBorder="1"/>
    <x:xf numFmtId="0" fontId="13" fillId="51" borderId="0" xfId="0" applyNumberFormat="1" applyFont="1" applyFill="1" applyBorder="1"/>
    <x:xf numFmtId="0" fontId="13" fillId="51" borderId="0" xfId="0" applyNumberFormat="1" applyFont="1" applyFill="1" applyBorder="1" applyAlignment="1">
      <x:alignment wrapText="1"/>
    </x:xf>
    <x:xf numFmtId="0" fontId="2" fillId="0" borderId="0" xfId="0" applyNumberFormat="1" applyFont="1" applyFill="1" applyBorder="1" applyAlignment="1">
      <x:alignment wrapText="1"/>
    </x:xf>
    <x:xf numFmtId="0" fontId="0" fillId="50" borderId="0" xfId="0" applyNumberFormat="1" applyFont="1" applyFill="1" applyBorder="1" applyAlignment="1">
      <x:alignment wrapText="1"/>
    </x:xf>
    <x:xf numFmtId="0" fontId="2" fillId="51" borderId="0" xfId="0" applyNumberFormat="1" applyFont="1" applyFill="1" applyBorder="1" applyAlignment="1">
      <x:alignment wrapText="1"/>
    </x:xf>
    <x:xf numFmtId="0" fontId="0" fillId="51" borderId="0" xfId="0" applyNumberFormat="1" applyFont="1" applyFill="1" applyBorder="1" applyAlignment="1">
      <x:alignment wrapText="1"/>
    </x:xf>
    <x:xf numFmtId="0" fontId="18" fillId="51" borderId="0" xfId="0" applyNumberFormat="1" applyFont="1" applyFill="1" applyBorder="1" applyAlignment="1">
      <x:alignment wrapText="1"/>
    </x:xf>
    <x:xf numFmtId="0" fontId="2" fillId="51" borderId="0" xfId="0" applyNumberFormat="1" applyFont="1" applyFill="1" applyBorder="1"/>
    <x:xf numFmtId="0" fontId="2" fillId="51" borderId="0" xfId="0" applyNumberFormat="1" applyFont="1" applyFill="1" applyBorder="1" applyAlignment="1">
      <x:alignment horizontal="center"/>
    </x:xf>
    <x:xf numFmtId="0" fontId="0" fillId="52" borderId="0" xfId="0" applyNumberFormat="1" applyFont="1" applyFill="1" applyBorder="1"/>
    <x:xf numFmtId="0" fontId="4" fillId="52" borderId="0" xfId="0" applyNumberFormat="1" applyFont="1" applyFill="1" applyBorder="1"/>
    <x:xf numFmtId="0" fontId="4" fillId="52" borderId="0" xfId="0" applyNumberFormat="1" applyFont="1" applyFill="1" applyBorder="1" applyAlignment="1">
      <x:alignment wrapText="1"/>
    </x:xf>
    <x:xf numFmtId="0" fontId="0" fillId="53" borderId="0" xfId="0" applyNumberFormat="1" applyFont="1" applyFill="1" applyBorder="1"/>
    <x:xf numFmtId="0" fontId="0" fillId="53" borderId="0" xfId="0" applyNumberFormat="1" applyFont="1" applyFill="1" applyBorder="1" applyAlignment="1">
      <x:alignment wrapText="1"/>
    </x:xf>
    <x:xf numFmtId="167" fontId="0" fillId="0" borderId="0" xfId="0" applyNumberFormat="1" applyFont="1" applyFill="1" applyBorder="1"/>
    <x:xf numFmtId="0" fontId="4" fillId="49" borderId="0" xfId="0" applyNumberFormat="1" applyFont="1" applyFill="1" applyBorder="1" applyAlignment="1">
      <x:alignment vertical="top" wrapText="1"/>
    </x:xf>
    <x:xf numFmtId="0" fontId="2" fillId="50" borderId="0" xfId="0" applyNumberFormat="1" applyFont="1" applyFill="1" applyBorder="1" applyAlignment="1">
      <x:alignment vertical="top" wrapText="1"/>
    </x:xf>
    <x:xf numFmtId="0" fontId="13" fillId="51" borderId="0" xfId="0" applyNumberFormat="1" applyFont="1" applyFill="1" applyBorder="1" applyAlignment="1">
      <x:alignment vertical="top" wrapText="1"/>
    </x:xf>
    <x:xf numFmtId="0" fontId="4" fillId="49" borderId="0" xfId="0" applyNumberFormat="1" applyFont="1" applyFill="1" applyBorder="1" applyAlignment="1">
      <x:alignment vertical="top"/>
    </x:xf>
    <x:xf numFmtId="0" fontId="2" fillId="51" borderId="0" xfId="0" applyNumberFormat="1" applyFont="1" applyFill="1" applyBorder="1" applyAlignment="1">
      <x:alignment horizontal="center" vertical="top"/>
    </x:xf>
    <x:xf numFmtId="0" fontId="18" fillId="51" borderId="0" xfId="0" applyNumberFormat="1" applyFont="1" applyFill="1" applyBorder="1" applyAlignment="1">
      <x:alignment vertical="top" wrapText="1"/>
    </x:xf>
    <x:xf numFmtId="0" fontId="4" fillId="52" borderId="0" xfId="0" applyNumberFormat="1" applyFont="1" applyFill="1" applyBorder="1" applyAlignment="1">
      <x:alignment vertical="top" wrapText="1"/>
    </x:xf>
    <x:xf numFmtId="0" fontId="0" fillId="53" borderId="0" xfId="0" applyNumberFormat="1" applyFont="1" applyFill="1" applyBorder="1" applyAlignment="1">
      <x:alignment vertical="top"/>
    </x:xf>
    <x:xf numFmtId="0" fontId="0" fillId="53" borderId="0" xfId="0" applyNumberFormat="1" applyFont="1" applyFill="1" applyBorder="1" applyAlignment="1">
      <x:alignment vertical="top" wrapText="1"/>
    </x:xf>
    <x:xf numFmtId="167" fontId="0" fillId="0" borderId="0" xfId="0" applyNumberFormat="1" applyFont="1" applyFill="1" applyBorder="1" applyAlignment="1">
      <x:alignment vertical="top"/>
    </x:xf>
    <x:xf numFmtId="0" fontId="2" fillId="51" borderId="0" xfId="0" applyNumberFormat="1" applyFont="1" applyFill="1" applyBorder="1" applyAlignment="1">
      <x:alignment horizontal="center" vertical="top" wrapText="1"/>
    </x:xf>
    <x:xf numFmtId="167" fontId="0" fillId="0" borderId="0" xfId="0" applyNumberFormat="1" applyFont="1" applyFill="1" applyBorder="1" applyAlignment="1">
      <x:alignment vertical="top" wrapText="1"/>
    </x:xf>
    <x:xf numFmtId="0" fontId="0" fillId="51" borderId="0" xfId="0" applyNumberFormat="1" applyFont="1" applyFill="1" applyBorder="1" applyAlignment="1">
      <x:alignment vertical="center" wrapText="1"/>
    </x:xf>
    <x:xf numFmtId="0" fontId="2" fillId="51" borderId="0" xfId="0" applyNumberFormat="1" applyFont="1" applyFill="1" applyBorder="1" applyAlignment="1">
      <x:alignment vertical="center" wrapText="1"/>
    </x:xf>
    <x:xf numFmtId="0" fontId="2" fillId="54" borderId="0" xfId="0" applyNumberFormat="1" applyFont="1" applyFill="1" applyBorder="1" applyAlignment="1">
      <x:alignment wrapText="1"/>
    </x:xf>
    <x:xf numFmtId="0" fontId="0" fillId="54" borderId="0" xfId="0" applyNumberFormat="1" applyFont="1" applyFill="1" applyBorder="1" applyAlignment="1">
      <x:alignment wrapText="1"/>
    </x:xf>
    <x:xf numFmtId="0" fontId="0" fillId="49" borderId="0" xfId="0" applyNumberFormat="1" applyFont="1" applyFill="1" applyBorder="1" applyAlignment="1">
      <x:alignment vertical="top" wrapText="1"/>
    </x:xf>
    <x:xf numFmtId="0" fontId="0" fillId="52" borderId="0" xfId="0" applyNumberFormat="1" applyFont="1" applyFill="1" applyBorder="1" applyAlignment="1">
      <x:alignment vertical="top" wrapText="1"/>
    </x:xf>
    <x:xf numFmtId="0" fontId="0" fillId="55" borderId="0" xfId="0" applyNumberFormat="1" applyFont="1" applyFill="1" applyBorder="1" applyAlignment="1">
      <x:alignment vertical="top" wrapText="1"/>
    </x:xf>
  </x:cellXfs>
  <x:cellStyles count="2">
    <x:cellStyle name="Currency" xfId="1"/>
    <x:cellStyle name="Normal" xfId="0"/>
  </x:cellStyles>
  <x:dxfs count="39">
    <x:dxf>
      <x:font>
        <x:b/>
      </x:font>
      <x:fill>
        <x:patternFill>
          <x:bgColor rgb="FFF4CCCC"/>
        </x:patternFill>
      </x:fill>
    </x:dxf>
    <x:dxf>
      <x:fill>
        <x:patternFill>
          <x:bgColor rgb="FFFFF2CC"/>
        </x:patternFill>
      </x:fill>
    </x:dxf>
    <x:dxf>
      <x:fill>
        <x:patternFill>
          <x:bgColor rgb="FFE2F0D9"/>
        </x:patternFill>
      </x:fill>
    </x:dxf>
    <x:dxf>
      <x:fill>
        <x:patternFill>
          <x:bgColor rgb="FFE2F0D9"/>
        </x:patternFill>
      </x:fill>
    </x:dxf>
    <x:dxf>
      <x:fill>
        <x:patternFill>
          <x:bgColor rgb="FFFFF2CC"/>
        </x:patternFill>
      </x:fill>
    </x:dxf>
    <x:dxf>
      <x:font>
        <x:b/>
        <x:color rgb="FF9C0006"/>
      </x:font>
      <x:fill>
        <x:patternFill>
          <x:bgColor rgb="FFF4CCCC"/>
        </x:patternFill>
      </x:fill>
    </x:dxf>
    <x:dxf>
      <x:font>
        <x:b/>
        <x:color rgb="FF9C0006"/>
      </x:font>
      <x:fill>
        <x:patternFill>
          <x:bgColor rgb="FFF4CCCC"/>
        </x:patternFill>
      </x:fill>
    </x:dxf>
    <x:dxf>
      <x:font>
        <x:b/>
      </x:font>
      <x:fill>
        <x:patternFill>
          <x:bgColor rgb="FFF4CCCC"/>
        </x:patternFill>
      </x:fill>
    </x:dxf>
    <x:dxf>
      <x:font>
        <x:b/>
      </x:font>
      <x:fill>
        <x:patternFill>
          <x:bgColor rgb="FFFCE4D6"/>
        </x:patternFill>
      </x:fill>
    </x:dxf>
    <x:dxf>
      <x:font>
        <x:b/>
      </x:font>
      <x:fill>
        <x:patternFill>
          <x:bgColor rgb="FFE2F0D9"/>
        </x:patternFill>
      </x:fill>
    </x:dxf>
    <x:dxf>
      <x:font>
        <x:b/>
      </x:font>
      <x:fill>
        <x:patternFill>
          <x:bgColor rgb="FFF4CCCC"/>
        </x:patternFill>
      </x:fill>
    </x:dxf>
    <x:dxf>
      <x:font>
        <x:b/>
      </x:font>
      <x:fill>
        <x:patternFill>
          <x:bgColor rgb="FFFCE4D6"/>
        </x:patternFill>
      </x:fill>
    </x:dxf>
    <x:dxf>
      <x:font>
        <x:b/>
      </x:font>
      <x:fill>
        <x:patternFill>
          <x:bgColor rgb="FFE2F0D9"/>
        </x:patternFill>
      </x:fill>
    </x:dxf>
    <x:dxf>
      <x:font>
        <x:b/>
      </x:font>
      <x:fill>
        <x:patternFill>
          <x:bgColor rgb="FFF4CCCC"/>
        </x:patternFill>
      </x:fill>
    </x:dxf>
    <x:dxf>
      <x:font>
        <x:b/>
      </x:font>
      <x:fill>
        <x:patternFill>
          <x:bgColor rgb="FFFCE4D6"/>
        </x:patternFill>
      </x:fill>
    </x:dxf>
    <x:dxf>
      <x:font>
        <x:b/>
      </x:font>
      <x:fill>
        <x:patternFill>
          <x:bgColor rgb="FFE2F0D9"/>
        </x:patternFill>
      </x:fill>
    </x:dxf>
    <x:dxf>
      <x:font>
        <x:b/>
      </x:font>
      <x:fill>
        <x:patternFill>
          <x:bgColor rgb="FFE2F0D9"/>
        </x:patternFill>
      </x:fill>
    </x:dxf>
    <x:dxf>
      <x:font>
        <x:b/>
      </x:font>
      <x:fill>
        <x:patternFill>
          <x:bgColor rgb="FFF4CCCC"/>
        </x:patternFill>
      </x:fill>
    </x:dxf>
    <x:dxf>
      <x:fill>
        <x:patternFill patternType="solid">
          <x:bgColor rgb="FFE2F0D9"/>
        </x:patternFill>
      </x:fill>
    </x:dxf>
    <x:dxf>
      <x:fill>
        <x:patternFill patternType="solid">
          <x:bgColor rgb="FFF4CCCC"/>
        </x:patternFill>
      </x:fill>
    </x:dxf>
    <x:dxf>
      <x:fill>
        <x:patternFill patternType="solid">
          <x:bgColor rgb="FFFCE4D6"/>
        </x:patternFill>
      </x:fill>
    </x:dxf>
    <x:dxf>
      <x:fill>
        <x:patternFill patternType="solid">
          <x:bgColor rgb="FFE2F0D9"/>
        </x:patternFill>
      </x:fill>
    </x:dxf>
    <x:dxf>
      <x:fill>
        <x:patternFill patternType="solid">
          <x:bgColor rgb="FFF4CCCC"/>
        </x:patternFill>
      </x:fill>
    </x:dxf>
    <x:dxf>
      <x:fill>
        <x:patternFill patternType="solid">
          <x:bgColor rgb="FFD9EAF7"/>
        </x:patternFill>
      </x:fill>
    </x:dxf>
    <x:dxf>
      <x:fill>
        <x:patternFill patternType="solid">
          <x:bgColor rgb="FFFCE4D6"/>
        </x:patternFill>
      </x:fill>
    </x:dxf>
    <x:dxf>
      <x:fill>
        <x:patternFill patternType="solid">
          <x:bgColor rgb="FFE2F0D9"/>
        </x:patternFill>
      </x:fill>
    </x:dxf>
    <x:dxf>
      <x:fill>
        <x:patternFill patternType="solid">
          <x:bgColor rgb="FFF4CCCC"/>
        </x:patternFill>
      </x:fill>
    </x:dxf>
    <x:dxf>
      <x:fill>
        <x:patternFill patternType="solid">
          <x:bgColor rgb="FFE2F0D9"/>
        </x:patternFill>
      </x:fill>
    </x:dxf>
    <x:dxf>
      <x:fill>
        <x:patternFill patternType="solid">
          <x:bgColor rgb="FFFCE4D6"/>
        </x:patternFill>
      </x:fill>
    </x:dxf>
    <x:dxf>
      <x:fill>
        <x:patternFill patternType="solid">
          <x:bgColor rgb="FFF4CCCC"/>
        </x:patternFill>
      </x:fill>
    </x:dxf>
    <x:dxf>
      <x:fill>
        <x:patternFill patternType="solid">
          <x:bgColor rgb="FFFFF2CC"/>
        </x:patternFill>
      </x:fill>
    </x:dxf>
    <x:dxf>
      <x:fill>
        <x:patternFill patternType="solid">
          <x:bgColor rgb="FFE2F0D9"/>
        </x:patternFill>
      </x:fill>
    </x:dxf>
    <x:dxf>
      <x:fill>
        <x:patternFill patternType="solid">
          <x:bgColor rgb="FFF4CCCC"/>
        </x:patternFill>
      </x:fill>
    </x:dxf>
    <x:dxf>
      <x:fill>
        <x:patternFill patternType="solid">
          <x:bgColor rgb="FFE2F0D9"/>
        </x:patternFill>
      </x:fill>
    </x:dxf>
    <x:dxf>
      <x:fill>
        <x:patternFill patternType="solid">
          <x:bgColor rgb="FFFFF2CC"/>
        </x:patternFill>
      </x:fill>
    </x:dxf>
    <x:dxf>
      <x:fill>
        <x:patternFill patternType="solid">
          <x:bgColor rgb="FFF4CCCC"/>
        </x:patternFill>
      </x:fill>
    </x:dxf>
    <x:dxf>
      <x:fill>
        <x:patternFill patternType="solid">
          <x:bgColor rgb="FFE2F0D9"/>
        </x:patternFill>
      </x:fill>
    </x:dxf>
    <x:dxf>
      <x:fill>
        <x:patternFill patternType="solid">
          <x:bgColor rgb="FFF4CCCC"/>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aec7dcd07364261" /><Relationship Type="http://schemas.openxmlformats.org/officeDocument/2006/relationships/theme" Target="/xl/theme/theme1.xml" Id="R9bf9fd2aa06841b6" /><Relationship Type="http://schemas.openxmlformats.org/officeDocument/2006/relationships/sharedStrings" Target="/xl/sharedStrings.xml" Id="R0769dd713d684bc0" /><Relationship Type="http://schemas.openxmlformats.org/officeDocument/2006/relationships/worksheet" Target="/xl/worksheets/sheet1.xml" Id="R049f1ea462eb417a" /><Relationship Type="http://schemas.openxmlformats.org/officeDocument/2006/relationships/worksheet" Target="/xl/worksheets/sheet2.xml" Id="R7cbfdbfe73924d00" /><Relationship Type="http://schemas.openxmlformats.org/officeDocument/2006/relationships/worksheet" Target="/xl/worksheets/sheet3.xml" Id="R0941275b200f4ddc" /><Relationship Type="http://schemas.openxmlformats.org/officeDocument/2006/relationships/worksheet" Target="/xl/worksheets/sheet4.xml" Id="Rcb0315d096ca4a65" /><Relationship Type="http://schemas.openxmlformats.org/officeDocument/2006/relationships/worksheet" Target="/xl/worksheets/sheet5.xml" Id="Rbaae092213bc47d5" /><Relationship Type="http://schemas.openxmlformats.org/officeDocument/2006/relationships/worksheet" Target="/xl/worksheets/sheet6.xml" Id="R8209f8b65460469a" /><Relationship Type="http://schemas.openxmlformats.org/officeDocument/2006/relationships/worksheet" Target="/xl/worksheets/sheet7.xml" Id="Rdfba065c816949f7" /><Relationship Type="http://schemas.openxmlformats.org/officeDocument/2006/relationships/worksheet" Target="/xl/worksheets/sheet8.xml" Id="Rdc10cbc7e932405b" /><Relationship Type="http://schemas.openxmlformats.org/officeDocument/2006/relationships/worksheet" Target="/xl/worksheets/sheet9.xml" Id="Rfd6f4218b58642ac" /><Relationship Type="http://schemas.openxmlformats.org/officeDocument/2006/relationships/worksheet" Target="/xl/worksheets/sheet10.xml" Id="Reeac5e508687427f" /><Relationship Type="http://schemas.openxmlformats.org/officeDocument/2006/relationships/worksheet" Target="/xl/worksheets/sheet11.xml" Id="Ra48365bd66034496" /><Relationship Type="http://schemas.openxmlformats.org/officeDocument/2006/relationships/worksheet" Target="/xl/worksheets/sheet12.xml" Id="Rcb9959f8b8d84e46" /><Relationship Type="http://schemas.openxmlformats.org/officeDocument/2006/relationships/worksheet" Target="/xl/worksheets/sheet13.xml" Id="Rbd5cb06aa1fd45d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32.19921875" style="3" customWidth="1"/>
    <x:col min="2" max="2" width="135" style="3" customWidth="1"/>
    <x:col min="3" max="3" width="18" style="3" customWidth="1"/>
    <x:col min="4" max="4" width="30.296875" style="3" customWidth="1"/>
    <x:col min="5" max="5" width="29.19921875" style="3" customWidth="1"/>
    <x:col min="6" max="6" width="57.3984375" style="3" customWidth="1"/>
    <x:col min="7" max="8" width="18" style="3" customWidth="1"/>
    <x:col min="9" max="16384" width="8.796875" style="3" customWidth="0"/>
  </x:cols>
  <x:sheetData>
    <x:row r="1" ht="22.5" customHeight="1">
      <x:c r="A1" s="199" t="str">
        <x:v>MASTER ESTIMATE WORKBOOK - LINKED FIRST-PRINCIPLES MODEL - REV4 INDEPENDENT REVIEW BOARD</x:v>
      </x:c>
      <x:c r="B1" s="200"/>
      <x:c r="C1" s="200"/>
      <x:c r="D1" s="200"/>
      <x:c r="E1" s="200"/>
      <x:c r="F1" s="200"/>
      <x:c r="G1" s="106"/>
      <x:c r="H1" s="106"/>
    </x:row>
    <x:row r="2" ht="22.5" customHeight="1">
      <x:c r="A2" s="201" t="str">
        <x:v>Permanent estimating template. Direct costs originate in Resource Build-Up and flow through QS Takeoff, Tender Build-Up, Summary and Cashflow. Risk Truth controls residual risk treatment. The Independent Estimate Verification Board challenges every material estimate component and blocks release until required blind reviews and evidence-led adjudication are complete.</x:v>
      </x:c>
      <x:c r="B2" s="200"/>
      <x:c r="C2" s="200"/>
      <x:c r="D2" s="200"/>
      <x:c r="E2" s="200"/>
      <x:c r="F2" s="200"/>
      <x:c r="G2" s="106"/>
      <x:c r="H2" s="106"/>
    </x:row>
    <x:row r="3" ht="26.850000381469727" customHeight="1">
      <x:c r="A3" s="106"/>
      <x:c r="B3" s="106"/>
      <x:c r="C3" s="106"/>
      <x:c r="D3" s="106"/>
      <x:c r="E3" s="106"/>
      <x:c r="F3" s="106"/>
      <x:c r="G3" s="106"/>
      <x:c r="H3" s="106"/>
    </x:row>
    <x:row r="4" ht="26.850000381469727" customHeight="1">
      <x:c r="A4" s="20" t="s">
        <x:v>0</x:v>
      </x:c>
      <x:c r="B4" s="107"/>
      <x:c r="C4" s="106"/>
      <x:c r="D4" s="20" t="s">
        <x:v>1</x:v>
      </x:c>
      <x:c r="E4" s="107"/>
      <x:c r="F4" s="106"/>
      <x:c r="G4" s="106"/>
      <x:c r="H4" s="106"/>
    </x:row>
    <x:row r="5" ht="26.850000381469727" customHeight="1">
      <x:c r="A5" s="20" t="s">
        <x:v>2</x:v>
      </x:c>
      <x:c r="B5" s="107"/>
      <x:c r="C5" s="106"/>
      <x:c r="D5" s="70" t="s">
        <x:v>3</x:v>
      </x:c>
      <x:c r="E5" s="193" t="n">
        <x:f>'Tender Build-Up'!B20</x:f>
        <x:v>0</x:v>
      </x:c>
      <x:c r="F5" s="146" t="s">
        <x:v>4</x:v>
      </x:c>
      <x:c r="G5" s="106"/>
      <x:c r="H5" s="106"/>
    </x:row>
    <x:row r="6" ht="26.850000381469727" customHeight="1">
      <x:c r="A6" s="20" t="s">
        <x:v>5</x:v>
      </x:c>
      <x:c r="B6" s="107" t="str">
        <x:v>MASTER TEMPLATE - populate the current job intake, documents, scope and evidence before pricing.</x:v>
      </x:c>
      <x:c r="C6" s="106"/>
      <x:c r="D6" s="20" t="s">
        <x:v>6</x:v>
      </x:c>
      <x:c r="E6" s="107" t="str">
        <x:v>03-Sep-2026</x:v>
      </x:c>
      <x:c r="F6" s="106"/>
      <x:c r="G6" s="106"/>
      <x:c r="H6" s="106"/>
    </x:row>
    <x:row r="7" ht="26.850000381469727" customHeight="1">
      <x:c r="A7" s="20" t="s">
        <x:v>7</x:v>
      </x:c>
      <x:c r="B7" s="107" t="str">
        <x:v>Estimate basis must be rebuilt from the current project's drawings, specifications, takeoff, quotes, resource rates, programme and approved backend tools. Do not carry project-specific quantities, assumptions, RFIs or quotations from another job.</x:v>
      </x:c>
      <x:c r="C7" s="106"/>
      <x:c r="D7" s="106"/>
      <x:c r="E7" s="106"/>
      <x:c r="F7" s="106"/>
      <x:c r="G7" s="106"/>
      <x:c r="H7" s="106"/>
    </x:row>
    <x:row r="8" ht="26.850000381469727" customHeight="1">
      <x:c r="A8" s="106"/>
      <x:c r="B8" s="106"/>
      <x:c r="C8" s="106"/>
      <x:c r="D8" s="106"/>
      <x:c r="E8" s="106"/>
      <x:c r="F8" s="106"/>
      <x:c r="G8" s="106"/>
      <x:c r="H8" s="106"/>
    </x:row>
    <x:row r="9" ht="26.850000381469727" customHeight="1">
      <x:c r="A9" s="202" t="s">
        <x:v>8</x:v>
      </x:c>
      <x:c r="B9" s="198"/>
      <x:c r="C9" s="198"/>
      <x:c r="D9" s="198"/>
      <x:c r="E9" s="198"/>
      <x:c r="F9" s="198"/>
      <x:c r="G9" s="106"/>
      <x:c r="H9" s="106"/>
    </x:row>
    <x:row r="10" ht="21.149999618530273" customHeight="1">
      <x:c r="A10" s="107" t="s">
        <x:v>9</x:v>
      </x:c>
      <x:c r="B10" s="107" t="s">
        <x:v>10</x:v>
      </x:c>
      <x:c r="C10" s="106"/>
      <x:c r="D10" s="106"/>
      <x:c r="E10" s="106"/>
      <x:c r="F10" s="106"/>
      <x:c r="G10" s="106"/>
      <x:c r="H10" s="106"/>
    </x:row>
    <x:row r="11" ht="21.149999618530273" customHeight="1">
      <x:c r="A11" s="107" t="s">
        <x:v>11</x:v>
      </x:c>
      <x:c r="B11" s="107" t="s">
        <x:v>12</x:v>
      </x:c>
      <x:c r="C11" s="106"/>
      <x:c r="D11" s="106"/>
      <x:c r="E11" s="106"/>
      <x:c r="F11" s="106"/>
      <x:c r="G11" s="106"/>
      <x:c r="H11" s="106"/>
    </x:row>
    <x:row r="12" ht="21.149999618530273" customHeight="1">
      <x:c r="A12" s="107" t="s">
        <x:v>13</x:v>
      </x:c>
      <x:c r="B12" s="107" t="s">
        <x:v>14</x:v>
      </x:c>
      <x:c r="C12" s="106"/>
      <x:c r="D12" s="106"/>
      <x:c r="E12" s="106"/>
      <x:c r="F12" s="106"/>
      <x:c r="G12" s="106"/>
      <x:c r="H12" s="106"/>
    </x:row>
    <x:row r="13" ht="21.149999618530273" customHeight="1">
      <x:c r="A13" s="107" t="s">
        <x:v>15</x:v>
      </x:c>
      <x:c r="B13" s="107" t="s">
        <x:v>16</x:v>
      </x:c>
      <x:c r="C13" s="106"/>
      <x:c r="D13" s="106"/>
      <x:c r="E13" s="106"/>
      <x:c r="F13" s="106"/>
      <x:c r="G13" s="106"/>
      <x:c r="H13" s="106"/>
    </x:row>
    <x:row r="14" ht="21.149999618530273" customHeight="1">
      <x:c r="A14" s="107" t="s">
        <x:v>17</x:v>
      </x:c>
      <x:c r="B14" s="107" t="s">
        <x:v>18</x:v>
      </x:c>
      <x:c r="C14" s="106"/>
      <x:c r="D14" s="106"/>
      <x:c r="E14" s="106"/>
      <x:c r="F14" s="106"/>
      <x:c r="G14" s="106"/>
      <x:c r="H14" s="106"/>
    </x:row>
    <x:row r="15" ht="21.149999618530273" customHeight="1">
      <x:c r="A15" s="106" t="s">
        <x:v>19</x:v>
      </x:c>
      <x:c r="B15" s="106" t="str">
        <x:v>Summary pulls the live Tender Build-Up and includes cost-chain integrity plus Weather, Risk Truth and Independent Estimate Review Board release gates. All mandatory gates must be satisfied before issue.</x:v>
      </x:c>
      <x:c r="C15" s="106"/>
      <x:c r="D15" s="106"/>
      <x:c r="E15" s="106"/>
      <x:c r="F15" s="106"/>
      <x:c r="G15" s="106"/>
      <x:c r="H15" s="106"/>
    </x:row>
    <x:row r="16" ht="21.149999618530273" customHeight="1">
      <x:c r="A16" s="108" t="s">
        <x:v>20</x:v>
      </x:c>
      <x:c r="B16" s="109" t="s">
        <x:v>21</x:v>
      </x:c>
      <x:c r="C16" s="109"/>
      <x:c r="D16" s="109"/>
      <x:c r="E16" s="109"/>
      <x:c r="F16" s="109"/>
      <x:c r="G16" s="106"/>
      <x:c r="H16" s="106"/>
    </x:row>
    <x:row r="17" ht="26.850000381469727" customHeight="1">
      <x:c r="A17" s="107" t="str">
        <x:v>8</x:v>
      </x:c>
      <x:c r="B17" s="107" t="str">
        <x:v>Weather Risk links live weather-exposed labour/plant, programme duration and time-related cost drivers to the approved Weather Tool run, then feeds CA10. Rerun the tool when its input gate changes.</x:v>
      </x:c>
      <x:c r="C17" s="106"/>
      <x:c r="D17" s="106"/>
      <x:c r="E17" s="106"/>
      <x:c r="F17" s="106"/>
      <x:c r="G17" s="106"/>
      <x:c r="H17" s="106"/>
    </x:row>
    <x:row r="18" ht="26.850000381469727" customHeight="1">
      <x:c r="A18" s="202" t="str">
        <x:v>CORE WORKING TABS - LINKED COST, PROGRAMME, WEATHER, RISK AND INDEPENDENT REVIEW CONTROLS</x:v>
      </x:c>
      <x:c r="B18" s="202"/>
      <x:c r="C18" s="198"/>
      <x:c r="D18" s="198"/>
      <x:c r="E18" s="198"/>
      <x:c r="F18" s="198"/>
      <x:c r="G18" s="106"/>
      <x:c r="H18" s="106"/>
    </x:row>
    <x:row r="19" ht="22.5" customHeight="1">
      <x:c r="A19" s="107" t="s">
        <x:v>22</x:v>
      </x:c>
      <x:c r="B19" s="107" t="s">
        <x:v>23</x:v>
      </x:c>
      <x:c r="C19" s="106"/>
      <x:c r="D19" s="106"/>
      <x:c r="E19" s="106"/>
      <x:c r="F19" s="106"/>
      <x:c r="G19" s="106"/>
      <x:c r="H19" s="106"/>
    </x:row>
    <x:row r="20" ht="22.5" customHeight="1">
      <x:c r="A20" s="107" t="s">
        <x:v>24</x:v>
      </x:c>
      <x:c r="B20" s="107" t="s">
        <x:v>25</x:v>
      </x:c>
      <x:c r="C20" s="106"/>
      <x:c r="D20" s="106"/>
      <x:c r="E20" s="106"/>
      <x:c r="F20" s="106"/>
      <x:c r="G20" s="106"/>
      <x:c r="H20" s="106"/>
    </x:row>
    <x:row r="21" ht="22.5" customHeight="1">
      <x:c r="A21" s="107" t="s">
        <x:v>26</x:v>
      </x:c>
      <x:c r="B21" s="107" t="s">
        <x:v>27</x:v>
      </x:c>
      <x:c r="C21" s="106"/>
      <x:c r="D21" s="106"/>
      <x:c r="E21" s="106"/>
      <x:c r="F21" s="106"/>
      <x:c r="G21" s="106"/>
      <x:c r="H21" s="106"/>
    </x:row>
    <x:row r="22" ht="22.5" customHeight="1">
      <x:c r="A22" s="13" t="s">
        <x:v>28</x:v>
      </x:c>
      <x:c r="B22" s="107" t="s">
        <x:v>29</x:v>
      </x:c>
      <x:c r="C22" s="106"/>
      <x:c r="D22" s="106"/>
      <x:c r="E22" s="106"/>
      <x:c r="F22" s="106"/>
      <x:c r="G22" s="106"/>
      <x:c r="H22" s="106"/>
    </x:row>
    <x:row r="23" ht="22.5" customHeight="1">
      <x:c r="A23" s="110" t="s">
        <x:v>30</x:v>
      </x:c>
      <x:c r="B23" s="107" t="str">
        <x:v>Reusable company resource master. Retain all resources across jobs; update verified rates/sources centrally. Heavy-access, crane, rigging, cartage and testing resources are reusable library codes; job-specific rates remain job overrides.</x:v>
      </x:c>
      <x:c r="C23" s="106"/>
      <x:c r="D23" s="106"/>
      <x:c r="E23" s="106"/>
      <x:c r="F23" s="106"/>
      <x:c r="G23" s="106"/>
      <x:c r="H23" s="106"/>
    </x:row>
    <x:row r="24" ht="22.5" customHeight="1">
      <x:c r="A24" s="107" t="s">
        <x:v>31</x:v>
      </x:c>
      <x:c r="B24" s="107" t="s">
        <x:v>32</x:v>
      </x:c>
      <x:c r="C24" s="106"/>
      <x:c r="D24" s="106"/>
      <x:c r="E24" s="106"/>
      <x:c r="F24" s="106"/>
      <x:c r="G24" s="106"/>
      <x:c r="H24" s="106"/>
    </x:row>
    <x:row r="25" ht="22.5" customHeight="1">
      <x:c r="A25" s="107" t="s">
        <x:v>33</x:v>
      </x:c>
      <x:c r="B25" s="106" t="str">
        <x:v>Below-the-line commercial/risk/overhead/profit/GST/retention controls. CA01/CA02 can select Risk Engine / PC Sum / %; CA10 can select Weather Engine / PC Sum / %. Include? is the on/off switch and engine outputs remain live for audit.</x:v>
      </x:c>
      <x:c r="C25" s="106"/>
      <x:c r="D25" s="106"/>
      <x:c r="E25" s="106"/>
      <x:c r="F25" s="106"/>
      <x:c r="G25" s="106"/>
      <x:c r="H25" s="106"/>
    </x:row>
    <x:row r="26" ht="34.20000076293945" customHeight="1">
      <x:c r="A26" s="104" t="s">
        <x:v>34</x:v>
      </x:c>
      <x:c r="B26" s="104" t="s">
        <x:v>35</x:v>
      </x:c>
      <x:c r="C26" s="105"/>
      <x:c r="D26" s="105"/>
      <x:c r="E26" s="105"/>
      <x:c r="F26" s="105"/>
      <x:c r="G26" s="106"/>
      <x:c r="H26" s="106"/>
    </x:row>
    <x:row r="27">
      <x:c r="A27" s="106" t="str">
        <x:v>Weather Risk</x:v>
      </x:c>
      <x:c r="B27" s="106" t="str">
        <x:v>Approved weather-tool integration, exposed-resource audit, programme/calendar effects, weather cost buckets and rerun gate</x:v>
      </x:c>
      <x:c r="C27" s="106"/>
      <x:c r="D27" s="106"/>
      <x:c r="E27" s="106"/>
      <x:c r="F27" s="106"/>
      <x:c r="G27" s="106"/>
      <x:c r="H27" s="106"/>
    </x:row>
    <x:row r="28" ht="28.799999237060547" customHeight="1">
      <x:c r="A28" s="203" t="str">
        <x:v>Risk Truth</x:v>
      </x:c>
      <x:c r="B28" s="204" t="str">
        <x:v>Risk-control and reconciliation module: tender baseline, residual exposure, duplication controls, integration target and release gate</x:v>
      </x:c>
      <x:c r="C28" s="204"/>
      <x:c r="D28" s="204"/>
      <x:c r="E28" s="204"/>
      <x:c r="F28" s="205"/>
      <x:c r="G28" s="106"/>
      <x:c r="H28" s="106"/>
    </x:row>
    <x:row r="29" ht="19.649999618530273" customHeight="1">
      <x:c r="A29" s="111" t="s">
        <x:v>36</x:v>
      </x:c>
      <x:c r="B29" s="106" t="s">
        <x:v>37</x:v>
      </x:c>
      <x:c r="C29" s="106"/>
      <x:c r="D29" s="106"/>
      <x:c r="E29" s="106"/>
      <x:c r="F29" s="112"/>
      <x:c r="G29" s="106"/>
      <x:c r="H29" s="106"/>
    </x:row>
    <x:row r="30" ht="19.649999618530273" customHeight="1">
      <x:c r="A30" s="111" t="s">
        <x:v>38</x:v>
      </x:c>
      <x:c r="B30" s="106" t="s">
        <x:v>39</x:v>
      </x:c>
      <x:c r="C30" s="106"/>
      <x:c r="D30" s="106"/>
      <x:c r="E30" s="106"/>
      <x:c r="F30" s="112"/>
      <x:c r="G30" s="106"/>
      <x:c r="H30" s="106"/>
    </x:row>
    <x:row r="31" ht="19.649999618530273" customHeight="1">
      <x:c r="A31" s="111" t="s">
        <x:v>40</x:v>
      </x:c>
      <x:c r="B31" s="106" t="s">
        <x:v>41</x:v>
      </x:c>
      <x:c r="C31" s="106"/>
      <x:c r="D31" s="106"/>
      <x:c r="E31" s="106"/>
      <x:c r="F31" s="112"/>
      <x:c r="G31" s="106"/>
      <x:c r="H31" s="106"/>
    </x:row>
    <x:row r="32" ht="19.649999618530273" customHeight="1">
      <x:c r="A32" s="111" t="s">
        <x:v>42</x:v>
      </x:c>
      <x:c r="B32" s="106" t="s">
        <x:v>43</x:v>
      </x:c>
      <x:c r="C32" s="106"/>
      <x:c r="D32" s="106"/>
      <x:c r="E32" s="106"/>
      <x:c r="F32" s="112"/>
      <x:c r="G32" s="106"/>
      <x:c r="H32" s="106"/>
    </x:row>
    <x:row r="33" ht="19.649999618530273" customHeight="1">
      <x:c r="A33" s="113" t="s">
        <x:v>44</x:v>
      </x:c>
      <x:c r="B33" s="114" t="str">
        <x:v>Every direct cost must have a QS Code and resource origin. Every commercial allowance must have a selected method, stated basis and Include? status. Engine outputs remain separate from manual PC/% overrides so the evidence trail is never destroyed.</x:v>
      </x:c>
      <x:c r="C33" s="114"/>
      <x:c r="D33" s="114"/>
      <x:c r="E33" s="114"/>
      <x:c r="F33" s="115"/>
      <x:c r="G33" s="106"/>
      <x:c r="H33" s="106"/>
    </x:row>
    <x:row r="34">
      <x:c r="A34" s="783" t="str">
        <x:v>Estimate Review Board</x:v>
      </x:c>
      <x:c r="B34" s="783" t="str">
        <x:v>Independent clean-room and specialist challenge control: reviewer independence, QS-item coverage, disagreement findings, evidence adjudication and release gate. This sheet never creates a second cost chain.</x:v>
      </x:c>
      <x:c r="C34" s="106"/>
      <x:c r="D34" s="106"/>
      <x:c r="E34" s="106"/>
      <x:c r="F34" s="106"/>
      <x:c r="G34" s="106"/>
      <x:c r="H34" s="106"/>
    </x:row>
    <x:row r="35" ht="23.549999237060547" customHeight="1">
      <x:c r="A35" s="206" t="s">
        <x:v>45</x:v>
      </x:c>
      <x:c r="B35" s="206"/>
      <x:c r="C35" s="206"/>
      <x:c r="D35" s="206"/>
      <x:c r="E35" s="206"/>
      <x:c r="F35" s="206"/>
      <x:c r="G35" s="206"/>
      <x:c r="H35" s="206"/>
    </x:row>
    <x:row r="36">
      <x:c r="A36" s="106"/>
      <x:c r="B36" s="106"/>
      <x:c r="C36" s="106"/>
      <x:c r="D36" s="106"/>
      <x:c r="E36" s="106"/>
      <x:c r="F36" s="106"/>
      <x:c r="G36" s="106"/>
      <x:c r="H36" s="106"/>
    </x:row>
    <x:row r="37" ht="19.649999618530273" customHeight="1">
      <x:c r="A37" s="21" t="s">
        <x:v>46</x:v>
      </x:c>
      <x:c r="B37" s="106" t="s">
        <x:v>47</x:v>
      </x:c>
      <x:c r="C37" s="106"/>
      <x:c r="D37" s="106"/>
      <x:c r="E37" s="106"/>
      <x:c r="F37" s="106"/>
      <x:c r="G37" s="106"/>
      <x:c r="H37" s="106"/>
    </x:row>
    <x:row r="38" ht="19.649999618530273" customHeight="1">
      <x:c r="A38" s="21" t="s">
        <x:v>48</x:v>
      </x:c>
      <x:c r="B38" s="106" t="s">
        <x:v>49</x:v>
      </x:c>
      <x:c r="C38" s="106"/>
      <x:c r="D38" s="106"/>
      <x:c r="E38" s="106"/>
      <x:c r="F38" s="106"/>
      <x:c r="G38" s="106"/>
      <x:c r="H38" s="106"/>
    </x:row>
    <x:row r="39" ht="19.649999618530273" customHeight="1">
      <x:c r="A39" s="21" t="s">
        <x:v>50</x:v>
      </x:c>
      <x:c r="B39" s="106" t="s">
        <x:v>51</x:v>
      </x:c>
      <x:c r="C39" s="106"/>
      <x:c r="D39" s="106"/>
      <x:c r="E39" s="106"/>
      <x:c r="F39" s="106"/>
      <x:c r="G39" s="106"/>
      <x:c r="H39" s="106"/>
    </x:row>
    <x:row r="40" ht="19.649999618530273" customHeight="1">
      <x:c r="A40" s="21" t="s">
        <x:v>52</x:v>
      </x:c>
      <x:c r="B40" s="106" t="s">
        <x:v>53</x:v>
      </x:c>
      <x:c r="C40" s="106"/>
      <x:c r="D40" s="106"/>
      <x:c r="E40" s="106"/>
      <x:c r="F40" s="106"/>
      <x:c r="G40" s="106"/>
      <x:c r="H40" s="106"/>
    </x:row>
    <x:row r="41" ht="19.649999618530273" customHeight="1">
      <x:c r="A41" s="21" t="s">
        <x:v>54</x:v>
      </x:c>
      <x:c r="B41" s="106" t="str">
        <x:v>Yellow cells are intended inputs. Green/grey linked cells are formula outputs. Method selectors choose the pricing source; Include? controls whether that source enters the tender.</x:v>
      </x:c>
      <x:c r="C41" s="106"/>
      <x:c r="D41" s="106"/>
      <x:c r="E41" s="106"/>
      <x:c r="F41" s="106"/>
      <x:c r="G41" s="106"/>
      <x:c r="H41" s="106"/>
    </x:row>
    <x:row r="42" ht="19.649999618530273" customHeight="1">
      <x:c r="A42" s="21" t="s">
        <x:v>55</x:v>
      </x:c>
      <x:c r="B42" s="106" t="s">
        <x:v>56</x:v>
      </x:c>
      <x:c r="C42" s="106"/>
      <x:c r="D42" s="106"/>
      <x:c r="E42" s="106"/>
      <x:c r="F42" s="106"/>
      <x:c r="G42" s="106"/>
      <x:c r="H42" s="106"/>
    </x:row>
    <x:row r="43" ht="19.649999618530273" customHeight="1">
      <x:c r="A43" s="21" t="s">
        <x:v>57</x:v>
      </x:c>
      <x:c r="B43" s="106" t="s">
        <x:v>58</x:v>
      </x:c>
      <x:c r="C43" s="106"/>
      <x:c r="D43" s="106"/>
      <x:c r="E43" s="106"/>
      <x:c r="F43" s="106"/>
      <x:c r="G43" s="106"/>
      <x:c r="H43" s="106"/>
    </x:row>
    <x:row r="44" ht="16.799999237060547" customHeight="1">
      <x:c r="A44" s="694" t="str">
        <x:v>Risk Truth</x:v>
      </x:c>
      <x:c r="B44" s="106" t="str">
        <x:v>Risk-control and reconciliation module. Tracks baseline vs residual exposure, prevents duplicate cost paths and routes risk once to QS, CA01/CA02 or specialist engines.</x:v>
      </x:c>
      <x:c r="C44" s="106"/>
      <x:c r="D44" s="106"/>
      <x:c r="E44" s="106"/>
      <x:c r="F44" s="106"/>
      <x:c r="G44" s="106"/>
      <x:c r="H44" s="106"/>
    </x:row>
    <x:row r="45">
      <x:c r="A45" s="106"/>
      <x:c r="B45" s="106"/>
      <x:c r="C45" s="106"/>
      <x:c r="D45" s="106"/>
      <x:c r="E45" s="106"/>
      <x:c r="F45" s="106"/>
      <x:c r="G45" s="106"/>
      <x:c r="H45" s="106"/>
    </x:row>
    <x:row r="46" ht="17.25" customHeight="1">
      <x:c r="A46" s="198" t="s">
        <x:v>59</x:v>
      </x:c>
      <x:c r="B46" s="198"/>
      <x:c r="C46" s="198"/>
      <x:c r="D46" s="198"/>
      <x:c r="E46" s="198"/>
      <x:c r="F46" s="198"/>
      <x:c r="G46" s="198"/>
      <x:c r="H46" s="198"/>
    </x:row>
    <x:row r="47" ht="17.25" customHeight="1">
      <x:c r="A47" s="106" t="s">
        <x:v>60</x:v>
      </x:c>
      <x:c r="B47" s="106" t="s">
        <x:v>61</x:v>
      </x:c>
      <x:c r="C47" s="30" t="s">
        <x:v>62</x:v>
      </x:c>
      <x:c r="D47" s="106"/>
      <x:c r="E47" s="106"/>
      <x:c r="F47" s="106"/>
      <x:c r="G47" s="106"/>
      <x:c r="H47" s="106"/>
    </x:row>
    <x:row r="48" ht="33.75" customHeight="1">
      <x:c r="A48" s="106" t="str">
        <x:v>Plans / drawings</x:v>
      </x:c>
      <x:c r="B48" s="106"/>
      <x:c r="C48" s="30" t="str">
        <x:v>Geometry, quantities, interfaces and construction details</x:v>
      </x:c>
      <x:c r="D48" s="106"/>
      <x:c r="E48" s="106"/>
      <x:c r="F48" s="106"/>
      <x:c r="G48" s="106"/>
      <x:c r="H48" s="106"/>
    </x:row>
    <x:row r="49" ht="25.350000381469727" customHeight="1">
      <x:c r="A49" s="106" t="str">
        <x:v>Specifications</x:v>
      </x:c>
      <x:c r="B49" s="106"/>
      <x:c r="C49" s="30" t="str">
        <x:v>Materials, workmanship, testing, tolerances and scope requirements</x:v>
      </x:c>
      <x:c r="D49" s="106"/>
      <x:c r="E49" s="106"/>
      <x:c r="F49" s="106"/>
      <x:c r="G49" s="106"/>
      <x:c r="H49" s="106"/>
    </x:row>
    <x:row r="50" ht="33.75" customHeight="1">
      <x:c r="A50" s="106" t="str">
        <x:v>Geotechnical / ground information</x:v>
      </x:c>
      <x:c r="B50" s="106"/>
      <x:c r="C50" s="30" t="str">
        <x:v>Ground conditions, earthworks, foundations, groundwater and remediation basis</x:v>
      </x:c>
      <x:c r="D50" s="106"/>
      <x:c r="E50" s="106"/>
      <x:c r="F50" s="106"/>
      <x:c r="G50" s="106"/>
      <x:c r="H50" s="106"/>
    </x:row>
    <x:row r="51" ht="25.350000381469727" customHeight="1">
      <x:c r="A51" s="106" t="str">
        <x:v>Survey / CAD / models</x:v>
      </x:c>
      <x:c r="B51" s="106"/>
      <x:c r="C51" s="30" t="str">
        <x:v>Measured quantities, levels, earthworks balance and setout basis</x:v>
      </x:c>
      <x:c r="D51" s="106"/>
      <x:c r="E51" s="106"/>
      <x:c r="F51" s="106"/>
      <x:c r="G51" s="106"/>
      <x:c r="H51" s="106"/>
    </x:row>
    <x:row r="52" ht="33.75" customHeight="1">
      <x:c r="A52" s="106" t="str">
        <x:v>Tender / contract / scope documents</x:v>
      </x:c>
      <x:c r="B52" s="106"/>
      <x:c r="C52" s="30" t="str">
        <x:v>Work-package boundaries, commercial requirements and pricing schedule</x:v>
      </x:c>
      <x:c r="D52" s="106"/>
      <x:c r="E52" s="106"/>
      <x:c r="F52" s="106"/>
      <x:c r="G52" s="106"/>
      <x:c r="H52" s="106"/>
    </x:row>
    <x:row r="53" ht="16.950000762939453" customHeight="1">
      <x:c r="A53" s="106" t="str">
        <x:v>Supplier / subcontract quotations</x:v>
      </x:c>
      <x:c r="B53" s="106"/>
      <x:c r="C53" s="30" t="str">
        <x:v>Project-specific pricing, inclusions, exclusions and validity</x:v>
      </x:c>
      <x:c r="D53" s="106"/>
      <x:c r="E53" s="106"/>
      <x:c r="F53" s="106"/>
      <x:c r="G53" s="106"/>
      <x:c r="H53" s="106"/>
    </x:row>
    <x:row r="54" ht="25.350000381469727" customHeight="1">
      <x:c r="A54" s="106" t="str">
        <x:v>Other consultants / approvals</x:v>
      </x:c>
      <x:c r="B54" s="106"/>
      <x:c r="C54" s="30" t="str">
        <x:v>Project-specific evidence affecting quantity, method, cost or programme</x:v>
      </x:c>
      <x:c r="D54" s="106"/>
      <x:c r="E54" s="106"/>
      <x:c r="F54" s="106"/>
      <x:c r="G54" s="106"/>
      <x:c r="H54" s="106"/>
    </x:row>
    <x:row r="55" ht="8.850000381469727" customHeight="1">
      <x:c r="A55" s="106" t="str">
        <x:v>Correspondence / addenda / clarifications</x:v>
      </x:c>
      <x:c r="B55" s="106"/>
      <x:c r="C55" s="106" t="str">
        <x:v>Instructions and changes affecting the tender basis</x:v>
      </x:c>
      <x:c r="D55" s="106"/>
      <x:c r="E55" s="106"/>
      <x:c r="F55" s="106"/>
      <x:c r="G55" s="106"/>
      <x:c r="H55" s="106"/>
    </x:row>
    <x:row r="56" ht="8.850000381469727" customHeight="1">
      <x:c r="A56" s="106"/>
      <x:c r="B56" s="106"/>
      <x:c r="C56" s="106"/>
      <x:c r="D56" s="106"/>
      <x:c r="E56" s="106"/>
      <x:c r="F56" s="106"/>
      <x:c r="G56" s="106"/>
      <x:c r="H56" s="106"/>
    </x:row>
    <x:row r="57" ht="27.299999237060547" customHeight="1">
      <x:c r="A57" s="198" t="s">
        <x:v>63</x:v>
      </x:c>
      <x:c r="B57" s="198"/>
      <x:c r="C57" s="198"/>
      <x:c r="D57" s="198"/>
      <x:c r="E57" s="198"/>
      <x:c r="F57" s="198"/>
      <x:c r="G57" s="198"/>
      <x:c r="H57" s="198"/>
    </x:row>
    <x:row r="58" ht="27.75" customHeight="1">
      <x:c r="A58" s="106" t="s">
        <x:v>64</x:v>
      </x:c>
      <x:c r="B58" s="106" t="s">
        <x:v>65</x:v>
      </x:c>
      <x:c r="C58" s="106"/>
      <x:c r="D58" s="106"/>
      <x:c r="E58" s="106"/>
      <x:c r="F58" s="106"/>
      <x:c r="G58" s="106"/>
      <x:c r="H58" s="106"/>
    </x:row>
    <x:row r="59" ht="27.75" customHeight="1">
      <x:c r="A59" s="106" t="str">
        <x:v>A1</x:v>
      </x:c>
      <x:c r="B59" s="106" t="str">
        <x:v>Assume [enter project-specific access / working-hours basis].</x:v>
      </x:c>
      <x:c r="C59" s="106"/>
      <x:c r="D59" s="106"/>
      <x:c r="E59" s="106"/>
      <x:c r="F59" s="106"/>
      <x:c r="G59" s="106"/>
      <x:c r="H59" s="106"/>
    </x:row>
    <x:row r="60" ht="27.75" customHeight="1">
      <x:c r="A60" s="106" t="str">
        <x:v>A2</x:v>
      </x:c>
      <x:c r="B60" s="106" t="str">
        <x:v>Assume [enter project-specific cartage / disposal / haul basis].</x:v>
      </x:c>
      <x:c r="C60" s="106"/>
      <x:c r="D60" s="106"/>
      <x:c r="E60" s="106"/>
      <x:c r="F60" s="106"/>
      <x:c r="G60" s="106"/>
      <x:c r="H60" s="106"/>
    </x:row>
    <x:row r="61" ht="27.75" customHeight="1">
      <x:c r="A61" s="106" t="str">
        <x:v>A3</x:v>
      </x:c>
      <x:c r="B61" s="106" t="str">
        <x:v>Assume [enter project-specific ground / groundwater baseline].</x:v>
      </x:c>
      <x:c r="C61" s="106"/>
      <x:c r="D61" s="106"/>
      <x:c r="E61" s="106"/>
      <x:c r="F61" s="106"/>
      <x:c r="G61" s="106"/>
      <x:c r="H61" s="106"/>
    </x:row>
    <x:row r="62" ht="27.75" customHeight="1">
      <x:c r="A62" s="106" t="str">
        <x:v>A4</x:v>
      </x:c>
      <x:c r="B62" s="106" t="str">
        <x:v>Assume [enter project-specific temporary works responsibility].</x:v>
      </x:c>
      <x:c r="C62" s="106"/>
      <x:c r="D62" s="106"/>
      <x:c r="E62" s="106"/>
      <x:c r="F62" s="106"/>
      <x:c r="G62" s="106"/>
      <x:c r="H62" s="106"/>
    </x:row>
    <x:row r="63" ht="27.75" customHeight="1">
      <x:c r="A63" s="106" t="str">
        <x:v>A5</x:v>
      </x:c>
      <x:c r="B63" s="106" t="str">
        <x:v>Assume [enter project-specific testing / inspection basis].</x:v>
      </x:c>
      <x:c r="C63" s="106"/>
      <x:c r="D63" s="106"/>
      <x:c r="E63" s="106"/>
      <x:c r="F63" s="106"/>
      <x:c r="G63" s="106"/>
      <x:c r="H63" s="106"/>
    </x:row>
    <x:row r="64" ht="27.75" customHeight="1">
      <x:c r="A64" s="106" t="str">
        <x:v>A6</x:v>
      </x:c>
      <x:c r="B64" s="106" t="str">
        <x:v>Assume [enter project-specific programme / work-front basis].</x:v>
      </x:c>
      <x:c r="C64" s="106"/>
      <x:c r="D64" s="106"/>
      <x:c r="E64" s="106"/>
      <x:c r="F64" s="106"/>
      <x:c r="G64" s="106"/>
      <x:c r="H64" s="106"/>
    </x:row>
    <x:row r="65" ht="27.75" customHeight="1">
      <x:c r="A65" s="106" t="str">
        <x:v>A7</x:v>
      </x:c>
      <x:c r="B65" s="106" t="str">
        <x:v>Assume [enter project-specific weather / season basis or refer to Weather Risk].</x:v>
      </x:c>
      <x:c r="C65" s="106"/>
      <x:c r="D65" s="106"/>
      <x:c r="E65" s="106"/>
      <x:c r="F65" s="106"/>
      <x:c r="G65" s="106"/>
      <x:c r="H65" s="106"/>
    </x:row>
    <x:row r="66" ht="27.75" customHeight="1">
      <x:c r="A66" s="106" t="str">
        <x:v>A8</x:v>
      </x:c>
      <x:c r="B66" s="106" t="str">
        <x:v>Assume [enter project-specific client / principal supplied items and interfaces].</x:v>
      </x:c>
      <x:c r="C66" s="106"/>
      <x:c r="D66" s="106"/>
      <x:c r="E66" s="106"/>
      <x:c r="F66" s="106"/>
      <x:c r="G66" s="106"/>
      <x:c r="H66" s="106"/>
    </x:row>
    <x:row r="67" ht="34.5" customHeight="1">
      <x:c r="A67" s="106" t="str">
        <x:v>EX-01</x:v>
      </x:c>
      <x:c r="B67" s="106" t="str">
        <x:v>Exclude [enter explicit trade / scope exclusion].</x:v>
      </x:c>
      <x:c r="C67" s="106"/>
      <x:c r="D67" s="106"/>
      <x:c r="E67" s="106"/>
      <x:c r="F67" s="106"/>
      <x:c r="G67" s="106"/>
      <x:c r="H67" s="106"/>
    </x:row>
    <x:row r="68" ht="27.75" customHeight="1">
      <x:c r="A68" s="106" t="str">
        <x:v>EX-02</x:v>
      </x:c>
      <x:c r="B68" s="106" t="str">
        <x:v>Exclude [enter explicit commercial / abnormal-condition exclusion].</x:v>
      </x:c>
      <x:c r="C68" s="106"/>
      <x:c r="D68" s="106"/>
      <x:c r="E68" s="106"/>
      <x:c r="F68" s="106"/>
      <x:c r="G68" s="106"/>
      <x:c r="H68" s="106"/>
    </x:row>
    <x:row r="69" ht="27.75" customHeight="1">
      <x:c r="A69" s="106"/>
      <x:c r="B69" s="106"/>
      <x:c r="C69" s="106"/>
      <x:c r="D69" s="106"/>
      <x:c r="E69" s="106"/>
      <x:c r="F69" s="106"/>
      <x:c r="G69" s="106"/>
      <x:c r="H69" s="106"/>
    </x:row>
    <x:row r="70" ht="27.75" customHeight="1">
      <x:c r="A70" s="106" t="str">
        <x:v>PRICING QUALIFICATIONS / RFIs</x:v>
      </x:c>
      <x:c r="B70" s="106"/>
      <x:c r="C70" s="106"/>
      <x:c r="D70" s="106"/>
      <x:c r="E70" s="106"/>
      <x:c r="F70" s="106"/>
      <x:c r="G70" s="106"/>
      <x:c r="H70" s="106"/>
    </x:row>
    <x:row r="71" ht="27.75" customHeight="1">
      <x:c r="A71" s="106" t="str">
        <x:v>RFI-01</x:v>
      </x:c>
      <x:c r="B71" s="106" t="str">
        <x:v>[enter missing / contradictory information, source reference, and quantity/cost/programme impact]</x:v>
      </x:c>
      <x:c r="C71" s="106"/>
      <x:c r="D71" s="106"/>
      <x:c r="E71" s="106"/>
      <x:c r="F71" s="106"/>
      <x:c r="G71" s="106"/>
      <x:c r="H71" s="106"/>
    </x:row>
    <x:row r="72" s="103" customFormat="1" ht="27.75" customHeight="1">
      <x:c r="A72" s="21" t="str">
        <x:v>RFI-02</x:v>
      </x:c>
      <x:c r="B72" s="21" t="str">
        <x:v>[enter missing / contradictory information, source reference, and quantity/cost/programme impact]</x:v>
      </x:c>
      <x:c r="C72" s="21"/>
      <x:c r="D72" s="21"/>
      <x:c r="E72" s="21"/>
      <x:c r="F72" s="21"/>
      <x:c r="G72" s="21"/>
      <x:c r="H72" s="21"/>
    </x:row>
    <x:row r="73" ht="27.75" customHeight="1">
      <x:c r="A73" s="106" t="str">
        <x:v>RFI-03</x:v>
      </x:c>
      <x:c r="B73" s="106" t="str">
        <x:v>[enter missing / contradictory information, source reference, and quantity/cost/programme impact]</x:v>
      </x:c>
      <x:c r="C73" s="106"/>
      <x:c r="D73" s="106"/>
      <x:c r="E73" s="106"/>
      <x:c r="F73" s="106"/>
      <x:c r="G73" s="106"/>
      <x:c r="H73" s="106"/>
    </x:row>
    <x:row r="74" ht="27.75" customHeight="1">
      <x:c r="A74" s="106" t="str">
        <x:v>RFI-04</x:v>
      </x:c>
      <x:c r="B74" s="106" t="str">
        <x:v>[enter missing / contradictory information, source reference, and quantity/cost/programme impact]</x:v>
      </x:c>
      <x:c r="C74" s="106"/>
      <x:c r="D74" s="106"/>
      <x:c r="E74" s="106"/>
      <x:c r="F74" s="106"/>
      <x:c r="G74" s="106"/>
      <x:c r="H74" s="106"/>
    </x:row>
    <x:row r="75" ht="27.75" customHeight="1">
      <x:c r="A75" s="106" t="str">
        <x:v>RFI-05</x:v>
      </x:c>
      <x:c r="B75" s="106" t="str">
        <x:v>[enter missing / contradictory information, source reference, and quantity/cost/programme impact]</x:v>
      </x:c>
      <x:c r="C75" s="106"/>
      <x:c r="D75" s="106"/>
      <x:c r="E75" s="106"/>
      <x:c r="F75" s="106"/>
      <x:c r="G75" s="106"/>
      <x:c r="H75" s="106"/>
    </x:row>
    <x:row r="76" ht="27.75" customHeight="1">
      <x:c r="A76" s="106" t="str">
        <x:v>RFI-06</x:v>
      </x:c>
      <x:c r="B76" s="106" t="str">
        <x:v>[enter missing / contradictory information, source reference, and quantity/cost/programme impact]</x:v>
      </x:c>
      <x:c r="C76" s="106"/>
      <x:c r="D76" s="106"/>
      <x:c r="E76" s="106"/>
      <x:c r="F76" s="106"/>
      <x:c r="G76" s="106"/>
      <x:c r="H76" s="106"/>
    </x:row>
    <x:row r="77" ht="27.75" customHeight="1">
      <x:c r="A77" s="106" t="str">
        <x:v>RFI-07</x:v>
      </x:c>
      <x:c r="B77" s="106" t="str">
        <x:v>[enter missing / contradictory information, source reference, and quantity/cost/programme impact]</x:v>
      </x:c>
      <x:c r="C77" s="106"/>
      <x:c r="D77" s="106"/>
      <x:c r="E77" s="106"/>
      <x:c r="F77" s="106"/>
      <x:c r="G77" s="106"/>
      <x:c r="H77" s="106"/>
    </x:row>
    <x:row r="78" ht="27.75" customHeight="1">
      <x:c r="A78" s="106" t="str">
        <x:v>RFI-08</x:v>
      </x:c>
      <x:c r="B78" s="106" t="str">
        <x:v>[enter missing / contradictory information, source reference, and quantity/cost/programme impact]</x:v>
      </x:c>
      <x:c r="C78" s="106"/>
      <x:c r="D78" s="106"/>
      <x:c r="E78" s="106"/>
      <x:c r="F78" s="106"/>
      <x:c r="G78" s="106"/>
      <x:c r="H78" s="106"/>
    </x:row>
    <x:row r="79" ht="27.75" customHeight="1">
      <x:c r="A79" s="106" t="str">
        <x:v>RFI-09</x:v>
      </x:c>
      <x:c r="B79" s="106" t="str">
        <x:v>[enter missing / contradictory information, source reference, and quantity/cost/programme impact]</x:v>
      </x:c>
      <x:c r="C79" s="106"/>
      <x:c r="D79" s="106"/>
      <x:c r="E79" s="106"/>
      <x:c r="F79" s="106"/>
      <x:c r="G79" s="106"/>
      <x:c r="H79" s="106"/>
    </x:row>
    <x:row r="80" ht="27.75" customHeight="1">
      <x:c r="A80" s="106" t="str">
        <x:v>RFI-10</x:v>
      </x:c>
      <x:c r="B80" s="106" t="str">
        <x:v>[enter missing / contradictory information, source reference, and quantity/cost/programme impact]</x:v>
      </x:c>
      <x:c r="C80" s="106"/>
      <x:c r="D80" s="106"/>
      <x:c r="E80" s="106"/>
      <x:c r="F80" s="106"/>
      <x:c r="G80" s="106"/>
      <x:c r="H80" s="106"/>
    </x:row>
    <x:row r="81" ht="27.75" customHeight="1">
      <x:c r="A81" s="106" t="str">
        <x:v>RFI-11</x:v>
      </x:c>
      <x:c r="B81" s="106" t="str">
        <x:v>[enter missing / contradictory information, source reference, and quantity/cost/programme impact]</x:v>
      </x:c>
      <x:c r="C81" s="106"/>
      <x:c r="D81" s="106"/>
      <x:c r="E81" s="106"/>
      <x:c r="F81" s="106"/>
      <x:c r="G81" s="106"/>
      <x:c r="H81" s="106"/>
    </x:row>
    <x:row r="82" ht="27.75" customHeight="1">
      <x:c r="A82" s="106" t="str">
        <x:v>RFI-12</x:v>
      </x:c>
      <x:c r="B82" s="106" t="str">
        <x:v>[enter missing / contradictory information, source reference, and quantity/cost/programme impact]</x:v>
      </x:c>
      <x:c r="C82" s="106"/>
      <x:c r="D82" s="106"/>
      <x:c r="E82" s="106"/>
      <x:c r="F82" s="106"/>
      <x:c r="G82" s="106"/>
      <x:c r="H82" s="106"/>
    </x:row>
    <x:row r="83" ht="27.75" customHeight="1">
      <x:c r="A83" s="106"/>
      <x:c r="B83" s="106"/>
      <x:c r="C83" s="106"/>
      <x:c r="D83" s="106"/>
      <x:c r="E83" s="106"/>
      <x:c r="F83" s="106"/>
      <x:c r="G83" s="106"/>
      <x:c r="H83" s="106"/>
    </x:row>
    <x:row r="84" ht="27.75" customHeight="1">
      <x:c r="A84" s="106"/>
      <x:c r="B84" s="106"/>
      <x:c r="C84" s="106"/>
      <x:c r="D84" s="106"/>
      <x:c r="E84" s="106"/>
      <x:c r="F84" s="106"/>
      <x:c r="G84" s="106"/>
      <x:c r="H84" s="106"/>
    </x:row>
    <x:row r="85" ht="50.849998474121094" customHeight="1">
      <x:c r="A85" s="106"/>
      <x:c r="B85" s="106"/>
      <x:c r="C85" s="106"/>
      <x:c r="D85" s="106"/>
      <x:c r="E85" s="106"/>
      <x:c r="F85" s="106"/>
      <x:c r="G85" s="106"/>
      <x:c r="H85" s="106"/>
    </x:row>
    <x:row r="86" ht="8.850000381469727" customHeight="1">
      <x:c r="A86" s="106"/>
      <x:c r="B86" s="106"/>
      <x:c r="C86" s="106"/>
      <x:c r="D86" s="106"/>
      <x:c r="E86" s="106"/>
      <x:c r="F86" s="106"/>
      <x:c r="G86" s="106"/>
      <x:c r="H86" s="106"/>
    </x:row>
    <x:row r="87" ht="25.350000381469727" customHeight="1">
      <x:c r="A87" s="198" t="s">
        <x:v>66</x:v>
      </x:c>
      <x:c r="B87" s="198"/>
      <x:c r="C87" s="198"/>
      <x:c r="D87" s="198"/>
      <x:c r="E87" s="198"/>
      <x:c r="F87" s="198"/>
      <x:c r="G87" s="198"/>
      <x:c r="H87" s="198"/>
    </x:row>
    <x:row r="88" ht="16.799999237060547" customHeight="1">
      <x:c r="A88" s="21" t="s">
        <x:v>67</x:v>
      </x:c>
      <x:c r="B88" s="106"/>
      <x:c r="C88" s="106" t="str">
        <x:v>Likelihood</x:v>
      </x:c>
      <x:c r="D88" s="106" t="s">
        <x:v>68</x:v>
      </x:c>
      <x:c r="E88" s="106" t="s">
        <x:v>69</x:v>
      </x:c>
      <x:c r="F88" s="106" t="s">
        <x:v>70</x:v>
      </x:c>
      <x:c r="G88" s="106" t="s">
        <x:v>71</x:v>
      </x:c>
      <x:c r="H88" s="106" t="s">
        <x:v>72</x:v>
      </x:c>
    </x:row>
    <x:row r="89" ht="25.350000381469727" customHeight="1">
      <x:c r="A89" s="106" t="n">
        <x:f>'Risk Truth'!A25</x:f>
        <x:v>0</x:v>
      </x:c>
      <x:c r="B89" s="106" t="n">
        <x:f>'Risk Truth'!B25</x:f>
        <x:v>0</x:v>
      </x:c>
      <x:c r="C89" s="106" t="n">
        <x:f>'Risk Truth'!D25</x:f>
        <x:v>0</x:v>
      </x:c>
      <x:c r="D89" s="106" t="n">
        <x:f>'Risk Truth'!E25</x:f>
        <x:v>0</x:v>
      </x:c>
      <x:c r="E89" s="106" t="n">
        <x:f>'Risk Truth'!F25</x:f>
        <x:v>0</x:v>
      </x:c>
      <x:c r="F89" s="106" t="n">
        <x:f>'Risk Truth'!G25</x:f>
        <x:v>0</x:v>
      </x:c>
      <x:c r="G89" s="106" t="s">
        <x:v>73</x:v>
      </x:c>
      <x:c r="H89" s="106" t="s">
        <x:v>74</x:v>
      </x:c>
    </x:row>
    <x:row r="90" ht="25.350000381469727" customHeight="1">
      <x:c r="A90" s="106" t="n">
        <x:f>'Risk Truth'!A26</x:f>
        <x:v>0</x:v>
      </x:c>
      <x:c r="B90" s="106" t="n">
        <x:f>'Risk Truth'!B26</x:f>
        <x:v>0</x:v>
      </x:c>
      <x:c r="C90" s="106" t="n">
        <x:f>'Risk Truth'!D26</x:f>
        <x:v>0</x:v>
      </x:c>
      <x:c r="D90" s="106" t="n">
        <x:f>'Risk Truth'!E26</x:f>
        <x:v>0</x:v>
      </x:c>
      <x:c r="E90" s="106" t="n">
        <x:f>'Risk Truth'!F26</x:f>
        <x:v>0</x:v>
      </x:c>
      <x:c r="F90" s="106" t="n">
        <x:f>'Risk Truth'!G26</x:f>
        <x:v>0</x:v>
      </x:c>
      <x:c r="G90" s="106" t="s">
        <x:v>75</x:v>
      </x:c>
      <x:c r="H90" s="106" t="s">
        <x:v>74</x:v>
      </x:c>
    </x:row>
    <x:row r="91" ht="25.350000381469727" customHeight="1">
      <x:c r="A91" s="106" t="n">
        <x:f>'Risk Truth'!A27</x:f>
        <x:v>0</x:v>
      </x:c>
      <x:c r="B91" s="106" t="n">
        <x:f>'Risk Truth'!B27</x:f>
        <x:v>0</x:v>
      </x:c>
      <x:c r="C91" s="106" t="n">
        <x:f>'Risk Truth'!D27</x:f>
        <x:v>0</x:v>
      </x:c>
      <x:c r="D91" s="106" t="n">
        <x:f>'Risk Truth'!E27</x:f>
        <x:v>0</x:v>
      </x:c>
      <x:c r="E91" s="106" t="n">
        <x:f>'Risk Truth'!F27</x:f>
        <x:v>0</x:v>
      </x:c>
      <x:c r="F91" s="106" t="n">
        <x:f>'Risk Truth'!G27</x:f>
        <x:v>0</x:v>
      </x:c>
      <x:c r="G91" s="106" t="s">
        <x:v>76</x:v>
      </x:c>
      <x:c r="H91" s="106" t="s">
        <x:v>74</x:v>
      </x:c>
    </x:row>
    <x:row r="92" ht="25.350000381469727" customHeight="1">
      <x:c r="A92" s="106" t="n">
        <x:f>'Risk Truth'!A28</x:f>
        <x:v>0</x:v>
      </x:c>
      <x:c r="B92" s="106" t="n">
        <x:f>'Risk Truth'!B28</x:f>
        <x:v>0</x:v>
      </x:c>
      <x:c r="C92" s="106" t="n">
        <x:f>'Risk Truth'!D28</x:f>
        <x:v>0</x:v>
      </x:c>
      <x:c r="D92" s="106" t="n">
        <x:f>'Risk Truth'!E28</x:f>
        <x:v>0</x:v>
      </x:c>
      <x:c r="E92" s="106" t="n">
        <x:f>'Risk Truth'!F28</x:f>
        <x:v>0</x:v>
      </x:c>
      <x:c r="F92" s="106" t="n">
        <x:f>'Risk Truth'!G28</x:f>
        <x:v>0</x:v>
      </x:c>
      <x:c r="G92" s="106" t="s">
        <x:v>77</x:v>
      </x:c>
      <x:c r="H92" s="106" t="s">
        <x:v>74</x:v>
      </x:c>
    </x:row>
    <x:row r="93" ht="16.950000762939453" customHeight="1">
      <x:c r="A93" s="106" t="n">
        <x:f>'Risk Truth'!A29</x:f>
        <x:v>0</x:v>
      </x:c>
      <x:c r="B93" s="106" t="n">
        <x:f>'Risk Truth'!B29</x:f>
        <x:v>0</x:v>
      </x:c>
      <x:c r="C93" s="106" t="n">
        <x:f>'Risk Truth'!D29</x:f>
        <x:v>0</x:v>
      </x:c>
      <x:c r="D93" s="106" t="n">
        <x:f>'Risk Truth'!E29</x:f>
        <x:v>0</x:v>
      </x:c>
      <x:c r="E93" s="106" t="n">
        <x:f>'Risk Truth'!F29</x:f>
        <x:v>0</x:v>
      </x:c>
      <x:c r="F93" s="106" t="n">
        <x:f>'Risk Truth'!G29</x:f>
        <x:v>0</x:v>
      </x:c>
      <x:c r="G93" s="106" t="s">
        <x:v>78</x:v>
      </x:c>
      <x:c r="H93" s="106" t="s">
        <x:v>74</x:v>
      </x:c>
    </x:row>
    <x:row r="94" ht="33.75" customHeight="1">
      <x:c r="A94" s="106" t="n">
        <x:f>'Risk Truth'!A30</x:f>
        <x:v>0</x:v>
      </x:c>
      <x:c r="B94" s="106" t="n">
        <x:f>'Risk Truth'!B30</x:f>
        <x:v>0</x:v>
      </x:c>
      <x:c r="C94" s="106" t="n">
        <x:f>'Risk Truth'!D30</x:f>
        <x:v>0</x:v>
      </x:c>
      <x:c r="D94" s="106" t="n">
        <x:f>'Risk Truth'!E30</x:f>
        <x:v>0</x:v>
      </x:c>
      <x:c r="E94" s="106" t="n">
        <x:f>'Risk Truth'!F30</x:f>
        <x:v>0</x:v>
      </x:c>
      <x:c r="F94" s="106" t="n">
        <x:f>'Risk Truth'!G30</x:f>
        <x:v>0</x:v>
      </x:c>
      <x:c r="G94" s="106" t="s">
        <x:v>79</x:v>
      </x:c>
      <x:c r="H94" s="106" t="s">
        <x:v>74</x:v>
      </x:c>
    </x:row>
    <x:row r="95" ht="33.75" customHeight="1">
      <x:c r="A95" s="106" t="n">
        <x:f>'Risk Truth'!A31</x:f>
        <x:v>0</x:v>
      </x:c>
      <x:c r="B95" s="106" t="n">
        <x:f>'Risk Truth'!B31</x:f>
        <x:v>0</x:v>
      </x:c>
      <x:c r="C95" s="106" t="n">
        <x:f>'Risk Truth'!D31</x:f>
        <x:v>0</x:v>
      </x:c>
      <x:c r="D95" s="106" t="n">
        <x:f>'Risk Truth'!E31</x:f>
        <x:v>0</x:v>
      </x:c>
      <x:c r="E95" s="106" t="n">
        <x:f>'Risk Truth'!F31</x:f>
        <x:v>0</x:v>
      </x:c>
      <x:c r="F95" s="106" t="n">
        <x:f>'Risk Truth'!G31</x:f>
        <x:v>0</x:v>
      </x:c>
      <x:c r="G95" s="106" t="s">
        <x:v>80</x:v>
      </x:c>
      <x:c r="H95" s="106" t="s">
        <x:v>74</x:v>
      </x:c>
    </x:row>
    <x:row r="96" ht="25.350000381469727" customHeight="1">
      <x:c r="A96" s="106" t="n">
        <x:f>'Risk Truth'!A32</x:f>
        <x:v>0</x:v>
      </x:c>
      <x:c r="B96" s="106" t="n">
        <x:f>'Risk Truth'!B32</x:f>
        <x:v>0</x:v>
      </x:c>
      <x:c r="C96" s="106" t="n">
        <x:f>'Risk Truth'!D32</x:f>
        <x:v>0</x:v>
      </x:c>
      <x:c r="D96" s="106" t="n">
        <x:f>'Risk Truth'!E32</x:f>
        <x:v>0</x:v>
      </x:c>
      <x:c r="E96" s="106" t="n">
        <x:f>'Risk Truth'!F32</x:f>
        <x:v>0</x:v>
      </x:c>
      <x:c r="F96" s="106" t="n">
        <x:f>'Risk Truth'!G32</x:f>
        <x:v>0</x:v>
      </x:c>
      <x:c r="G96" s="106" t="s">
        <x:v>81</x:v>
      </x:c>
      <x:c r="H96" s="106" t="s">
        <x:v>74</x:v>
      </x:c>
    </x:row>
    <x:row r="97" ht="25.350000381469727" customHeight="1">
      <x:c r="A97" s="106" t="n">
        <x:f>'Risk Truth'!A33</x:f>
        <x:v>0</x:v>
      </x:c>
      <x:c r="B97" s="106" t="n">
        <x:f>'Risk Truth'!B33</x:f>
        <x:v>0</x:v>
      </x:c>
      <x:c r="C97" s="106" t="n">
        <x:f>'Risk Truth'!D33</x:f>
        <x:v>0</x:v>
      </x:c>
      <x:c r="D97" s="106" t="n">
        <x:f>'Risk Truth'!E33</x:f>
        <x:v>0</x:v>
      </x:c>
      <x:c r="E97" s="106" t="n">
        <x:f>'Risk Truth'!F33</x:f>
        <x:v>0</x:v>
      </x:c>
      <x:c r="F97" s="106" t="n">
        <x:f>'Risk Truth'!G33</x:f>
        <x:v>0</x:v>
      </x:c>
      <x:c r="G97" s="106" t="s">
        <x:v>80</x:v>
      </x:c>
      <x:c r="H97" s="106" t="s">
        <x:v>74</x:v>
      </x:c>
    </x:row>
    <x:row r="98" ht="25.350000381469727" customHeight="1">
      <x:c r="A98" s="106" t="n">
        <x:f>'Risk Truth'!A34</x:f>
        <x:v>0</x:v>
      </x:c>
      <x:c r="B98" s="106" t="n">
        <x:f>'Risk Truth'!B34</x:f>
        <x:v>0</x:v>
      </x:c>
      <x:c r="C98" s="106" t="n">
        <x:f>'Risk Truth'!D34</x:f>
        <x:v>0</x:v>
      </x:c>
      <x:c r="D98" s="106" t="n">
        <x:f>'Risk Truth'!E34</x:f>
        <x:v>0</x:v>
      </x:c>
      <x:c r="E98" s="106" t="n">
        <x:f>'Risk Truth'!F34</x:f>
        <x:v>0</x:v>
      </x:c>
      <x:c r="F98" s="106" t="n">
        <x:f>'Risk Truth'!G34</x:f>
        <x:v>0</x:v>
      </x:c>
      <x:c r="G98" s="106" t="s">
        <x:v>78</x:v>
      </x:c>
      <x:c r="H98" s="106" t="s">
        <x:v>74</x:v>
      </x:c>
    </x:row>
    <x:row r="99" ht="8.850000381469727" customHeight="1">
      <x:c r="A99" s="106" t="n">
        <x:f>'Risk Truth'!A35</x:f>
        <x:v>0</x:v>
      </x:c>
      <x:c r="B99" s="106" t="n">
        <x:f>'Risk Truth'!B35</x:f>
        <x:v>0</x:v>
      </x:c>
      <x:c r="C99" s="106" t="n">
        <x:f>'Risk Truth'!D35</x:f>
        <x:v>0</x:v>
      </x:c>
      <x:c r="D99" s="106" t="n">
        <x:f>'Risk Truth'!E35</x:f>
        <x:v>0</x:v>
      </x:c>
      <x:c r="E99" s="106" t="n">
        <x:f>'Risk Truth'!F35</x:f>
        <x:v>0</x:v>
      </x:c>
      <x:c r="F99" s="106" t="n">
        <x:f>'Risk Truth'!G35</x:f>
        <x:v>0</x:v>
      </x:c>
      <x:c r="G99" s="106"/>
      <x:c r="H99" s="106"/>
    </x:row>
    <x:row r="100" ht="18.149999618530273" customHeight="1">
      <x:c r="A100" s="198" t="s">
        <x:v>82</x:v>
      </x:c>
      <x:c r="B100" s="198"/>
      <x:c r="C100" s="198"/>
      <x:c r="D100" s="198"/>
      <x:c r="E100" s="198"/>
      <x:c r="F100" s="198"/>
      <x:c r="G100" s="198"/>
      <x:c r="H100" s="198"/>
    </x:row>
    <x:row r="101" s="103" customFormat="1" ht="22.950000762939453" customHeight="1">
      <x:c r="A101" s="21" t="s">
        <x:v>83</x:v>
      </x:c>
      <x:c r="B101" s="21"/>
      <x:c r="C101" s="21"/>
      <x:c r="D101" s="21" t="s">
        <x:v>71</x:v>
      </x:c>
      <x:c r="E101" s="21" t="s">
        <x:v>84</x:v>
      </x:c>
      <x:c r="F101" s="21" t="s">
        <x:v>85</x:v>
      </x:c>
      <x:c r="G101" s="21" t="s">
        <x:v>86</x:v>
      </x:c>
      <x:c r="H101" s="21"/>
    </x:row>
    <x:row r="102" ht="19.649999618530273" customHeight="1">
      <x:c r="A102" s="106" t="str">
        <x:v>References</x:v>
      </x:c>
      <x:c r="B102" s="106" t="str">
        <x:v>Current Intake, Master Prompt, Triple Verification and applicable backend tools confirmed</x:v>
      </x:c>
      <x:c r="C102" s="106" t="str">
        <x:v>Not Started</x:v>
      </x:c>
      <x:c r="D102" s="106" t="str">
        <x:v>Estimator</x:v>
      </x:c>
      <x:c r="E102" s="106" t="str">
        <x:v>Yes</x:v>
      </x:c>
      <x:c r="F102" s="106" t="str">
        <x:v>Backend reference check</x:v>
      </x:c>
      <x:c r="G102" s="30" t="str"/>
      <x:c r="H102" s="106"/>
    </x:row>
    <x:row r="103" ht="19.649999618530273" customHeight="1">
      <x:c r="A103" s="106" t="str">
        <x:v>Documents</x:v>
      </x:c>
      <x:c r="B103" s="106" t="str">
        <x:v>Current drawing/specification/tender register complete</x:v>
      </x:c>
      <x:c r="C103" s="106" t="str">
        <x:v>Not Started</x:v>
      </x:c>
      <x:c r="D103" s="106" t="str">
        <x:v>Estimator</x:v>
      </x:c>
      <x:c r="E103" s="106" t="str">
        <x:v>Yes</x:v>
      </x:c>
      <x:c r="F103" s="106" t="str">
        <x:v>Document register</x:v>
      </x:c>
      <x:c r="G103" s="30" t="str"/>
      <x:c r="H103" s="106"/>
    </x:row>
    <x:row r="104" ht="19.649999618530273" customHeight="1">
      <x:c r="A104" s="106" t="str">
        <x:v>Scope</x:v>
      </x:c>
      <x:c r="B104" s="106" t="str">
        <x:v>Work-package inclusions, exclusions and interfaces defined</x:v>
      </x:c>
      <x:c r="C104" s="106" t="str">
        <x:v>Not Started</x:v>
      </x:c>
      <x:c r="D104" s="106" t="str">
        <x:v>Estimator</x:v>
      </x:c>
      <x:c r="E104" s="106" t="str">
        <x:v>Yes</x:v>
      </x:c>
      <x:c r="F104" s="106" t="str">
        <x:v>Scope / assumptions</x:v>
      </x:c>
      <x:c r="G104" s="30" t="str"/>
      <x:c r="H104" s="106"/>
    </x:row>
    <x:row r="105" ht="19.649999618530273" customHeight="1">
      <x:c r="A105" s="106" t="str">
        <x:v>Takeoff</x:v>
      </x:c>
      <x:c r="B105" s="106" t="str">
        <x:v>Major quantities measured and referenced to current drawings/specs</x:v>
      </x:c>
      <x:c r="C105" s="106" t="str">
        <x:v>Not Started</x:v>
      </x:c>
      <x:c r="D105" s="106" t="str">
        <x:v>QS</x:v>
      </x:c>
      <x:c r="E105" s="106" t="str">
        <x:v>Yes</x:v>
      </x:c>
      <x:c r="F105" s="106" t="str">
        <x:v>QS Takeoff</x:v>
      </x:c>
      <x:c r="G105" s="30" t="str"/>
      <x:c r="H105" s="106"/>
    </x:row>
    <x:row r="106" ht="19.649999618530273" customHeight="1">
      <x:c r="A106" s="106" t="str">
        <x:v>Resource build-up</x:v>
      </x:c>
      <x:c r="B106" s="106" t="str">
        <x:v>Every active QS code has linked labour/plant/material/subcontract resources</x:v>
      </x:c>
      <x:c r="C106" s="106" t="str">
        <x:v>Not Started</x:v>
      </x:c>
      <x:c r="D106" s="106" t="str">
        <x:v>Estimator</x:v>
      </x:c>
      <x:c r="E106" s="106" t="str">
        <x:v>Yes</x:v>
      </x:c>
      <x:c r="F106" s="106" t="str">
        <x:v>Resource Build-Up</x:v>
      </x:c>
      <x:c r="G106" s="30" t="str"/>
      <x:c r="H106" s="106"/>
    </x:row>
    <x:row r="107" ht="19.649999618530273" customHeight="1">
      <x:c r="A107" s="106" t="str">
        <x:v>Rate verification</x:v>
      </x:c>
      <x:c r="B107" s="106" t="str">
        <x:v>Important rates and allowances classified and three-way verification reviewed</x:v>
      </x:c>
      <x:c r="C107" s="106" t="str">
        <x:v>Not Started</x:v>
      </x:c>
      <x:c r="D107" s="106" t="str">
        <x:v>Estimator</x:v>
      </x:c>
      <x:c r="E107" s="106" t="str">
        <x:v>Yes</x:v>
      </x:c>
      <x:c r="F107" s="106" t="str">
        <x:v>Rate Verification</x:v>
      </x:c>
      <x:c r="G107" s="30" t="str"/>
      <x:c r="H107" s="106"/>
    </x:row>
    <x:row r="108" ht="19.649999618530273" customHeight="1">
      <x:c r="A108" s="106" t="str">
        <x:v>Quotes / PCs</x:v>
      </x:c>
      <x:c r="B108" s="106" t="str">
        <x:v>PC sums and quote-required packages reconciled to live project evidence</x:v>
      </x:c>
      <x:c r="C108" s="106" t="str">
        <x:v>Not Started</x:v>
      </x:c>
      <x:c r="D108" s="106" t="str">
        <x:v>Estimator</x:v>
      </x:c>
      <x:c r="E108" s="106" t="str">
        <x:v>Yes</x:v>
      </x:c>
      <x:c r="F108" s="106" t="str">
        <x:v>Rate Verification / quotes</x:v>
      </x:c>
      <x:c r="G108" s="30" t="str"/>
      <x:c r="H108" s="106"/>
    </x:row>
    <x:row r="109" ht="19.649999618530273" customHeight="1">
      <x:c r="A109" s="106" t="str">
        <x:v>Assumptions</x:v>
      </x:c>
      <x:c r="B109" s="106" t="str">
        <x:v>Assumptions and exclusions are explicit, current and defensible</x:v>
      </x:c>
      <x:c r="C109" s="106" t="str">
        <x:v>Not Started</x:v>
      </x:c>
      <x:c r="D109" s="106" t="str">
        <x:v>Estimator</x:v>
      </x:c>
      <x:c r="E109" s="106" t="str">
        <x:v>Yes</x:v>
      </x:c>
      <x:c r="F109" s="106" t="str">
        <x:v>Cover &amp; Instructions</x:v>
      </x:c>
      <x:c r="G109" s="30" t="str"/>
      <x:c r="H109" s="106"/>
    </x:row>
    <x:row r="110" ht="19.649999618530273" customHeight="1">
      <x:c r="A110" s="106" t="str">
        <x:v>Interfaces</x:v>
      </x:c>
      <x:c r="B110" s="106" t="str">
        <x:v>By-others / client / authority / consultant responsibilities confirmed</x:v>
      </x:c>
      <x:c r="C110" s="106" t="str">
        <x:v>Not Started</x:v>
      </x:c>
      <x:c r="D110" s="106" t="str">
        <x:v>PM</x:v>
      </x:c>
      <x:c r="E110" s="106" t="str">
        <x:v>Yes</x:v>
      </x:c>
      <x:c r="F110" s="106" t="str">
        <x:v>Scope / RFIs</x:v>
      </x:c>
      <x:c r="G110" s="30" t="str"/>
      <x:c r="H110" s="106"/>
    </x:row>
    <x:row r="111" ht="19.649999618530273" customHeight="1">
      <x:c r="A111" s="106" t="str">
        <x:v>Risk Truth</x:v>
      </x:c>
      <x:c r="B111" s="106" t="str">
        <x:v>All material risks have baseline, residual exposure and cost-treatment location</x:v>
      </x:c>
      <x:c r="C111" s="106" t="str">
        <x:v>Not Started</x:v>
      </x:c>
      <x:c r="D111" s="106" t="str">
        <x:v>Estimator</x:v>
      </x:c>
      <x:c r="E111" s="106" t="str">
        <x:v>Yes</x:v>
      </x:c>
      <x:c r="F111" s="106" t="str">
        <x:v>Risk Truth</x:v>
      </x:c>
      <x:c r="G111" s="30" t="str"/>
      <x:c r="H111" s="106"/>
    </x:row>
    <x:row r="112" ht="19.649999618530273" customHeight="1">
      <x:c r="A112" s="106" t="str">
        <x:v>Risk duplication</x:v>
      </x:c>
      <x:c r="B112" s="106" t="str">
        <x:v>No residual risk is costed twice; overlap groups and cost-treatment owners reviewed</x:v>
      </x:c>
      <x:c r="C112" s="106" t="str">
        <x:v>Not Started</x:v>
      </x:c>
      <x:c r="D112" s="106" t="str">
        <x:v>Estimator</x:v>
      </x:c>
      <x:c r="E112" s="106" t="str">
        <x:v>Yes</x:v>
      </x:c>
      <x:c r="F112" s="106" t="str">
        <x:v>Risk Truth</x:v>
      </x:c>
      <x:c r="G112" s="30" t="str"/>
      <x:c r="H112" s="106"/>
    </x:row>
    <x:row r="113" ht="19.649999618530273" customHeight="1">
      <x:c r="A113" s="106" t="str">
        <x:v>Weather</x:v>
      </x:c>
      <x:c r="B113" s="106" t="str">
        <x:v>Weather Risk reviewed; approved tool run current or documented N/A basis accepted</x:v>
      </x:c>
      <x:c r="C113" s="106" t="str">
        <x:v>Not Started</x:v>
      </x:c>
      <x:c r="D113" s="106" t="str">
        <x:v>Estimator</x:v>
      </x:c>
      <x:c r="E113" s="106" t="str">
        <x:v>Yes</x:v>
      </x:c>
      <x:c r="F113" s="106" t="str">
        <x:v>Weather Risk</x:v>
      </x:c>
      <x:c r="G113" s="30" t="str"/>
      <x:c r="H113" s="106"/>
    </x:row>
    <x:row r="114" ht="19.649999618530273" customHeight="1">
      <x:c r="A114" s="106" t="str">
        <x:v>Ground / geotech</x:v>
      </x:c>
      <x:c r="B114" s="106" t="str">
        <x:v>Ground and groundwater risks aligned to current geotechnical evidence</x:v>
      </x:c>
      <x:c r="C114" s="106" t="str">
        <x:v>Not Started</x:v>
      </x:c>
      <x:c r="D114" s="106" t="str">
        <x:v>Estimator</x:v>
      </x:c>
      <x:c r="E114" s="106" t="str">
        <x:v>Yes</x:v>
      </x:c>
      <x:c r="F114" s="106" t="str">
        <x:v>Risk Truth / geotech</x:v>
      </x:c>
      <x:c r="G114" s="30" t="str"/>
      <x:c r="H114" s="106"/>
    </x:row>
    <x:row r="115" ht="19.649999618530273" customHeight="1">
      <x:c r="A115" s="106" t="str">
        <x:v>Earthworks / haulage</x:v>
      </x:c>
      <x:c r="B115" s="106" t="str">
        <x:v>Earthworks balance, bulking, haul, disposal and import assumptions reconciled where applicable</x:v>
      </x:c>
      <x:c r="C115" s="106" t="str">
        <x:v>Not Started</x:v>
      </x:c>
      <x:c r="D115" s="106" t="str">
        <x:v>QS</x:v>
      </x:c>
      <x:c r="E115" s="106" t="str">
        <x:v>Yes</x:v>
      </x:c>
      <x:c r="F115" s="106" t="str">
        <x:v>QS / Resource Build-Up</x:v>
      </x:c>
      <x:c r="G115" s="30" t="str"/>
      <x:c r="H115" s="106"/>
    </x:row>
    <x:row r="116" ht="19.649999618530273" customHeight="1">
      <x:c r="A116" s="106" t="str">
        <x:v>Temporary works</x:v>
      </x:c>
      <x:c r="B116" s="106" t="str">
        <x:v>Temporary works requirements and responsibility identified where applicable</x:v>
      </x:c>
      <x:c r="C116" s="106" t="str">
        <x:v>Not Started</x:v>
      </x:c>
      <x:c r="D116" s="106" t="str">
        <x:v>PM / Estimator</x:v>
      </x:c>
      <x:c r="E116" s="106" t="str">
        <x:v>Yes</x:v>
      </x:c>
      <x:c r="F116" s="106" t="str">
        <x:v>QS / Risk Truth</x:v>
      </x:c>
      <x:c r="G116" s="30" t="str"/>
      <x:c r="H116" s="106"/>
    </x:row>
    <x:row r="117" ht="19.649999618530273" customHeight="1">
      <x:c r="A117" s="106" t="str">
        <x:v>Programme</x:v>
      </x:c>
      <x:c r="B117" s="106" t="str">
        <x:v>Working days, productive crew days, elapsed duration and work fronts reconciled</x:v>
      </x:c>
      <x:c r="C117" s="106" t="str">
        <x:v>Not Started</x:v>
      </x:c>
      <x:c r="D117" s="106" t="str">
        <x:v>Planner / PM</x:v>
      </x:c>
      <x:c r="E117" s="106" t="str">
        <x:v>Yes</x:v>
      </x:c>
      <x:c r="F117" s="106" t="str">
        <x:v>Programme Export</x:v>
      </x:c>
      <x:c r="G117" s="30" t="str"/>
      <x:c r="H117" s="106"/>
    </x:row>
    <x:row r="118" ht="19.649999618530273" customHeight="1">
      <x:c r="A118" s="106" t="str">
        <x:v>Programme cost check</x:v>
      </x:c>
      <x:c r="B118" s="106" t="str">
        <x:v>Programme Export resource/QS cost checks all read OK</x:v>
      </x:c>
      <x:c r="C118" s="106" t="str">
        <x:v>Not Started</x:v>
      </x:c>
      <x:c r="D118" s="106" t="str">
        <x:v>Estimator</x:v>
      </x:c>
      <x:c r="E118" s="106" t="str">
        <x:v>Yes</x:v>
      </x:c>
      <x:c r="F118" s="106" t="str">
        <x:v>Programme Export</x:v>
      </x:c>
      <x:c r="G118" s="30" t="str"/>
      <x:c r="H118" s="106"/>
    </x:row>
    <x:row r="119" ht="19.649999618530273" customHeight="1">
      <x:c r="A119" s="106" t="str">
        <x:v>Commercial</x:v>
      </x:c>
      <x:c r="B119" s="106" t="str">
        <x:v>Overhead, profit, escalation, securities and commercial inputs independently reviewed</x:v>
      </x:c>
      <x:c r="C119" s="106" t="str">
        <x:v>Not Started</x:v>
      </x:c>
      <x:c r="D119" s="106" t="str">
        <x:v>Commercial</x:v>
      </x:c>
      <x:c r="E119" s="106" t="str">
        <x:v>Yes</x:v>
      </x:c>
      <x:c r="F119" s="106" t="str">
        <x:v>Commercial Inputs</x:v>
      </x:c>
      <x:c r="G119" s="30" t="str"/>
      <x:c r="H119" s="106"/>
    </x:row>
    <x:row r="120" ht="19.649999618530273" customHeight="1">
      <x:c r="A120" s="106" t="str">
        <x:v>Cashflow</x:v>
      </x:c>
      <x:c r="B120" s="106" t="str">
        <x:v>Stage profile, retention and deposit assumptions reviewed where required</x:v>
      </x:c>
      <x:c r="C120" s="106" t="str">
        <x:v>Not Started</x:v>
      </x:c>
      <x:c r="D120" s="106" t="str">
        <x:v>PM / Commercial</x:v>
      </x:c>
      <x:c r="E120" s="106" t="str">
        <x:v>No</x:v>
      </x:c>
      <x:c r="F120" s="106" t="str">
        <x:v>Stage Cashflow</x:v>
      </x:c>
      <x:c r="G120" s="30" t="str"/>
      <x:c r="H120" s="106"/>
    </x:row>
    <x:row r="121" ht="19.649999618530273" customHeight="1">
      <x:c r="A121" s="106" t="str">
        <x:v>Summary</x:v>
      </x:c>
      <x:c r="B121" s="106" t="str">
        <x:v>Resource -&gt; QS -&gt; Tender -&gt; Summary -&gt; Cashflow reconciliation checks pass</x:v>
      </x:c>
      <x:c r="C121" s="106" t="str">
        <x:v>Not Started</x:v>
      </x:c>
      <x:c r="D121" s="106" t="str">
        <x:v>Estimator</x:v>
      </x:c>
      <x:c r="E121" s="106" t="str">
        <x:v>Yes</x:v>
      </x:c>
      <x:c r="F121" s="106" t="str">
        <x:v>Summary</x:v>
      </x:c>
      <x:c r="G121" s="30" t="str"/>
      <x:c r="H121" s="106"/>
    </x:row>
    <x:row r="122" ht="19.649999618530273" customHeight="1">
      <x:c r="A122" s="106" t="str">
        <x:v>Pricing schedule</x:v>
      </x:c>
      <x:c r="B122" s="106" t="str">
        <x:v>Client/head-contractor pricing schedule mapped without double counting</x:v>
      </x:c>
      <x:c r="C122" s="106" t="str">
        <x:v>Not Started</x:v>
      </x:c>
      <x:c r="D122" s="106" t="str">
        <x:v>Commercial</x:v>
      </x:c>
      <x:c r="E122" s="106" t="str">
        <x:v>Yes</x:v>
      </x:c>
      <x:c r="F122" s="106" t="str">
        <x:v>Tender return</x:v>
      </x:c>
      <x:c r="G122" s="30" t="str"/>
      <x:c r="H122" s="106"/>
    </x:row>
    <x:row r="123" ht="19.649999618530273" customHeight="1">
      <x:c r="A123" s="106" t="str">
        <x:v>Independent review / adjudication</x:v>
      </x:c>
      <x:c r="B123" s="106" t="str">
        <x:v>Three clean-room whole-estimate reviews plus six specialist challenges complete; every active QS item has review coverage; material disagreements adjudicated on evidence rather than consensus.</x:v>
      </x:c>
      <x:c r="C123" s="106" t="str">
        <x:v>Not Started</x:v>
      </x:c>
      <x:c r="D123" s="106" t="str">
        <x:v>Chief Estimator / Director</x:v>
      </x:c>
      <x:c r="E123" s="106" t="str">
        <x:v>Yes</x:v>
      </x:c>
      <x:c r="F123" s="106" t="str">
        <x:v>Estimate Review Board</x:v>
      </x:c>
      <x:c r="G123" s="30" t="str"/>
      <x:c r="H123" s="106"/>
    </x:row>
    <x:row r="124" ht="19.649999618530273" customHeight="1">
      <x:c r="A124" s="106" t="str">
        <x:v>Release</x:v>
      </x:c>
      <x:c r="B124" s="106" t="str">
        <x:v>Risk Truth, Weather, Independent Estimate Review Board and formula/control release gates reviewed</x:v>
      </x:c>
      <x:c r="C124" s="106" t="str">
        <x:v>Not Started</x:v>
      </x:c>
      <x:c r="D124" s="106" t="str">
        <x:v>Estimator</x:v>
      </x:c>
      <x:c r="E124" s="106" t="str">
        <x:v>Yes</x:v>
      </x:c>
      <x:c r="F124" s="106" t="str">
        <x:v>Risk Truth / Weather Risk / Estimate Review Board / Summary</x:v>
      </x:c>
      <x:c r="G124" s="30" t="str"/>
      <x:c r="H124" s="106"/>
    </x:row>
    <x:row r="125" ht="19.649999618530273" customHeight="1">
      <x:c r="A125" s="697" t="str">
        <x:v>Approval</x:v>
      </x:c>
      <x:c r="B125" s="697" t="str">
        <x:v>Final tender/estimate approved by authorised reviewer</x:v>
      </x:c>
      <x:c r="C125" s="697" t="str">
        <x:v>Not Started</x:v>
      </x:c>
      <x:c r="D125" s="697" t="str">
        <x:v>Director</x:v>
      </x:c>
      <x:c r="E125" s="697" t="str">
        <x:v>Yes</x:v>
      </x:c>
      <x:c r="F125" s="697" t="str">
        <x:v>Approval record</x:v>
      </x:c>
      <x:c r="G125" s="106" t="str"/>
      <x:c r="H125" s="106"/>
    </x:row>
    <x:row r="126" ht="15.300000190734863" customHeight="1">
      <x:c r="A126" s="123" t="str">
        <x:v>Archive</x:v>
      </x:c>
      <x:c r="B126" s="123" t="str">
        <x:v>Issued estimate, source evidence and previous release totals retained</x:v>
      </x:c>
      <x:c r="C126" s="123" t="str">
        <x:v>Not Started</x:v>
      </x:c>
      <x:c r="D126" s="123" t="str">
        <x:v>Estimator</x:v>
      </x:c>
      <x:c r="E126" s="123" t="str">
        <x:v>Yes</x:v>
      </x:c>
      <x:c r="F126" s="123" t="str">
        <x:v>Document control</x:v>
      </x:c>
      <x:c r="G126" s="123" t="str"/>
      <x:c r="H126" s="198"/>
    </x:row>
    <x:row r="127" ht="15.300000190734863" customHeight="1">
      <x:c r="A127" s="106" t="str">
        <x:v>Revision</x:v>
      </x:c>
      <x:c r="B127" s="106" t="str">
        <x:v>Date</x:v>
      </x:c>
      <x:c r="C127" s="106" t="str">
        <x:v>Description</x:v>
      </x:c>
      <x:c r="D127" s="106" t="str">
        <x:v>Prepared by</x:v>
      </x:c>
      <x:c r="E127" s="106" t="str">
        <x:v>Status</x:v>
      </x:c>
      <x:c r="F127" s="106"/>
      <x:c r="G127" s="106"/>
      <x:c r="H127" s="106"/>
    </x:row>
    <x:row r="128" ht="94.05000305175781" customHeight="1">
      <x:c r="A128" s="106" t="str">
        <x:v>Master Estimate Workbook Rev1</x:v>
      </x:c>
      <x:c r="B128" s="106" t="str">
        <x:v>15-Aug-2026</x:v>
      </x:c>
      <x:c r="C128" s="106" t="str">
        <x:v>Permanent master promotion: Risk Truth residual-risk engine integrated; CA01/CA02 converted to Risk Truth feeds; programme duration compatibility and full-row formula propagation controls incorporated.</x:v>
      </x:c>
      <x:c r="D128" s="106" t="str">
        <x:v>Estimating system development</x:v>
      </x:c>
      <x:c r="E128" s="106" t="str">
        <x:v>SUPERSEDED BY REV2 - RETAIN FOR AUDIT</x:v>
      </x:c>
      <x:c r="F128" s="106"/>
      <x:c r="G128" s="106"/>
      <x:c r="H128" s="106"/>
    </x:row>
    <x:row r="129">
      <x:c r="A129" s="27" t="str">
        <x:v>Master Estimate Workbook Rev2</x:v>
      </x:c>
      <x:c r="B129" s="27" t="str">
        <x:v>15-Aug-2026</x:v>
      </x:c>
      <x:c r="C129" s="27" t="str">
        <x:v>Controlled master revision: commercial method selectors back-ported from Bridle test; engine outputs separated from manual PC/% overrides; Include? retained as on/off control; reusable crane, rigging, cartage, transporter, testing and temporary-access resources added to the central library.</x:v>
      </x:c>
      <x:c r="D129" s="27" t="str">
        <x:v>Estimating system development</x:v>
      </x:c>
      <x:c r="E129" s="27" t="str">
        <x:v>SUPERSEDED BY REV3 - RETAIN FOR AUDIT</x:v>
      </x:c>
      <x:c r="F129"/>
      <x:c r="G129"/>
      <x:c r="H129"/>
    </x:row>
    <x:row r="130" ht="27.299999237060547" customHeight="1">
      <x:c r="A130" s="197" t="str">
        <x:v>TRIPLE VERIFICATION &amp; RISK TRUTH - MANDATORY</x:v>
      </x:c>
      <x:c r="B130" s="197"/>
      <x:c r="C130" s="197"/>
      <x:c r="D130" s="197"/>
      <x:c r="E130" s="197"/>
      <x:c r="F130" s="197"/>
      <x:c r="G130" s="197"/>
      <x:c r="H130" s="197"/>
    </x:row>
    <x:row r="131" ht="22.950000762939453" customHeight="1">
      <x:c r="A131" s="116" t="str">
        <x:v>1</x:v>
      </x:c>
      <x:c r="B131" s="117" t="str">
        <x:v>No rate, quantity, productivity, duration, allowance or risk provision is called verified without its required evidence and status.</x:v>
      </x:c>
      <x:c r="C131"/>
      <x:c r="D131"/>
      <x:c r="E131"/>
      <x:c r="F131"/>
      <x:c r="G131"/>
      <x:c r="H131"/>
    </x:row>
    <x:row r="132" ht="22.950000762939453" customHeight="1">
      <x:c r="A132" s="116" t="str">
        <x:v>2</x:v>
      </x:c>
      <x:c r="B132" s="117" t="str">
        <x:v>Quantifiable physical risk consequences return to Resource Build-Up / QS Takeoff; they are not hidden in CA01/CA02.</x:v>
      </x:c>
      <x:c r="C132"/>
      <x:c r="D132"/>
      <x:c r="E132"/>
      <x:c r="F132"/>
      <x:c r="G132"/>
      <x:c r="H132"/>
    </x:row>
    <x:row r="133" ht="22.950000762939453" customHeight="1">
      <x:c r="A133" s="116" t="str">
        <x:v>3</x:v>
      </x:c>
      <x:c r="B133" s="117" t="str">
        <x:v>CA01 and CA02 default to Risk Truth residual feeds. PC Sum or % may be selected only as an explicit, stated adjudication override; a generic project-value percentage is not an acceptable default.</x:v>
      </x:c>
      <x:c r="C133"/>
      <x:c r="D133"/>
      <x:c r="E133"/>
      <x:c r="F133"/>
      <x:c r="G133"/>
      <x:c r="H133"/>
    </x:row>
    <x:row r="134" ht="22.950000762939453" customHeight="1">
      <x:c r="A134" s="116" t="str">
        <x:v>4</x:v>
      </x:c>
      <x:c r="B134" s="117" t="str">
        <x:v>Weather remains in the Weather Risk specialist pathway. CA10 may use Weather Engine, an explicit PC Sum or %, and Include? may turn the allowance off; do not duplicate weather elsewhere.</x:v>
      </x:c>
      <x:c r="C134"/>
      <x:c r="D134"/>
      <x:c r="E134"/>
      <x:c r="F134"/>
      <x:c r="G134"/>
      <x:c r="H134"/>
    </x:row>
    <x:row r="135" ht="22.950000762939453" customHeight="1">
      <x:c r="A135" s="116" t="str">
        <x:v>5</x:v>
      </x:c>
      <x:c r="B135" s="117" t="str">
        <x:v>Any RED duplication, programme reconciliation or unresolved material Risk Truth item blocks final release until resolved, excluded or formally accepted under the governing standard.</x:v>
      </x:c>
      <x:c r="C135"/>
      <x:c r="D135"/>
      <x:c r="E135"/>
      <x:c r="F135"/>
      <x:c r="G135"/>
      <x:c r="H135"/>
    </x:row>
    <x:row r="136">
      <x:c r="A136"/>
      <x:c r="B136"/>
      <x:c r="C136"/>
      <x:c r="D136"/>
      <x:c r="E136"/>
      <x:c r="F136"/>
      <x:c r="G136"/>
      <x:c r="H136"/>
    </x:row>
    <x:row r="137">
      <x:c r="A137" s="671" t="str">
        <x:v>VALIDATION RECORD</x:v>
      </x:c>
      <x:c r="B137" s="671"/>
      <x:c r="C137" s="671"/>
      <x:c r="D137" s="671"/>
      <x:c r="E137" s="671"/>
      <x:c r="F137"/>
      <x:c r="G137"/>
      <x:c r="H137"/>
    </x:row>
    <x:row r="138">
      <x:c r="A138" s="684" t="str">
        <x:v>Method</x:v>
      </x:c>
      <x:c r="B138" s="684" t="str">
        <x:v>15-Aug-2026</x:v>
      </x:c>
      <x:c r="C138" s="684" t="str">
        <x:v>Risk Truth methodology was developed, red-teamed and dynamically tested against a real linked estimate before permanent promotion.</x:v>
      </x:c>
      <x:c r="D138" s="684" t="str">
        <x:v>Estimating system development</x:v>
      </x:c>
      <x:c r="E138" s="684" t="str">
        <x:v>PASS</x:v>
      </x:c>
      <x:c r="F138"/>
      <x:c r="G138"/>
      <x:c r="H138"/>
    </x:row>
    <x:row r="139">
      <x:c r="A139" s="27" t="str">
        <x:v>Workbook QA</x:v>
      </x:c>
      <x:c r="B139" s="27" t="str">
        <x:v>15-Aug-2026</x:v>
      </x:c>
      <x:c r="C139" s="27" t="str">
        <x:v>Rate, quantity, risk, programme, commercial and duplicate-cost propagation tests passed before this master template was created.</x:v>
      </x:c>
      <x:c r="D139" s="27" t="str">
        <x:v>Estimating system development</x:v>
      </x:c>
      <x:c r="E139" s="27" t="str">
        <x:v>PASS</x:v>
      </x:c>
      <x:c r="F139"/>
      <x:c r="G139"/>
      <x:c r="H139"/>
    </x:row>
    <x:row r="140" ht="56" customHeight="1">
      <x:c r="A140" s="27" t="str">
        <x:v>Rev2 method-selector QA</x:v>
      </x:c>
      <x:c r="B140" s="27" t="str">
        <x:v>15-Aug-2026</x:v>
      </x:c>
      <x:c r="C140" s="27" t="str">
        <x:v>CA01 Risk Engine/PC/% and CA10 Weather Engine/PC/% were dynamically tested; Include? No returns $0 while engine outputs remain live.</x:v>
      </x:c>
      <x:c r="D140" s="27" t="str">
        <x:v>Estimating system development</x:v>
      </x:c>
      <x:c r="E140" s="27" t="str">
        <x:v>PASS</x:v>
      </x:c>
      <x:c r="F140"/>
      <x:c r="G140"/>
      <x:c r="H140"/>
    </x:row>
    <x:row r="141">
      <x:c r="A141" t="str">
        <x:v>Rev2 resource-library QA</x:v>
      </x:c>
      <x:c r="B141" t="str">
        <x:v>15-Aug-2026</x:v>
      </x:c>
      <x:c r="C141" t="str">
        <x:v>New crane/cartage/rigging/testing resources resolve through the existing Resource Build-Up lookup range; no Clevedon-specific quantity or rate was promoted.</x:v>
      </x:c>
      <x:c r="D141" t="str">
        <x:v>Estimating system development</x:v>
      </x:c>
      <x:c r="E141" t="str">
        <x:v>PASS</x:v>
      </x:c>
    </x:row>
    <x:row r="142" ht="64" customHeight="1">
      <x:c r="A142" s="27" t="str">
        <x:v>Master Estimate Workbook Rev3</x:v>
      </x:c>
      <x:c r="B142" s="27" t="str">
        <x:v>17-Aug-2026</x:v>
      </x:c>
      <x:c r="C142" s="27" t="str">
        <x:v>Standard rates retained; 14 Allied alternatives added.</x:v>
      </x:c>
      <x:c r="D142" t="str">
        <x:v>Estimating system development</x:v>
      </x:c>
      <x:c r="E142" t="str">
        <x:v>APPROVED MASTER TEMPLATE</x:v>
      </x:c>
    </x:row>
    <x:row r="143" ht="64" customHeight="1">
      <x:c r="A143" s="27" t="str">
        <x:v>Rev3 Allied-resource QA</x:v>
      </x:c>
      <x:c r="B143" s="27" t="str">
        <x:v>17-Aug-2026</x:v>
      </x:c>
      <x:c r="C143" s="27" t="str">
        <x:v>Allied codes and formula scan verified.</x:v>
      </x:c>
      <x:c r="D143" t="str">
        <x:v>Estimating system development</x:v>
      </x:c>
      <x:c r="E143" t="str">
        <x:v>PASS - COMMERCIAL INPUTS UNCHANGED</x:v>
      </x:c>
    </x:row>
    <x:row r="144" ht="24" customHeight="1">
      <x:c r="A144" s="748" t="str">
        <x:v>REV4 INDEPENDENT ESTIMATE REVIEW BOARD - DEVELOPMENT CANDIDATE</x:v>
      </x:c>
      <x:c r="B144" s="748"/>
      <x:c r="C144" s="748"/>
      <x:c r="D144" s="748"/>
      <x:c r="E144" s="748"/>
    </x:row>
    <x:row r="145">
      <x:c r="A145" s="757" t="str">
        <x:v>Master Estimate Workbook Rev4</x:v>
      </x:c>
      <x:c r="B145" s="27" t="str">
        <x:v>03-Sep-2026</x:v>
      </x:c>
      <x:c r="C145" s="27" t="str">
        <x:v>Development candidate: Independent Estimate Verification Board integrated. Three blind clean-room whole-estimate reviewers, six specialist challenge reviewers, QS-item coverage matrix, evidence-led adjudication register and release gate added without creating a second cost chain.</x:v>
      </x:c>
      <x:c r="D145" s="27" t="str">
        <x:v>Estimating system development</x:v>
      </x:c>
      <x:c r="E145" s="757" t="str">
        <x:v>DEVELOPMENT CANDIDATE - LIVE JOB VALIDATION REQUIRED</x:v>
      </x:c>
    </x:row>
    <x:row r="146">
      <x:c r="A146" s="757" t="str">
        <x:v>Rev4 Independent Review Board QA</x:v>
      </x:c>
      <x:c r="B146" s="27" t="str">
        <x:v>03-Sep-2026</x:v>
      </x:c>
      <x:c r="C146" s="27" t="str">
        <x:v>Structural/dynamic workbook tests completed. Review-board release logic, QS coverage links, summary gate integration and formula-error scans require live tender validation before permanent promotion.</x:v>
      </x:c>
      <x:c r="D146" s="27" t="str">
        <x:v>Estimating system development</x:v>
      </x:c>
      <x:c r="E146" s="757" t="str">
        <x:v>STRUCTURAL QA PASS / LIVE TEST PENDING</x:v>
      </x:c>
    </x:row>
  </x:sheetData>
  <x:mergeCells>
    <x:mergeCell ref="A130:H130"/>
    <x:mergeCell ref="A100:H100"/>
    <x:mergeCell ref="A126:H126"/>
    <x:mergeCell ref="A1:F1"/>
    <x:mergeCell ref="A2:F2"/>
    <x:mergeCell ref="A9:F9"/>
    <x:mergeCell ref="A18:F18"/>
    <x:mergeCell ref="A28:F28"/>
    <x:mergeCell ref="A35:H35"/>
    <x:mergeCell ref="A46:H46"/>
    <x:mergeCell ref="A57:H57"/>
    <x:mergeCell ref="A87:H87"/>
    <x:mergeCell ref="A137:E137"/>
    <x:mergeCell ref="A144:E144"/>
  </x:mergeCells>
  <x:dataValidations count="1">
    <x:dataValidation type="custom" allowBlank="1" showErrorMessage="1" errorTitle="Linked formula cell" error="This value is linked. Change the upstream input/source instead of overwriting this cell." sqref="E5">
      <x:formula1>FALSE</x:formula1>
    </x:dataValidation>
  </x:dataValidations>
  <x:pageMargins left="0.7" right="0.7" top="0.75" bottom="0.75" header="0.3" footer="0.3"/>
</x:worksheet>
</file>

<file path=xl/worksheets/sheet2.xml><?xml version="1.0" encoding="utf-8"?>
<x:worksheet xmlns:x="http://schemas.openxmlformats.org/spreadsheetml/2006/main">
  <x:sheetFormatPr defaultRowHeight="13.800000190734863"/>
  <x:cols>
    <x:col min="1" max="1" width="71.8984375" style="1" customWidth="1"/>
    <x:col min="2" max="2" width="38.59765625" style="1" customWidth="1"/>
    <x:col min="3" max="3" width="16" style="1" customWidth="1"/>
    <x:col min="4" max="4" width="14" style="1" customWidth="1"/>
    <x:col min="5" max="5" width="55" style="1" customWidth="1"/>
  </x:cols>
  <x:sheetData>
    <x:row r="1" s="2" customFormat="1" ht="22.950000762939453" customHeight="1">
      <x:c r="A1" s="210" t="str">
        <x:v>MASTER ESTIMATE WORKBOOK - ESTIMATE SUMMARY - REV4 INDEPENDENT REVIEW BOARD</x:v>
      </x:c>
      <x:c r="B1" s="211"/>
      <x:c r="C1" s="29"/>
      <x:c r="D1" s="29"/>
      <x:c r="E1" s="29"/>
    </x:row>
    <x:row r="2" s="3" customFormat="1" ht="22.950000762939453" customHeight="1">
      <x:c r="A2" s="212" t="str">
        <x:v>Base direct costs are linked from Resource Build-Up through QS Takeoff. Commercial provisions are controlled through Commercial Inputs. Risk Truth and Weather retain their specialist pathways. Final release is also controlled by the Independent Estimate Verification Board, which requires blind independent reviews and evidence-led adjudication.</x:v>
      </x:c>
      <x:c r="B2" s="211"/>
      <x:c r="C2" s="211"/>
      <x:c r="D2" s="211"/>
      <x:c r="E2" s="211"/>
    </x:row>
    <x:row r="3" s="3" customFormat="1" ht="16.799999237060547" customHeight="1">
      <x:c r="A3" s="20" t="s">
        <x:v>0</x:v>
      </x:c>
      <x:c r="B3" s="118"/>
      <x:c r="C3" s="106"/>
      <x:c r="D3" s="106"/>
      <x:c r="E3" s="106"/>
    </x:row>
    <x:row r="4" s="3" customFormat="1" ht="16.799999237060547" customHeight="1">
      <x:c r="A4" s="20" t="s">
        <x:v>1</x:v>
      </x:c>
      <x:c r="B4" s="118"/>
      <x:c r="C4" s="106"/>
      <x:c r="D4" s="106"/>
      <x:c r="E4" s="106"/>
    </x:row>
    <x:row r="5" s="3" customFormat="1" ht="16.799999237060547" customHeight="1">
      <x:c r="A5" s="20" t="s">
        <x:v>87</x:v>
      </x:c>
      <x:c r="B5" s="118"/>
      <x:c r="C5" s="106"/>
      <x:c r="D5" s="106"/>
      <x:c r="E5" s="106"/>
    </x:row>
    <x:row r="6" s="3" customFormat="1" ht="16.799999237060547" customHeight="1">
      <x:c r="A6" s="20" t="s">
        <x:v>5</x:v>
      </x:c>
      <x:c r="B6" s="118" t="str">
        <x:v>MASTER TEMPLATE - not for issue until current project inputs and release gates are complete.</x:v>
      </x:c>
      <x:c r="C6" s="106"/>
      <x:c r="D6" s="106"/>
      <x:c r="E6" s="106"/>
    </x:row>
    <x:row r="7" s="3" customFormat="1" ht="16.799999237060547" customHeight="1">
      <x:c r="A7" s="20" t="s">
        <x:v>6</x:v>
      </x:c>
      <x:c r="B7" s="118" t="str">
        <x:v>17-Aug-2026</x:v>
      </x:c>
      <x:c r="C7" s="106"/>
      <x:c r="D7" s="106"/>
      <x:c r="E7" s="106"/>
    </x:row>
    <x:row r="8" s="3" customFormat="1" ht="16.799999237060547" customHeight="1">
      <x:c r="A8" s="20" t="s">
        <x:v>88</x:v>
      </x:c>
      <x:c r="B8" s="118"/>
      <x:c r="C8" s="106"/>
      <x:c r="D8" s="106"/>
      <x:c r="E8" s="106"/>
    </x:row>
    <x:row r="9" s="3" customFormat="1" ht="16.799999237060547" customHeight="1">
      <x:c r="A9" s="20" t="s">
        <x:v>89</x:v>
      </x:c>
      <x:c r="B9" s="118"/>
      <x:c r="C9" s="106"/>
      <x:c r="D9" s="106"/>
      <x:c r="E9" s="106"/>
    </x:row>
    <x:row r="10" s="3" customFormat="1" ht="16.799999237060547" customHeight="1">
      <x:c r="A10" s="20" t="s">
        <x:v>90</x:v>
      </x:c>
      <x:c r="B10" s="118"/>
      <x:c r="C10" s="106"/>
      <x:c r="D10" s="106"/>
      <x:c r="E10" s="106"/>
    </x:row>
    <x:row r="11" s="3" customFormat="1" ht="16.799999237060547" customHeight="1">
      <x:c r="A11" s="20" t="s">
        <x:v>91</x:v>
      </x:c>
      <x:c r="B11" s="118"/>
      <x:c r="C11" s="106"/>
      <x:c r="D11" s="106"/>
      <x:c r="E11" s="106"/>
    </x:row>
    <x:row r="12" ht="22.5" customHeight="1">
      <x:c r="A12" s="20" t="s">
        <x:v>92</x:v>
      </x:c>
      <x:c r="B12" s="26"/>
      <x:c r="C12" s="26"/>
      <x:c r="D12" s="26"/>
      <x:c r="E12" s="26"/>
    </x:row>
    <x:row r="13" s="3" customFormat="1" ht="14.399999618530273" customHeight="1">
      <x:c r="A13" s="32" t="s">
        <x:v>93</x:v>
      </x:c>
      <x:c r="B13" s="32" t="s">
        <x:v>94</x:v>
      </x:c>
      <x:c r="C13" s="32" t="s">
        <x:v>95</x:v>
      </x:c>
      <x:c r="D13" s="32" t="s">
        <x:v>96</x:v>
      </x:c>
      <x:c r="E13" s="32" t="s">
        <x:v>97</x:v>
      </x:c>
    </x:row>
    <x:row r="14" s="3" customFormat="1" ht="14.399999618530273" customHeight="1">
      <x:c r="A14" s="107"/>
      <x:c r="B14" s="107"/>
      <x:c r="C14" s="119"/>
      <x:c r="D14" s="107"/>
      <x:c r="E14" s="107"/>
    </x:row>
    <x:row r="15" s="3" customFormat="1" ht="14.399999618530273" customHeight="1">
      <x:c r="A15" s="107"/>
      <x:c r="B15" s="107"/>
      <x:c r="C15" s="119"/>
      <x:c r="D15" s="107"/>
      <x:c r="E15" s="107"/>
    </x:row>
    <x:row r="16" s="3" customFormat="1" ht="14.399999618530273" customHeight="1">
      <x:c r="A16" s="107"/>
      <x:c r="B16" s="107"/>
      <x:c r="C16" s="119"/>
      <x:c r="D16" s="107"/>
      <x:c r="E16" s="107"/>
    </x:row>
    <x:row r="17" s="3" customFormat="1" ht="14.399999618530273" customHeight="1">
      <x:c r="A17" s="107"/>
      <x:c r="B17" s="107"/>
      <x:c r="C17" s="119"/>
      <x:c r="D17" s="107"/>
      <x:c r="E17" s="107"/>
    </x:row>
    <x:row r="18" s="3" customFormat="1" ht="14.399999618530273" customHeight="1">
      <x:c r="A18" s="107"/>
      <x:c r="B18" s="107"/>
      <x:c r="C18" s="119"/>
      <x:c r="D18" s="107"/>
      <x:c r="E18" s="107"/>
    </x:row>
    <x:row r="19" s="3" customFormat="1" ht="14.399999618530273" customHeight="1">
      <x:c r="A19" s="107"/>
      <x:c r="B19" s="107"/>
      <x:c r="C19" s="119"/>
      <x:c r="D19" s="107"/>
      <x:c r="E19" s="107"/>
    </x:row>
    <x:row r="20" s="3" customFormat="1" ht="14.399999618530273" customHeight="1">
      <x:c r="A20" s="107"/>
      <x:c r="B20" s="107"/>
      <x:c r="C20" s="119"/>
      <x:c r="D20" s="107"/>
      <x:c r="E20" s="107"/>
    </x:row>
    <x:row r="21" s="3" customFormat="1" ht="14.399999618530273" customHeight="1">
      <x:c r="A21" s="107" t="str">
        <x:v>Pricing Summary (direct-cost estimate)</x:v>
      </x:c>
      <x:c r="B21" s="107"/>
      <x:c r="C21" s="119"/>
      <x:c r="D21" s="107"/>
      <x:c r="E21" s="107"/>
    </x:row>
    <x:row r="22" s="3" customFormat="1" ht="14.399999618530273" customHeight="1">
      <x:c r="A22" s="107" t="s">
        <x:v>83</x:v>
      </x:c>
      <x:c r="B22" s="107" t="s">
        <x:v>98</x:v>
      </x:c>
      <x:c r="C22" s="119"/>
      <x:c r="D22" s="107"/>
      <x:c r="E22" s="107"/>
    </x:row>
    <x:row r="23" s="3" customFormat="1" ht="14.399999618530273" customHeight="1">
      <x:c r="A23" s="107" t="s">
        <x:v>99</x:v>
      </x:c>
      <x:c r="B23" s="120" t="n">
        <x:f>'Tender Build-Up'!B10</x:f>
        <x:v>0</x:v>
      </x:c>
      <x:c r="C23" s="119"/>
      <x:c r="D23" s="107"/>
      <x:c r="E23" s="107"/>
    </x:row>
    <x:row r="24" s="3" customFormat="1" ht="14.399999618530273" customHeight="1">
      <x:c r="A24" s="107" t="s">
        <x:v>100</x:v>
      </x:c>
      <x:c r="B24" s="120" t="n">
        <x:f>'Tender Build-Up'!B11</x:f>
        <x:v>0</x:v>
      </x:c>
      <x:c r="C24" s="119"/>
      <x:c r="D24" s="107"/>
      <x:c r="E24" s="107"/>
    </x:row>
    <x:row r="25" s="3" customFormat="1" ht="14.399999618530273" customHeight="1">
      <x:c r="A25" s="106" t="s">
        <x:v>101</x:v>
      </x:c>
      <x:c r="B25" s="121" t="n">
        <x:f>'Tender Build-Up'!B12</x:f>
        <x:v>0</x:v>
      </x:c>
      <x:c r="C25" s="106"/>
      <x:c r="D25" s="106"/>
      <x:c r="E25" s="106"/>
    </x:row>
    <x:row r="26" s="3" customFormat="1" ht="14.399999618530273" customHeight="1">
      <x:c r="A26" s="107" t="s">
        <x:v>102</x:v>
      </x:c>
      <x:c r="B26" s="121" t="n">
        <x:f>'Tender Build-Up'!B13</x:f>
        <x:v>0</x:v>
      </x:c>
      <x:c r="C26" s="106"/>
      <x:c r="D26" s="106"/>
      <x:c r="E26" s="106"/>
    </x:row>
    <x:row r="27" s="3" customFormat="1" ht="14.399999618530273" customHeight="1">
      <x:c r="A27" s="32" t="s">
        <x:v>103</x:v>
      </x:c>
      <x:c r="B27" s="122" t="n">
        <x:f>'Tender Build-Up'!B14</x:f>
        <x:v>0</x:v>
      </x:c>
      <x:c r="C27" s="123"/>
      <x:c r="D27" s="123"/>
      <x:c r="E27" s="123"/>
    </x:row>
    <x:row r="28" s="3" customFormat="1" ht="14.399999618530273" customHeight="1">
      <x:c r="A28" s="107" t="s">
        <x:v>104</x:v>
      </x:c>
      <x:c r="B28" s="124" t="n">
        <x:f>'Tender Build-Up'!B15</x:f>
        <x:v>0</x:v>
      </x:c>
      <x:c r="C28" s="106"/>
      <x:c r="D28" s="106"/>
      <x:c r="E28" s="106"/>
    </x:row>
    <x:row r="29" s="3" customFormat="1" ht="14.399999618530273" customHeight="1">
      <x:c r="A29" s="107" t="s">
        <x:v>105</x:v>
      </x:c>
      <x:c r="B29" s="124" t="n">
        <x:f>'Tender Build-Up'!B16</x:f>
        <x:v>0</x:v>
      </x:c>
      <x:c r="C29" s="106"/>
      <x:c r="D29" s="106"/>
      <x:c r="E29" s="106"/>
    </x:row>
    <x:row r="30" s="3" customFormat="1" ht="14.399999618530273" customHeight="1">
      <x:c r="A30" s="107" t="s">
        <x:v>106</x:v>
      </x:c>
      <x:c r="B30" s="124" t="n">
        <x:f>'Tender Build-Up'!B17</x:f>
        <x:v>0</x:v>
      </x:c>
      <x:c r="C30" s="106"/>
      <x:c r="D30" s="106"/>
      <x:c r="E30" s="106"/>
    </x:row>
    <x:row r="31" s="3" customFormat="1" ht="14.399999618530273" customHeight="1">
      <x:c r="A31" s="107" t="s">
        <x:v>107</x:v>
      </x:c>
      <x:c r="B31" s="124" t="n">
        <x:f>'Tender Build-Up'!B18</x:f>
        <x:v>0</x:v>
      </x:c>
      <x:c r="C31" s="106"/>
      <x:c r="D31" s="106"/>
      <x:c r="E31" s="106"/>
    </x:row>
    <x:row r="32" s="3" customFormat="1" ht="14.399999618530273" customHeight="1">
      <x:c r="A32" s="107" t="s">
        <x:v>108</x:v>
      </x:c>
      <x:c r="B32" s="124" t="n">
        <x:f>'Tender Build-Up'!B19</x:f>
        <x:v>0</x:v>
      </x:c>
      <x:c r="C32" s="106"/>
      <x:c r="D32" s="106"/>
      <x:c r="E32" s="106"/>
    </x:row>
    <x:row r="33" s="3" customFormat="1" ht="14.399999618530273" customHeight="1">
      <x:c r="A33" s="107" t="s">
        <x:v>109</x:v>
      </x:c>
      <x:c r="B33" s="124" t="n">
        <x:f>'Tender Build-Up'!B20</x:f>
        <x:v>0</x:v>
      </x:c>
      <x:c r="C33" s="106"/>
      <x:c r="D33" s="106"/>
      <x:c r="E33" s="106"/>
    </x:row>
    <x:row r="34" s="3" customFormat="1" ht="14.399999618530273" customHeight="1">
      <x:c r="A34" s="107" t="s">
        <x:v>110</x:v>
      </x:c>
      <x:c r="B34" s="125" t="s">
        <x:v>111</x:v>
      </x:c>
      <x:c r="C34" s="106"/>
      <x:c r="D34" s="106"/>
      <x:c r="E34" s="106"/>
    </x:row>
    <x:row r="35" s="3" customFormat="1" ht="14.399999618530273" customHeight="1">
      <x:c r="A35" s="107" t="s">
        <x:v>112</x:v>
      </x:c>
      <x:c r="B35" s="125" t="str">
        <x:v>Resource-linked direct cost; current project PC/provisional/quoted items must be visible in Resource Build-Up and QS Takeoff.</x:v>
      </x:c>
      <x:c r="C35" s="106"/>
      <x:c r="D35" s="106"/>
      <x:c r="E35" s="106"/>
    </x:row>
    <x:row r="36" s="3" customFormat="1" ht="14.399999618530273" customHeight="1">
      <x:c r="A36" s="107" t="s">
        <x:v>2</x:v>
      </x:c>
      <x:c r="B36" s="125" t="str">
        <x:v>Rates exclude GST unless the optional tax display is activated in Commercial Inputs.</x:v>
      </x:c>
      <x:c r="C36" s="106"/>
      <x:c r="D36" s="106"/>
      <x:c r="E36" s="106"/>
    </x:row>
    <x:row r="37" s="3" customFormat="1" ht="25.350000381469727" customHeight="1">
      <x:c r="A37" s="108" t="s">
        <x:v>113</x:v>
      </x:c>
      <x:c r="B37" s="126" t="str">
        <x:v>Measured, provided, calculated, allowance/PC and quoted items must retain current source references and verification status.</x:v>
      </x:c>
      <x:c r="C37" s="109"/>
      <x:c r="D37" s="109"/>
      <x:c r="E37" s="109"/>
    </x:row>
    <x:row r="38" s="3" customFormat="1" ht="26.399999618530273" customHeight="1">
      <x:c r="A38" s="106" t="s">
        <x:v>114</x:v>
      </x:c>
      <x:c r="B38" s="207" t="str">
        <x:v>Programme basis must reconcile working days, productive crew days, elapsed calendar duration, time-related costs and applicable Weather Risk outputs.</x:v>
      </x:c>
      <x:c r="C38" s="208"/>
      <x:c r="D38" s="208"/>
      <x:c r="E38" s="208"/>
    </x:row>
    <x:row r="39" s="3" customFormat="1" ht="14.399999618530273" customHeight="1">
      <x:c r="A39" s="107" t="s">
        <x:v>115</x:v>
      </x:c>
      <x:c r="B39" s="207"/>
      <x:c r="C39" s="208"/>
      <x:c r="D39" s="208"/>
      <x:c r="E39" s="208"/>
    </x:row>
    <x:row r="40" s="3" customFormat="1" ht="14.399999618530273" customHeight="1">
      <x:c r="A40" s="107" t="s">
        <x:v>116</x:v>
      </x:c>
      <x:c r="B40" s="207" t="s">
        <x:v>117</x:v>
      </x:c>
      <x:c r="C40" s="208"/>
      <x:c r="D40" s="208"/>
      <x:c r="E40" s="208"/>
    </x:row>
    <x:row r="41" s="3" customFormat="1" ht="14.399999618530273" customHeight="1">
      <x:c r="A41" s="107" t="s">
        <x:v>118</x:v>
      </x:c>
      <x:c r="B41" s="207" t="s">
        <x:v>119</x:v>
      </x:c>
      <x:c r="C41" s="208"/>
      <x:c r="D41" s="208"/>
      <x:c r="E41" s="208"/>
    </x:row>
    <x:row r="42" s="3" customFormat="1" ht="14.399999618530273" customHeight="1">
      <x:c r="A42" s="107"/>
      <x:c r="B42" s="207"/>
      <x:c r="C42" s="208"/>
      <x:c r="D42" s="208"/>
      <x:c r="E42" s="208"/>
    </x:row>
    <x:row r="43" s="3" customFormat="1" ht="14.399999618530273" customHeight="1">
      <x:c r="A43" s="107" t="s">
        <x:v>120</x:v>
      </x:c>
      <x:c r="B43" s="207"/>
      <x:c r="C43" s="208"/>
      <x:c r="D43" s="208"/>
      <x:c r="E43" s="208"/>
    </x:row>
    <x:row r="44" s="3" customFormat="1" ht="14.399999618530273" customHeight="1">
      <x:c r="A44" s="106" t="str">
        <x:v>Base direct estimate excl. GST</x:v>
      </x:c>
      <x:c r="B44" s="121" t="n">
        <x:f>'Tender Build-Up'!B20</x:f>
        <x:v>0</x:v>
      </x:c>
      <x:c r="C44" s="106"/>
      <x:c r="D44" s="106"/>
      <x:c r="E44" s="106" t="s">
        <x:v>121</x:v>
      </x:c>
    </x:row>
    <x:row r="45" s="3" customFormat="1" ht="14.399999618530273" customHeight="1">
      <x:c r="A45" s="107" t="str">
        <x:v>Pre-margin additions</x:v>
      </x:c>
      <x:c r="B45" s="121" t="n">
        <x:f>'Tender Build-Up'!B39</x:f>
        <x:v>0</x:v>
      </x:c>
      <x:c r="C45" s="106"/>
      <x:c r="D45" s="106"/>
      <x:c r="E45" s="106" t="s">
        <x:v>122</x:v>
      </x:c>
    </x:row>
    <x:row r="46" s="3" customFormat="1" ht="14.399999618530273" customHeight="1">
      <x:c r="A46" s="107" t="s">
        <x:v>123</x:v>
      </x:c>
      <x:c r="B46" s="127" t="n">
        <x:f>'Tender Build-Up'!B46</x:f>
        <x:v>0</x:v>
      </x:c>
      <x:c r="C46" s="106"/>
      <x:c r="D46" s="106"/>
      <x:c r="E46" s="106"/>
    </x:row>
    <x:row r="47" s="3" customFormat="1" ht="14.399999618530273" customHeight="1">
      <x:c r="A47" s="107" t="s">
        <x:v>124</x:v>
      </x:c>
      <x:c r="B47" s="127" t="n">
        <x:f>'Tender Build-Up'!B47</x:f>
        <x:v>0</x:v>
      </x:c>
      <x:c r="C47" s="106"/>
      <x:c r="D47" s="106"/>
      <x:c r="E47" s="106"/>
    </x:row>
    <x:row r="48" s="3" customFormat="1" ht="14.399999618530273" customHeight="1">
      <x:c r="A48" s="106" t="s">
        <x:v>125</x:v>
      </x:c>
      <x:c r="B48" s="121" t="n">
        <x:f>'Tender Build-Up'!B48</x:f>
        <x:v>0</x:v>
      </x:c>
      <x:c r="C48" s="106"/>
      <x:c r="D48" s="106"/>
      <x:c r="E48" s="106" t="s">
        <x:v>126</x:v>
      </x:c>
    </x:row>
    <x:row r="49" s="3" customFormat="1" ht="14.399999618530273" customHeight="1">
      <x:c r="A49" s="32" t="s">
        <x:v>127</x:v>
      </x:c>
      <x:c r="B49" s="122" t="n">
        <x:f>'Tender Build-Up'!B49</x:f>
        <x:v>0</x:v>
      </x:c>
      <x:c r="C49" s="123"/>
      <x:c r="D49" s="123"/>
      <x:c r="E49" s="32" t="s">
        <x:v>128</x:v>
      </x:c>
    </x:row>
    <x:row r="50" s="3" customFormat="1" ht="14.399999618530273" customHeight="1">
      <x:c r="A50" s="107" t="s">
        <x:v>129</x:v>
      </x:c>
      <x:c r="B50" s="124" t="n">
        <x:f>'Tender Build-Up'!B53</x:f>
        <x:v>0</x:v>
      </x:c>
      <x:c r="C50" s="106"/>
      <x:c r="D50" s="106"/>
      <x:c r="E50" s="107" t="str">
        <x:v>Tender total less retention withholding after CA25 deposit treatment.</x:v>
      </x:c>
    </x:row>
    <x:row r="51" s="3" customFormat="1" ht="14.399999618530273" customHeight="1">
      <x:c r="A51" s="107" t="s">
        <x:v>130</x:v>
      </x:c>
      <x:c r="B51" s="124" t="n">
        <x:f>'Tender Build-Up'!B55</x:f>
        <x:v>0</x:v>
      </x:c>
      <x:c r="C51" s="106"/>
      <x:c r="D51" s="106"/>
      <x:c r="E51" s="107" t="str">
        <x:v>Released after CA23 retention period; amount follows CA25 deposit retention treatment.</x:v>
      </x:c>
    </x:row>
    <x:row r="52" s="3" customFormat="1" ht="14.399999618530273" customHeight="1">
      <x:c r="A52" s="107" t="s">
        <x:v>131</x:v>
      </x:c>
      <x:c r="B52" s="124" t="n">
        <x:f>IF('Commercial Inputs'!F28="Yes",'Tender Build-Up'!B47*'Commercial Inputs'!D28,0)</x:f>
        <x:v>0</x:v>
      </x:c>
      <x:c r="C52" s="106"/>
      <x:c r="D52" s="106"/>
      <x:c r="E52" s="107" t="s">
        <x:v>132</x:v>
      </x:c>
    </x:row>
    <x:row r="53" s="3" customFormat="1" ht="14.399999618530273" customHeight="1">
      <x:c r="A53" s="108" t="s">
        <x:v>133</x:v>
      </x:c>
      <x:c r="B53" s="128"/>
      <x:c r="C53" s="109"/>
      <x:c r="D53" s="109"/>
      <x:c r="E53" s="108" t="s">
        <x:v>134</x:v>
      </x:c>
    </x:row>
    <x:row r="54" s="3" customFormat="1" ht="14.399999618530273" customHeight="1">
      <x:c r="A54" s="107"/>
      <x:c r="B54" s="129"/>
      <x:c r="C54" s="106"/>
      <x:c r="D54" s="106"/>
      <x:c r="E54" s="107"/>
    </x:row>
    <x:row r="55" s="3" customFormat="1" ht="14.399999618530273" customHeight="1">
      <x:c r="A55" s="107"/>
      <x:c r="B55" s="129"/>
      <x:c r="C55" s="106"/>
      <x:c r="D55" s="106"/>
      <x:c r="E55" s="107"/>
    </x:row>
    <x:row r="56" s="3" customFormat="1" ht="22.5" customHeight="1">
      <x:c r="A56" s="13" t="s">
        <x:v>135</x:v>
      </x:c>
      <x:c r="B56" s="15"/>
      <x:c r="C56" s="12"/>
      <x:c r="D56" s="12"/>
      <x:c r="E56" s="13"/>
    </x:row>
    <x:row r="57" s="3" customFormat="1" ht="18.75" customHeight="1">
      <x:c r="A57" s="123" t="s">
        <x:v>136</x:v>
      </x:c>
      <x:c r="B57" s="123" t="s">
        <x:v>137</x:v>
      </x:c>
      <x:c r="C57" s="123" t="s">
        <x:v>138</x:v>
      </x:c>
      <x:c r="D57" s="123" t="s">
        <x:v>139</x:v>
      </x:c>
      <x:c r="E57" s="123" t="s">
        <x:v>72</x:v>
      </x:c>
    </x:row>
    <x:row r="58" s="3" customFormat="1" ht="15.300000190734863" customHeight="1">
      <x:c r="A58" s="106" t="s">
        <x:v>140</x:v>
      </x:c>
      <x:c r="B58" s="130" t="n">
        <x:f>SUM('Resource Build-Up'!$Z$7:$Z$306)</x:f>
        <x:v>0</x:v>
      </x:c>
      <x:c r="C58" s="130" t="n">
        <x:f>SUM('QS Takeoff'!$G$3:$G$73)</x:f>
        <x:v>0</x:v>
      </x:c>
      <x:c r="D58" s="130" t="n">
        <x:f>C58-B58</x:f>
        <x:v>0</x:v>
      </x:c>
      <x:c r="E58" s="106" t="str">
        <x:f>IF(ABS(D58)&lt;0.01,"OK","CHECK")</x:f>
        <x:v>OK</x:v>
      </x:c>
    </x:row>
    <x:row r="59" s="3" customFormat="1" ht="15.300000190734863" customHeight="1">
      <x:c r="A59" s="106" t="s">
        <x:v>141</x:v>
      </x:c>
      <x:c r="B59" s="130" t="n">
        <x:f>SUM('QS Takeoff'!$G$3:$G$73)</x:f>
        <x:v>0</x:v>
      </x:c>
      <x:c r="C59" s="130" t="n">
        <x:f>'Tender Build-Up'!$B$20</x:f>
        <x:v>0</x:v>
      </x:c>
      <x:c r="D59" s="130" t="n">
        <x:f>C59-B59</x:f>
        <x:v>0</x:v>
      </x:c>
      <x:c r="E59" s="106" t="str">
        <x:f>IF(ABS(D59)&lt;0.01,"OK","CHECK")</x:f>
        <x:v>OK</x:v>
      </x:c>
    </x:row>
    <x:row r="60" s="3" customFormat="1" ht="15.300000190734863" customHeight="1">
      <x:c r="A60" s="106" t="s">
        <x:v>142</x:v>
      </x:c>
      <x:c r="B60" s="130" t="n">
        <x:f>'Tender Build-Up'!$B$20</x:f>
        <x:v>0</x:v>
      </x:c>
      <x:c r="C60" s="130" t="n">
        <x:f>$B$33</x:f>
        <x:v>0</x:v>
      </x:c>
      <x:c r="D60" s="130" t="n">
        <x:f>C60-B60</x:f>
        <x:v>0</x:v>
      </x:c>
      <x:c r="E60" s="106" t="str">
        <x:f>IF(ABS(D60)&lt;0.01,"OK","CHECK")</x:f>
        <x:v>OK</x:v>
      </x:c>
    </x:row>
    <x:row r="61" s="3" customFormat="1" ht="15.300000190734863" customHeight="1">
      <x:c r="A61" s="106" t="s">
        <x:v>143</x:v>
      </x:c>
      <x:c r="B61" s="130" t="n">
        <x:f>SUM('Tender Build-Up'!$B$23:$B$38)+SUM('Tender Build-Up'!$B$43:$B$45)</x:f>
        <x:v>0</x:v>
      </x:c>
      <x:c r="C61" s="130" t="n">
        <x:f>$B$45+$B$46</x:f>
        <x:v>0</x:v>
      </x:c>
      <x:c r="D61" s="130" t="n">
        <x:f>C61-B61</x:f>
        <x:v>0</x:v>
      </x:c>
      <x:c r="E61" s="106" t="str">
        <x:f>IF(ABS(D61)&lt;0.01,"OK","CHECK")</x:f>
        <x:v>OK</x:v>
      </x:c>
    </x:row>
    <x:row r="62" s="3" customFormat="1" ht="15.300000190734863" customHeight="1">
      <x:c r="A62" s="106" t="s">
        <x:v>144</x:v>
      </x:c>
      <x:c r="B62" s="30" t="s">
        <x:v>145</x:v>
      </x:c>
      <x:c r="C62" s="106"/>
      <x:c r="D62" s="106"/>
      <x:c r="E62" s="106"/>
    </x:row>
    <x:row r="63" s="3" customFormat="1" ht="15.300000190734863" customHeight="1">
      <x:c r="A63" s="106" t="s">
        <x:v>146</x:v>
      </x:c>
      <x:c r="B63" s="30" t="s">
        <x:v>147</x:v>
      </x:c>
      <x:c r="C63" s="106"/>
      <x:c r="D63" s="106"/>
      <x:c r="E63" s="106"/>
    </x:row>
    <x:row r="64" s="3" customFormat="1" ht="15.300000190734863" customHeight="1">
      <x:c r="A64" s="27" t="str">
        <x:v>Weather Risk -&gt; Commercial Inputs CA10</x:v>
      </x:c>
      <x:c r="B64" s="596" t="n">
        <x:f>'Weather Risk'!$B$40</x:f>
        <x:v>0</x:v>
      </x:c>
      <x:c r="C64" s="596" t="n">
        <x:f>'Commercial Inputs'!$L$14</x:f>
        <x:v>0</x:v>
      </x:c>
      <x:c r="D64" s="596" t="n">
        <x:f>C64-B64</x:f>
        <x:v>0</x:v>
      </x:c>
      <x:c r="E64" s="27" t="str">
        <x:f>IF(ABS(D64)&lt;0.01,"OK","CHECK")</x:f>
        <x:v>OK</x:v>
      </x:c>
    </x:row>
    <x:row r="65" ht="15.300000190734863" customHeight="1">
      <x:c r="A65" s="209" t="s">
        <x:v>148</x:v>
      </x:c>
      <x:c r="B65" s="209"/>
      <x:c r="C65" s="209"/>
      <x:c r="D65" s="209"/>
      <x:c r="E65" s="209"/>
    </x:row>
    <x:row r="66" ht="15.300000190734863" customHeight="1">
      <x:c r="A66" s="90" t="s">
        <x:v>136</x:v>
      </x:c>
      <x:c r="B66" s="90" t="s">
        <x:v>149</x:v>
      </x:c>
      <x:c r="C66" s="90" t="s">
        <x:v>72</x:v>
      </x:c>
      <x:c r="D66" s="90" t="s">
        <x:v>150</x:v>
      </x:c>
      <x:c r="E66" s="90"/>
    </x:row>
    <x:row r="67" ht="15.300000190734863" customHeight="1">
      <x:c r="A67" s="91" t="s">
        <x:v>151</x:v>
      </x:c>
      <x:c r="B67" s="91" t="n">
        <x:f>'Rate Verification'!B4</x:f>
        <x:v>0</x:v>
      </x:c>
      <x:c r="C67" s="91" t="str">
        <x:f>IF(B67&gt;0,"GREEN","NONE")</x:f>
        <x:v>NONE</x:v>
      </x:c>
      <x:c r="D67" s="91" t="s">
        <x:v>152</x:v>
      </x:c>
      <x:c r="E67" s="91"/>
    </x:row>
    <x:row r="68" ht="15.300000190734863" customHeight="1">
      <x:c r="A68" s="92" t="s">
        <x:v>153</x:v>
      </x:c>
      <x:c r="B68" s="92" t="n">
        <x:f>'Rate Verification'!B5</x:f>
        <x:v>0</x:v>
      </x:c>
      <x:c r="C68" s="92" t="str">
        <x:f>IF(B68&gt;0,"AMBER","NONE")</x:f>
        <x:v>NONE</x:v>
      </x:c>
      <x:c r="D68" s="92" t="s">
        <x:v>154</x:v>
      </x:c>
      <x:c r="E68" s="92"/>
    </x:row>
    <x:row r="69" ht="15.300000190734863" customHeight="1">
      <x:c r="A69" s="93" t="s">
        <x:v>155</x:v>
      </x:c>
      <x:c r="B69" s="93" t="n">
        <x:f>'Rate Verification'!F4</x:f>
        <x:v>0</x:v>
      </x:c>
      <x:c r="C69" s="93" t="str">
        <x:f>IF(B69&gt;0,"RED","NONE")</x:f>
        <x:v>NONE</x:v>
      </x:c>
      <x:c r="D69" s="93" t="s">
        <x:v>156</x:v>
      </x:c>
      <x:c r="E69" s="93"/>
    </x:row>
    <x:row r="70" ht="15.300000190734863" customHeight="1">
      <x:c r="A70" t="s">
        <x:v>157</x:v>
      </x:c>
      <x:c r="B70">
        <x:v>71</x:v>
      </x:c>
      <x:c r="C70"/>
      <x:c r="D70" t="s">
        <x:v>158</x:v>
      </x:c>
      <x:c r="E70"/>
    </x:row>
    <x:row r="71" ht="15.300000190734863" customHeight="1">
      <x:c r="A71" s="94" t="s">
        <x:v>159</x:v>
      </x:c>
      <x:c r="B71" s="94" t="str">
        <x:f>IF(OR(C73="RED",C74="RED",C77="RED",COUNTIF('Programme Export'!$U$7:$U$77,"CHECK")&gt;0),"RED - release blocked",IF(OR(B69&gt;0,B68&gt;0,C77="AMBER",C79="AMBER",C80="AMBER"),"AMBER - tender with disclosed limitations","GREEN - releasable"))</x:f>
        <x:v>RED - release blocked</x:v>
      </x:c>
      <x:c r="C71" s="94"/>
      <x:c r="D71" s="94" t="s">
        <x:v>160</x:v>
      </x:c>
      <x:c r="E71" s="94"/>
    </x:row>
    <x:row r="72">
      <x:c r="A72" s="27" t="str">
        <x:v>Weather model / task factors</x:v>
      </x:c>
      <x:c r="B72" s="27" t="str">
        <x:f>'Weather Risk'!$B$30</x:f>
        <x:v>RED - approved weather tool run not loaded</x:v>
      </x:c>
      <x:c r="C72" s="27" t="str">
        <x:v>AMBER</x:v>
      </x:c>
      <x:c r="D72" s="27" t="str">
        <x:v>Task factors remain AMBER until calibrated</x:v>
      </x:c>
    </x:row>
    <x:row r="73">
      <x:c r="A73" s="27" t="str">
        <x:v>Weather integration rerun gate</x:v>
      </x:c>
      <x:c r="B73" s="27" t="str">
        <x:f>'Weather Risk'!$B$31</x:f>
        <x:v>RERUN WEATHER TOOL</x:v>
      </x:c>
      <x:c r="C73" s="27" t="str">
        <x:f>IF(B73="RERUN WEATHER TOOL","RED","AMBER")</x:f>
        <x:v>RED</x:v>
      </x:c>
      <x:c r="D73" s="27" t="str">
        <x:v>Rerun when status says RERUN WEATHER TOOL</x:v>
      </x:c>
    </x:row>
    <x:row r="74">
      <x:c r="A74" s="684" t="str">
        <x:v>Risk Truth release gate</x:v>
      </x:c>
      <x:c r="B74" s="684" t="str">
        <x:f>'Risk Truth'!$B$15</x:f>
        <x:v>HOLD - RED ITEMS / INTEGRATION CHECK</x:v>
      </x:c>
      <x:c r="C74" s="684" t="str">
        <x:f>IF(LEFT(B74,4)="PASS","GREEN","RED")</x:f>
        <x:v>RED</x:v>
      </x:c>
      <x:c r="D74" s="684" t="str">
        <x:v>PASS required for final release</x:v>
      </x:c>
    </x:row>
    <x:row r="75">
      <x:c r="A75" s="694" t="str">
        <x:v>Risk Truth recalculated tender total</x:v>
      </x:c>
      <x:c r="B75" s="695" t="n">
        <x:f>'Risk Truth'!$B$11</x:f>
        <x:v>0</x:v>
      </x:c>
      <x:c r="C75" s="694" t="str">
        <x:v>INFO</x:v>
      </x:c>
      <x:c r="D75" s="694" t="str">
        <x:v>Should equal the live tender total when Risk Truth feeds and commercial logic reconcile.</x:v>
      </x:c>
    </x:row>
    <x:row r="76">
      <x:c r="A76" s="747" t="str">
        <x:v>INDEPENDENT ESTIMATE REVIEW BOARD RELEASE GATE</x:v>
      </x:c>
      <x:c r="B76" s="747"/>
      <x:c r="C76" s="747"/>
      <x:c r="D76" s="747"/>
      <x:c r="E76" s="747"/>
    </x:row>
    <x:row r="77" ht="34" customHeight="1">
      <x:c r="A77" s="759" t="str">
        <x:v>Review Board gate</x:v>
      </x:c>
      <x:c r="B77" s="760" t="str">
        <x:f>'Estimate Review Board'!$B$19</x:f>
        <x:v>HOLD - INDEPENDENT REVIEW INCOMPLETE / RED</x:v>
      </x:c>
      <x:c r="C77" s="760" t="str">
        <x:f>IF(LEFT(B77,4)="PASS",IF(ISNUMBER(SEARCH("AMBER",B77)),"AMBER","GREEN"),"RED")</x:f>
        <x:v>RED</x:v>
      </x:c>
      <x:c r="D77" s="760" t="str">
        <x:v>PASS or PASS WITH AMBER required for release</x:v>
      </x:c>
      <x:c r="E77" s="760"/>
    </x:row>
    <x:row r="78" ht="34" customHeight="1">
      <x:c r="A78" s="784" t="str">
        <x:v>Active QS items fully reviewed</x:v>
      </x:c>
      <x:c r="B78" s="785" t="str">
        <x:f>'Estimate Review Board'!$B$17&amp;" / "&amp;'Estimate Review Board'!$B$16</x:f>
        <x:v>0 / 0</x:v>
      </x:c>
      <x:c r="C78" s="785" t="str">
        <x:f>IF('Estimate Review Board'!$B$14&gt;0,"RED","GREEN")</x:f>
        <x:v>GREEN</x:v>
      </x:c>
      <x:c r="D78" s="785" t="str">
        <x:v>Every active QS item must pass all mandatory review columns</x:v>
      </x:c>
      <x:c r="E78" s="785"/>
    </x:row>
    <x:row r="79" ht="38" customHeight="1">
      <x:c r="A79" s="752" t="str">
        <x:v>Unresolved material findings</x:v>
      </x:c>
      <x:c r="B79" s="758" t="str">
        <x:f>'Estimate Review Board'!$B$12&amp;" RED / "&amp;'Estimate Review Board'!$B$13&amp;" AMBER"</x:f>
        <x:v>0 RED / 0 AMBER</x:v>
      </x:c>
      <x:c r="C79" s="758" t="str">
        <x:f>IF('Estimate Review Board'!$B$12&gt;0,"RED",IF('Estimate Review Board'!$B$13&gt;0,"AMBER","GREEN"))</x:f>
        <x:v>GREEN</x:v>
      </x:c>
      <x:c r="D79" s="758" t="str">
        <x:v>RED blocks release; AMBER must be disclosed and actioned</x:v>
      </x:c>
      <x:c r="E79" s="758"/>
    </x:row>
    <x:row r="80" ht="42" customHeight="1">
      <x:c r="A80" s="759" t="str">
        <x:v>Reviewer independence / commitment</x:v>
      </x:c>
      <x:c r="B80" s="760" t="str">
        <x:f>'Estimate Review Board'!$B$11&amp;" independence failures"</x:f>
        <x:v>0 independence failures</x:v>
      </x:c>
      <x:c r="C80" s="760" t="str">
        <x:f>IF('Estimate Review Board'!$B$11&gt;0,"RED",IF(OR('Estimate Review Board'!$B$9&lt;'Estimate Review Board'!$B$7,'Estimate Review Board'!$B$10&lt;'Estimate Review Board'!$B$8,'Estimate Review Board'!$B$18&lt;&gt;"COMPLETE"),"AMBER","GREEN"))</x:f>
        <x:v>AMBER</x:v>
      </x:c>
      <x:c r="D80" s="760" t="str">
        <x:v>Required reviewers must be blind, independent and committed before comparison</x:v>
      </x:c>
      <x:c r="E80" s="760"/>
    </x:row>
  </x:sheetData>
  <x:mergeCells>
    <x:mergeCell ref="B43:E43"/>
    <x:mergeCell ref="B38:E38"/>
    <x:mergeCell ref="B39:E39"/>
    <x:mergeCell ref="A65:E65"/>
    <x:mergeCell ref="A1:B1"/>
    <x:mergeCell ref="B42:E42"/>
    <x:mergeCell ref="B40:E40"/>
    <x:mergeCell ref="B41:E41"/>
    <x:mergeCell ref="A2:E2"/>
    <x:mergeCell ref="A76:E76"/>
    <x:mergeCell ref="D77:E77"/>
    <x:mergeCell ref="D78:E78"/>
    <x:mergeCell ref="D79:E79"/>
    <x:mergeCell ref="D80:E80"/>
  </x:mergeCells>
  <x:conditionalFormatting sqref="C77:C80">
    <x:cfRule type="expression" dxfId="33" priority="1">
      <x:formula>C77="GREEN"</x:formula>
    </x:cfRule>
    <x:cfRule type="expression" dxfId="34" priority="2">
      <x:formula>C77="AMBER"</x:formula>
    </x:cfRule>
    <x:cfRule type="expression" dxfId="35" priority="3">
      <x:formula>C77="RED"</x:formula>
    </x:cfRule>
  </x:conditionalFormatting>
  <x:dataValidations count="1">
    <x:dataValidation type="custom" allowBlank="1" showErrorMessage="1" errorTitle="Linked formula cell" error="This value is linked. Change the upstream input/source instead of overwriting this cell." sqref="B23:B33 B58:E61 B44:B52">
      <x:formula1>FALSE</x:formula1>
    </x:dataValidation>
  </x:dataValidation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65.59765625" style="1" customWidth="1"/>
    <x:col min="2" max="2" width="28.796875" style="4" customWidth="1"/>
    <x:col min="3" max="3" width="24.59765625" style="1" customWidth="1"/>
    <x:col min="4" max="4" width="24.8984375" style="1" customWidth="1"/>
    <x:col min="5" max="5" width="93.69921875" style="1" customWidth="1"/>
  </x:cols>
  <x:sheetData>
    <x:row r="1" ht="21.450000762939453" customHeight="1">
      <x:c r="A1" s="210" t="str">
        <x:v>MASTER ESTIMATE WORKBOOK - TENDER BUILD-UP - REV4 RISK TRUTH / INDEPENDENT REVIEW</x:v>
      </x:c>
      <x:c r="B1" s="211"/>
      <x:c r="C1" s="16"/>
      <x:c r="D1" s="16"/>
      <x:c r="E1" s="16"/>
    </x:row>
    <x:row r="2" ht="21.450000762939453" customHeight="1">
      <x:c r="A2" s="26"/>
      <x:c r="B2" s="38"/>
      <x:c r="C2" s="26"/>
      <x:c r="D2" s="26"/>
      <x:c r="E2" s="26"/>
    </x:row>
    <x:row r="3" s="3" customFormat="1" ht="15.300000190734863" customHeight="1">
      <x:c r="A3" s="107" t="s">
        <x:v>0</x:v>
      </x:c>
      <x:c r="B3" s="216"/>
      <x:c r="C3" s="217"/>
      <x:c r="D3" s="217"/>
      <x:c r="E3" s="217"/>
    </x:row>
    <x:row r="4" s="3" customFormat="1" ht="15.300000190734863" customHeight="1">
      <x:c r="A4" s="107" t="s">
        <x:v>161</x:v>
      </x:c>
      <x:c r="B4" s="216" t="str">
        <x:v>MASTER TEMPLATE - project-specific scope, quantities, rates, programme and commercial inputs not yet populated.</x:v>
      </x:c>
      <x:c r="C4" s="217"/>
      <x:c r="D4" s="217"/>
      <x:c r="E4" s="217"/>
    </x:row>
    <x:row r="5" s="3" customFormat="1" ht="15.300000190734863" customHeight="1">
      <x:c r="A5" s="107" t="s">
        <x:v>112</x:v>
      </x:c>
      <x:c r="B5" s="216" t="s">
        <x:v>162</x:v>
      </x:c>
      <x:c r="C5" s="217"/>
      <x:c r="D5" s="217"/>
      <x:c r="E5" s="217"/>
    </x:row>
    <x:row r="6" s="3" customFormat="1" ht="15.300000190734863" customHeight="1">
      <x:c r="A6" s="107" t="s">
        <x:v>163</x:v>
      </x:c>
      <x:c r="B6" s="216" t="s">
        <x:v>164</x:v>
      </x:c>
      <x:c r="C6" s="217"/>
      <x:c r="D6" s="217"/>
      <x:c r="E6" s="217"/>
    </x:row>
    <x:row r="7" ht="25.350000381469727" customHeight="1">
      <x:c r="A7" s="8" t="s">
        <x:v>165</x:v>
      </x:c>
      <x:c r="B7" s="214"/>
      <x:c r="C7" s="215"/>
      <x:c r="D7" s="215"/>
      <x:c r="E7" s="215"/>
    </x:row>
    <x:row r="8" ht="8.850000381469727" customHeight="1">
      <x:c r="A8" s="26"/>
      <x:c r="B8" s="38"/>
      <x:c r="C8" s="26"/>
      <x:c r="D8" s="26"/>
      <x:c r="E8" s="26"/>
    </x:row>
    <x:row r="9" s="3" customFormat="1" ht="17.25" customHeight="1">
      <x:c r="A9" s="32" t="str">
        <x:v>Base direct estimate</x:v>
      </x:c>
      <x:c r="B9" s="122" t="s">
        <x:v>166</x:v>
      </x:c>
      <x:c r="C9" s="32" t="s">
        <x:v>167</x:v>
      </x:c>
      <x:c r="D9" s="32" t="s">
        <x:v>168</x:v>
      </x:c>
      <x:c r="E9" s="32" t="s">
        <x:v>86</x:v>
      </x:c>
    </x:row>
    <x:row r="10" s="3" customFormat="1" ht="15.75" customHeight="1">
      <x:c r="A10" s="107" t="s">
        <x:v>169</x:v>
      </x:c>
      <x:c r="B10" s="124" t="n">
        <x:f>SUM('QS Takeoff'!G3:G12)</x:f>
        <x:v>0</x:v>
      </x:c>
      <x:c r="C10" s="107" t="s">
        <x:v>26</x:v>
      </x:c>
      <x:c r="D10" s="107" t="s">
        <x:v>170</x:v>
      </x:c>
      <x:c r="E10" s="107" t="str">
        <x:v>Linked QS section total; confirm current project scope, classification, source and firm-up action.</x:v>
      </x:c>
    </x:row>
    <x:row r="11" s="3" customFormat="1" ht="15.75" customHeight="1">
      <x:c r="A11" s="107" t="s">
        <x:v>171</x:v>
      </x:c>
      <x:c r="B11" s="124" t="n">
        <x:f>SUM('QS Takeoff'!G13:G20)</x:f>
        <x:v>0</x:v>
      </x:c>
      <x:c r="C11" s="107" t="s">
        <x:v>26</x:v>
      </x:c>
      <x:c r="D11" s="107" t="s">
        <x:v>170</x:v>
      </x:c>
      <x:c r="E11" s="107" t="str">
        <x:v>Linked QS section total; confirm current project ESC scope and requirements.</x:v>
      </x:c>
    </x:row>
    <x:row r="12" s="3" customFormat="1" ht="15.75" customHeight="1">
      <x:c r="A12" s="107" t="s">
        <x:v>172</x:v>
      </x:c>
      <x:c r="B12" s="124" t="n">
        <x:f>SUM('QS Takeoff'!G21:G30)</x:f>
        <x:v>0</x:v>
      </x:c>
      <x:c r="C12" s="107" t="s">
        <x:v>26</x:v>
      </x:c>
      <x:c r="D12" s="107" t="s">
        <x:v>170</x:v>
      </x:c>
      <x:c r="E12" s="107" t="str">
        <x:v>Linked QS section total; confirm current project quantities, ground basis, haul and disposal assumptions.</x:v>
      </x:c>
    </x:row>
    <x:row r="13" s="3" customFormat="1" ht="15.75" customHeight="1">
      <x:c r="A13" s="107" t="s">
        <x:v>173</x:v>
      </x:c>
      <x:c r="B13" s="124" t="n">
        <x:f>SUM('QS Takeoff'!G31:G39)</x:f>
        <x:v>0</x:v>
      </x:c>
      <x:c r="C13" s="107" t="s">
        <x:v>26</x:v>
      </x:c>
      <x:c r="D13" s="107" t="s">
        <x:v>170</x:v>
      </x:c>
      <x:c r="E13" s="107" t="str">
        <x:v>Linked QS section total; confirm current project stormwater / detention design and supplier requirements.</x:v>
      </x:c>
    </x:row>
    <x:row r="14" s="3" customFormat="1" ht="15.75" customHeight="1">
      <x:c r="A14" s="107" t="s">
        <x:v>174</x:v>
      </x:c>
      <x:c r="B14" s="124" t="n">
        <x:f>SUM('QS Takeoff'!G40:G46)</x:f>
        <x:v>0</x:v>
      </x:c>
      <x:c r="C14" s="107" t="s">
        <x:v>26</x:v>
      </x:c>
      <x:c r="D14" s="107" t="s">
        <x:v>170</x:v>
      </x:c>
      <x:c r="E14" s="107" t="str">
        <x:v>Linked QS section total; confirm current project wastewater / water scope and authority interfaces.</x:v>
      </x:c>
    </x:row>
    <x:row r="15" s="3" customFormat="1" ht="15.75" customHeight="1">
      <x:c r="A15" s="107" t="s">
        <x:v>175</x:v>
      </x:c>
      <x:c r="B15" s="124" t="n">
        <x:f>SUM('QS Takeoff'!G47:G52)</x:f>
        <x:v>0</x:v>
      </x:c>
      <x:c r="C15" s="107" t="s">
        <x:v>26</x:v>
      </x:c>
      <x:c r="D15" s="107" t="s">
        <x:v>170</x:v>
      </x:c>
      <x:c r="E15" s="107" t="str">
        <x:v>Linked QS section total; confirm current project pavement / concrete scope and specification.</x:v>
      </x:c>
    </x:row>
    <x:row r="16" s="3" customFormat="1" ht="15.75" customHeight="1">
      <x:c r="A16" s="107" t="s">
        <x:v>176</x:v>
      </x:c>
      <x:c r="B16" s="124" t="n">
        <x:f>SUM('QS Takeoff'!G53:G61)</x:f>
        <x:v>0</x:v>
      </x:c>
      <x:c r="C16" s="107" t="s">
        <x:v>26</x:v>
      </x:c>
      <x:c r="D16" s="107" t="s">
        <x:v>170</x:v>
      </x:c>
      <x:c r="E16" s="107" t="str">
        <x:v>Linked QS section total; confirm current project kerb / external sitework scope.</x:v>
      </x:c>
    </x:row>
    <x:row r="17" s="3" customFormat="1" ht="15.75" customHeight="1">
      <x:c r="A17" s="107" t="s">
        <x:v>177</x:v>
      </x:c>
      <x:c r="B17" s="124" t="n">
        <x:f>SUM('QS Takeoff'!G62:G67)</x:f>
        <x:v>0</x:v>
      </x:c>
      <x:c r="C17" s="107" t="s">
        <x:v>26</x:v>
      </x:c>
      <x:c r="D17" s="107" t="s">
        <x:v>170</x:v>
      </x:c>
      <x:c r="E17" s="107" t="str">
        <x:v>Linked QS section total; confirm current project retaining-wall design, quantities and temporary works.</x:v>
      </x:c>
    </x:row>
    <x:row r="18" s="3" customFormat="1" ht="15.75" customHeight="1">
      <x:c r="A18" s="107" t="s">
        <x:v>178</x:v>
      </x:c>
      <x:c r="B18" s="124" t="n">
        <x:f>SUM('QS Takeoff'!G68:G69)</x:f>
        <x:v>0</x:v>
      </x:c>
      <x:c r="C18" s="107" t="s">
        <x:v>26</x:v>
      </x:c>
      <x:c r="D18" s="107" t="s">
        <x:v>170</x:v>
      </x:c>
      <x:c r="E18" s="107" t="str">
        <x:v>Linked QS section total; confirm current testing, survey, as-built and compliance obligations.</x:v>
      </x:c>
    </x:row>
    <x:row r="19" s="3" customFormat="1" ht="15.75" customHeight="1">
      <x:c r="A19" s="108" t="s">
        <x:v>179</x:v>
      </x:c>
      <x:c r="B19" s="132" t="n">
        <x:f>SUM('QS Takeoff'!G70:G73)</x:f>
        <x:v>0</x:v>
      </x:c>
      <x:c r="C19" s="109" t="s">
        <x:v>26</x:v>
      </x:c>
      <x:c r="D19" s="108" t="s">
        <x:v>170</x:v>
      </x:c>
      <x:c r="E19" s="108" t="str">
        <x:v>Linked QS section total; confirm current reinstatement, defects and handover obligations.</x:v>
      </x:c>
    </x:row>
    <x:row r="20" s="3" customFormat="1" ht="15.75" customHeight="1">
      <x:c r="A20" s="106" t="str">
        <x:v>Base direct estimate excl. GST</x:v>
      </x:c>
      <x:c r="B20" s="133" t="n">
        <x:f>SUM(B10:B19)</x:f>
        <x:v>0</x:v>
      </x:c>
      <x:c r="C20" s="106"/>
      <x:c r="D20" s="106" t="s">
        <x:v>180</x:v>
      </x:c>
      <x:c r="E20" s="106" t="str">
        <x:v>Direct cost sourced from Resource Build-Up through QS Takeoff; includes measured, provisional, allowance and PC items.</x:v>
      </x:c>
    </x:row>
    <x:row r="21" ht="15.75" customHeight="1">
      <x:c r="A21" s="26"/>
      <x:c r="B21" s="40"/>
      <x:c r="C21" s="26"/>
      <x:c r="D21" s="26"/>
      <x:c r="E21" s="26"/>
    </x:row>
    <x:row r="22" s="3" customFormat="1" ht="22.049999237060547" customHeight="1">
      <x:c r="A22" s="32" t="str">
        <x:v>Pre-margin additions</x:v>
      </x:c>
      <x:c r="B22" s="131" t="s">
        <x:v>181</x:v>
      </x:c>
      <x:c r="C22" s="32" t="s">
        <x:v>182</x:v>
      </x:c>
      <x:c r="D22" s="32" t="s">
        <x:v>183</x:v>
      </x:c>
      <x:c r="E22" s="32" t="s">
        <x:v>184</x:v>
      </x:c>
    </x:row>
    <x:row r="23" ht="17.700000762939453" customHeight="1">
      <x:c r="A23" s="26" t="str">
        <x:v>CA01 - Design / scope residual risk - Risk Truth</x:v>
      </x:c>
      <x:c r="B23" s="40" t="n">
        <x:f>IF('Commercial Inputs'!$F$5&lt;&gt;"Yes",0,IF(OR('Commercial Inputs'!$C$5="Risk Engine",'Commercial Inputs'!$C$5="Weather Engine"),N('Commercial Inputs'!$L$5),IF('Commercial Inputs'!$C$5="PC Sum",N('Commercial Inputs'!$E$5),IF('Commercial Inputs'!$C$5="%",$B$20*N('Commercial Inputs'!$D$5),0))))</x:f>
        <x:v>0</x:v>
      </x:c>
      <x:c r="C23" s="26" t="str">
        <x:f>'Commercial Inputs'!C5</x:f>
        <x:v>Risk Engine</x:v>
      </x:c>
      <x:c r="D23" s="26" t="str">
        <x:f>'Commercial Inputs'!F5</x:f>
        <x:v>Yes</x:v>
      </x:c>
      <x:c r="E23" s="26" t="str">
        <x:v>CA01 defaults to Risk Truth. PC Sum or % may be selected as a stated adjudication override; Include? controls whether the selected treatment enters the tender.</x:v>
      </x:c>
    </x:row>
    <x:row r="24" ht="17.700000762939453" customHeight="1">
      <x:c r="A24" s="28" t="str">
        <x:v>CA02 - Construction / execution residual risk - Risk Truth</x:v>
      </x:c>
      <x:c r="B24" s="39" t="n">
        <x:f>IF('Commercial Inputs'!$F$6&lt;&gt;"Yes",0,IF(OR('Commercial Inputs'!$C$6="Risk Engine",'Commercial Inputs'!$C$6="Weather Engine"),N('Commercial Inputs'!$L$6),IF('Commercial Inputs'!$C$6="PC Sum",N('Commercial Inputs'!$E$6),IF('Commercial Inputs'!$C$6="%",$B$20*N('Commercial Inputs'!$D$6),0))))</x:f>
        <x:v>0</x:v>
      </x:c>
      <x:c r="C24" s="28" t="str">
        <x:f>'Commercial Inputs'!C6</x:f>
        <x:v>Risk Engine</x:v>
      </x:c>
      <x:c r="D24" s="28" t="str">
        <x:f>'Commercial Inputs'!F6</x:f>
        <x:v>Yes</x:v>
      </x:c>
      <x:c r="E24" s="28" t="str">
        <x:v>CA02 defaults to Risk Truth. PC Sum or % may be selected as a stated adjudication override; Include? controls whether the selected treatment enters the tender.</x:v>
      </x:c>
    </x:row>
    <x:row r="25" ht="17.700000762939453" customHeight="1">
      <x:c r="A25" s="28" t="str">
        <x:f>'Commercial Inputs'!A7&amp;" - "&amp;'Commercial Inputs'!B7</x:f>
        <x:v>CA03 - Escalation / tender validity allowance</x:v>
      </x:c>
      <x:c r="B25" s="39" t="n">
        <x:f>IF('Commercial Inputs'!$F$7&lt;&gt;"Yes",0,IF(OR('Commercial Inputs'!$C$7="Risk Engine",'Commercial Inputs'!$C$7="Weather Engine"),N('Commercial Inputs'!$L$7),IF('Commercial Inputs'!$C$7="PC Sum",N('Commercial Inputs'!$E$7),IF('Commercial Inputs'!$C$7="%",$B$20*N('Commercial Inputs'!$D$7),0))))</x:f>
        <x:v>0</x:v>
      </x:c>
      <x:c r="C25" s="28" t="str">
        <x:f>'Commercial Inputs'!C7</x:f>
        <x:v>%</x:v>
      </x:c>
      <x:c r="D25" s="28" t="str">
        <x:f>'Commercial Inputs'!F7</x:f>
        <x:v>No</x:v>
      </x:c>
      <x:c r="E25" s="28" t="str">
        <x:f>'Commercial Inputs'!I7</x:f>
        <x:v>Enter only where escalation is evidence-based; do not default to a generic percentage.</x:v>
      </x:c>
    </x:row>
    <x:row r="26" ht="17.700000762939453" customHeight="1">
      <x:c r="A26" s="28" t="str">
        <x:f>'Commercial Inputs'!A8&amp;" - "&amp;'Commercial Inputs'!B8</x:f>
        <x:v>CA04 - Final subcontractor quote gap / market adjustment</x:v>
      </x:c>
      <x:c r="B26" s="39" t="n">
        <x:f>IF('Commercial Inputs'!$F$8&lt;&gt;"Yes",0,IF(OR('Commercial Inputs'!$C$8="Risk Engine",'Commercial Inputs'!$C$8="Weather Engine"),N('Commercial Inputs'!$L$8),IF('Commercial Inputs'!$C$8="PC Sum",N('Commercial Inputs'!$E$8),IF('Commercial Inputs'!$C$8="%",$B$20*N('Commercial Inputs'!$D$8),0))))</x:f>
        <x:v>0</x:v>
      </x:c>
      <x:c r="C26" s="28" t="str">
        <x:f>'Commercial Inputs'!C8</x:f>
        <x:v>PC Sum</x:v>
      </x:c>
      <x:c r="D26" s="28" t="str">
        <x:f>'Commercial Inputs'!F8</x:f>
        <x:v>No</x:v>
      </x:c>
      <x:c r="E26" s="28" t="str">
        <x:f>'Commercial Inputs'!I8</x:f>
        <x:v>Use only for a distinct reconciled live-quote gap not already included in QS/PC items or Risk Truth.</x:v>
      </x:c>
    </x:row>
    <x:row r="27" ht="17.700000762939453" customHeight="1">
      <x:c r="A27" s="28" t="str">
        <x:f>'Commercial Inputs'!A9&amp;" - "&amp;'Commercial Inputs'!B9</x:f>
        <x:v>CA05 - Council / authority consent and inspection fees</x:v>
      </x:c>
      <x:c r="B27" s="39" t="n">
        <x:f>IF('Commercial Inputs'!$F$9&lt;&gt;"Yes",0,IF(OR('Commercial Inputs'!$C$9="Risk Engine",'Commercial Inputs'!$C$9="Weather Engine"),N('Commercial Inputs'!$L$9),IF('Commercial Inputs'!$C$9="PC Sum",N('Commercial Inputs'!$E$9),IF('Commercial Inputs'!$C$9="%",$B$20*N('Commercial Inputs'!$D$9),0))))</x:f>
        <x:v>0</x:v>
      </x:c>
      <x:c r="C27" s="28" t="str">
        <x:f>'Commercial Inputs'!C9</x:f>
        <x:v>PC Sum</x:v>
      </x:c>
      <x:c r="D27" s="28" t="str">
        <x:f>'Commercial Inputs'!F9</x:f>
        <x:v>No</x:v>
      </x:c>
      <x:c r="E27" s="28" t="str">
        <x:f>'Commercial Inputs'!I9</x:f>
        <x:v>Confirm contractual responsibility before inclusion.</x:v>
      </x:c>
    </x:row>
    <x:row r="28" ht="17.700000762939453" customHeight="1">
      <x:c r="A28" s="28" t="str">
        <x:f>'Commercial Inputs'!A10&amp;" - "&amp;'Commercial Inputs'!B10</x:f>
        <x:v>CA06 - Utility authority fees / relocations</x:v>
      </x:c>
      <x:c r="B28" s="39" t="n">
        <x:f>IF('Commercial Inputs'!$F$10&lt;&gt;"Yes",0,IF(OR('Commercial Inputs'!$C$10="Risk Engine",'Commercial Inputs'!$C$10="Weather Engine"),N('Commercial Inputs'!$L$10),IF('Commercial Inputs'!$C$10="PC Sum",N('Commercial Inputs'!$E$10),IF('Commercial Inputs'!$C$10="%",$B$20*N('Commercial Inputs'!$D$10),0))))</x:f>
        <x:v>0</x:v>
      </x:c>
      <x:c r="C28" s="28" t="str">
        <x:f>'Commercial Inputs'!C10</x:f>
        <x:v>PC Sum</x:v>
      </x:c>
      <x:c r="D28" s="28" t="str">
        <x:f>'Commercial Inputs'!F10</x:f>
        <x:v>No</x:v>
      </x:c>
      <x:c r="E28" s="28" t="str">
        <x:f>'Commercial Inputs'!I10</x:f>
        <x:v>Confirm contractual responsibility; physical construction scope should normally sit in QS.</x:v>
      </x:c>
    </x:row>
    <x:row r="29" ht="17.700000762939453" customHeight="1">
      <x:c r="A29" s="28" t="str">
        <x:f>'Commercial Inputs'!A11&amp;" - "&amp;'Commercial Inputs'!B11</x:f>
        <x:v>CA07 - Temporary works engineering / PS documentation</x:v>
      </x:c>
      <x:c r="B29" s="39" t="n">
        <x:f>IF('Commercial Inputs'!$F$11&lt;&gt;"Yes",0,IF(OR('Commercial Inputs'!$C$11="Risk Engine",'Commercial Inputs'!$C$11="Weather Engine"),N('Commercial Inputs'!$L$11),IF('Commercial Inputs'!$C$11="PC Sum",N('Commercial Inputs'!$E$11),IF('Commercial Inputs'!$C$11="%",$B$20*N('Commercial Inputs'!$D$11),0))))</x:f>
        <x:v>0</x:v>
      </x:c>
      <x:c r="C29" s="28" t="str">
        <x:f>'Commercial Inputs'!C11</x:f>
        <x:v>PC Sum</x:v>
      </x:c>
      <x:c r="D29" s="28" t="str">
        <x:f>'Commercial Inputs'!F11</x:f>
        <x:v>No</x:v>
      </x:c>
      <x:c r="E29" s="28" t="str">
        <x:f>'Commercial Inputs'!I11</x:f>
        <x:v>Use only for temporary-works engineering / documentation not already in direct scope.</x:v>
      </x:c>
    </x:row>
    <x:row r="30" ht="17.700000762939453" customHeight="1">
      <x:c r="A30" s="28" t="str">
        <x:v>CA08 - Abnormal ground / contamination / rock allowance</x:v>
      </x:c>
      <x:c r="B30" s="39" t="n">
        <x:f>IF('Commercial Inputs'!$F$12&lt;&gt;"Yes",0,IF(OR('Commercial Inputs'!$C$12="Risk Engine",'Commercial Inputs'!$C$12="Weather Engine"),N('Commercial Inputs'!$L$12),IF('Commercial Inputs'!$C$12="PC Sum",N('Commercial Inputs'!$E$12),IF('Commercial Inputs'!$C$12="%",$B$20*N('Commercial Inputs'!$D$12),0))))</x:f>
        <x:v>0</x:v>
      </x:c>
      <x:c r="C30" s="28" t="str">
        <x:f>'Commercial Inputs'!C12</x:f>
        <x:v>PC Sum</x:v>
      </x:c>
      <x:c r="D30" s="28" t="str">
        <x:f>'Commercial Inputs'!F12</x:f>
        <x:v>No</x:v>
      </x:c>
      <x:c r="E30" s="28" t="str">
        <x:v>No generic ground percentage. Use only an explicit evidence-based provision not more truthfully placed in QS or a specialist engine.</x:v>
      </x:c>
    </x:row>
    <x:row r="31" ht="17.700000762939453" customHeight="1">
      <x:c r="A31" s="28" t="str">
        <x:f>'Commercial Inputs'!A13&amp;" - "&amp;'Commercial Inputs'!B13</x:f>
        <x:v>CA09 - Construction dewatering / groundwater control</x:v>
      </x:c>
      <x:c r="B31" s="39" t="n">
        <x:f>IF('Commercial Inputs'!$F$13&lt;&gt;"Yes",0,IF(OR('Commercial Inputs'!$C$13="Risk Engine",'Commercial Inputs'!$C$13="Weather Engine"),N('Commercial Inputs'!$L$13),IF('Commercial Inputs'!$C$13="PC Sum",N('Commercial Inputs'!$E$13),IF('Commercial Inputs'!$C$13="%",$B$20*N('Commercial Inputs'!$D$13),0))))</x:f>
        <x:v>0</x:v>
      </x:c>
      <x:c r="C31" s="28" t="str">
        <x:f>'Commercial Inputs'!C13</x:f>
        <x:v>PC Sum</x:v>
      </x:c>
      <x:c r="D31" s="28" t="str">
        <x:f>'Commercial Inputs'!F13</x:f>
        <x:v>No</x:v>
      </x:c>
      <x:c r="E31" s="28" t="str">
        <x:v>Project-specific construction water-control provision only; check overlap with Weather / Ground risk treatment.</x:v>
      </x:c>
    </x:row>
    <x:row r="32" ht="17.700000762939453" customHeight="1">
      <x:c r="A32" s="28" t="str">
        <x:f>'Commercial Inputs'!A14&amp;" - "&amp;'Commercial Inputs'!B14</x:f>
        <x:v>CA10 - Weather risk allowance - linked approved engine</x:v>
      </x:c>
      <x:c r="B32" s="39" t="n">
        <x:f>IF('Commercial Inputs'!$F$14&lt;&gt;"Yes",0,IF(OR('Commercial Inputs'!$C$14="Risk Engine",'Commercial Inputs'!$C$14="Weather Engine"),N('Commercial Inputs'!$L$14),IF('Commercial Inputs'!$C$14="PC Sum",N('Commercial Inputs'!$E$14),IF('Commercial Inputs'!$C$14="%",$B$20*N('Commercial Inputs'!$D$14),0))))</x:f>
        <x:v>0</x:v>
      </x:c>
      <x:c r="C32" s="28" t="str">
        <x:f>'Commercial Inputs'!C14</x:f>
        <x:v>Weather Engine</x:v>
      </x:c>
      <x:c r="D32" s="28" t="str">
        <x:f>'Commercial Inputs'!F14</x:f>
        <x:v>Yes</x:v>
      </x:c>
      <x:c r="E32" s="28" t="str">
        <x:v>CA10 defaults to Weather Engine. PC Sum or % may be selected explicitly; Include? can turn the weather allowance off while the engine output remains retained for audit.</x:v>
      </x:c>
    </x:row>
    <x:row r="33" ht="17.700000762939453" customHeight="1">
      <x:c r="A33" s="28" t="str">
        <x:f>'Commercial Inputs'!A15&amp;" - "&amp;'Commercial Inputs'!B15</x:f>
        <x:v>CA11 - Extended preliminaries beyond weather-adjusted tender baseline</x:v>
      </x:c>
      <x:c r="B33" s="39" t="n">
        <x:f>IF('Commercial Inputs'!$F$15&lt;&gt;"Yes",0,IF(OR('Commercial Inputs'!$C$15="Risk Engine",'Commercial Inputs'!$C$15="Weather Engine"),N('Commercial Inputs'!$L$15),IF('Commercial Inputs'!$C$15="PC Sum",N('Commercial Inputs'!$E$15),IF('Commercial Inputs'!$C$15="%",$B$20*N('Commercial Inputs'!$D$15),0))))</x:f>
        <x:v>0</x:v>
      </x:c>
      <x:c r="C33" s="28" t="str">
        <x:f>'Commercial Inputs'!C15</x:f>
        <x:v>PC Sum</x:v>
      </x:c>
      <x:c r="D33" s="28" t="str">
        <x:f>'Commercial Inputs'!F15</x:f>
        <x:v>No</x:v>
      </x:c>
      <x:c r="E33" s="28" t="str">
        <x:f>'Commercial Inputs'!I15</x:f>
        <x:v>Do not use for weather delay already included through CA10. Base QS preliminaries remain reconciled to 99 working days.</x:v>
      </x:c>
    </x:row>
    <x:row r="34" ht="17.700000762939453" customHeight="1">
      <x:c r="A34" s="28" t="str">
        <x:f>'Commercial Inputs'!A16&amp;" - "&amp;'Commercial Inputs'!B16</x:f>
        <x:v>CA12 - Defects liability / maintenance beyond base</x:v>
      </x:c>
      <x:c r="B34" s="39" t="n">
        <x:f>IF('Commercial Inputs'!$F$16&lt;&gt;"Yes",0,IF(OR('Commercial Inputs'!$C$16="Risk Engine",'Commercial Inputs'!$C$16="Weather Engine"),N('Commercial Inputs'!$L$16),IF('Commercial Inputs'!$C$16="PC Sum",N('Commercial Inputs'!$E$16),IF('Commercial Inputs'!$C$16="%",$B$20*N('Commercial Inputs'!$D$16),0))))</x:f>
        <x:v>0</x:v>
      </x:c>
      <x:c r="C34" s="28" t="str">
        <x:f>'Commercial Inputs'!C16</x:f>
        <x:v>PC Sum</x:v>
      </x:c>
      <x:c r="D34" s="28" t="str">
        <x:f>'Commercial Inputs'!F16</x:f>
        <x:v>No</x:v>
      </x:c>
      <x:c r="E34" s="28" t="str">
        <x:f>'Commercial Inputs'!I16</x:f>
        <x:v>Reasonable defects attendance included under RH02.</x:v>
      </x:c>
    </x:row>
    <x:row r="35" ht="17.700000762939453" customHeight="1">
      <x:c r="A35" s="28" t="str">
        <x:f>'Commercial Inputs'!A17&amp;" - "&amp;'Commercial Inputs'!B17</x:f>
        <x:v>CA13 - Stakeholder liaison / access marshals beyond base</x:v>
      </x:c>
      <x:c r="B35" s="39" t="n">
        <x:f>IF('Commercial Inputs'!$F$17&lt;&gt;"Yes",0,IF(OR('Commercial Inputs'!$C$17="Risk Engine",'Commercial Inputs'!$C$17="Weather Engine"),N('Commercial Inputs'!$L$17),IF('Commercial Inputs'!$C$17="PC Sum",N('Commercial Inputs'!$E$17),IF('Commercial Inputs'!$C$17="%",$B$20*N('Commercial Inputs'!$D$17),0))))</x:f>
        <x:v>0</x:v>
      </x:c>
      <x:c r="C35" s="28" t="str">
        <x:f>'Commercial Inputs'!C17</x:f>
        <x:v>PC Sum</x:v>
      </x:c>
      <x:c r="D35" s="28" t="str">
        <x:f>'Commercial Inputs'!F17</x:f>
        <x:v>No</x:v>
      </x:c>
      <x:c r="E35" s="28" t="str">
        <x:f>'Commercial Inputs'!I17</x:f>
        <x:v>Basic traffic/pedestrian management included in PG07.</x:v>
      </x:c>
    </x:row>
    <x:row r="36" ht="17.700000762939453" customHeight="1">
      <x:c r="A36" s="28" t="str">
        <x:f>'Commercial Inputs'!A18&amp;" - "&amp;'Commercial Inputs'!B18</x:f>
        <x:v>CA14 - Out-of-hours / restricted access premium</x:v>
      </x:c>
      <x:c r="B36" s="39" t="n">
        <x:f>IF('Commercial Inputs'!$F$18&lt;&gt;"Yes",0,IF(OR('Commercial Inputs'!$C$18="Risk Engine",'Commercial Inputs'!$C$18="Weather Engine"),N('Commercial Inputs'!$L$18),IF('Commercial Inputs'!$C$18="PC Sum",N('Commercial Inputs'!$E$18),IF('Commercial Inputs'!$C$18="%",$B$20*N('Commercial Inputs'!$D$18),0))))</x:f>
        <x:v>0</x:v>
      </x:c>
      <x:c r="C36" s="28" t="str">
        <x:f>'Commercial Inputs'!C18</x:f>
        <x:v>PC Sum</x:v>
      </x:c>
      <x:c r="D36" s="28" t="str">
        <x:f>'Commercial Inputs'!F18</x:f>
        <x:v>No</x:v>
      </x:c>
      <x:c r="E36" s="28" t="str">
        <x:f>'Commercial Inputs'!I18</x:f>
        <x:v>Normal weekday access assumed.</x:v>
      </x:c>
    </x:row>
    <x:row r="37" ht="17.700000762939453" customHeight="1">
      <x:c r="A37" s="28" t="str">
        <x:f>'Commercial Inputs'!A19&amp;" - "&amp;'Commercial Inputs'!B19</x:f>
        <x:v>CA15 - Unforeseen post-tender client scope additions</x:v>
      </x:c>
      <x:c r="B37" s="39" t="n">
        <x:f>IF('Commercial Inputs'!$F$19&lt;&gt;"Yes",0,IF(OR('Commercial Inputs'!$C$19="Risk Engine",'Commercial Inputs'!$C$19="Weather Engine"),N('Commercial Inputs'!$L$19),IF('Commercial Inputs'!$C$19="PC Sum",N('Commercial Inputs'!$E$19),IF('Commercial Inputs'!$C$19="%",$B$20*N('Commercial Inputs'!$D$19),0))))</x:f>
        <x:v>0</x:v>
      </x:c>
      <x:c r="C37" s="28" t="str">
        <x:f>'Commercial Inputs'!C19</x:f>
        <x:v>PC Sum</x:v>
      </x:c>
      <x:c r="D37" s="28" t="str">
        <x:f>'Commercial Inputs'!F19</x:f>
        <x:v>No</x:v>
      </x:c>
      <x:c r="E37" s="28" t="str">
        <x:f>'Commercial Inputs'!I19</x:f>
        <x:v>No allowance for later scope changes.</x:v>
      </x:c>
    </x:row>
    <x:row r="38" ht="16.799999237060547" customHeight="1">
      <x:c r="A38" s="28" t="str">
        <x:f>'Commercial Inputs'!A20&amp;" - "&amp;'Commercial Inputs'!B20</x:f>
        <x:v>CA16 - Final tender rounding / adjudication adjustment</x:v>
      </x:c>
      <x:c r="B38" s="39" t="n">
        <x:f>IF('Commercial Inputs'!$F$20&lt;&gt;"Yes",0,IF(OR('Commercial Inputs'!$C$20="Risk Engine",'Commercial Inputs'!$C$20="Weather Engine"),N('Commercial Inputs'!$L$20),IF('Commercial Inputs'!$C$20="PC Sum",N('Commercial Inputs'!$E$20),IF('Commercial Inputs'!$C$20="%",$B$20*N('Commercial Inputs'!$D$20),0))))</x:f>
        <x:v>0</x:v>
      </x:c>
      <x:c r="C38" s="28" t="str">
        <x:f>'Commercial Inputs'!C20</x:f>
        <x:v>PC Sum</x:v>
      </x:c>
      <x:c r="D38" s="28" t="str">
        <x:f>'Commercial Inputs'!F20</x:f>
        <x:v>No</x:v>
      </x:c>
      <x:c r="E38" s="28" t="str">
        <x:f>'Commercial Inputs'!I20</x:f>
        <x:v>No balancing adjustment applied.</x:v>
      </x:c>
    </x:row>
    <x:row r="39" ht="16.799999237060547" customHeight="1">
      <x:c r="A39" s="28" t="s">
        <x:v>185</x:v>
      </x:c>
      <x:c r="B39" s="39" t="n">
        <x:f>SUM(B23:B38)</x:f>
        <x:v>0</x:v>
      </x:c>
      <x:c r="C39" s="28"/>
      <x:c r="D39" s="28"/>
      <x:c r="E39" s="28"/>
    </x:row>
    <x:row r="40" s="3" customFormat="1" ht="14.850000381469727" customHeight="1">
      <x:c r="A40" s="108" t="s">
        <x:v>186</x:v>
      </x:c>
      <x:c r="B40" s="132" t="n">
        <x:f>B20+B39</x:f>
        <x:v>0</x:v>
      </x:c>
      <x:c r="C40" s="109"/>
      <x:c r="D40" s="109"/>
      <x:c r="E40" s="109"/>
    </x:row>
    <x:row r="41" ht="16.350000381469727" customHeight="1">
      <x:c r="A41" s="7" t="s">
        <x:v>187</x:v>
      </x:c>
      <x:c r="B41" s="6" t="s">
        <x:v>181</x:v>
      </x:c>
      <x:c r="C41" s="10" t="s">
        <x:v>182</x:v>
      </x:c>
      <x:c r="D41" s="10" t="s">
        <x:v>183</x:v>
      </x:c>
      <x:c r="E41" s="10" t="s">
        <x:v>184</x:v>
      </x:c>
    </x:row>
    <x:row r="42" s="102" customFormat="1" ht="16.350000381469727" customHeight="1">
      <x:c r="A42" s="25" t="str">
        <x:f>'Commercial Inputs'!A21&amp;" - "&amp;'Commercial Inputs'!B21</x:f>
        <x:v>CA17 - Company overhead recovery</x:v>
      </x:c>
      <x:c r="B42" s="134" t="n">
        <x:f>IF('Commercial Inputs'!$F$21&lt;&gt;"Yes",0,IF('Commercial Inputs'!$C$21="Markup %",$B$40*N('Commercial Inputs'!$D$21),IF('Commercial Inputs'!$C$21="Fixed Amount",N('Commercial Inputs'!$E$21),0)))</x:f>
        <x:v>0</x:v>
      </x:c>
      <x:c r="C42" s="25" t="str">
        <x:f>'Commercial Inputs'!C21</x:f>
        <x:v>Markup %</x:v>
      </x:c>
      <x:c r="D42" s="25" t="str">
        <x:f>'Commercial Inputs'!F21</x:f>
        <x:v>No</x:v>
      </x:c>
      <x:c r="E42" s="25" t="str">
        <x:f>'Commercial Inputs'!I21</x:f>
        <x:v>Enter verified company overhead recovery separately from contractor profit.</x:v>
      </x:c>
    </x:row>
    <x:row r="43" ht="16.350000381469727" customHeight="1">
      <x:c r="A43" s="9" t="str">
        <x:f>'Commercial Inputs'!A22&amp;" - "&amp;'Commercial Inputs'!B22</x:f>
        <x:v>CA18 - Contractor profit</x:v>
      </x:c>
      <x:c r="B43" s="5" t="n">
        <x:f>IF('Commercial Inputs'!$F$22&lt;&gt;"Yes",0,IF('Commercial Inputs'!$C$22="Margin %",($B$40+$B$42+$B$44+$B$45)/(1-N('Commercial Inputs'!$D$22))-($B$40+$B$42+$B$44+$B$45),IF('Commercial Inputs'!$C$22="Markup %",($B$40+$B$42+$B$44+$B$45)*N('Commercial Inputs'!$D$22),IF('Commercial Inputs'!$C$22="Fixed Amount",N('Commercial Inputs'!$E$22),0))))</x:f>
        <x:v>0</x:v>
      </x:c>
      <x:c r="C43" s="9" t="str">
        <x:f>'Commercial Inputs'!C22</x:f>
        <x:v>Margin %</x:v>
      </x:c>
      <x:c r="D43" s="9" t="str">
        <x:f>'Commercial Inputs'!F22</x:f>
        <x:v>No</x:v>
      </x:c>
      <x:c r="E43" s="9" t="str">
        <x:f>'Commercial Inputs'!I22</x:f>
        <x:v>Enter approved contractor profit; choose Margin or Markup in the profit-method selector.</x:v>
      </x:c>
    </x:row>
    <x:row r="44" ht="16.350000381469727" customHeight="1">
      <x:c r="A44" s="28" t="str">
        <x:f>'Commercial Inputs'!A23&amp;" - "&amp;'Commercial Inputs'!B23</x:f>
        <x:v>CA19 - Bonds / contract securities allowance</x:v>
      </x:c>
      <x:c r="B44" s="39" t="n">
        <x:f>IF('Commercial Inputs'!$F$23&lt;&gt;"Yes",0,IF('Commercial Inputs'!$C$23="%",$B$40*N('Commercial Inputs'!$D$23),IF('Commercial Inputs'!$C$23="PC Sum",N('Commercial Inputs'!$E$23),0)))</x:f>
        <x:v>0</x:v>
      </x:c>
      <x:c r="C44" s="28" t="str">
        <x:f>'Commercial Inputs'!C23</x:f>
        <x:v>%</x:v>
      </x:c>
      <x:c r="D44" s="28" t="str">
        <x:f>'Commercial Inputs'!F23</x:f>
        <x:v>No</x:v>
      </x:c>
      <x:c r="E44" s="28" t="str">
        <x:f>'Commercial Inputs'!I23</x:f>
        <x:v>Include only where contract securities create a genuine contractor cost.</x:v>
      </x:c>
    </x:row>
    <x:row r="45" ht="16.350000381469727" customHeight="1">
      <x:c r="A45" s="28" t="str">
        <x:f>'Commercial Inputs'!A24&amp;" - "&amp;'Commercial Inputs'!B24</x:f>
        <x:v>CA20 - Retention finance / cashflow cost allowance</x:v>
      </x:c>
      <x:c r="B45" s="39" t="n">
        <x:f>IF('Commercial Inputs'!$F$24&lt;&gt;"Yes",0,IF('Commercial Inputs'!$C$24="%",$B$40*N('Commercial Inputs'!$D$24),IF('Commercial Inputs'!$C$24="PC Sum",N('Commercial Inputs'!$E$24),0)))</x:f>
        <x:v>0</x:v>
      </x:c>
      <x:c r="C45" s="28" t="str">
        <x:f>'Commercial Inputs'!C24</x:f>
        <x:v>%</x:v>
      </x:c>
      <x:c r="D45" s="28" t="str">
        <x:f>'Commercial Inputs'!F24</x:f>
        <x:v>No</x:v>
      </x:c>
      <x:c r="E45" s="28" t="str">
        <x:f>'Commercial Inputs'!I24</x:f>
        <x:v>Finance cost only; retention withholding itself is a cashflow item.</x:v>
      </x:c>
    </x:row>
    <x:row r="46" ht="16.350000381469727" customHeight="1">
      <x:c r="A46" s="28" t="s">
        <x:v>188</x:v>
      </x:c>
      <x:c r="B46" s="39" t="n">
        <x:f>SUM(B42:B45)</x:f>
        <x:v>0</x:v>
      </x:c>
      <x:c r="C46" s="28"/>
      <x:c r="D46" s="28"/>
      <x:c r="E46" s="28"/>
    </x:row>
    <x:row r="47" ht="16.350000381469727" customHeight="1">
      <x:c r="A47" s="7" t="s">
        <x:v>124</x:v>
      </x:c>
      <x:c r="B47" s="6" t="n">
        <x:f>B40+B46</x:f>
        <x:v>0</x:v>
      </x:c>
      <x:c r="C47" s="10"/>
      <x:c r="D47" s="10" t="s">
        <x:v>180</x:v>
      </x:c>
      <x:c r="E47" s="10" t="str">
        <x:v>Base direct estimate + selected pre-margin additions + commercial adjustments.</x:v>
      </x:c>
    </x:row>
    <x:row r="48" ht="16.350000381469727" customHeight="1">
      <x:c r="A48" s="7" t="s">
        <x:v>125</x:v>
      </x:c>
      <x:c r="B48" s="6" t="n">
        <x:f>IF('Commercial Inputs'!$F$25="Yes",$B$47*N('Commercial Inputs'!$D$25),0)</x:f>
        <x:v>0</x:v>
      </x:c>
      <x:c r="C48" s="10" t="s">
        <x:v>189</x:v>
      </x:c>
      <x:c r="D48" s="7" t="s">
        <x:v>190</x:v>
      </x:c>
      <x:c r="E48" s="7" t="s">
        <x:v>191</x:v>
      </x:c>
    </x:row>
    <x:row r="49" ht="16.350000381469727" customHeight="1">
      <x:c r="A49" s="7" t="s">
        <x:v>127</x:v>
      </x:c>
      <x:c r="B49" s="6" t="n">
        <x:f>B47+B48</x:f>
        <x:v>0</x:v>
      </x:c>
      <x:c r="C49" s="7"/>
      <x:c r="D49" s="7" t="s">
        <x:v>180</x:v>
      </x:c>
      <x:c r="E49" s="7" t="s">
        <x:v>192</x:v>
      </x:c>
    </x:row>
    <x:row r="50" ht="16.350000381469727" customHeight="1">
      <x:c r="A50" s="7"/>
      <x:c r="B50" s="6"/>
      <x:c r="C50" s="10"/>
      <x:c r="D50" s="7"/>
      <x:c r="E50" s="7"/>
    </x:row>
    <x:row r="51" ht="16.799999237060547" customHeight="1">
      <x:c r="A51" s="11" t="s">
        <x:v>193</x:v>
      </x:c>
      <x:c r="B51" s="41" t="s">
        <x:v>194</x:v>
      </x:c>
      <x:c r="C51" s="11" t="s">
        <x:v>182</x:v>
      </x:c>
      <x:c r="D51" s="11" t="s">
        <x:v>183</x:v>
      </x:c>
      <x:c r="E51" s="11" t="s">
        <x:v>86</x:v>
      </x:c>
    </x:row>
    <x:row r="52" ht="16.799999237060547" customHeight="1">
      <x:c r="A52" s="9" t="s">
        <x:v>195</x:v>
      </x:c>
      <x:c r="B52" s="5" t="n">
        <x:f>IF('Commercial Inputs'!$F$26&lt;&gt;"Yes",0,$B$47*'Commercial Inputs'!$D$26*(1-IF(AND('Commercial Inputs'!$F$28="Yes",'Commercial Inputs'!$F$29&lt;&gt;"Yes"),'Commercial Inputs'!$D$28,0)))</x:f>
        <x:v>0</x:v>
      </x:c>
      <x:c r="C52" s="9" t="s">
        <x:v>196</x:v>
      </x:c>
      <x:c r="D52" s="9" t="s">
        <x:v>197</x:v>
      </x:c>
      <x:c r="E52" s="9" t="str">
        <x:v>Retention withholding on retention-applicable contract value; deposit treatment controlled by CA25.</x:v>
      </x:c>
    </x:row>
    <x:row r="53" ht="16.799999237060547" customHeight="1">
      <x:c r="A53" s="7" t="s">
        <x:v>129</x:v>
      </x:c>
      <x:c r="B53" s="6" t="n">
        <x:f>$B$47-$B$52</x:f>
        <x:v>0</x:v>
      </x:c>
      <x:c r="C53" s="7" t="s">
        <x:v>198</x:v>
      </x:c>
      <x:c r="D53" s="7" t="s">
        <x:v>197</x:v>
      </x:c>
      <x:c r="E53" s="7" t="s">
        <x:v>199</x:v>
      </x:c>
    </x:row>
    <x:row r="54" ht="16.799999237060547" customHeight="1">
      <x:c r="A54" s="26" t="s">
        <x:v>200</x:v>
      </x:c>
      <x:c r="B54" s="37" t="n">
        <x:f>IF('Commercial Inputs'!$F$27="Yes",'Commercial Inputs'!$D$27,0)</x:f>
        <x:v>0</x:v>
      </x:c>
      <x:c r="C54" s="26" t="s">
        <x:v>201</x:v>
      </x:c>
      <x:c r="D54" s="26" t="s">
        <x:v>197</x:v>
      </x:c>
      <x:c r="E54" s="26" t="s">
        <x:v>202</x:v>
      </x:c>
    </x:row>
    <x:row r="55" ht="16.799999237060547" customHeight="1">
      <x:c r="A55" s="26" t="s">
        <x:v>203</x:v>
      </x:c>
      <x:c r="B55" s="38" t="n">
        <x:f>$B$52</x:f>
        <x:v>0</x:v>
      </x:c>
      <x:c r="C55" s="26" t="s">
        <x:v>198</x:v>
      </x:c>
      <x:c r="D55" s="26" t="s">
        <x:v>197</x:v>
      </x:c>
      <x:c r="E55" s="26" t="s">
        <x:v>204</x:v>
      </x:c>
    </x:row>
    <x:row r="56" ht="16.799999237060547" customHeight="1">
      <x:c r="A56" s="28" t="s">
        <x:v>205</x:v>
      </x:c>
      <x:c r="B56" s="38" t="n">
        <x:f>$B$53+$B$55</x:f>
        <x:v>0</x:v>
      </x:c>
      <x:c r="C56" s="26" t="s">
        <x:v>198</x:v>
      </x:c>
      <x:c r="D56" s="26" t="s">
        <x:v>197</x:v>
      </x:c>
      <x:c r="E56" s="26" t="s">
        <x:v>206</x:v>
      </x:c>
    </x:row>
    <x:row r="57" ht="16.799999237060547" customHeight="1">
      <x:c r="A57" s="28"/>
      <x:c r="B57" s="213"/>
      <x:c r="C57" s="211"/>
      <x:c r="D57" s="211"/>
      <x:c r="E57" s="211"/>
    </x:row>
    <x:row r="58" ht="21.450000762939453" customHeight="1">
      <x:c r="A58" s="9" t="s">
        <x:v>207</x:v>
      </x:c>
      <x:c r="B58" s="218"/>
      <x:c r="C58" s="211"/>
      <x:c r="D58" s="211"/>
      <x:c r="E58" s="211"/>
    </x:row>
    <x:row r="59" ht="21.450000762939453" customHeight="1">
      <x:c r="A59" s="28"/>
      <x:c r="B59" s="213"/>
      <x:c r="C59" s="211"/>
      <x:c r="D59" s="211"/>
      <x:c r="E59" s="211"/>
    </x:row>
    <x:row r="60" ht="21.450000762939453" customHeight="1">
      <x:c r="A60" s="28"/>
      <x:c r="B60" s="213"/>
      <x:c r="C60" s="211"/>
      <x:c r="D60" s="211"/>
      <x:c r="E60" s="211"/>
    </x:row>
    <x:row r="61" ht="21.450000762939453" customHeight="1">
      <x:c r="A61" s="28"/>
      <x:c r="B61" s="213"/>
      <x:c r="C61" s="211"/>
      <x:c r="D61" s="211"/>
      <x:c r="E61" s="211"/>
    </x:row>
    <x:row r="62" ht="21.450000762939453" customHeight="1">
      <x:c r="A62" s="28"/>
      <x:c r="B62" s="213"/>
      <x:c r="C62" s="211"/>
      <x:c r="D62" s="211"/>
      <x:c r="E62" s="211"/>
    </x:row>
    <x:row r="63" ht="21.450000762939453" customHeight="1">
      <x:c r="A63" s="28"/>
      <x:c r="B63" s="213"/>
      <x:c r="C63" s="211"/>
      <x:c r="D63" s="211"/>
      <x:c r="E63" s="211"/>
    </x:row>
    <x:row r="64" ht="21.450000762939453" customHeight="1">
      <x:c r="A64" s="28"/>
      <x:c r="B64" s="213"/>
      <x:c r="C64" s="211"/>
      <x:c r="D64" s="211"/>
      <x:c r="E64" s="211"/>
    </x:row>
  </x:sheetData>
  <x:mergeCells>
    <x:mergeCell ref="B64:E64"/>
    <x:mergeCell ref="B7:E7"/>
    <x:mergeCell ref="B59:E59"/>
    <x:mergeCell ref="A1:B1"/>
    <x:mergeCell ref="B3:E3"/>
    <x:mergeCell ref="B5:E5"/>
    <x:mergeCell ref="B60:E60"/>
    <x:mergeCell ref="B63:E63"/>
    <x:mergeCell ref="B61:E61"/>
    <x:mergeCell ref="B57:E57"/>
    <x:mergeCell ref="B4:E4"/>
    <x:mergeCell ref="B58:E58"/>
    <x:mergeCell ref="B6:E6"/>
    <x:mergeCell ref="B62:E62"/>
  </x:mergeCells>
  <x:dataValidations count="2">
    <x:dataValidation type="custom" allowBlank="1" showErrorMessage="1" errorTitle="Linked formula cell" error="This value is formula-controlled. Change the upstream source/input instead." sqref="A23:A31 A33:A38">
      <x:formula1>FALSE</x:formula1>
    </x:dataValidation>
    <x:dataValidation type="custom" allowBlank="1" showErrorMessage="1" errorTitle="Linked formula cell" error="This value is linked. Change the upstream input/source instead of overwriting this cell." sqref="A43:A45 A23:A38 C43:E45 C23:E38 B52:B56 B43:B49 B23:B40 B10:B20">
      <x:formula1>FALSE</x:formula1>
    </x:dataValidation>
  </x:dataValidations>
  <x:pageMargins left="0.7" right="0.7" top="0.75" bottom="0.75" header="0.3" footer="0.3"/>
</x:worksheet>
</file>

<file path=xl/worksheets/sheet4.xml><?xml version="1.0" encoding="utf-8"?>
<x:worksheet xmlns:x="http://schemas.openxmlformats.org/spreadsheetml/2006/main">
  <x:sheetFormatPr defaultRowHeight="13.800000190734863"/>
  <x:cols>
    <x:col min="1" max="1" width="12" style="3" customWidth="1"/>
    <x:col min="2" max="2" width="60.5" style="3" customWidth="1"/>
    <x:col min="3" max="3" width="14" style="3" customWidth="1"/>
    <x:col min="4" max="4" width="12" style="3" customWidth="1"/>
    <x:col min="5" max="5" width="16" style="3" customWidth="1"/>
    <x:col min="6" max="6" width="12" style="3" customWidth="1"/>
    <x:col min="7" max="7" width="20" style="3" customWidth="1"/>
    <x:col min="8" max="8" width="30" style="3" customWidth="1"/>
    <x:col min="9" max="9" width="88.59765625" style="3" customWidth="1"/>
    <x:col min="10" max="10" width="58.5" style="3" customWidth="1"/>
    <x:col min="11" max="11" width="30" style="3" customWidth="1"/>
    <x:col min="12" max="16384" width="8.796875" style="3" customWidth="0"/>
    <x:col min="12" max="12" width="20" hidden="0" customWidth="1"/>
    <x:col min="13" max="13" width="44" hidden="0" customWidth="1"/>
  </x:cols>
  <x:sheetData>
    <x:row r="1" ht="22.950000762939453" customHeight="1">
      <x:c r="A1" s="210" t="s">
        <x:v>208</x:v>
      </x:c>
      <x:c r="B1" s="208"/>
      <x:c r="C1" s="208"/>
      <x:c r="D1" s="135"/>
      <x:c r="E1" s="135"/>
      <x:c r="F1" s="135"/>
      <x:c r="G1" s="135"/>
      <x:c r="H1" s="135" t="str">
        <x:v>Profit method</x:v>
      </x:c>
      <x:c r="I1" s="135" t="str">
        <x:f>C22</x:f>
        <x:v>Margin %</x:v>
      </x:c>
      <x:c r="J1" s="135"/>
      <x:c r="K1" s="135"/>
    </x:row>
    <x:row r="2" ht="21.149999618530273" customHeight="1">
      <x:c r="A2" s="106"/>
      <x:c r="B2" s="106"/>
      <x:c r="C2" s="106"/>
      <x:c r="D2" s="106"/>
      <x:c r="E2" s="106"/>
      <x:c r="F2" s="106"/>
      <x:c r="G2" s="106"/>
      <x:c r="H2" s="106" t="str">
        <x:v>CA18 method (linked)</x:v>
      </x:c>
      <x:c r="I2" s="140" t="str">
        <x:f>IF(C22="Margin %","Margin",IF(C22="Markup %","Markup",IF(C22="Fixed Amount","Fixed Amount",C22)))</x:f>
        <x:v>Margin</x:v>
      </x:c>
      <x:c r="J2" s="30" t="str">
        <x:v>The calculation method is selected in column C. There is no second profit-method selector.</x:v>
      </x:c>
      <x:c r="K2" s="106"/>
    </x:row>
    <x:row r="3" ht="29.700000762939453" customHeight="1">
      <x:c r="A3" s="223" t="str">
        <x:v>CA01/CA02: Risk Engine, PC Sum or %. CA10: Weather Engine, PC Sum or %. Other pre-margin allowances: PC Sum or %. Column F Include? is the on/off switch. Engine outputs remain live in column L even when another method is selected, preserving the audit trail.</x:v>
      </x:c>
      <x:c r="B3" s="224"/>
      <x:c r="C3" s="224"/>
      <x:c r="D3" s="224"/>
      <x:c r="E3" s="224"/>
      <x:c r="F3" s="224"/>
      <x:c r="G3" s="224"/>
      <x:c r="H3" s="224"/>
      <x:c r="I3" s="106"/>
      <x:c r="J3" s="106"/>
      <x:c r="K3" s="106"/>
    </x:row>
    <x:row r="4" ht="21.450000762939453" customHeight="1">
      <x:c r="A4" s="32" t="s">
        <x:v>209</x:v>
      </x:c>
      <x:c r="B4" s="32" t="s">
        <x:v>210</x:v>
      </x:c>
      <x:c r="C4" s="32" t="s">
        <x:v>211</x:v>
      </x:c>
      <x:c r="D4" s="32" t="s">
        <x:v>212</x:v>
      </x:c>
      <x:c r="E4" s="32" t="s">
        <x:v>213</x:v>
      </x:c>
      <x:c r="F4" s="32" t="s">
        <x:v>183</x:v>
      </x:c>
      <x:c r="G4" s="32" t="s">
        <x:v>214</x:v>
      </x:c>
      <x:c r="H4" s="32" t="s">
        <x:v>215</x:v>
      </x:c>
      <x:c r="I4" s="32" t="s">
        <x:v>216</x:v>
      </x:c>
      <x:c r="J4" s="32" t="s">
        <x:v>217</x:v>
      </x:c>
      <x:c r="K4" s="32" t="s">
        <x:v>218</x:v>
      </x:c>
      <x:c r="L4" s="739" t="str">
        <x:v>Engine Amount excl. GST</x:v>
      </x:c>
      <x:c r="M4" s="739" t="str">
        <x:v>Engine Source / Status</x:v>
      </x:c>
    </x:row>
    <x:row r="5" ht="21.450000762939453" customHeight="1">
      <x:c r="A5" s="107" t="s">
        <x:v>219</x:v>
      </x:c>
      <x:c r="B5" s="107" t="str">
        <x:v>Design / scope residual risk - Risk Truth linked</x:v>
      </x:c>
      <x:c r="C5" s="735" t="str">
        <x:v>Risk Engine</x:v>
      </x:c>
      <x:c r="D5" s="688"/>
      <x:c r="E5" s="689"/>
      <x:c r="F5" s="110" t="str">
        <x:v>Yes</x:v>
      </x:c>
      <x:c r="G5" s="107" t="s">
        <x:v>220</x:v>
      </x:c>
      <x:c r="H5" s="107" t="str">
        <x:f>IF(C5="Risk Engine","Uses linked Risk Truth engine amount in L5",IF(C5="Weather Engine","Uses linked Weather Risk amount in L5",IF(C5="PC Sum","Uses manual PC Sum in E5",IF(C5="%","Uses Input % in D5 against base direct cost","CHECK METHOD"))))</x:f>
        <x:v>Uses linked Risk Truth engine amount in L5</x:v>
      </x:c>
      <x:c r="I5" s="110" t="str">
        <x:v>Residual design/scope risk only where the consequence cannot be more truthfully placed in Resource Build-Up/QS or a specialist engine.</x:v>
      </x:c>
      <x:c r="J5" s="110" t="str">
        <x:v>Close Risk Truth RED items and confirm residual is distinct / integration complete.</x:v>
      </x:c>
      <x:c r="K5" s="107" t="str">
        <x:f>IF(F5&lt;&gt;"Yes",C5&amp;" - OFF",C5)</x:f>
        <x:v>Risk Engine</x:v>
      </x:c>
      <x:c r="L5" s="742" t="n">
        <x:f>'Risk Truth'!$B$12</x:f>
        <x:v>0</x:v>
      </x:c>
      <x:c r="M5" s="27" t="str">
        <x:v>Risk Truth CA01 design/scope residual</x:v>
      </x:c>
    </x:row>
    <x:row r="6" ht="21.450000762939453" customHeight="1">
      <x:c r="A6" s="107" t="s">
        <x:v>221</x:v>
      </x:c>
      <x:c r="B6" s="107" t="str">
        <x:v>Construction / execution residual risk - Risk Truth linked</x:v>
      </x:c>
      <x:c r="C6" s="735" t="str">
        <x:v>Risk Engine</x:v>
      </x:c>
      <x:c r="D6" s="688"/>
      <x:c r="E6" s="689"/>
      <x:c r="F6" s="110" t="str">
        <x:v>Yes</x:v>
      </x:c>
      <x:c r="G6" s="107" t="s">
        <x:v>220</x:v>
      </x:c>
      <x:c r="H6" s="107" t="str">
        <x:f>IF(C6="Risk Engine","Uses linked Risk Truth engine amount in L6",IF(C6="Weather Engine","Uses linked Weather Risk amount in L6",IF(C6="PC Sum","Uses manual PC Sum in E6",IF(C6="%","Uses Input % in D6 against base direct cost","CHECK METHOD"))))</x:f>
        <x:v>Uses linked Risk Truth engine amount in L6</x:v>
      </x:c>
      <x:c r="I6" s="110" t="str">
        <x:v>Residual construction/execution risk only where the consequence cannot be more truthfully placed in Resource Build-Up/QS or a specialist engine.</x:v>
      </x:c>
      <x:c r="J6" s="110" t="str">
        <x:v>Close Risk Truth RED items and confirm residual is distinct / integration complete.</x:v>
      </x:c>
      <x:c r="K6" s="107" t="str">
        <x:f>IF(F6&lt;&gt;"Yes",C6&amp;" - OFF",C6)</x:f>
        <x:v>Risk Engine</x:v>
      </x:c>
      <x:c r="L6" s="742" t="n">
        <x:f>'Risk Truth'!$B$13</x:f>
        <x:v>0</x:v>
      </x:c>
      <x:c r="M6" s="27" t="str">
        <x:v>Risk Truth CA02 construction/execution residual</x:v>
      </x:c>
    </x:row>
    <x:row r="7" ht="21.450000762939453" customHeight="1">
      <x:c r="A7" s="107" t="s">
        <x:v>222</x:v>
      </x:c>
      <x:c r="B7" s="107" t="s">
        <x:v>223</x:v>
      </x:c>
      <x:c r="C7" s="735" t="str">
        <x:v>%</x:v>
      </x:c>
      <x:c r="D7" s="136" t="n">
        <x:v>0</x:v>
      </x:c>
      <x:c r="E7" s="137"/>
      <x:c r="F7" s="110" t="str">
        <x:v>No</x:v>
      </x:c>
      <x:c r="G7" s="107" t="s">
        <x:v>220</x:v>
      </x:c>
      <x:c r="H7" s="107" t="str">
        <x:f>IF(C7="Risk Engine","Uses linked Risk Truth engine amount in L7",IF(C7="Weather Engine","Uses linked Weather Risk amount in L7",IF(C7="PC Sum","Uses manual PC Sum in E7",IF(C7="%","Uses Input % in D7 against base direct cost","CHECK METHOD"))))</x:f>
        <x:v>Uses Input % in D7 against base direct cost</x:v>
      </x:c>
      <x:c r="I7" s="110" t="str">
        <x:v>Enter only where escalation is evidence-based; do not default to a generic percentage.</x:v>
      </x:c>
      <x:c r="J7" s="110" t="s">
        <x:v>224</x:v>
      </x:c>
      <x:c r="K7" s="107" t="str">
        <x:f>IF(F7&lt;&gt;"Yes",C7&amp;" - OFF",C7)</x:f>
        <x:v>% - OFF</x:v>
      </x:c>
      <x:c r="L7" s="742" t="n">
        <x:v>0</x:v>
      </x:c>
      <x:c r="M7" s="27" t="str">
        <x:v>No specialist engine linked - select PC Sum or %</x:v>
      </x:c>
    </x:row>
    <x:row r="8" ht="21.450000762939453" customHeight="1">
      <x:c r="A8" s="107" t="s">
        <x:v>225</x:v>
      </x:c>
      <x:c r="B8" s="107" t="s">
        <x:v>226</x:v>
      </x:c>
      <x:c r="C8" s="735" t="str">
        <x:v>PC Sum</x:v>
      </x:c>
      <x:c r="D8" s="136"/>
      <x:c r="E8" s="137"/>
      <x:c r="F8" s="110" t="str">
        <x:v>No</x:v>
      </x:c>
      <x:c r="G8" s="107" t="s">
        <x:v>220</x:v>
      </x:c>
      <x:c r="H8" s="107" t="str">
        <x:f>IF(C8="Risk Engine","Uses linked Risk Truth engine amount in L8",IF(C8="Weather Engine","Uses linked Weather Risk amount in L8",IF(C8="PC Sum","Uses manual PC Sum in E8",IF(C8="%","Uses Input % in D8 against base direct cost","CHECK METHOD"))))</x:f>
        <x:v>Uses manual PC Sum in E8</x:v>
      </x:c>
      <x:c r="I8" s="110" t="str">
        <x:v>Use only for a distinct reconciled live-quote gap not already included in QS/PC items or Risk Truth.</x:v>
      </x:c>
      <x:c r="J8" s="110" t="s">
        <x:v>227</x:v>
      </x:c>
      <x:c r="K8" s="107" t="str">
        <x:f>IF(F8&lt;&gt;"Yes",C8&amp;" - OFF",C8)</x:f>
        <x:v>PC Sum - OFF</x:v>
      </x:c>
      <x:c r="L8" s="742" t="n">
        <x:v>0</x:v>
      </x:c>
      <x:c r="M8" s="27" t="str">
        <x:v>No specialist engine linked - select PC Sum or %</x:v>
      </x:c>
    </x:row>
    <x:row r="9" ht="21.450000762939453" customHeight="1">
      <x:c r="A9" s="138" t="s">
        <x:v>228</x:v>
      </x:c>
      <x:c r="B9" s="138" t="s">
        <x:v>229</x:v>
      </x:c>
      <x:c r="C9" s="735" t="str">
        <x:v>PC Sum</x:v>
      </x:c>
      <x:c r="D9" s="136"/>
      <x:c r="E9" s="137"/>
      <x:c r="F9" s="110" t="str">
        <x:v>No</x:v>
      </x:c>
      <x:c r="G9" s="138" t="s">
        <x:v>220</x:v>
      </x:c>
      <x:c r="H9" s="138" t="str">
        <x:f>IF(C9="Risk Engine","Uses linked Risk Truth engine amount in L9",IF(C9="Weather Engine","Uses linked Weather Risk amount in L9",IF(C9="PC Sum","Uses manual PC Sum in E9",IF(C9="%","Uses Input % in D9 against base direct cost","CHECK METHOD"))))</x:f>
        <x:v>Uses manual PC Sum in E9</x:v>
      </x:c>
      <x:c r="I9" s="138" t="str">
        <x:v>Confirm contractual responsibility before inclusion.</x:v>
      </x:c>
      <x:c r="J9" s="110" t="s">
        <x:v>230</x:v>
      </x:c>
      <x:c r="K9" s="107" t="str">
        <x:f>IF(F9&lt;&gt;"Yes",C9&amp;" - OFF",C9)</x:f>
        <x:v>PC Sum - OFF</x:v>
      </x:c>
      <x:c r="L9" s="742" t="n">
        <x:v>0</x:v>
      </x:c>
      <x:c r="M9" s="27" t="str">
        <x:v>No specialist engine linked - select PC Sum or %</x:v>
      </x:c>
    </x:row>
    <x:row r="10" ht="21.450000762939453" customHeight="1">
      <x:c r="A10" s="138" t="s">
        <x:v>231</x:v>
      </x:c>
      <x:c r="B10" s="138" t="s">
        <x:v>232</x:v>
      </x:c>
      <x:c r="C10" s="735" t="str">
        <x:v>PC Sum</x:v>
      </x:c>
      <x:c r="D10" s="136"/>
      <x:c r="E10" s="137"/>
      <x:c r="F10" s="110" t="str">
        <x:v>No</x:v>
      </x:c>
      <x:c r="G10" s="138" t="s">
        <x:v>220</x:v>
      </x:c>
      <x:c r="H10" s="138" t="str">
        <x:f>IF(C10="Risk Engine","Uses linked Risk Truth engine amount in L10",IF(C10="Weather Engine","Uses linked Weather Risk amount in L10",IF(C10="PC Sum","Uses manual PC Sum in E10",IF(C10="%","Uses Input % in D10 against base direct cost","CHECK METHOD"))))</x:f>
        <x:v>Uses manual PC Sum in E10</x:v>
      </x:c>
      <x:c r="I10" s="138" t="str">
        <x:v>Confirm contractual responsibility; physical construction scope should normally sit in QS.</x:v>
      </x:c>
      <x:c r="J10" s="110" t="s">
        <x:v>233</x:v>
      </x:c>
      <x:c r="K10" s="107" t="str">
        <x:f>IF(F10&lt;&gt;"Yes",C10&amp;" - OFF",C10)</x:f>
        <x:v>PC Sum - OFF</x:v>
      </x:c>
      <x:c r="L10" s="742" t="n">
        <x:v>0</x:v>
      </x:c>
      <x:c r="M10" s="27" t="str">
        <x:v>No specialist engine linked - select PC Sum or %</x:v>
      </x:c>
    </x:row>
    <x:row r="11" ht="21.450000762939453" customHeight="1">
      <x:c r="A11" s="138" t="s">
        <x:v>234</x:v>
      </x:c>
      <x:c r="B11" s="138" t="s">
        <x:v>235</x:v>
      </x:c>
      <x:c r="C11" s="735" t="str">
        <x:v>PC Sum</x:v>
      </x:c>
      <x:c r="D11" s="136"/>
      <x:c r="E11" s="137"/>
      <x:c r="F11" s="110" t="str">
        <x:v>No</x:v>
      </x:c>
      <x:c r="G11" s="138" t="s">
        <x:v>220</x:v>
      </x:c>
      <x:c r="H11" s="138" t="str">
        <x:f>IF(C11="Risk Engine","Uses linked Risk Truth engine amount in L11",IF(C11="Weather Engine","Uses linked Weather Risk amount in L11",IF(C11="PC Sum","Uses manual PC Sum in E11",IF(C11="%","Uses Input % in D11 against base direct cost","CHECK METHOD"))))</x:f>
        <x:v>Uses manual PC Sum in E11</x:v>
      </x:c>
      <x:c r="I11" s="138" t="str">
        <x:v>Use only for temporary-works engineering / documentation not already in direct scope.</x:v>
      </x:c>
      <x:c r="J11" s="110" t="s">
        <x:v>236</x:v>
      </x:c>
      <x:c r="K11" s="107" t="str">
        <x:f>IF(F11&lt;&gt;"Yes",C11&amp;" - OFF",C11)</x:f>
        <x:v>PC Sum - OFF</x:v>
      </x:c>
      <x:c r="L11" s="742" t="n">
        <x:v>0</x:v>
      </x:c>
      <x:c r="M11" s="27" t="str">
        <x:v>No specialist engine linked - select PC Sum or %</x:v>
      </x:c>
    </x:row>
    <x:row r="12" ht="21.450000762939453" customHeight="1">
      <x:c r="A12" s="139" t="s">
        <x:v>237</x:v>
      </x:c>
      <x:c r="B12" s="139" t="s">
        <x:v>238</x:v>
      </x:c>
      <x:c r="C12" s="735" t="str">
        <x:v>PC Sum</x:v>
      </x:c>
      <x:c r="D12" s="136" t="n">
        <x:v>0</x:v>
      </x:c>
      <x:c r="E12" s="137"/>
      <x:c r="F12" s="110" t="str">
        <x:v>No</x:v>
      </x:c>
      <x:c r="G12" s="139" t="s">
        <x:v>220</x:v>
      </x:c>
      <x:c r="H12" s="139" t="str">
        <x:f>IF(C12="Risk Engine","Uses linked Risk Truth engine amount in L12",IF(C12="Weather Engine","Uses linked Weather Risk amount in L12",IF(C12="PC Sum","Uses manual PC Sum in E12",IF(C12="%","Uses Input % in D12 against base direct cost","CHECK METHOD"))))</x:f>
        <x:v>Uses manual PC Sum in E12</x:v>
      </x:c>
      <x:c r="I12" s="139" t="str">
        <x:v>Do not use as a generic ground-risk percentage. Quantifiable ground consequences belong in QS or an approved specialist risk treatment.</x:v>
      </x:c>
      <x:c r="J12" s="110" t="s">
        <x:v>239</x:v>
      </x:c>
      <x:c r="K12" s="107" t="str">
        <x:f>IF(F12&lt;&gt;"Yes",C12&amp;" - OFF",C12)</x:f>
        <x:v>PC Sum - OFF</x:v>
      </x:c>
      <x:c r="L12" s="742" t="n">
        <x:v>0</x:v>
      </x:c>
      <x:c r="M12" s="27" t="str">
        <x:v>No specialist engine linked - select PC Sum or %</x:v>
      </x:c>
    </x:row>
    <x:row r="13" ht="21.450000762939453" customHeight="1">
      <x:c r="A13" s="107" t="s">
        <x:v>240</x:v>
      </x:c>
      <x:c r="B13" s="107" t="s">
        <x:v>241</x:v>
      </x:c>
      <x:c r="C13" s="735" t="str">
        <x:v>PC Sum</x:v>
      </x:c>
      <x:c r="D13" s="136"/>
      <x:c r="E13" s="137"/>
      <x:c r="F13" s="110" t="str">
        <x:v>No</x:v>
      </x:c>
      <x:c r="G13" s="107" t="s">
        <x:v>220</x:v>
      </x:c>
      <x:c r="H13" s="107" t="str">
        <x:f>IF(C13="Risk Engine","Uses linked Risk Truth engine amount in L13",IF(C13="Weather Engine","Uses linked Weather Risk amount in L13",IF(C13="PC Sum","Uses manual PC Sum in E13",IF(C13="%","Uses Input % in D13 against base direct cost","CHECK METHOD"))))</x:f>
        <x:v>Uses manual PC Sum in E13</x:v>
      </x:c>
      <x:c r="I13" s="110" t="str">
        <x:v>Project-specific construction water-control allowance only; check Weather / Ground overlap before inclusion.</x:v>
      </x:c>
      <x:c r="J13" s="110" t="s">
        <x:v>242</x:v>
      </x:c>
      <x:c r="K13" s="107" t="str">
        <x:f>IF(F13&lt;&gt;"Yes",C13&amp;" - OFF",C13)</x:f>
        <x:v>PC Sum - OFF</x:v>
      </x:c>
      <x:c r="L13" s="742" t="n">
        <x:v>0</x:v>
      </x:c>
      <x:c r="M13" s="27" t="str">
        <x:v>No specialist engine linked - select PC Sum or %</x:v>
      </x:c>
    </x:row>
    <x:row r="14" ht="42" customHeight="1">
      <x:c r="A14" s="139" t="str">
        <x:v>CA10</x:v>
      </x:c>
      <x:c r="B14" s="139" t="str">
        <x:v>Weather risk allowance - linked approved engine</x:v>
      </x:c>
      <x:c r="C14" s="735" t="str">
        <x:v>Weather Engine</x:v>
      </x:c>
      <x:c r="D14" s="590"/>
      <x:c r="E14" s="586"/>
      <x:c r="F14" s="110" t="str">
        <x:v>Yes</x:v>
      </x:c>
      <x:c r="G14" s="139" t="str">
        <x:v>Pre-margin addition</x:v>
      </x:c>
      <x:c r="H14" s="139" t="str">
        <x:f>IF(C14="Risk Engine","Uses linked Risk Truth engine amount in L14",IF(C14="Weather Engine","Uses linked Weather Risk amount in L14",IF(C14="PC Sum","Uses manual PC Sum in E14",IF(C14="%","Uses Input % in D14 against base direct cost","CHECK METHOD"))))</x:f>
        <x:v>Uses linked Weather Risk amount in L14</x:v>
      </x:c>
      <x:c r="I14" s="139" t="str">
        <x:v>Formula-linked approved Weather Risk output. Do not duplicate normal weather in CA02 or direct productivity.</x:v>
      </x:c>
      <x:c r="J14" s="110" t="str">
        <x:v>Rerun Weather Tool if start date, baseline duration, exposed resource cost/mix, work calendar or critical path changes.</x:v>
      </x:c>
      <x:c r="K14" s="107" t="str">
        <x:f>IF(F14&lt;&gt;"Yes",C14&amp;" - OFF",C14)</x:f>
        <x:v>Weather Engine</x:v>
      </x:c>
      <x:c r="L14" s="742" t="n">
        <x:f>'Weather Risk'!$B$40</x:f>
        <x:v>0</x:v>
      </x:c>
      <x:c r="M14" s="27" t="str">
        <x:v>Weather Risk specialist engine -&gt; CA10</x:v>
      </x:c>
    </x:row>
    <x:row r="15" ht="42" customHeight="1">
      <x:c r="A15" s="107" t="s">
        <x:v>243</x:v>
      </x:c>
      <x:c r="B15" s="107" t="str">
        <x:v>Extended preliminaries beyond weather-adjusted tender baseline</x:v>
      </x:c>
      <x:c r="C15" s="735" t="str">
        <x:v>PC Sum</x:v>
      </x:c>
      <x:c r="D15" s="136"/>
      <x:c r="E15" s="137"/>
      <x:c r="F15" s="110" t="s">
        <x:v>244</x:v>
      </x:c>
      <x:c r="G15" s="107" t="s">
        <x:v>220</x:v>
      </x:c>
      <x:c r="H15" s="107" t="str">
        <x:f>IF(C15="Risk Engine","Uses linked Risk Truth engine amount in L15",IF(C15="Weather Engine","Uses linked Weather Risk amount in L15",IF(C15="PC Sum","Uses manual PC Sum in E15",IF(C15="%","Uses Input % in D15 against base direct cost","CHECK METHOD"))))</x:f>
        <x:v>Uses manual PC Sum in E15</x:v>
      </x:c>
      <x:c r="I15" s="110" t="str">
        <x:v>Do not use for weather delay already included through CA10. Base QS preliminaries remain reconciled to 99 working days.</x:v>
      </x:c>
      <x:c r="J15" s="110" t="str">
        <x:v>Add only for non-weather instructed extension or revised contract programme after checking CA10 overlap.</x:v>
      </x:c>
      <x:c r="K15" s="107" t="str">
        <x:f>IF(F15&lt;&gt;"Yes",C15&amp;" - OFF",C15)</x:f>
        <x:v>PC Sum - OFF</x:v>
      </x:c>
      <x:c r="L15" s="742" t="n">
        <x:v>0</x:v>
      </x:c>
      <x:c r="M15" s="27" t="str">
        <x:v>No specialist engine linked - select PC Sum or %</x:v>
      </x:c>
    </x:row>
    <x:row r="16" ht="21.450000762939453" customHeight="1">
      <x:c r="A16" s="139" t="s">
        <x:v>245</x:v>
      </x:c>
      <x:c r="B16" s="139" t="s">
        <x:v>246</x:v>
      </x:c>
      <x:c r="C16" s="735" t="str">
        <x:v>PC Sum</x:v>
      </x:c>
      <x:c r="D16" s="136"/>
      <x:c r="E16" s="137"/>
      <x:c r="F16" s="110" t="s">
        <x:v>244</x:v>
      </x:c>
      <x:c r="G16" s="139" t="s">
        <x:v>220</x:v>
      </x:c>
      <x:c r="H16" s="139" t="str">
        <x:f>IF(C16="Risk Engine","Uses linked Risk Truth engine amount in L16",IF(C16="Weather Engine","Uses linked Weather Risk amount in L16",IF(C16="PC Sum","Uses manual PC Sum in E16",IF(C16="%","Uses Input % in D16 against base direct cost","CHECK METHOD"))))</x:f>
        <x:v>Uses manual PC Sum in E16</x:v>
      </x:c>
      <x:c r="I16" s="139" t="s">
        <x:v>247</x:v>
      </x:c>
      <x:c r="J16" s="110" t="s">
        <x:v>248</x:v>
      </x:c>
      <x:c r="K16" s="107" t="str">
        <x:f>IF(F16&lt;&gt;"Yes",C16&amp;" - OFF",C16)</x:f>
        <x:v>PC Sum - OFF</x:v>
      </x:c>
      <x:c r="L16" s="742" t="n">
        <x:v>0</x:v>
      </x:c>
      <x:c r="M16" s="27" t="str">
        <x:v>No specialist engine linked - select PC Sum or %</x:v>
      </x:c>
    </x:row>
    <x:row r="17" ht="21.450000762939453" customHeight="1">
      <x:c r="A17" s="107" t="s">
        <x:v>249</x:v>
      </x:c>
      <x:c r="B17" s="107" t="s">
        <x:v>250</x:v>
      </x:c>
      <x:c r="C17" s="735" t="str">
        <x:v>PC Sum</x:v>
      </x:c>
      <x:c r="D17" s="136"/>
      <x:c r="E17" s="137"/>
      <x:c r="F17" s="110" t="s">
        <x:v>244</x:v>
      </x:c>
      <x:c r="G17" s="107" t="s">
        <x:v>220</x:v>
      </x:c>
      <x:c r="H17" s="107" t="str">
        <x:f>IF(C17="Risk Engine","Uses linked Risk Truth engine amount in L17",IF(C17="Weather Engine","Uses linked Weather Risk amount in L17",IF(C17="PC Sum","Uses manual PC Sum in E17",IF(C17="%","Uses Input % in D17 against base direct cost","CHECK METHOD"))))</x:f>
        <x:v>Uses manual PC Sum in E17</x:v>
      </x:c>
      <x:c r="I17" s="110" t="s">
        <x:v>251</x:v>
      </x:c>
      <x:c r="J17" s="110" t="s">
        <x:v>252</x:v>
      </x:c>
      <x:c r="K17" s="107" t="str">
        <x:f>IF(F17&lt;&gt;"Yes",C17&amp;" - OFF",C17)</x:f>
        <x:v>PC Sum - OFF</x:v>
      </x:c>
      <x:c r="L17" s="742" t="n">
        <x:v>0</x:v>
      </x:c>
      <x:c r="M17" s="27" t="str">
        <x:v>No specialist engine linked - select PC Sum or %</x:v>
      </x:c>
    </x:row>
    <x:row r="18" ht="21.450000762939453" customHeight="1">
      <x:c r="A18" s="107" t="s">
        <x:v>253</x:v>
      </x:c>
      <x:c r="B18" s="107" t="s">
        <x:v>254</x:v>
      </x:c>
      <x:c r="C18" s="735" t="str">
        <x:v>PC Sum</x:v>
      </x:c>
      <x:c r="D18" s="136"/>
      <x:c r="E18" s="137"/>
      <x:c r="F18" s="110" t="s">
        <x:v>244</x:v>
      </x:c>
      <x:c r="G18" s="107" t="s">
        <x:v>220</x:v>
      </x:c>
      <x:c r="H18" s="107" t="str">
        <x:f>IF(C18="Risk Engine","Uses linked Risk Truth engine amount in L18",IF(C18="Weather Engine","Uses linked Weather Risk amount in L18",IF(C18="PC Sum","Uses manual PC Sum in E18",IF(C18="%","Uses Input % in D18 against base direct cost","CHECK METHOD"))))</x:f>
        <x:v>Uses manual PC Sum in E18</x:v>
      </x:c>
      <x:c r="I18" s="110" t="s">
        <x:v>255</x:v>
      </x:c>
      <x:c r="J18" s="110" t="s">
        <x:v>256</x:v>
      </x:c>
      <x:c r="K18" s="107" t="str">
        <x:f>IF(F18&lt;&gt;"Yes",C18&amp;" - OFF",C18)</x:f>
        <x:v>PC Sum - OFF</x:v>
      </x:c>
      <x:c r="L18" s="742" t="n">
        <x:v>0</x:v>
      </x:c>
      <x:c r="M18" s="27" t="str">
        <x:v>No specialist engine linked - select PC Sum or %</x:v>
      </x:c>
    </x:row>
    <x:row r="19" ht="21.450000762939453" customHeight="1">
      <x:c r="A19" s="107" t="s">
        <x:v>257</x:v>
      </x:c>
      <x:c r="B19" s="107" t="s">
        <x:v>258</x:v>
      </x:c>
      <x:c r="C19" s="735" t="str">
        <x:v>PC Sum</x:v>
      </x:c>
      <x:c r="D19" s="136"/>
      <x:c r="E19" s="137"/>
      <x:c r="F19" s="110" t="s">
        <x:v>244</x:v>
      </x:c>
      <x:c r="G19" s="107" t="s">
        <x:v>220</x:v>
      </x:c>
      <x:c r="H19" s="107" t="str">
        <x:f>IF(C19="Risk Engine","Uses linked Risk Truth engine amount in L19",IF(C19="Weather Engine","Uses linked Weather Risk amount in L19",IF(C19="PC Sum","Uses manual PC Sum in E19",IF(C19="%","Uses Input % in D19 against base direct cost","CHECK METHOD"))))</x:f>
        <x:v>Uses manual PC Sum in E19</x:v>
      </x:c>
      <x:c r="I19" s="110" t="s">
        <x:v>259</x:v>
      </x:c>
      <x:c r="J19" s="110" t="s">
        <x:v>260</x:v>
      </x:c>
      <x:c r="K19" s="107" t="str">
        <x:f>IF(F19&lt;&gt;"Yes",C19&amp;" - OFF",C19)</x:f>
        <x:v>PC Sum - OFF</x:v>
      </x:c>
      <x:c r="L19" s="742" t="n">
        <x:v>0</x:v>
      </x:c>
      <x:c r="M19" s="27" t="str">
        <x:v>No specialist engine linked - select PC Sum or %</x:v>
      </x:c>
    </x:row>
    <x:row r="20" ht="21.450000762939453" customHeight="1">
      <x:c r="A20" s="107" t="s">
        <x:v>261</x:v>
      </x:c>
      <x:c r="B20" s="107" t="s">
        <x:v>262</x:v>
      </x:c>
      <x:c r="C20" s="735" t="str">
        <x:v>PC Sum</x:v>
      </x:c>
      <x:c r="D20" s="136"/>
      <x:c r="E20" s="137"/>
      <x:c r="F20" s="110" t="s">
        <x:v>244</x:v>
      </x:c>
      <x:c r="G20" s="107" t="s">
        <x:v>220</x:v>
      </x:c>
      <x:c r="H20" s="107" t="str">
        <x:f>IF(C20="Risk Engine","Uses linked Risk Truth engine amount in L20",IF(C20="Weather Engine","Uses linked Weather Risk amount in L20",IF(C20="PC Sum","Uses manual PC Sum in E20",IF(C20="%","Uses Input % in D20 against base direct cost","CHECK METHOD"))))</x:f>
        <x:v>Uses manual PC Sum in E20</x:v>
      </x:c>
      <x:c r="I20" s="110" t="s">
        <x:v>263</x:v>
      </x:c>
      <x:c r="J20" s="110" t="s">
        <x:v>264</x:v>
      </x:c>
      <x:c r="K20" s="107" t="str">
        <x:f>IF(F20&lt;&gt;"Yes",C20&amp;" - OFF",C20)</x:f>
        <x:v>PC Sum - OFF</x:v>
      </x:c>
      <x:c r="L20" s="742" t="n">
        <x:v>0</x:v>
      </x:c>
      <x:c r="M20" s="27" t="str">
        <x:v>No specialist engine linked - select PC Sum or %</x:v>
      </x:c>
    </x:row>
    <x:row r="21" ht="21.450000762939453" customHeight="1">
      <x:c r="A21" s="107" t="s">
        <x:v>265</x:v>
      </x:c>
      <x:c r="B21" s="107" t="s">
        <x:v>266</x:v>
      </x:c>
      <x:c r="C21" s="735" t="str">
        <x:v>Markup %</x:v>
      </x:c>
      <x:c r="D21" s="194" t="n">
        <x:v>0</x:v>
      </x:c>
      <x:c r="E21" s="137"/>
      <x:c r="F21" s="110" t="str">
        <x:v>No</x:v>
      </x:c>
      <x:c r="G21" s="107" t="s">
        <x:v>267</x:v>
      </x:c>
      <x:c r="H21" s="107" t="s">
        <x:v>268</x:v>
      </x:c>
      <x:c r="I21" s="110" t="str">
        <x:v>Enter verified company overhead recovery separately from contractor profit.</x:v>
      </x:c>
      <x:c r="J21" s="110" t="s">
        <x:v>269</x:v>
      </x:c>
      <x:c r="K21" s="107" t="s">
        <x:v>270</x:v>
      </x:c>
    </x:row>
    <x:row r="22" ht="21.450000762939453" customHeight="1">
      <x:c r="A22" s="107" t="s">
        <x:v>271</x:v>
      </x:c>
      <x:c r="B22" s="107" t="s">
        <x:v>272</x:v>
      </x:c>
      <x:c r="C22" s="735" t="str">
        <x:v>Margin %</x:v>
      </x:c>
      <x:c r="D22" s="194" t="n">
        <x:v>0</x:v>
      </x:c>
      <x:c r="E22" s="137"/>
      <x:c r="F22" s="110" t="str">
        <x:v>No</x:v>
      </x:c>
      <x:c r="G22" s="107" t="s">
        <x:v>267</x:v>
      </x:c>
      <x:c r="H22" s="107" t="s">
        <x:v>273</x:v>
      </x:c>
      <x:c r="I22" s="110" t="str">
        <x:v>Enter approved contractor profit; choose Margin or Markup in the profit-method selector.</x:v>
      </x:c>
      <x:c r="J22" s="110" t="s">
        <x:v>274</x:v>
      </x:c>
      <x:c r="K22" s="107" t="s">
        <x:v>270</x:v>
      </x:c>
    </x:row>
    <x:row r="23" ht="21.450000762939453" customHeight="1">
      <x:c r="A23" s="107" t="s">
        <x:v>275</x:v>
      </x:c>
      <x:c r="B23" s="107" t="s">
        <x:v>276</x:v>
      </x:c>
      <x:c r="C23" s="735" t="str">
        <x:v>%</x:v>
      </x:c>
      <x:c r="D23" s="194" t="n">
        <x:v>0</x:v>
      </x:c>
      <x:c r="E23" s="137"/>
      <x:c r="F23" s="110" t="str">
        <x:v>No</x:v>
      </x:c>
      <x:c r="G23" s="107" t="s">
        <x:v>267</x:v>
      </x:c>
      <x:c r="H23" s="107" t="s">
        <x:v>277</x:v>
      </x:c>
      <x:c r="I23" s="110" t="str">
        <x:v>Include only where contract securities create a genuine contractor cost.</x:v>
      </x:c>
      <x:c r="J23" s="110" t="s">
        <x:v>278</x:v>
      </x:c>
      <x:c r="K23" s="107" t="s">
        <x:v>270</x:v>
      </x:c>
    </x:row>
    <x:row r="24" ht="21.450000762939453" customHeight="1">
      <x:c r="A24" s="107" t="s">
        <x:v>279</x:v>
      </x:c>
      <x:c r="B24" s="107" t="s">
        <x:v>280</x:v>
      </x:c>
      <x:c r="C24" s="735" t="str">
        <x:v>%</x:v>
      </x:c>
      <x:c r="D24" s="195" t="n">
        <x:v>0</x:v>
      </x:c>
      <x:c r="E24" s="137"/>
      <x:c r="F24" s="110" t="str">
        <x:v>No</x:v>
      </x:c>
      <x:c r="G24" s="107" t="s">
        <x:v>267</x:v>
      </x:c>
      <x:c r="H24" s="107" t="s">
        <x:v>277</x:v>
      </x:c>
      <x:c r="I24" s="110" t="str">
        <x:v>Finance cost only; retention withholding itself is a cashflow item.</x:v>
      </x:c>
      <x:c r="J24" s="110" t="s">
        <x:v>281</x:v>
      </x:c>
      <x:c r="K24" s="107" t="s">
        <x:v>270</x:v>
      </x:c>
    </x:row>
    <x:row r="25" ht="21.450000762939453" customHeight="1">
      <x:c r="A25" s="107" t="s">
        <x:v>282</x:v>
      </x:c>
      <x:c r="B25" s="107" t="s">
        <x:v>112</x:v>
      </x:c>
      <x:c r="C25" s="735" t="str">
        <x:v>%</x:v>
      </x:c>
      <x:c r="D25" s="194" t="n">
        <x:v>0.15</x:v>
      </x:c>
      <x:c r="E25" s="137"/>
      <x:c r="F25" s="110" t="str">
        <x:v>No</x:v>
      </x:c>
      <x:c r="G25" s="107" t="s">
        <x:v>283</x:v>
      </x:c>
      <x:c r="H25" s="107" t="s">
        <x:v>284</x:v>
      </x:c>
      <x:c r="I25" s="110" t="str">
        <x:v>Optional tax display. Set 15% for NZ GST or 10% for Australian GST when applicable; estimate control total remains ex tax.</x:v>
      </x:c>
      <x:c r="J25" s="110" t="s">
        <x:v>285</x:v>
      </x:c>
      <x:c r="K25" s="107" t="s">
        <x:v>270</x:v>
      </x:c>
    </x:row>
    <x:row r="26" ht="21.450000762939453" customHeight="1">
      <x:c r="A26" s="106" t="s">
        <x:v>286</x:v>
      </x:c>
      <x:c r="B26" s="106" t="s">
        <x:v>195</x:v>
      </x:c>
      <x:c r="C26" s="736" t="str">
        <x:v>%</x:v>
      </x:c>
      <x:c r="D26" s="194" t="n">
        <x:v>0</x:v>
      </x:c>
      <x:c r="E26" s="140"/>
      <x:c r="F26" s="140" t="str">
        <x:v>No</x:v>
      </x:c>
      <x:c r="G26" s="106" t="s">
        <x:v>197</x:v>
      </x:c>
      <x:c r="H26" s="106" t="s">
        <x:v>287</x:v>
      </x:c>
      <x:c r="I26" s="106" t="s">
        <x:v>288</x:v>
      </x:c>
      <x:c r="J26" s="106" t="s">
        <x:v>289</x:v>
      </x:c>
      <x:c r="K26" s="106" t="s">
        <x:v>290</x:v>
      </x:c>
    </x:row>
    <x:row r="27" ht="21.450000762939453" customHeight="1">
      <x:c r="A27" s="107" t="s">
        <x:v>291</x:v>
      </x:c>
      <x:c r="B27" s="106" t="s">
        <x:v>200</x:v>
      </x:c>
      <x:c r="C27" s="736" t="str">
        <x:v>Months</x:v>
      </x:c>
      <x:c r="D27" s="196" t="n">
        <x:v>0</x:v>
      </x:c>
      <x:c r="E27" s="140"/>
      <x:c r="F27" s="140" t="str">
        <x:v>No</x:v>
      </x:c>
      <x:c r="G27" s="106" t="s">
        <x:v>197</x:v>
      </x:c>
      <x:c r="H27" s="106" t="s">
        <x:v>292</x:v>
      </x:c>
      <x:c r="I27" s="106" t="s">
        <x:v>293</x:v>
      </x:c>
      <x:c r="J27" s="106" t="s">
        <x:v>294</x:v>
      </x:c>
      <x:c r="K27" s="106" t="s">
        <x:v>270</x:v>
      </x:c>
    </x:row>
    <x:row r="28" ht="21.450000762939453" customHeight="1">
      <x:c r="A28" s="107" t="s">
        <x:v>295</x:v>
      </x:c>
      <x:c r="B28" s="220" t="s">
        <x:v>131</x:v>
      </x:c>
      <x:c r="C28" s="736" t="str">
        <x:v>%</x:v>
      </x:c>
      <x:c r="D28" s="221" t="n">
        <x:v>0</x:v>
      </x:c>
      <x:c r="E28" s="222"/>
      <x:c r="F28" s="222" t="str">
        <x:v>No</x:v>
      </x:c>
      <x:c r="G28" s="208" t="s">
        <x:v>197</x:v>
      </x:c>
      <x:c r="H28" s="208" t="s">
        <x:v>296</x:v>
      </x:c>
      <x:c r="I28" s="106" t="s">
        <x:v>297</x:v>
      </x:c>
      <x:c r="J28" s="106" t="s">
        <x:v>298</x:v>
      </x:c>
      <x:c r="K28" s="106" t="s">
        <x:v>299</x:v>
      </x:c>
    </x:row>
    <x:row r="29" ht="21.450000762939453" customHeight="1">
      <x:c r="A29" s="107" t="s">
        <x:v>300</x:v>
      </x:c>
      <x:c r="B29" s="220" t="s">
        <x:v>301</x:v>
      </x:c>
      <x:c r="C29" s="736" t="str">
        <x:v>Selection</x:v>
      </x:c>
      <x:c r="D29" s="208"/>
      <x:c r="E29" s="208"/>
      <x:c r="F29" s="208" t="str">
        <x:v>No</x:v>
      </x:c>
      <x:c r="G29" s="208" t="s">
        <x:v>197</x:v>
      </x:c>
      <x:c r="H29" s="208" t="s">
        <x:v>302</x:v>
      </x:c>
      <x:c r="I29" s="106" t="s">
        <x:v>303</x:v>
      </x:c>
      <x:c r="J29" s="106" t="s">
        <x:v>294</x:v>
      </x:c>
      <x:c r="K29" s="106"/>
    </x:row>
    <x:row r="30" ht="21.450000762939453" customHeight="1">
      <x:c r="A30" s="13" t="s">
        <x:v>86</x:v>
      </x:c>
      <x:c r="B30" s="219"/>
      <x:c r="C30" s="208"/>
      <x:c r="D30" s="208"/>
      <x:c r="E30" s="208"/>
      <x:c r="F30" s="208"/>
      <x:c r="G30" s="208"/>
      <x:c r="H30" s="208"/>
      <x:c r="I30" s="12"/>
      <x:c r="J30" s="12"/>
      <x:c r="K30" s="12"/>
    </x:row>
    <x:row r="31" ht="21.450000762939453" customHeight="1">
      <x:c r="A31" s="106" t="s">
        <x:v>9</x:v>
      </x:c>
      <x:c r="B31" s="30" t="s">
        <x:v>304</x:v>
      </x:c>
      <x:c r="C31" s="106"/>
      <x:c r="D31" s="106"/>
      <x:c r="E31" s="106"/>
      <x:c r="F31" s="106"/>
      <x:c r="G31" s="106"/>
      <x:c r="H31" s="106"/>
      <x:c r="I31" s="106"/>
      <x:c r="J31" s="106"/>
      <x:c r="K31" s="106"/>
    </x:row>
    <x:row r="32" ht="21.450000762939453" customHeight="1">
      <x:c r="A32" s="106" t="s">
        <x:v>11</x:v>
      </x:c>
      <x:c r="B32" s="30" t="s">
        <x:v>305</x:v>
      </x:c>
      <x:c r="C32" s="106"/>
      <x:c r="D32" s="106"/>
      <x:c r="E32" s="106"/>
      <x:c r="F32" s="106"/>
      <x:c r="G32" s="106"/>
      <x:c r="H32" s="106"/>
      <x:c r="I32" s="106"/>
      <x:c r="J32" s="106"/>
      <x:c r="K32" s="106"/>
    </x:row>
    <x:row r="33" ht="21.450000762939453" customHeight="1">
      <x:c r="A33" s="106" t="s">
        <x:v>13</x:v>
      </x:c>
      <x:c r="B33" s="30" t="s">
        <x:v>306</x:v>
      </x:c>
      <x:c r="C33" s="106"/>
      <x:c r="D33" s="106"/>
      <x:c r="E33" s="106"/>
      <x:c r="F33" s="106"/>
      <x:c r="G33" s="106"/>
      <x:c r="H33" s="106"/>
      <x:c r="I33" s="106"/>
      <x:c r="J33" s="106"/>
      <x:c r="K33" s="106"/>
    </x:row>
    <x:row r="34" ht="21.450000762939453" customHeight="1"/>
  </x:sheetData>
  <x:mergeCells>
    <x:mergeCell ref="A1:C1"/>
    <x:mergeCell ref="B30:H30"/>
    <x:mergeCell ref="B29:H29"/>
    <x:mergeCell ref="B28:H28"/>
    <x:mergeCell ref="A3:H3"/>
  </x:mergeCells>
  <x:dataValidations count="12">
    <x:dataValidation type="list" sqref="C5:C6">
      <x:formula1>"Risk Engine,PC Sum,%"</x:formula1>
    </x:dataValidation>
    <x:dataValidation type="list" sqref="C7:C13">
      <x:formula1>"PC Sum,%"</x:formula1>
    </x:dataValidation>
    <x:dataValidation type="list" sqref="C14">
      <x:formula1>"Weather Engine,PC Sum,%"</x:formula1>
    </x:dataValidation>
    <x:dataValidation type="list" sqref="C15:C20">
      <x:formula1>"PC Sum,%"</x:formula1>
    </x:dataValidation>
    <x:dataValidation type="list" sqref="C21">
      <x:formula1>"Markup %,Fixed Amount"</x:formula1>
    </x:dataValidation>
    <x:dataValidation type="list" sqref="C22">
      <x:formula1>"Margin %,Markup %,Fixed Amount"</x:formula1>
    </x:dataValidation>
    <x:dataValidation type="list" sqref="C23:C24">
      <x:formula1>"%,PC Sum"</x:formula1>
    </x:dataValidation>
    <x:dataValidation type="list" sqref="C25:C26">
      <x:formula1>"%"</x:formula1>
    </x:dataValidation>
    <x:dataValidation type="list" sqref="C27">
      <x:formula1>"Months"</x:formula1>
    </x:dataValidation>
    <x:dataValidation type="list" sqref="C28">
      <x:formula1>"%"</x:formula1>
    </x:dataValidation>
    <x:dataValidation type="list" sqref="C29">
      <x:formula1>"Selection"</x:formula1>
    </x:dataValidation>
    <x:dataValidation type="list" sqref="F5:F29">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3.800000190734863"/>
  <x:cols>
    <x:col min="1" max="1" width="43.8984375" style="3" customWidth="1"/>
    <x:col min="2" max="2" width="10" style="3" customWidth="1"/>
    <x:col min="3" max="3" width="53.19921875" style="3" customWidth="1"/>
    <x:col min="4" max="4" width="10" style="3" customWidth="1"/>
    <x:col min="5" max="5" width="12" style="3" customWidth="1"/>
    <x:col min="6" max="6" width="14" style="3" customWidth="1"/>
    <x:col min="7" max="7" width="16" style="3" customWidth="1"/>
    <x:col min="8" max="8" width="48.19921875" style="3" customWidth="1"/>
    <x:col min="9" max="9" width="28" style="3" customWidth="1"/>
    <x:col min="10" max="10" width="12" style="3" customWidth="1"/>
    <x:col min="11" max="11" width="78.69921875" style="3" customWidth="1"/>
    <x:col min="12" max="12" width="26.8984375" style="3" customWidth="1"/>
    <x:col min="13" max="13" width="28" style="3" customWidth="1"/>
    <x:col min="14" max="14" width="22" style="3" customWidth="1"/>
    <x:col min="15" max="15" width="45.8984375" style="3" customWidth="1"/>
    <x:col min="16" max="16" width="23.59765625" style="3" customWidth="1"/>
    <x:col min="17" max="17" width="38" style="3" customWidth="1"/>
    <x:col min="18" max="18" width="12" style="3" customWidth="1"/>
    <x:col min="19" max="19" width="22" style="3" customWidth="1"/>
    <x:col min="20" max="20" width="28" style="3" customWidth="1"/>
    <x:col min="21" max="16384" width="8.796875" style="3" customWidth="0"/>
  </x:cols>
  <x:sheetData>
    <x:row r="1" ht="93.1500015258789" customHeight="1">
      <x:c r="A1" s="225" t="str">
        <x:v>QS TAKEOFF - MASTER ESTIMATE WORKBOOK REV4 - RESOURCE-LINKED</x:v>
      </x:c>
      <x:c r="B1" s="226"/>
      <x:c r="C1" s="226"/>
      <x:c r="D1" s="142"/>
      <x:c r="E1" s="143"/>
      <x:c r="F1" s="144"/>
      <x:c r="G1" s="144"/>
      <x:c r="H1" s="142"/>
      <x:c r="I1" s="142"/>
      <x:c r="J1" s="142"/>
      <x:c r="K1" s="142"/>
      <x:c r="L1" s="145" t="s">
        <x:v>307</x:v>
      </x:c>
      <x:c r="M1" s="142"/>
      <x:c r="N1" s="142"/>
      <x:c r="O1" s="142"/>
      <x:c r="P1" s="142"/>
      <x:c r="Q1" s="227"/>
      <x:c r="R1" s="227"/>
      <x:c r="S1" s="227"/>
      <x:c r="T1" s="227"/>
    </x:row>
    <x:row r="2" ht="24" customHeight="1">
      <x:c r="A2" s="13" t="s">
        <x:v>308</x:v>
      </x:c>
      <x:c r="B2" s="13" t="s">
        <x:v>309</x:v>
      </x:c>
      <x:c r="C2" s="13" t="s">
        <x:v>310</x:v>
      </x:c>
      <x:c r="D2" s="13" t="s">
        <x:v>96</x:v>
      </x:c>
      <x:c r="E2" s="14" t="s">
        <x:v>95</x:v>
      </x:c>
      <x:c r="F2" s="15" t="s">
        <x:v>311</x:v>
      </x:c>
      <x:c r="G2" s="15" t="s">
        <x:v>166</x:v>
      </x:c>
      <x:c r="H2" s="13" t="s">
        <x:v>312</x:v>
      </x:c>
      <x:c r="I2" s="13" t="s">
        <x:v>313</x:v>
      </x:c>
      <x:c r="J2" s="13" t="s">
        <x:v>72</x:v>
      </x:c>
      <x:c r="K2" s="13" t="s">
        <x:v>314</x:v>
      </x:c>
      <x:c r="L2" s="13" t="s">
        <x:v>315</x:v>
      </x:c>
      <x:c r="M2" s="13" t="s">
        <x:v>316</x:v>
      </x:c>
      <x:c r="N2" s="13" t="s">
        <x:v>317</x:v>
      </x:c>
      <x:c r="O2" s="13" t="s">
        <x:v>318</x:v>
      </x:c>
      <x:c r="P2" s="13" t="s">
        <x:v>319</x:v>
      </x:c>
      <x:c r="Q2" s="13" t="s">
        <x:v>320</x:v>
      </x:c>
      <x:c r="R2" s="19" t="s">
        <x:v>71</x:v>
      </x:c>
      <x:c r="S2" s="19" t="s">
        <x:v>321</x:v>
      </x:c>
      <x:c r="T2" s="19" t="s">
        <x:v>322</x:v>
      </x:c>
    </x:row>
    <x:row r="3" ht="26.399999618530273" customHeight="1">
      <x:c r="A3" s="35"/>
      <x:c r="B3" s="36"/>
      <x:c r="C3" s="36"/>
      <x:c r="D3" s="36"/>
      <x:c r="E3" s="17"/>
      <x:c r="F3" s="69" t="n">
        <x:f t="shared" ref="F3:F32" si="0">IF(OR(B3="",E3=0),0,G3/E3)</x:f>
        <x:v>0</x:v>
      </x:c>
      <x:c r="G3" s="69" t="n">
        <x:f>IF(B3="",0,SUMIF('Resource Build-Up'!$B$7:$B$306,B3,'Resource Build-Up'!$Z$7:$Z$306))</x:f>
        <x:v>0</x:v>
      </x:c>
      <x:c r="H3" s="36"/>
      <x:c r="I3" s="36"/>
      <x:c r="J3" s="36"/>
      <x:c r="K3" s="36"/>
      <x:c r="L3" s="71" t="str">
        <x:f t="shared" ref="L3:L32" si="1">IF(B3="","",IF(J3="Excluded","Excluded","Resource-linked"))</x:f>
      </x:c>
      <x:c r="M3" s="71" t="str">
        <x:f t="shared" ref="M3:M32" si="2">IF(B3="","",IF(G3=0,"No resource cost / review","Resource Build-Up -&gt; "&amp;B3))</x:f>
      </x:c>
      <x:c r="N3" s="71" t="str">
        <x:f t="shared" ref="N3:N32" si="3">IF(B3="","","Resource Build-Up")</x:f>
      </x:c>
      <x:c r="O3" s="71" t="str">
        <x:f t="shared" ref="O3:O32" si="4">IF(B3="","","See Resource Build-Up / Resource Rate Library")</x:f>
      </x:c>
      <x:c r="P3" s="71" t="str">
        <x:f>IF(B3="","",IF(COUNTIF('Resource Build-Up'!$B$7:$B$306,B3)=0,IF(G3=0,"ZERO / REVIEW","NO RESOURCE"),"RESOURCE LINKED"))</x:f>
      </x:c>
      <x:c r="Q3" s="36"/>
      <x:c r="R3" s="106" t="str">
        <x:f t="shared" ref="R3:R32" si="5">IF(OR(ISNUMBER(SEARCH("PC",P3)),ISNUMBER(SEARCH("quote",Q3))),"Jason","Rick")</x:f>
        <x:v>Rick</x:v>
      </x:c>
      <x:c r="S3" s="146" t="str">
        <x:f>IF(B3="","",IF(COUNTIF('Resource Build-Up'!$B$7:$B$306,B3)=0,"NO RESOURCE",IF(COUNTIFS('Resource Build-Up'!$B$7:$B$306,B3,'Resource Build-Up'!$AI$7:$AI$306,"&lt;&gt;OK")&gt;0,"RESOURCE QA","LINKED")))</x:f>
      </x:c>
      <x:c r="T3" s="140"/>
    </x:row>
    <x:row r="4" ht="26.399999618530273" customHeight="1">
      <x:c r="A4" s="147"/>
      <x:c r="B4" s="147"/>
      <x:c r="C4" s="147"/>
      <x:c r="D4" s="147"/>
      <x:c r="E4" s="148"/>
      <x:c r="F4" s="149" t="n">
        <x:f t="shared" si="0">IF(OR(B4="",E4=0),0,G4/E4)</x:f>
        <x:v>0</x:v>
      </x:c>
      <x:c r="G4" s="149" t="n">
        <x:f>IF(B4="",0,SUMIF('Resource Build-Up'!$B$7:$B$306,B4,'Resource Build-Up'!$Z$7:$Z$306))</x:f>
        <x:v>0</x:v>
      </x:c>
      <x:c r="H4" s="147"/>
      <x:c r="I4" s="147"/>
      <x:c r="J4" s="147"/>
      <x:c r="K4" s="147"/>
      <x:c r="L4" s="150" t="str">
        <x:f t="shared" si="1">IF(B4="","",IF(J4="Excluded","Excluded","Resource-linked"))</x:f>
      </x:c>
      <x:c r="M4" s="150" t="str">
        <x:f t="shared" si="2">IF(B4="","",IF(G4=0,"No resource cost / review","Resource Build-Up -&gt; "&amp;B4))</x:f>
      </x:c>
      <x:c r="N4" s="150" t="str">
        <x:f t="shared" si="3">IF(B4="","","Resource Build-Up")</x:f>
      </x:c>
      <x:c r="O4" s="150" t="str">
        <x:f t="shared" si="4">IF(B4="","","See Resource Build-Up / Resource Rate Library")</x:f>
      </x:c>
      <x:c r="P4" s="150" t="str">
        <x:f>IF(B4="","",IF(COUNTIF('Resource Build-Up'!$B$7:$B$306,B4)=0,IF(G4=0,"ZERO / REVIEW","NO RESOURCE"),"RESOURCE LINKED"))</x:f>
      </x:c>
      <x:c r="Q4" s="147"/>
      <x:c r="R4" s="106">
        <x:f t="shared" si="5"/>
      </x:c>
      <x:c r="S4" s="146" t="str">
        <x:f>IF(B4="","",IF(COUNTIF('Resource Build-Up'!$B$7:$B$306,B4)=0,"NO RESOURCE",IF(COUNTIFS('Resource Build-Up'!$B$7:$B$306,B4,'Resource Build-Up'!$AI$7:$AI$306,"&lt;&gt;OK")&gt;0,"RESOURCE QA","LINKED")))</x:f>
      </x:c>
      <x:c r="T4" s="140"/>
    </x:row>
    <x:row r="5" ht="26.399999618530273" customHeight="1">
      <x:c r="A5" s="151"/>
      <x:c r="B5" s="151"/>
      <x:c r="C5" s="151"/>
      <x:c r="D5" s="151"/>
      <x:c r="E5" s="148"/>
      <x:c r="F5" s="149" t="n">
        <x:f t="shared" si="0">IF(OR(B5="",E5=0),0,G5/E5)</x:f>
        <x:v>0</x:v>
      </x:c>
      <x:c r="G5" s="149" t="n">
        <x:f>IF(B5="",0,SUMIF('Resource Build-Up'!$B$7:$B$306,B5,'Resource Build-Up'!$Z$7:$Z$306))</x:f>
        <x:v>0</x:v>
      </x:c>
      <x:c r="H5" s="151"/>
      <x:c r="I5" s="151"/>
      <x:c r="J5" s="151"/>
      <x:c r="K5" s="151"/>
      <x:c r="L5" s="150" t="str">
        <x:f t="shared" si="1">IF(B5="","",IF(J5="Excluded","Excluded","Resource-linked"))</x:f>
      </x:c>
      <x:c r="M5" s="150" t="str">
        <x:f t="shared" si="2">IF(B5="","",IF(G5=0,"No resource cost / review","Resource Build-Up -&gt; "&amp;B5))</x:f>
      </x:c>
      <x:c r="N5" s="150" t="str">
        <x:f t="shared" si="3">IF(B5="","","Resource Build-Up")</x:f>
      </x:c>
      <x:c r="O5" s="150" t="str">
        <x:f t="shared" si="4">IF(B5="","","See Resource Build-Up / Resource Rate Library")</x:f>
      </x:c>
      <x:c r="P5" s="150" t="str">
        <x:f>IF(B5="","",IF(COUNTIF('Resource Build-Up'!$B$7:$B$306,B5)=0,IF(G5=0,"ZERO / REVIEW","NO RESOURCE"),"RESOURCE LINKED"))</x:f>
      </x:c>
      <x:c r="Q5" s="151"/>
      <x:c r="R5" s="106">
        <x:f t="shared" si="5"/>
      </x:c>
      <x:c r="S5" s="146" t="str">
        <x:f>IF(B5="","",IF(COUNTIF('Resource Build-Up'!$B$7:$B$306,B5)=0,"NO RESOURCE",IF(COUNTIFS('Resource Build-Up'!$B$7:$B$306,B5,'Resource Build-Up'!$AI$7:$AI$306,"&lt;&gt;OK")&gt;0,"RESOURCE QA","LINKED")))</x:f>
      </x:c>
      <x:c r="T5" s="140"/>
    </x:row>
    <x:row r="6" ht="26.399999618530273" customHeight="1">
      <x:c r="A6" s="147"/>
      <x:c r="B6" s="147"/>
      <x:c r="C6" s="147"/>
      <x:c r="D6" s="147"/>
      <x:c r="E6" s="148"/>
      <x:c r="F6" s="149" t="n">
        <x:f t="shared" si="0">IF(OR(B6="",E6=0),0,G6/E6)</x:f>
        <x:v>0</x:v>
      </x:c>
      <x:c r="G6" s="149" t="n">
        <x:f>IF(B6="",0,SUMIF('Resource Build-Up'!$B$7:$B$306,B6,'Resource Build-Up'!$Z$7:$Z$306))</x:f>
        <x:v>0</x:v>
      </x:c>
      <x:c r="H6" s="147"/>
      <x:c r="I6" s="147"/>
      <x:c r="J6" s="147"/>
      <x:c r="K6" s="147"/>
      <x:c r="L6" s="150" t="str">
        <x:f t="shared" si="1">IF(B6="","",IF(J6="Excluded","Excluded","Resource-linked"))</x:f>
      </x:c>
      <x:c r="M6" s="150" t="str">
        <x:f t="shared" si="2">IF(B6="","",IF(G6=0,"No resource cost / review","Resource Build-Up -&gt; "&amp;B6))</x:f>
      </x:c>
      <x:c r="N6" s="150" t="str">
        <x:f t="shared" si="3">IF(B6="","","Resource Build-Up")</x:f>
      </x:c>
      <x:c r="O6" s="150" t="str">
        <x:f t="shared" si="4">IF(B6="","","See Resource Build-Up / Resource Rate Library")</x:f>
      </x:c>
      <x:c r="P6" s="150" t="str">
        <x:f>IF(B6="","",IF(COUNTIF('Resource Build-Up'!$B$7:$B$306,B6)=0,IF(G6=0,"ZERO / REVIEW","NO RESOURCE"),"RESOURCE LINKED"))</x:f>
      </x:c>
      <x:c r="Q6" s="147"/>
      <x:c r="R6" s="106">
        <x:f t="shared" si="5"/>
      </x:c>
      <x:c r="S6" s="146" t="str">
        <x:f>IF(B6="","",IF(COUNTIF('Resource Build-Up'!$B$7:$B$306,B6)=0,"NO RESOURCE",IF(COUNTIFS('Resource Build-Up'!$B$7:$B$306,B6,'Resource Build-Up'!$AI$7:$AI$306,"&lt;&gt;OK")&gt;0,"RESOURCE QA","LINKED")))</x:f>
      </x:c>
      <x:c r="T6" s="140"/>
    </x:row>
    <x:row r="7" ht="26.399999618530273" customHeight="1">
      <x:c r="A7" s="151"/>
      <x:c r="B7" s="151"/>
      <x:c r="C7" s="151"/>
      <x:c r="D7" s="151"/>
      <x:c r="E7" s="148"/>
      <x:c r="F7" s="149" t="n">
        <x:f t="shared" si="0">IF(OR(B7="",E7=0),0,G7/E7)</x:f>
        <x:v>0</x:v>
      </x:c>
      <x:c r="G7" s="149" t="n">
        <x:f>IF(B7="",0,SUMIF('Resource Build-Up'!$B$7:$B$306,B7,'Resource Build-Up'!$Z$7:$Z$306))</x:f>
        <x:v>0</x:v>
      </x:c>
      <x:c r="H7" s="151"/>
      <x:c r="I7" s="151"/>
      <x:c r="J7" s="151"/>
      <x:c r="K7" s="151"/>
      <x:c r="L7" s="150" t="str">
        <x:f t="shared" si="1">IF(B7="","",IF(J7="Excluded","Excluded","Resource-linked"))</x:f>
      </x:c>
      <x:c r="M7" s="150" t="str">
        <x:f t="shared" si="2">IF(B7="","",IF(G7=0,"No resource cost / review","Resource Build-Up -&gt; "&amp;B7))</x:f>
      </x:c>
      <x:c r="N7" s="150" t="str">
        <x:f t="shared" si="3">IF(B7="","","Resource Build-Up")</x:f>
      </x:c>
      <x:c r="O7" s="150" t="str">
        <x:f t="shared" si="4">IF(B7="","","See Resource Build-Up / Resource Rate Library")</x:f>
      </x:c>
      <x:c r="P7" s="150" t="str">
        <x:f>IF(B7="","",IF(COUNTIF('Resource Build-Up'!$B$7:$B$306,B7)=0,IF(G7=0,"ZERO / REVIEW","NO RESOURCE"),"RESOURCE LINKED"))</x:f>
      </x:c>
      <x:c r="Q7" s="151"/>
      <x:c r="R7" s="106">
        <x:f t="shared" si="5"/>
      </x:c>
      <x:c r="S7" s="146" t="str">
        <x:f>IF(B7="","",IF(COUNTIF('Resource Build-Up'!$B$7:$B$306,B7)=0,"NO RESOURCE",IF(COUNTIFS('Resource Build-Up'!$B$7:$B$306,B7,'Resource Build-Up'!$AI$7:$AI$306,"&lt;&gt;OK")&gt;0,"RESOURCE QA","LINKED")))</x:f>
      </x:c>
      <x:c r="T7" s="140"/>
    </x:row>
    <x:row r="8" ht="26.399999618530273" customHeight="1">
      <x:c r="A8" s="147"/>
      <x:c r="B8" s="147"/>
      <x:c r="C8" s="147"/>
      <x:c r="D8" s="147"/>
      <x:c r="E8" s="148"/>
      <x:c r="F8" s="149" t="n">
        <x:f t="shared" si="0">IF(OR(B8="",E8=0),0,G8/E8)</x:f>
        <x:v>0</x:v>
      </x:c>
      <x:c r="G8" s="149" t="n">
        <x:f>IF(B8="",0,SUMIF('Resource Build-Up'!$B$7:$B$306,B8,'Resource Build-Up'!$Z$7:$Z$306))</x:f>
        <x:v>0</x:v>
      </x:c>
      <x:c r="H8" s="147"/>
      <x:c r="I8" s="147"/>
      <x:c r="J8" s="147"/>
      <x:c r="K8" s="147"/>
      <x:c r="L8" s="150" t="str">
        <x:f t="shared" si="1">IF(B8="","",IF(J8="Excluded","Excluded","Resource-linked"))</x:f>
      </x:c>
      <x:c r="M8" s="150" t="str">
        <x:f t="shared" si="2">IF(B8="","",IF(G8=0,"No resource cost / review","Resource Build-Up -&gt; "&amp;B8))</x:f>
      </x:c>
      <x:c r="N8" s="150" t="str">
        <x:f t="shared" si="3">IF(B8="","","Resource Build-Up")</x:f>
      </x:c>
      <x:c r="O8" s="150" t="str">
        <x:f t="shared" si="4">IF(B8="","","See Resource Build-Up / Resource Rate Library")</x:f>
      </x:c>
      <x:c r="P8" s="150" t="str">
        <x:f>IF(B8="","",IF(COUNTIF('Resource Build-Up'!$B$7:$B$306,B8)=0,IF(G8=0,"ZERO / REVIEW","NO RESOURCE"),"RESOURCE LINKED"))</x:f>
      </x:c>
      <x:c r="Q8" s="147"/>
      <x:c r="R8" s="106">
        <x:f t="shared" si="5"/>
      </x:c>
      <x:c r="S8" s="146" t="str">
        <x:f>IF(B8="","",IF(COUNTIF('Resource Build-Up'!$B$7:$B$306,B8)=0,"NO RESOURCE",IF(COUNTIFS('Resource Build-Up'!$B$7:$B$306,B8,'Resource Build-Up'!$AI$7:$AI$306,"&lt;&gt;OK")&gt;0,"RESOURCE QA","LINKED")))</x:f>
      </x:c>
      <x:c r="T8" s="140"/>
    </x:row>
    <x:row r="9" ht="26.399999618530273" customHeight="1">
      <x:c r="A9" s="151"/>
      <x:c r="B9" s="151"/>
      <x:c r="C9" s="151"/>
      <x:c r="D9" s="151"/>
      <x:c r="E9" s="148"/>
      <x:c r="F9" s="149" t="n">
        <x:f t="shared" si="0">IF(OR(B9="",E9=0),0,G9/E9)</x:f>
        <x:v>0</x:v>
      </x:c>
      <x:c r="G9" s="149" t="n">
        <x:f>IF(B9="",0,SUMIF('Resource Build-Up'!$B$7:$B$306,B9,'Resource Build-Up'!$Z$7:$Z$306))</x:f>
        <x:v>0</x:v>
      </x:c>
      <x:c r="H9" s="151"/>
      <x:c r="I9" s="151"/>
      <x:c r="J9" s="151"/>
      <x:c r="K9" s="151"/>
      <x:c r="L9" s="150" t="str">
        <x:f t="shared" si="1">IF(B9="","",IF(J9="Excluded","Excluded","Resource-linked"))</x:f>
      </x:c>
      <x:c r="M9" s="150" t="str">
        <x:f t="shared" si="2">IF(B9="","",IF(G9=0,"No resource cost / review","Resource Build-Up -&gt; "&amp;B9))</x:f>
      </x:c>
      <x:c r="N9" s="150" t="str">
        <x:f t="shared" si="3">IF(B9="","","Resource Build-Up")</x:f>
      </x:c>
      <x:c r="O9" s="150" t="str">
        <x:f t="shared" si="4">IF(B9="","","See Resource Build-Up / Resource Rate Library")</x:f>
      </x:c>
      <x:c r="P9" s="150" t="str">
        <x:f>IF(B9="","",IF(COUNTIF('Resource Build-Up'!$B$7:$B$306,B9)=0,IF(G9=0,"ZERO / REVIEW","NO RESOURCE"),"RESOURCE LINKED"))</x:f>
      </x:c>
      <x:c r="Q9" s="151"/>
      <x:c r="R9" s="106">
        <x:f t="shared" si="5"/>
      </x:c>
      <x:c r="S9" s="146" t="str">
        <x:f>IF(B9="","",IF(COUNTIF('Resource Build-Up'!$B$7:$B$306,B9)=0,"NO RESOURCE",IF(COUNTIFS('Resource Build-Up'!$B$7:$B$306,B9,'Resource Build-Up'!$AI$7:$AI$306,"&lt;&gt;OK")&gt;0,"RESOURCE QA","LINKED")))</x:f>
      </x:c>
      <x:c r="T9" s="140"/>
    </x:row>
    <x:row r="10" ht="26.399999618530273" customHeight="1">
      <x:c r="A10" s="147"/>
      <x:c r="B10" s="147"/>
      <x:c r="C10" s="147"/>
      <x:c r="D10" s="147"/>
      <x:c r="E10" s="148"/>
      <x:c r="F10" s="149" t="n">
        <x:f t="shared" si="0">IF(OR(B10="",E10=0),0,G10/E10)</x:f>
        <x:v>0</x:v>
      </x:c>
      <x:c r="G10" s="149" t="n">
        <x:f>IF(B10="",0,SUMIF('Resource Build-Up'!$B$7:$B$306,B10,'Resource Build-Up'!$Z$7:$Z$306))</x:f>
        <x:v>0</x:v>
      </x:c>
      <x:c r="H10" s="147"/>
      <x:c r="I10" s="147"/>
      <x:c r="J10" s="147"/>
      <x:c r="K10" s="147"/>
      <x:c r="L10" s="150" t="str">
        <x:f t="shared" si="1">IF(B10="","",IF(J10="Excluded","Excluded","Resource-linked"))</x:f>
      </x:c>
      <x:c r="M10" s="150" t="str">
        <x:f t="shared" si="2">IF(B10="","",IF(G10=0,"No resource cost / review","Resource Build-Up -&gt; "&amp;B10))</x:f>
      </x:c>
      <x:c r="N10" s="150" t="str">
        <x:f t="shared" si="3">IF(B10="","","Resource Build-Up")</x:f>
      </x:c>
      <x:c r="O10" s="150" t="str">
        <x:f t="shared" si="4">IF(B10="","","See Resource Build-Up / Resource Rate Library")</x:f>
      </x:c>
      <x:c r="P10" s="150" t="str">
        <x:f>IF(B10="","",IF(COUNTIF('Resource Build-Up'!$B$7:$B$306,B10)=0,IF(G10=0,"ZERO / REVIEW","NO RESOURCE"),"RESOURCE LINKED"))</x:f>
      </x:c>
      <x:c r="Q10" s="147"/>
      <x:c r="R10" s="106">
        <x:f t="shared" si="5"/>
      </x:c>
      <x:c r="S10" s="146" t="str">
        <x:f>IF(B10="","",IF(COUNTIF('Resource Build-Up'!$B$7:$B$306,B10)=0,"NO RESOURCE",IF(COUNTIFS('Resource Build-Up'!$B$7:$B$306,B10,'Resource Build-Up'!$AI$7:$AI$306,"&lt;&gt;OK")&gt;0,"RESOURCE QA","LINKED")))</x:f>
      </x:c>
      <x:c r="T10" s="140"/>
    </x:row>
    <x:row r="11" ht="26.399999618530273" customHeight="1">
      <x:c r="A11" s="151"/>
      <x:c r="B11" s="151"/>
      <x:c r="C11" s="151"/>
      <x:c r="D11" s="151"/>
      <x:c r="E11" s="148"/>
      <x:c r="F11" s="149" t="n">
        <x:f t="shared" si="0">IF(OR(B11="",E11=0),0,G11/E11)</x:f>
        <x:v>0</x:v>
      </x:c>
      <x:c r="G11" s="149" t="n">
        <x:f>IF(B11="",0,SUMIF('Resource Build-Up'!$B$7:$B$306,B11,'Resource Build-Up'!$Z$7:$Z$306))</x:f>
        <x:v>0</x:v>
      </x:c>
      <x:c r="H11" s="151"/>
      <x:c r="I11" s="151"/>
      <x:c r="J11" s="151"/>
      <x:c r="K11" s="151"/>
      <x:c r="L11" s="150" t="str">
        <x:f t="shared" si="1">IF(B11="","",IF(J11="Excluded","Excluded","Resource-linked"))</x:f>
      </x:c>
      <x:c r="M11" s="150" t="str">
        <x:f t="shared" si="2">IF(B11="","",IF(G11=0,"No resource cost / review","Resource Build-Up -&gt; "&amp;B11))</x:f>
      </x:c>
      <x:c r="N11" s="150" t="str">
        <x:f t="shared" si="3">IF(B11="","","Resource Build-Up")</x:f>
      </x:c>
      <x:c r="O11" s="150" t="str">
        <x:f t="shared" si="4">IF(B11="","","See Resource Build-Up / Resource Rate Library")</x:f>
      </x:c>
      <x:c r="P11" s="150" t="str">
        <x:f>IF(B11="","",IF(COUNTIF('Resource Build-Up'!$B$7:$B$306,B11)=0,IF(G11=0,"ZERO / REVIEW","NO RESOURCE"),"RESOURCE LINKED"))</x:f>
      </x:c>
      <x:c r="Q11" s="151"/>
      <x:c r="R11" s="106">
        <x:f t="shared" si="5"/>
      </x:c>
      <x:c r="S11" s="146" t="str">
        <x:f>IF(B11="","",IF(COUNTIF('Resource Build-Up'!$B$7:$B$306,B11)=0,"NO RESOURCE",IF(COUNTIFS('Resource Build-Up'!$B$7:$B$306,B11,'Resource Build-Up'!$AI$7:$AI$306,"&lt;&gt;OK")&gt;0,"RESOURCE QA","LINKED")))</x:f>
      </x:c>
      <x:c r="T11" s="140"/>
    </x:row>
    <x:row r="12" ht="26.399999618530273" customHeight="1">
      <x:c r="A12" s="147"/>
      <x:c r="B12" s="147"/>
      <x:c r="C12" s="147"/>
      <x:c r="D12" s="147"/>
      <x:c r="E12" s="148"/>
      <x:c r="F12" s="149" t="n">
        <x:f t="shared" si="0">IF(OR(B12="",E12=0),0,G12/E12)</x:f>
        <x:v>0</x:v>
      </x:c>
      <x:c r="G12" s="149" t="n">
        <x:f>IF(B12="",0,SUMIF('Resource Build-Up'!$B$7:$B$306,B12,'Resource Build-Up'!$Z$7:$Z$306))</x:f>
        <x:v>0</x:v>
      </x:c>
      <x:c r="H12" s="147"/>
      <x:c r="I12" s="147"/>
      <x:c r="J12" s="147"/>
      <x:c r="K12" s="147"/>
      <x:c r="L12" s="150" t="str">
        <x:f t="shared" si="1">IF(B12="","",IF(J12="Excluded","Excluded","Resource-linked"))</x:f>
      </x:c>
      <x:c r="M12" s="150" t="str">
        <x:f t="shared" si="2">IF(B12="","",IF(G12=0,"No resource cost / review","Resource Build-Up -&gt; "&amp;B12))</x:f>
      </x:c>
      <x:c r="N12" s="150" t="str">
        <x:f t="shared" si="3">IF(B12="","","Resource Build-Up")</x:f>
      </x:c>
      <x:c r="O12" s="150" t="str">
        <x:f t="shared" si="4">IF(B12="","","See Resource Build-Up / Resource Rate Library")</x:f>
      </x:c>
      <x:c r="P12" s="150" t="str">
        <x:f>IF(B12="","",IF(COUNTIF('Resource Build-Up'!$B$7:$B$306,B12)=0,IF(G12=0,"ZERO / REVIEW","NO RESOURCE"),"RESOURCE LINKED"))</x:f>
      </x:c>
      <x:c r="Q12" s="147"/>
      <x:c r="R12" s="106">
        <x:f t="shared" si="5"/>
      </x:c>
      <x:c r="S12" s="146" t="str">
        <x:f>IF(B12="","",IF(COUNTIF('Resource Build-Up'!$B$7:$B$306,B12)=0,"NO RESOURCE",IF(COUNTIFS('Resource Build-Up'!$B$7:$B$306,B12,'Resource Build-Up'!$AI$7:$AI$306,"&lt;&gt;OK")&gt;0,"RESOURCE QA","LINKED")))</x:f>
      </x:c>
      <x:c r="T12" s="140"/>
    </x:row>
    <x:row r="13" ht="26.399999618530273" customHeight="1">
      <x:c r="A13" s="151"/>
      <x:c r="B13" s="151"/>
      <x:c r="C13" s="151"/>
      <x:c r="D13" s="151"/>
      <x:c r="E13" s="148"/>
      <x:c r="F13" s="149" t="n">
        <x:f t="shared" si="0">IF(OR(B13="",E13=0),0,G13/E13)</x:f>
        <x:v>0</x:v>
      </x:c>
      <x:c r="G13" s="149" t="n">
        <x:f>IF(B13="",0,SUMIF('Resource Build-Up'!$B$7:$B$306,B13,'Resource Build-Up'!$Z$7:$Z$306))</x:f>
        <x:v>0</x:v>
      </x:c>
      <x:c r="H13" s="151"/>
      <x:c r="I13" s="151"/>
      <x:c r="J13" s="151"/>
      <x:c r="K13" s="151"/>
      <x:c r="L13" s="150" t="str">
        <x:f t="shared" si="1">IF(B13="","",IF(J13="Excluded","Excluded","Resource-linked"))</x:f>
      </x:c>
      <x:c r="M13" s="150" t="str">
        <x:f t="shared" si="2">IF(B13="","",IF(G13=0,"No resource cost / review","Resource Build-Up -&gt; "&amp;B13))</x:f>
      </x:c>
      <x:c r="N13" s="150" t="str">
        <x:f t="shared" si="3">IF(B13="","","Resource Build-Up")</x:f>
      </x:c>
      <x:c r="O13" s="150" t="str">
        <x:f t="shared" si="4">IF(B13="","","See Resource Build-Up / Resource Rate Library")</x:f>
      </x:c>
      <x:c r="P13" s="150" t="str">
        <x:f>IF(B13="","",IF(COUNTIF('Resource Build-Up'!$B$7:$B$306,B13)=0,IF(G13=0,"ZERO / REVIEW","NO RESOURCE"),"RESOURCE LINKED"))</x:f>
      </x:c>
      <x:c r="Q13" s="151"/>
      <x:c r="R13" s="106">
        <x:f t="shared" si="5"/>
      </x:c>
      <x:c r="S13" s="146" t="str">
        <x:f>IF(B13="","",IF(COUNTIF('Resource Build-Up'!$B$7:$B$306,B13)=0,"NO RESOURCE",IF(COUNTIFS('Resource Build-Up'!$B$7:$B$306,B13,'Resource Build-Up'!$AI$7:$AI$306,"&lt;&gt;OK")&gt;0,"RESOURCE QA","LINKED")))</x:f>
      </x:c>
      <x:c r="T13" s="140"/>
    </x:row>
    <x:row r="14" ht="26.399999618530273" customHeight="1">
      <x:c r="A14" s="33"/>
      <x:c r="B14" s="33"/>
      <x:c r="C14" s="33"/>
      <x:c r="D14" s="33"/>
      <x:c r="E14" s="152"/>
      <x:c r="F14" s="18" t="n">
        <x:f t="shared" si="0">IF(OR(B14="",E14=0),0,G14/E14)</x:f>
        <x:v>0</x:v>
      </x:c>
      <x:c r="G14" s="18" t="n">
        <x:f>IF(B14="",0,SUMIF('Resource Build-Up'!$B$7:$B$306,B14,'Resource Build-Up'!$Z$7:$Z$306))</x:f>
        <x:v>0</x:v>
      </x:c>
      <x:c r="H14" s="33"/>
      <x:c r="I14" s="33"/>
      <x:c r="J14" s="33"/>
      <x:c r="K14" s="33"/>
      <x:c r="L14" s="70" t="str">
        <x:f t="shared" si="1">IF(B14="","",IF(J14="Excluded","Excluded","Resource-linked"))</x:f>
      </x:c>
      <x:c r="M14" s="70" t="str">
        <x:f t="shared" si="2">IF(B14="","",IF(G14=0,"No resource cost / review","Resource Build-Up -&gt; "&amp;B14))</x:f>
      </x:c>
      <x:c r="N14" s="70" t="str">
        <x:f t="shared" si="3">IF(B14="","","Resource Build-Up")</x:f>
      </x:c>
      <x:c r="O14" s="70" t="str">
        <x:f t="shared" si="4">IF(B14="","","See Resource Build-Up / Resource Rate Library")</x:f>
      </x:c>
      <x:c r="P14" s="70" t="str">
        <x:f>IF(B14="","",IF(COUNTIF('Resource Build-Up'!$B$7:$B$306,B14)=0,IF(G14=0,"ZERO / REVIEW","NO RESOURCE"),"RESOURCE LINKED"))</x:f>
      </x:c>
      <x:c r="Q14" s="33"/>
      <x:c r="R14" s="106">
        <x:f t="shared" si="5"/>
      </x:c>
      <x:c r="S14" s="146" t="str">
        <x:f>IF(B14="","",IF(COUNTIF('Resource Build-Up'!$B$7:$B$306,B14)=0,"NO RESOURCE",IF(COUNTIFS('Resource Build-Up'!$B$7:$B$306,B14,'Resource Build-Up'!$AI$7:$AI$306,"&lt;&gt;OK")&gt;0,"RESOURCE QA","LINKED")))</x:f>
      </x:c>
      <x:c r="T14" s="140"/>
    </x:row>
    <x:row r="15" ht="26.399999618530273" customHeight="1">
      <x:c r="A15" s="35"/>
      <x:c r="B15" s="36"/>
      <x:c r="C15" s="36"/>
      <x:c r="D15" s="36"/>
      <x:c r="E15" s="17"/>
      <x:c r="F15" s="69" t="n">
        <x:f t="shared" si="0">IF(OR(B15="",E15=0),0,G15/E15)</x:f>
        <x:v>0</x:v>
      </x:c>
      <x:c r="G15" s="18" t="n">
        <x:f>IF(B15="",0,SUMIF('Resource Build-Up'!$B$7:$B$306,B15,'Resource Build-Up'!$Z$7:$Z$306))</x:f>
        <x:v>0</x:v>
      </x:c>
      <x:c r="H15" s="36"/>
      <x:c r="I15" s="36"/>
      <x:c r="J15" s="36"/>
      <x:c r="K15" s="36"/>
      <x:c r="L15" s="70" t="str">
        <x:f t="shared" si="1">IF(B15="","",IF(J15="Excluded","Excluded","Resource-linked"))</x:f>
      </x:c>
      <x:c r="M15" s="71" t="str">
        <x:f t="shared" si="2">IF(B15="","",IF(G15=0,"No resource cost / review","Resource Build-Up -&gt; "&amp;B15))</x:f>
      </x:c>
      <x:c r="N15" s="71" t="str">
        <x:f t="shared" si="3">IF(B15="","","Resource Build-Up")</x:f>
      </x:c>
      <x:c r="O15" s="71" t="str">
        <x:f t="shared" si="4">IF(B15="","","See Resource Build-Up / Resource Rate Library")</x:f>
      </x:c>
      <x:c r="P15" s="70" t="str">
        <x:f>IF(B15="","",IF(COUNTIF('Resource Build-Up'!$B$7:$B$306,B15)=0,IF(G15=0,"ZERO / REVIEW","NO RESOURCE"),"RESOURCE LINKED"))</x:f>
      </x:c>
      <x:c r="Q15" s="36"/>
      <x:c r="R15" s="106">
        <x:f t="shared" si="5"/>
      </x:c>
      <x:c r="S15" s="146" t="str">
        <x:f>IF(B15="","",IF(COUNTIF('Resource Build-Up'!$B$7:$B$306,B15)=0,"NO RESOURCE",IF(COUNTIFS('Resource Build-Up'!$B$7:$B$306,B15,'Resource Build-Up'!$AI$7:$AI$306,"&lt;&gt;OK")&gt;0,"RESOURCE QA","LINKED")))</x:f>
      </x:c>
      <x:c r="T15" s="140"/>
    </x:row>
    <x:row r="16" ht="26.399999618530273" customHeight="1">
      <x:c r="A16" s="153"/>
      <x:c r="B16" s="153"/>
      <x:c r="C16" s="153"/>
      <x:c r="D16" s="153"/>
      <x:c r="E16" s="154"/>
      <x:c r="F16" s="155" t="n">
        <x:f t="shared" si="0">IF(OR(B16="",E16=0),0,G16/E16)</x:f>
        <x:v>0</x:v>
      </x:c>
      <x:c r="G16" s="155" t="n">
        <x:f>IF(B16="",0,SUMIF('Resource Build-Up'!$B$7:$B$306,B16,'Resource Build-Up'!$Z$7:$Z$306))</x:f>
        <x:v>0</x:v>
      </x:c>
      <x:c r="H16" s="153"/>
      <x:c r="I16" s="153"/>
      <x:c r="J16" s="153"/>
      <x:c r="K16" s="153"/>
      <x:c r="L16" s="146" t="str">
        <x:f t="shared" si="1">IF(B16="","",IF(J16="Excluded","Excluded","Resource-linked"))</x:f>
      </x:c>
      <x:c r="M16" s="146" t="str">
        <x:f t="shared" si="2">IF(B16="","",IF(G16=0,"No resource cost / review","Resource Build-Up -&gt; "&amp;B16))</x:f>
      </x:c>
      <x:c r="N16" s="146" t="str">
        <x:f t="shared" si="3">IF(B16="","","Resource Build-Up")</x:f>
      </x:c>
      <x:c r="O16" s="146" t="str">
        <x:f t="shared" si="4">IF(B16="","","See Resource Build-Up / Resource Rate Library")</x:f>
      </x:c>
      <x:c r="P16" s="146" t="str">
        <x:f>IF(B16="","",IF(COUNTIF('Resource Build-Up'!$B$7:$B$306,B16)=0,IF(G16=0,"ZERO / REVIEW","NO RESOURCE"),"RESOURCE LINKED"))</x:f>
      </x:c>
      <x:c r="Q16" s="153"/>
      <x:c r="R16" s="106">
        <x:f t="shared" si="5"/>
      </x:c>
      <x:c r="S16" s="146" t="str">
        <x:f>IF(B16="","",IF(COUNTIF('Resource Build-Up'!$B$7:$B$306,B16)=0,"NO RESOURCE",IF(COUNTIFS('Resource Build-Up'!$B$7:$B$306,B16,'Resource Build-Up'!$AI$7:$AI$306,"&lt;&gt;OK")&gt;0,"RESOURCE QA","LINKED")))</x:f>
      </x:c>
      <x:c r="T16" s="140"/>
    </x:row>
    <x:row r="17" ht="26.399999618530273" customHeight="1">
      <x:c r="A17" s="35"/>
      <x:c r="B17" s="36"/>
      <x:c r="C17" s="36"/>
      <x:c r="D17" s="36"/>
      <x:c r="E17" s="17"/>
      <x:c r="F17" s="69" t="n">
        <x:f t="shared" si="0">IF(OR(B17="",E17=0),0,G17/E17)</x:f>
        <x:v>0</x:v>
      </x:c>
      <x:c r="G17" s="69" t="n">
        <x:f>IF(B17="",0,SUMIF('Resource Build-Up'!$B$7:$B$306,B17,'Resource Build-Up'!$Z$7:$Z$306))</x:f>
        <x:v>0</x:v>
      </x:c>
      <x:c r="H17" s="36"/>
      <x:c r="I17" s="36"/>
      <x:c r="J17" s="36"/>
      <x:c r="K17" s="36"/>
      <x:c r="L17" s="71" t="str">
        <x:f t="shared" si="1">IF(B17="","",IF(J17="Excluded","Excluded","Resource-linked"))</x:f>
      </x:c>
      <x:c r="M17" s="71" t="str">
        <x:f t="shared" si="2">IF(B17="","",IF(G17=0,"No resource cost / review","Resource Build-Up -&gt; "&amp;B17))</x:f>
      </x:c>
      <x:c r="N17" s="71" t="str">
        <x:f t="shared" si="3">IF(B17="","","Resource Build-Up")</x:f>
      </x:c>
      <x:c r="O17" s="71" t="str">
        <x:f t="shared" si="4">IF(B17="","","See Resource Build-Up / Resource Rate Library")</x:f>
      </x:c>
      <x:c r="P17" s="71" t="str">
        <x:f>IF(B17="","",IF(COUNTIF('Resource Build-Up'!$B$7:$B$306,B17)=0,IF(G17=0,"ZERO / REVIEW","NO RESOURCE"),"RESOURCE LINKED"))</x:f>
      </x:c>
      <x:c r="Q17" s="36"/>
      <x:c r="R17" s="106">
        <x:f t="shared" si="5"/>
      </x:c>
      <x:c r="S17" s="146" t="str">
        <x:f>IF(B17="","",IF(COUNTIF('Resource Build-Up'!$B$7:$B$306,B17)=0,"NO RESOURCE",IF(COUNTIFS('Resource Build-Up'!$B$7:$B$306,B17,'Resource Build-Up'!$AI$7:$AI$306,"&lt;&gt;OK")&gt;0,"RESOURCE QA","LINKED")))</x:f>
      </x:c>
      <x:c r="T17" s="140"/>
    </x:row>
    <x:row r="18" ht="26.399999618530273" customHeight="1">
      <x:c r="A18" s="147"/>
      <x:c r="B18" s="147"/>
      <x:c r="C18" s="147"/>
      <x:c r="D18" s="147"/>
      <x:c r="E18" s="148"/>
      <x:c r="F18" s="149" t="n">
        <x:f t="shared" si="0">IF(OR(B18="",E18=0),0,G18/E18)</x:f>
        <x:v>0</x:v>
      </x:c>
      <x:c r="G18" s="149" t="n">
        <x:f>IF(B18="",0,SUMIF('Resource Build-Up'!$B$7:$B$306,B18,'Resource Build-Up'!$Z$7:$Z$306))</x:f>
        <x:v>0</x:v>
      </x:c>
      <x:c r="H18" s="147"/>
      <x:c r="I18" s="147"/>
      <x:c r="J18" s="147"/>
      <x:c r="K18" s="147"/>
      <x:c r="L18" s="150" t="str">
        <x:f t="shared" si="1">IF(B18="","",IF(J18="Excluded","Excluded","Resource-linked"))</x:f>
      </x:c>
      <x:c r="M18" s="150" t="str">
        <x:f t="shared" si="2">IF(B18="","",IF(G18=0,"No resource cost / review","Resource Build-Up -&gt; "&amp;B18))</x:f>
      </x:c>
      <x:c r="N18" s="150" t="str">
        <x:f t="shared" si="3">IF(B18="","","Resource Build-Up")</x:f>
      </x:c>
      <x:c r="O18" s="150" t="str">
        <x:f t="shared" si="4">IF(B18="","","See Resource Build-Up / Resource Rate Library")</x:f>
      </x:c>
      <x:c r="P18" s="150" t="str">
        <x:f>IF(B18="","",IF(COUNTIF('Resource Build-Up'!$B$7:$B$306,B18)=0,IF(G18=0,"ZERO / REVIEW","NO RESOURCE"),"RESOURCE LINKED"))</x:f>
      </x:c>
      <x:c r="Q18" s="147"/>
      <x:c r="R18" s="106">
        <x:f t="shared" si="5"/>
      </x:c>
      <x:c r="S18" s="146" t="str">
        <x:f>IF(B18="","",IF(COUNTIF('Resource Build-Up'!$B$7:$B$306,B18)=0,"NO RESOURCE",IF(COUNTIFS('Resource Build-Up'!$B$7:$B$306,B18,'Resource Build-Up'!$AI$7:$AI$306,"&lt;&gt;OK")&gt;0,"RESOURCE QA","LINKED")))</x:f>
      </x:c>
      <x:c r="T18" s="140"/>
    </x:row>
    <x:row r="19" ht="26.399999618530273" customHeight="1">
      <x:c r="A19" s="151"/>
      <x:c r="B19" s="151"/>
      <x:c r="C19" s="151"/>
      <x:c r="D19" s="151"/>
      <x:c r="E19" s="148"/>
      <x:c r="F19" s="149" t="n">
        <x:f t="shared" si="0">IF(OR(B19="",E19=0),0,G19/E19)</x:f>
        <x:v>0</x:v>
      </x:c>
      <x:c r="G19" s="149" t="n">
        <x:f>IF(B19="",0,SUMIF('Resource Build-Up'!$B$7:$B$306,B19,'Resource Build-Up'!$Z$7:$Z$306))</x:f>
        <x:v>0</x:v>
      </x:c>
      <x:c r="H19" s="151"/>
      <x:c r="I19" s="151"/>
      <x:c r="J19" s="151"/>
      <x:c r="K19" s="151"/>
      <x:c r="L19" s="150" t="str">
        <x:f t="shared" si="1">IF(B19="","",IF(J19="Excluded","Excluded","Resource-linked"))</x:f>
      </x:c>
      <x:c r="M19" s="150" t="str">
        <x:f t="shared" si="2">IF(B19="","",IF(G19=0,"No resource cost / review","Resource Build-Up -&gt; "&amp;B19))</x:f>
      </x:c>
      <x:c r="N19" s="150" t="str">
        <x:f t="shared" si="3">IF(B19="","","Resource Build-Up")</x:f>
      </x:c>
      <x:c r="O19" s="150" t="str">
        <x:f t="shared" si="4">IF(B19="","","See Resource Build-Up / Resource Rate Library")</x:f>
      </x:c>
      <x:c r="P19" s="150" t="str">
        <x:f>IF(B19="","",IF(COUNTIF('Resource Build-Up'!$B$7:$B$306,B19)=0,IF(G19=0,"ZERO / REVIEW","NO RESOURCE"),"RESOURCE LINKED"))</x:f>
      </x:c>
      <x:c r="Q19" s="151"/>
      <x:c r="R19" s="106">
        <x:f t="shared" si="5"/>
      </x:c>
      <x:c r="S19" s="146" t="str">
        <x:f>IF(B19="","",IF(COUNTIF('Resource Build-Up'!$B$7:$B$306,B19)=0,"NO RESOURCE",IF(COUNTIFS('Resource Build-Up'!$B$7:$B$306,B19,'Resource Build-Up'!$AI$7:$AI$306,"&lt;&gt;OK")&gt;0,"RESOURCE QA","LINKED")))</x:f>
      </x:c>
      <x:c r="T19" s="140"/>
    </x:row>
    <x:row r="20" ht="26.399999618530273" customHeight="1">
      <x:c r="A20" s="147"/>
      <x:c r="B20" s="147"/>
      <x:c r="C20" s="147"/>
      <x:c r="D20" s="147"/>
      <x:c r="E20" s="148"/>
      <x:c r="F20" s="149" t="n">
        <x:f t="shared" si="0">IF(OR(B20="",E20=0),0,G20/E20)</x:f>
        <x:v>0</x:v>
      </x:c>
      <x:c r="G20" s="149" t="n">
        <x:f>IF(B20="",0,SUMIF('Resource Build-Up'!$B$7:$B$306,B20,'Resource Build-Up'!$Z$7:$Z$306))</x:f>
        <x:v>0</x:v>
      </x:c>
      <x:c r="H20" s="147"/>
      <x:c r="I20" s="147"/>
      <x:c r="J20" s="147"/>
      <x:c r="K20" s="147"/>
      <x:c r="L20" s="150" t="str">
        <x:f t="shared" si="1">IF(B20="","",IF(J20="Excluded","Excluded","Resource-linked"))</x:f>
      </x:c>
      <x:c r="M20" s="150" t="str">
        <x:f t="shared" si="2">IF(B20="","",IF(G20=0,"No resource cost / review","Resource Build-Up -&gt; "&amp;B20))</x:f>
      </x:c>
      <x:c r="N20" s="150" t="str">
        <x:f t="shared" si="3">IF(B20="","","Resource Build-Up")</x:f>
      </x:c>
      <x:c r="O20" s="150" t="str">
        <x:f t="shared" si="4">IF(B20="","","See Resource Build-Up / Resource Rate Library")</x:f>
      </x:c>
      <x:c r="P20" s="150" t="str">
        <x:f>IF(B20="","",IF(COUNTIF('Resource Build-Up'!$B$7:$B$306,B20)=0,IF(G20=0,"ZERO / REVIEW","NO RESOURCE"),"RESOURCE LINKED"))</x:f>
      </x:c>
      <x:c r="Q20" s="147"/>
      <x:c r="R20" s="106">
        <x:f t="shared" si="5"/>
      </x:c>
      <x:c r="S20" s="146" t="str">
        <x:f>IF(B20="","",IF(COUNTIF('Resource Build-Up'!$B$7:$B$306,B20)=0,"NO RESOURCE",IF(COUNTIFS('Resource Build-Up'!$B$7:$B$306,B20,'Resource Build-Up'!$AI$7:$AI$306,"&lt;&gt;OK")&gt;0,"RESOURCE QA","LINKED")))</x:f>
      </x:c>
      <x:c r="T20" s="140"/>
    </x:row>
    <x:row r="21" ht="26.399999618530273" customHeight="1">
      <x:c r="A21" s="151"/>
      <x:c r="B21" s="151"/>
      <x:c r="C21" s="151"/>
      <x:c r="D21" s="151"/>
      <x:c r="E21" s="148"/>
      <x:c r="F21" s="149" t="n">
        <x:f t="shared" si="0">IF(OR(B21="",E21=0),0,G21/E21)</x:f>
        <x:v>0</x:v>
      </x:c>
      <x:c r="G21" s="149" t="n">
        <x:f>IF(B21="",0,SUMIF('Resource Build-Up'!$B$7:$B$306,B21,'Resource Build-Up'!$Z$7:$Z$306))</x:f>
        <x:v>0</x:v>
      </x:c>
      <x:c r="H21" s="151"/>
      <x:c r="I21" s="151"/>
      <x:c r="J21" s="151"/>
      <x:c r="K21" s="151"/>
      <x:c r="L21" s="150" t="str">
        <x:f t="shared" si="1">IF(B21="","",IF(J21="Excluded","Excluded","Resource-linked"))</x:f>
      </x:c>
      <x:c r="M21" s="150" t="str">
        <x:f t="shared" si="2">IF(B21="","",IF(G21=0,"No resource cost / review","Resource Build-Up -&gt; "&amp;B21))</x:f>
      </x:c>
      <x:c r="N21" s="150" t="str">
        <x:f t="shared" si="3">IF(B21="","","Resource Build-Up")</x:f>
      </x:c>
      <x:c r="O21" s="150" t="str">
        <x:f t="shared" si="4">IF(B21="","","See Resource Build-Up / Resource Rate Library")</x:f>
      </x:c>
      <x:c r="P21" s="150" t="str">
        <x:f>IF(B21="","",IF(COUNTIF('Resource Build-Up'!$B$7:$B$306,B21)=0,IF(G21=0,"ZERO / REVIEW","NO RESOURCE"),"RESOURCE LINKED"))</x:f>
      </x:c>
      <x:c r="Q21" s="151"/>
      <x:c r="R21" s="106">
        <x:f t="shared" si="5"/>
      </x:c>
      <x:c r="S21" s="146" t="str">
        <x:f>IF(B21="","",IF(COUNTIF('Resource Build-Up'!$B$7:$B$306,B21)=0,"NO RESOURCE",IF(COUNTIFS('Resource Build-Up'!$B$7:$B$306,B21,'Resource Build-Up'!$AI$7:$AI$306,"&lt;&gt;OK")&gt;0,"RESOURCE QA","LINKED")))</x:f>
      </x:c>
      <x:c r="T21" s="140"/>
    </x:row>
    <x:row r="22" ht="26.399999618530273" customHeight="1">
      <x:c r="A22" s="147"/>
      <x:c r="B22" s="147"/>
      <x:c r="C22" s="147"/>
      <x:c r="D22" s="147"/>
      <x:c r="E22" s="148"/>
      <x:c r="F22" s="149" t="n">
        <x:f t="shared" si="0">IF(OR(B22="",E22=0),0,G22/E22)</x:f>
        <x:v>0</x:v>
      </x:c>
      <x:c r="G22" s="149" t="n">
        <x:f>IF(B22="",0,SUMIF('Resource Build-Up'!$B$7:$B$306,B22,'Resource Build-Up'!$Z$7:$Z$306))</x:f>
        <x:v>0</x:v>
      </x:c>
      <x:c r="H22" s="147"/>
      <x:c r="I22" s="147"/>
      <x:c r="J22" s="147"/>
      <x:c r="K22" s="147"/>
      <x:c r="L22" s="150" t="str">
        <x:f t="shared" si="1">IF(B22="","",IF(J22="Excluded","Excluded","Resource-linked"))</x:f>
      </x:c>
      <x:c r="M22" s="150" t="str">
        <x:f t="shared" si="2">IF(B22="","",IF(G22=0,"No resource cost / review","Resource Build-Up -&gt; "&amp;B22))</x:f>
      </x:c>
      <x:c r="N22" s="150" t="str">
        <x:f t="shared" si="3">IF(B22="","","Resource Build-Up")</x:f>
      </x:c>
      <x:c r="O22" s="150" t="str">
        <x:f t="shared" si="4">IF(B22="","","See Resource Build-Up / Resource Rate Library")</x:f>
      </x:c>
      <x:c r="P22" s="150" t="str">
        <x:f>IF(B22="","",IF(COUNTIF('Resource Build-Up'!$B$7:$B$306,B22)=0,IF(G22=0,"ZERO / REVIEW","NO RESOURCE"),"RESOURCE LINKED"))</x:f>
      </x:c>
      <x:c r="Q22" s="147"/>
      <x:c r="R22" s="106">
        <x:f t="shared" si="5"/>
      </x:c>
      <x:c r="S22" s="146" t="str">
        <x:f>IF(B22="","",IF(COUNTIF('Resource Build-Up'!$B$7:$B$306,B22)=0,"NO RESOURCE",IF(COUNTIFS('Resource Build-Up'!$B$7:$B$306,B22,'Resource Build-Up'!$AI$7:$AI$306,"&lt;&gt;OK")&gt;0,"RESOURCE QA","LINKED")))</x:f>
      </x:c>
      <x:c r="T22" s="140"/>
    </x:row>
    <x:row r="23" ht="26.399999618530273" customHeight="1">
      <x:c r="A23" s="35"/>
      <x:c r="B23" s="35"/>
      <x:c r="C23" s="35"/>
      <x:c r="D23" s="35"/>
      <x:c r="E23" s="152"/>
      <x:c r="F23" s="18" t="n">
        <x:f t="shared" si="0">IF(OR(B23="",E23=0),0,G23/E23)</x:f>
        <x:v>0</x:v>
      </x:c>
      <x:c r="G23" s="18" t="n">
        <x:f>IF(B23="",0,SUMIF('Resource Build-Up'!$B$7:$B$306,B23,'Resource Build-Up'!$Z$7:$Z$306))</x:f>
        <x:v>0</x:v>
      </x:c>
      <x:c r="H23" s="35"/>
      <x:c r="I23" s="35"/>
      <x:c r="J23" s="35"/>
      <x:c r="K23" s="35"/>
      <x:c r="L23" s="70" t="str">
        <x:f t="shared" si="1">IF(B23="","",IF(J23="Excluded","Excluded","Resource-linked"))</x:f>
      </x:c>
      <x:c r="M23" s="70" t="str">
        <x:f t="shared" si="2">IF(B23="","",IF(G23=0,"No resource cost / review","Resource Build-Up -&gt; "&amp;B23))</x:f>
      </x:c>
      <x:c r="N23" s="70" t="str">
        <x:f t="shared" si="3">IF(B23="","","Resource Build-Up")</x:f>
      </x:c>
      <x:c r="O23" s="70" t="str">
        <x:f t="shared" si="4">IF(B23="","","See Resource Build-Up / Resource Rate Library")</x:f>
      </x:c>
      <x:c r="P23" s="70" t="str">
        <x:f>IF(B23="","",IF(COUNTIF('Resource Build-Up'!$B$7:$B$306,B23)=0,IF(G23=0,"ZERO / REVIEW","NO RESOURCE"),"RESOURCE LINKED"))</x:f>
      </x:c>
      <x:c r="Q23" s="35"/>
      <x:c r="R23" s="106">
        <x:f t="shared" si="5"/>
      </x:c>
      <x:c r="S23" s="146" t="str">
        <x:f>IF(B23="","",IF(COUNTIF('Resource Build-Up'!$B$7:$B$306,B23)=0,"NO RESOURCE",IF(COUNTIFS('Resource Build-Up'!$B$7:$B$306,B23,'Resource Build-Up'!$AI$7:$AI$306,"&lt;&gt;OK")&gt;0,"RESOURCE QA","LINKED")))</x:f>
      </x:c>
      <x:c r="T23" s="140"/>
    </x:row>
    <x:row r="24" ht="26.399999618530273" customHeight="1">
      <x:c r="A24" s="33"/>
      <x:c r="B24" s="33"/>
      <x:c r="C24" s="33"/>
      <x:c r="D24" s="33"/>
      <x:c r="E24" s="152"/>
      <x:c r="F24" s="18" t="n">
        <x:f t="shared" si="0">IF(OR(B24="",E24=0),0,G24/E24)</x:f>
        <x:v>0</x:v>
      </x:c>
      <x:c r="G24" s="18" t="n">
        <x:f>IF(B24="",0,SUMIF('Resource Build-Up'!$B$7:$B$306,B24,'Resource Build-Up'!$Z$7:$Z$306))</x:f>
        <x:v>0</x:v>
      </x:c>
      <x:c r="H24" s="33"/>
      <x:c r="I24" s="33"/>
      <x:c r="J24" s="33"/>
      <x:c r="K24" s="33"/>
      <x:c r="L24" s="70" t="str">
        <x:f t="shared" si="1">IF(B24="","",IF(J24="Excluded","Excluded","Resource-linked"))</x:f>
      </x:c>
      <x:c r="M24" s="70" t="str">
        <x:f t="shared" si="2">IF(B24="","",IF(G24=0,"No resource cost / review","Resource Build-Up -&gt; "&amp;B24))</x:f>
      </x:c>
      <x:c r="N24" s="70" t="str">
        <x:f t="shared" si="3">IF(B24="","","Resource Build-Up")</x:f>
      </x:c>
      <x:c r="O24" s="70" t="str">
        <x:f t="shared" si="4">IF(B24="","","See Resource Build-Up / Resource Rate Library")</x:f>
      </x:c>
      <x:c r="P24" s="70" t="str">
        <x:f>IF(B24="","",IF(COUNTIF('Resource Build-Up'!$B$7:$B$306,B24)=0,IF(G24=0,"ZERO / REVIEW","NO RESOURCE"),"RESOURCE LINKED"))</x:f>
      </x:c>
      <x:c r="Q24" s="33"/>
      <x:c r="R24" s="106">
        <x:f t="shared" si="5"/>
      </x:c>
      <x:c r="S24" s="146" t="str">
        <x:f>IF(B24="","",IF(COUNTIF('Resource Build-Up'!$B$7:$B$306,B24)=0,"NO RESOURCE",IF(COUNTIFS('Resource Build-Up'!$B$7:$B$306,B24,'Resource Build-Up'!$AI$7:$AI$306,"&lt;&gt;OK")&gt;0,"RESOURCE QA","LINKED")))</x:f>
      </x:c>
      <x:c r="T24" s="140"/>
    </x:row>
    <x:row r="25" ht="26.399999618530273" customHeight="1">
      <x:c r="A25" s="151"/>
      <x:c r="B25" s="151"/>
      <x:c r="C25" s="151"/>
      <x:c r="D25" s="151"/>
      <x:c r="E25" s="148"/>
      <x:c r="F25" s="149" t="n">
        <x:f t="shared" si="0">IF(OR(B25="",E25=0),0,G25/E25)</x:f>
        <x:v>0</x:v>
      </x:c>
      <x:c r="G25" s="149" t="n">
        <x:f>IF(B25="",0,SUMIF('Resource Build-Up'!$B$7:$B$306,B25,'Resource Build-Up'!$Z$7:$Z$306))</x:f>
        <x:v>0</x:v>
      </x:c>
      <x:c r="H25" s="151"/>
      <x:c r="I25" s="151"/>
      <x:c r="J25" s="151"/>
      <x:c r="K25" s="151"/>
      <x:c r="L25" s="150" t="str">
        <x:f t="shared" si="1">IF(B25="","",IF(J25="Excluded","Excluded","Resource-linked"))</x:f>
      </x:c>
      <x:c r="M25" s="150" t="str">
        <x:f t="shared" si="2">IF(B25="","",IF(G25=0,"No resource cost / review","Resource Build-Up -&gt; "&amp;B25))</x:f>
      </x:c>
      <x:c r="N25" s="150" t="str">
        <x:f t="shared" si="3">IF(B25="","","Resource Build-Up")</x:f>
      </x:c>
      <x:c r="O25" s="150" t="str">
        <x:f t="shared" si="4">IF(B25="","","See Resource Build-Up / Resource Rate Library")</x:f>
      </x:c>
      <x:c r="P25" s="150" t="str">
        <x:f>IF(B25="","",IF(COUNTIF('Resource Build-Up'!$B$7:$B$306,B25)=0,IF(G25=0,"ZERO / REVIEW","NO RESOURCE"),"RESOURCE LINKED"))</x:f>
      </x:c>
      <x:c r="Q25" s="151"/>
      <x:c r="R25" s="106">
        <x:f t="shared" si="5"/>
      </x:c>
      <x:c r="S25" s="146" t="str">
        <x:f>IF(B25="","",IF(COUNTIF('Resource Build-Up'!$B$7:$B$306,B25)=0,"NO RESOURCE",IF(COUNTIFS('Resource Build-Up'!$B$7:$B$306,B25,'Resource Build-Up'!$AI$7:$AI$306,"&lt;&gt;OK")&gt;0,"RESOURCE QA","LINKED")))</x:f>
      </x:c>
      <x:c r="T25" s="140"/>
    </x:row>
    <x:row r="26" ht="26.399999618530273" customHeight="1">
      <x:c r="A26" s="147"/>
      <x:c r="B26" s="147"/>
      <x:c r="C26" s="147"/>
      <x:c r="D26" s="147"/>
      <x:c r="E26" s="148"/>
      <x:c r="F26" s="149" t="n">
        <x:f t="shared" si="0">IF(OR(B26="",E26=0),0,G26/E26)</x:f>
        <x:v>0</x:v>
      </x:c>
      <x:c r="G26" s="149" t="n">
        <x:f>IF(B26="",0,SUMIF('Resource Build-Up'!$B$7:$B$306,B26,'Resource Build-Up'!$Z$7:$Z$306))</x:f>
        <x:v>0</x:v>
      </x:c>
      <x:c r="H26" s="147"/>
      <x:c r="I26" s="147"/>
      <x:c r="J26" s="147"/>
      <x:c r="K26" s="147"/>
      <x:c r="L26" s="150" t="str">
        <x:f t="shared" si="1">IF(B26="","",IF(J26="Excluded","Excluded","Resource-linked"))</x:f>
      </x:c>
      <x:c r="M26" s="150" t="str">
        <x:f t="shared" si="2">IF(B26="","",IF(G26=0,"No resource cost / review","Resource Build-Up -&gt; "&amp;B26))</x:f>
      </x:c>
      <x:c r="N26" s="150" t="str">
        <x:f t="shared" si="3">IF(B26="","","Resource Build-Up")</x:f>
      </x:c>
      <x:c r="O26" s="150" t="str">
        <x:f t="shared" si="4">IF(B26="","","See Resource Build-Up / Resource Rate Library")</x:f>
      </x:c>
      <x:c r="P26" s="150" t="str">
        <x:f>IF(B26="","",IF(COUNTIF('Resource Build-Up'!$B$7:$B$306,B26)=0,IF(G26=0,"ZERO / REVIEW","NO RESOURCE"),"RESOURCE LINKED"))</x:f>
      </x:c>
      <x:c r="Q26" s="147"/>
      <x:c r="R26" s="106">
        <x:f t="shared" si="5"/>
      </x:c>
      <x:c r="S26" s="146" t="str">
        <x:f>IF(B26="","",IF(COUNTIF('Resource Build-Up'!$B$7:$B$306,B26)=0,"NO RESOURCE",IF(COUNTIFS('Resource Build-Up'!$B$7:$B$306,B26,'Resource Build-Up'!$AI$7:$AI$306,"&lt;&gt;OK")&gt;0,"RESOURCE QA","LINKED")))</x:f>
      </x:c>
      <x:c r="T26" s="140"/>
    </x:row>
    <x:row r="27" ht="26.399999618530273" customHeight="1">
      <x:c r="A27" s="151"/>
      <x:c r="B27" s="151"/>
      <x:c r="C27" s="151"/>
      <x:c r="D27" s="151"/>
      <x:c r="E27" s="148"/>
      <x:c r="F27" s="149" t="n">
        <x:f t="shared" si="0">IF(OR(B27="",E27=0),0,G27/E27)</x:f>
        <x:v>0</x:v>
      </x:c>
      <x:c r="G27" s="149" t="n">
        <x:f>IF(B27="",0,SUMIF('Resource Build-Up'!$B$7:$B$306,B27,'Resource Build-Up'!$Z$7:$Z$306))</x:f>
        <x:v>0</x:v>
      </x:c>
      <x:c r="H27" s="151"/>
      <x:c r="I27" s="151"/>
      <x:c r="J27" s="151"/>
      <x:c r="K27" s="151"/>
      <x:c r="L27" s="150" t="str">
        <x:f t="shared" si="1">IF(B27="","",IF(J27="Excluded","Excluded","Resource-linked"))</x:f>
      </x:c>
      <x:c r="M27" s="150" t="str">
        <x:f t="shared" si="2">IF(B27="","",IF(G27=0,"No resource cost / review","Resource Build-Up -&gt; "&amp;B27))</x:f>
      </x:c>
      <x:c r="N27" s="150" t="str">
        <x:f t="shared" si="3">IF(B27="","","Resource Build-Up")</x:f>
      </x:c>
      <x:c r="O27" s="150" t="str">
        <x:f t="shared" si="4">IF(B27="","","See Resource Build-Up / Resource Rate Library")</x:f>
      </x:c>
      <x:c r="P27" s="150" t="str">
        <x:f>IF(B27="","",IF(COUNTIF('Resource Build-Up'!$B$7:$B$306,B27)=0,IF(G27=0,"ZERO / REVIEW","NO RESOURCE"),"RESOURCE LINKED"))</x:f>
      </x:c>
      <x:c r="Q27" s="151"/>
      <x:c r="R27" s="106">
        <x:f t="shared" si="5"/>
      </x:c>
      <x:c r="S27" s="146" t="str">
        <x:f>IF(B27="","",IF(COUNTIF('Resource Build-Up'!$B$7:$B$306,B27)=0,"NO RESOURCE",IF(COUNTIFS('Resource Build-Up'!$B$7:$B$306,B27,'Resource Build-Up'!$AI$7:$AI$306,"&lt;&gt;OK")&gt;0,"RESOURCE QA","LINKED")))</x:f>
      </x:c>
      <x:c r="T27" s="140"/>
    </x:row>
    <x:row r="28" ht="26.399999618530273" customHeight="1">
      <x:c r="A28" s="33"/>
      <x:c r="B28" s="34"/>
      <x:c r="C28" s="34"/>
      <x:c r="D28" s="34"/>
      <x:c r="E28" s="17"/>
      <x:c r="F28" s="69" t="n">
        <x:f t="shared" si="0">IF(OR(B28="",E28=0),0,G28/E28)</x:f>
        <x:v>0</x:v>
      </x:c>
      <x:c r="G28" s="18" t="n">
        <x:f>IF(B28="",0,SUMIF('Resource Build-Up'!$B$7:$B$306,B28,'Resource Build-Up'!$Z$7:$Z$306))</x:f>
        <x:v>0</x:v>
      </x:c>
      <x:c r="H28" s="34"/>
      <x:c r="I28" s="34"/>
      <x:c r="J28" s="34"/>
      <x:c r="K28" s="34"/>
      <x:c r="L28" s="70" t="str">
        <x:f t="shared" si="1">IF(B28="","",IF(J28="Excluded","Excluded","Resource-linked"))</x:f>
      </x:c>
      <x:c r="M28" s="71" t="str">
        <x:f t="shared" si="2">IF(B28="","",IF(G28=0,"No resource cost / review","Resource Build-Up -&gt; "&amp;B28))</x:f>
      </x:c>
      <x:c r="N28" s="71" t="str">
        <x:f t="shared" si="3">IF(B28="","","Resource Build-Up")</x:f>
      </x:c>
      <x:c r="O28" s="71" t="str">
        <x:f t="shared" si="4">IF(B28="","","See Resource Build-Up / Resource Rate Library")</x:f>
      </x:c>
      <x:c r="P28" s="70" t="str">
        <x:f>IF(B28="","",IF(COUNTIF('Resource Build-Up'!$B$7:$B$306,B28)=0,IF(G28=0,"ZERO / REVIEW","NO RESOURCE"),"RESOURCE LINKED"))</x:f>
      </x:c>
      <x:c r="Q28" s="34"/>
      <x:c r="R28" s="106">
        <x:f t="shared" si="5"/>
      </x:c>
      <x:c r="S28" s="146" t="str">
        <x:f>IF(B28="","",IF(COUNTIF('Resource Build-Up'!$B$7:$B$306,B28)=0,"NO RESOURCE",IF(COUNTIFS('Resource Build-Up'!$B$7:$B$306,B28,'Resource Build-Up'!$AI$7:$AI$306,"&lt;&gt;OK")&gt;0,"RESOURCE QA","LINKED")))</x:f>
      </x:c>
      <x:c r="T28" s="140"/>
    </x:row>
    <x:row r="29" ht="26.399999618530273" customHeight="1">
      <x:c r="A29" s="156"/>
      <x:c r="B29" s="156"/>
      <x:c r="C29" s="156"/>
      <x:c r="D29" s="156"/>
      <x:c r="E29" s="154"/>
      <x:c r="F29" s="155" t="n">
        <x:f t="shared" si="0">IF(OR(B29="",E29=0),0,G29/E29)</x:f>
        <x:v>0</x:v>
      </x:c>
      <x:c r="G29" s="155" t="n">
        <x:f>IF(B29="",0,SUMIF('Resource Build-Up'!$B$7:$B$306,B29,'Resource Build-Up'!$Z$7:$Z$306))</x:f>
        <x:v>0</x:v>
      </x:c>
      <x:c r="H29" s="156"/>
      <x:c r="I29" s="156"/>
      <x:c r="J29" s="156"/>
      <x:c r="K29" s="156"/>
      <x:c r="L29" s="146" t="str">
        <x:f t="shared" si="1">IF(B29="","",IF(J29="Excluded","Excluded","Resource-linked"))</x:f>
      </x:c>
      <x:c r="M29" s="146" t="str">
        <x:f t="shared" si="2">IF(B29="","",IF(G29=0,"No resource cost / review","Resource Build-Up -&gt; "&amp;B29))</x:f>
      </x:c>
      <x:c r="N29" s="146" t="str">
        <x:f t="shared" si="3">IF(B29="","","Resource Build-Up")</x:f>
      </x:c>
      <x:c r="O29" s="146" t="str">
        <x:f t="shared" si="4">IF(B29="","","See Resource Build-Up / Resource Rate Library")</x:f>
      </x:c>
      <x:c r="P29" s="146" t="str">
        <x:f>IF(B29="","",IF(COUNTIF('Resource Build-Up'!$B$7:$B$306,B29)=0,IF(G29=0,"ZERO / REVIEW","NO RESOURCE"),"RESOURCE LINKED"))</x:f>
      </x:c>
      <x:c r="Q29" s="156"/>
      <x:c r="R29" s="106">
        <x:f t="shared" si="5"/>
      </x:c>
      <x:c r="S29" s="146" t="str">
        <x:f>IF(B29="","",IF(COUNTIF('Resource Build-Up'!$B$7:$B$306,B29)=0,"NO RESOURCE",IF(COUNTIFS('Resource Build-Up'!$B$7:$B$306,B29,'Resource Build-Up'!$AI$7:$AI$306,"&lt;&gt;OK")&gt;0,"RESOURCE QA","LINKED")))</x:f>
      </x:c>
      <x:c r="T29" s="140"/>
    </x:row>
    <x:row r="30" ht="26.399999618530273" customHeight="1">
      <x:c r="A30" s="33"/>
      <x:c r="B30" s="34"/>
      <x:c r="C30" s="34"/>
      <x:c r="D30" s="34"/>
      <x:c r="E30" s="17"/>
      <x:c r="F30" s="69" t="n">
        <x:f t="shared" si="0">IF(OR(B30="",E30=0),0,G30/E30)</x:f>
        <x:v>0</x:v>
      </x:c>
      <x:c r="G30" s="69" t="n">
        <x:f>IF(B30="",0,SUMIF('Resource Build-Up'!$B$7:$B$306,B30,'Resource Build-Up'!$Z$7:$Z$306))</x:f>
        <x:v>0</x:v>
      </x:c>
      <x:c r="H30" s="34"/>
      <x:c r="I30" s="34"/>
      <x:c r="J30" s="34"/>
      <x:c r="K30" s="34"/>
      <x:c r="L30" s="71" t="str">
        <x:f t="shared" si="1">IF(B30="","",IF(J30="Excluded","Excluded","Resource-linked"))</x:f>
      </x:c>
      <x:c r="M30" s="71" t="str">
        <x:f t="shared" si="2">IF(B30="","",IF(G30=0,"No resource cost / review","Resource Build-Up -&gt; "&amp;B30))</x:f>
      </x:c>
      <x:c r="N30" s="71" t="str">
        <x:f t="shared" si="3">IF(B30="","","Resource Build-Up")</x:f>
      </x:c>
      <x:c r="O30" s="71" t="str">
        <x:f t="shared" si="4">IF(B30="","","See Resource Build-Up / Resource Rate Library")</x:f>
      </x:c>
      <x:c r="P30" s="71" t="str">
        <x:f>IF(B30="","",IF(COUNTIF('Resource Build-Up'!$B$7:$B$306,B30)=0,IF(G30=0,"ZERO / REVIEW","NO RESOURCE"),"RESOURCE LINKED"))</x:f>
      </x:c>
      <x:c r="Q30" s="34"/>
      <x:c r="R30" s="106">
        <x:f t="shared" si="5"/>
      </x:c>
      <x:c r="S30" s="146" t="str">
        <x:f>IF(B30="","",IF(COUNTIF('Resource Build-Up'!$B$7:$B$306,B30)=0,"NO RESOURCE",IF(COUNTIFS('Resource Build-Up'!$B$7:$B$306,B30,'Resource Build-Up'!$AI$7:$AI$306,"&lt;&gt;OK")&gt;0,"RESOURCE QA","LINKED")))</x:f>
      </x:c>
      <x:c r="T30" s="140"/>
    </x:row>
    <x:row r="31" ht="26.399999618530273" customHeight="1">
      <x:c r="A31" s="151"/>
      <x:c r="B31" s="151"/>
      <x:c r="C31" s="151"/>
      <x:c r="D31" s="151"/>
      <x:c r="E31" s="148"/>
      <x:c r="F31" s="149" t="n">
        <x:f t="shared" si="0">IF(OR(B31="",E31=0),0,G31/E31)</x:f>
        <x:v>0</x:v>
      </x:c>
      <x:c r="G31" s="149" t="n">
        <x:f>IF(B31="",0,SUMIF('Resource Build-Up'!$B$7:$B$306,B31,'Resource Build-Up'!$Z$7:$Z$306))</x:f>
        <x:v>0</x:v>
      </x:c>
      <x:c r="H31" s="151"/>
      <x:c r="I31" s="151"/>
      <x:c r="J31" s="151"/>
      <x:c r="K31" s="151"/>
      <x:c r="L31" s="150" t="str">
        <x:f t="shared" si="1">IF(B31="","",IF(J31="Excluded","Excluded","Resource-linked"))</x:f>
      </x:c>
      <x:c r="M31" s="150" t="str">
        <x:f t="shared" si="2">IF(B31="","",IF(G31=0,"No resource cost / review","Resource Build-Up -&gt; "&amp;B31))</x:f>
      </x:c>
      <x:c r="N31" s="150" t="str">
        <x:f t="shared" si="3">IF(B31="","","Resource Build-Up")</x:f>
      </x:c>
      <x:c r="O31" s="150" t="str">
        <x:f t="shared" si="4">IF(B31="","","See Resource Build-Up / Resource Rate Library")</x:f>
      </x:c>
      <x:c r="P31" s="150" t="str">
        <x:f>IF(B31="","",IF(COUNTIF('Resource Build-Up'!$B$7:$B$306,B31)=0,IF(G31=0,"ZERO / REVIEW","NO RESOURCE"),"RESOURCE LINKED"))</x:f>
      </x:c>
      <x:c r="Q31" s="151"/>
      <x:c r="R31" s="106">
        <x:f t="shared" si="5"/>
      </x:c>
      <x:c r="S31" s="146" t="str">
        <x:f>IF(B31="","",IF(COUNTIF('Resource Build-Up'!$B$7:$B$306,B31)=0,"NO RESOURCE",IF(COUNTIFS('Resource Build-Up'!$B$7:$B$306,B31,'Resource Build-Up'!$AI$7:$AI$306,"&lt;&gt;OK")&gt;0,"RESOURCE QA","LINKED")))</x:f>
      </x:c>
      <x:c r="T31" s="140"/>
    </x:row>
    <x:row r="32" ht="26.399999618530273" customHeight="1">
      <x:c r="A32" s="147"/>
      <x:c r="B32" s="147"/>
      <x:c r="C32" s="147"/>
      <x:c r="D32" s="147"/>
      <x:c r="E32" s="148"/>
      <x:c r="F32" s="149" t="n">
        <x:f t="shared" si="0">IF(OR(B32="",E32=0),0,G32/E32)</x:f>
        <x:v>0</x:v>
      </x:c>
      <x:c r="G32" s="149" t="n">
        <x:f>IF(B32="",0,SUMIF('Resource Build-Up'!$B$7:$B$306,B32,'Resource Build-Up'!$Z$7:$Z$306))</x:f>
        <x:v>0</x:v>
      </x:c>
      <x:c r="H32" s="147"/>
      <x:c r="I32" s="147"/>
      <x:c r="J32" s="147"/>
      <x:c r="K32" s="147"/>
      <x:c r="L32" s="150" t="str">
        <x:f t="shared" si="1">IF(B32="","",IF(J32="Excluded","Excluded","Resource-linked"))</x:f>
      </x:c>
      <x:c r="M32" s="150" t="str">
        <x:f t="shared" si="2">IF(B32="","",IF(G32=0,"No resource cost / review","Resource Build-Up -&gt; "&amp;B32))</x:f>
      </x:c>
      <x:c r="N32" s="150" t="str">
        <x:f t="shared" si="3">IF(B32="","","Resource Build-Up")</x:f>
      </x:c>
      <x:c r="O32" s="150" t="str">
        <x:f t="shared" si="4">IF(B32="","","See Resource Build-Up / Resource Rate Library")</x:f>
      </x:c>
      <x:c r="P32" s="150" t="str">
        <x:f>IF(B32="","",IF(COUNTIF('Resource Build-Up'!$B$7:$B$306,B32)=0,IF(G32=0,"ZERO / REVIEW","NO RESOURCE"),"RESOURCE LINKED"))</x:f>
      </x:c>
      <x:c r="Q32" s="147"/>
      <x:c r="R32" s="106">
        <x:f t="shared" si="5"/>
      </x:c>
      <x:c r="S32" s="146" t="str">
        <x:f>IF(B32="","",IF(COUNTIF('Resource Build-Up'!$B$7:$B$306,B32)=0,"NO RESOURCE",IF(COUNTIFS('Resource Build-Up'!$B$7:$B$306,B32,'Resource Build-Up'!$AI$7:$AI$306,"&lt;&gt;OK")&gt;0,"RESOURCE QA","LINKED")))</x:f>
      </x:c>
      <x:c r="T32" s="140"/>
    </x:row>
    <x:row r="33" ht="26.399999618530273" customHeight="1">
      <x:c r="A33" s="151"/>
      <x:c r="B33" s="151"/>
      <x:c r="C33" s="151"/>
      <x:c r="D33" s="151"/>
      <x:c r="E33" s="148"/>
      <x:c r="F33" s="149" t="n">
        <x:f t="shared" ref="F33:F63" si="6">IF(OR(B33="",E33=0),0,G33/E33)</x:f>
        <x:v>0</x:v>
      </x:c>
      <x:c r="G33" s="149" t="n">
        <x:f>IF(B33="",0,SUMIF('Resource Build-Up'!$B$7:$B$306,B33,'Resource Build-Up'!$Z$7:$Z$306))</x:f>
        <x:v>0</x:v>
      </x:c>
      <x:c r="H33" s="151"/>
      <x:c r="I33" s="151"/>
      <x:c r="J33" s="151"/>
      <x:c r="K33" s="151"/>
      <x:c r="L33" s="150" t="str">
        <x:f t="shared" ref="L33:L63" si="7">IF(B33="","",IF(J33="Excluded","Excluded","Resource-linked"))</x:f>
      </x:c>
      <x:c r="M33" s="150" t="str">
        <x:f t="shared" ref="M33:M63" si="8">IF(B33="","",IF(G33=0,"No resource cost / review","Resource Build-Up -&gt; "&amp;B33))</x:f>
      </x:c>
      <x:c r="N33" s="150" t="str">
        <x:f t="shared" ref="N33:N63" si="9">IF(B33="","","Resource Build-Up")</x:f>
      </x:c>
      <x:c r="O33" s="150" t="str">
        <x:f t="shared" ref="O33:O63" si="10">IF(B33="","","See Resource Build-Up / Resource Rate Library")</x:f>
      </x:c>
      <x:c r="P33" s="150" t="str">
        <x:f>IF(B33="","",IF(COUNTIF('Resource Build-Up'!$B$7:$B$306,B33)=0,IF(G33=0,"ZERO / REVIEW","NO RESOURCE"),"RESOURCE LINKED"))</x:f>
      </x:c>
      <x:c r="Q33" s="151"/>
      <x:c r="R33" s="106" t="str">
        <x:f t="shared" ref="R33:R63" si="11">IF(OR(ISNUMBER(SEARCH("PC",P33)),ISNUMBER(SEARCH("quote",Q33))),"Jason","Rick")</x:f>
        <x:v>Rick</x:v>
      </x:c>
      <x:c r="S33" s="146" t="str">
        <x:f>IF(B33="","",IF(COUNTIF('Resource Build-Up'!$B$7:$B$306,B33)=0,"NO RESOURCE",IF(COUNTIFS('Resource Build-Up'!$B$7:$B$306,B33,'Resource Build-Up'!$AI$7:$AI$306,"&lt;&gt;OK")&gt;0,"RESOURCE QA","LINKED")))</x:f>
      </x:c>
      <x:c r="T33" s="140"/>
    </x:row>
    <x:row r="34" ht="26.399999618530273" customHeight="1">
      <x:c r="A34" s="33"/>
      <x:c r="B34" s="33"/>
      <x:c r="C34" s="33"/>
      <x:c r="D34" s="33"/>
      <x:c r="E34" s="152"/>
      <x:c r="F34" s="18" t="n">
        <x:f t="shared" si="6">IF(OR(B34="",E34=0),0,G34/E34)</x:f>
        <x:v>0</x:v>
      </x:c>
      <x:c r="G34" s="18" t="n">
        <x:f>IF(B34="",0,SUMIF('Resource Build-Up'!$B$7:$B$306,B34,'Resource Build-Up'!$Z$7:$Z$306))</x:f>
        <x:v>0</x:v>
      </x:c>
      <x:c r="H34" s="33"/>
      <x:c r="I34" s="33"/>
      <x:c r="J34" s="33"/>
      <x:c r="K34" s="33"/>
      <x:c r="L34" s="70" t="str">
        <x:f t="shared" si="7">IF(B34="","",IF(J34="Excluded","Excluded","Resource-linked"))</x:f>
      </x:c>
      <x:c r="M34" s="70" t="str">
        <x:f t="shared" si="8">IF(B34="","",IF(G34=0,"No resource cost / review","Resource Build-Up -&gt; "&amp;B34))</x:f>
      </x:c>
      <x:c r="N34" s="70" t="str">
        <x:f t="shared" si="9">IF(B34="","","Resource Build-Up")</x:f>
      </x:c>
      <x:c r="O34" s="70" t="str">
        <x:f t="shared" si="10">IF(B34="","","See Resource Build-Up / Resource Rate Library")</x:f>
      </x:c>
      <x:c r="P34" s="70" t="str">
        <x:f>IF(B34="","",IF(COUNTIF('Resource Build-Up'!$B$7:$B$306,B34)=0,IF(G34=0,"ZERO / REVIEW","NO RESOURCE"),"RESOURCE LINKED"))</x:f>
      </x:c>
      <x:c r="Q34" s="33"/>
      <x:c r="R34" s="106">
        <x:f t="shared" si="11"/>
      </x:c>
      <x:c r="S34" s="146" t="str">
        <x:f>IF(B34="","",IF(COUNTIF('Resource Build-Up'!$B$7:$B$306,B34)=0,"NO RESOURCE",IF(COUNTIFS('Resource Build-Up'!$B$7:$B$306,B34,'Resource Build-Up'!$AI$7:$AI$306,"&lt;&gt;OK")&gt;0,"RESOURCE QA","LINKED")))</x:f>
      </x:c>
      <x:c r="T34" s="140"/>
    </x:row>
    <x:row r="35" ht="26.399999618530273" customHeight="1">
      <x:c r="A35" s="35"/>
      <x:c r="B35" s="35"/>
      <x:c r="C35" s="35"/>
      <x:c r="D35" s="35"/>
      <x:c r="E35" s="152"/>
      <x:c r="F35" s="18" t="n">
        <x:f t="shared" si="6">IF(OR(B35="",E35=0),0,G35/E35)</x:f>
        <x:v>0</x:v>
      </x:c>
      <x:c r="G35" s="18" t="n">
        <x:f>IF(B35="",0,SUMIF('Resource Build-Up'!$B$7:$B$306,B35,'Resource Build-Up'!$Z$7:$Z$306))</x:f>
        <x:v>0</x:v>
      </x:c>
      <x:c r="H35" s="35"/>
      <x:c r="I35" s="35"/>
      <x:c r="J35" s="35"/>
      <x:c r="K35" s="35"/>
      <x:c r="L35" s="70" t="str">
        <x:f t="shared" si="7">IF(B35="","",IF(J35="Excluded","Excluded","Resource-linked"))</x:f>
      </x:c>
      <x:c r="M35" s="70" t="str">
        <x:f t="shared" si="8">IF(B35="","",IF(G35=0,"No resource cost / review","Resource Build-Up -&gt; "&amp;B35))</x:f>
      </x:c>
      <x:c r="N35" s="70" t="str">
        <x:f t="shared" si="9">IF(B35="","","Resource Build-Up")</x:f>
      </x:c>
      <x:c r="O35" s="70" t="str">
        <x:f t="shared" si="10">IF(B35="","","See Resource Build-Up / Resource Rate Library")</x:f>
      </x:c>
      <x:c r="P35" s="70" t="str">
        <x:f>IF(B35="","",IF(COUNTIF('Resource Build-Up'!$B$7:$B$306,B35)=0,IF(G35=0,"ZERO / REVIEW","NO RESOURCE"),"RESOURCE LINKED"))</x:f>
      </x:c>
      <x:c r="Q35" s="35"/>
      <x:c r="R35" s="106">
        <x:f t="shared" si="11"/>
      </x:c>
      <x:c r="S35" s="146" t="str">
        <x:f>IF(B35="","",IF(COUNTIF('Resource Build-Up'!$B$7:$B$306,B35)=0,"NO RESOURCE",IF(COUNTIFS('Resource Build-Up'!$B$7:$B$306,B35,'Resource Build-Up'!$AI$7:$AI$306,"&lt;&gt;OK")&gt;0,"RESOURCE QA","LINKED")))</x:f>
      </x:c>
      <x:c r="T35" s="140"/>
    </x:row>
    <x:row r="36" ht="26.399999618530273" customHeight="1">
      <x:c r="A36" s="147"/>
      <x:c r="B36" s="147"/>
      <x:c r="C36" s="147"/>
      <x:c r="D36" s="147"/>
      <x:c r="E36" s="148"/>
      <x:c r="F36" s="149" t="n">
        <x:f t="shared" si="6">IF(OR(B36="",E36=0),0,G36/E36)</x:f>
        <x:v>0</x:v>
      </x:c>
      <x:c r="G36" s="149" t="n">
        <x:f>IF(B36="",0,SUMIF('Resource Build-Up'!$B$7:$B$306,B36,'Resource Build-Up'!$Z$7:$Z$306))</x:f>
        <x:v>0</x:v>
      </x:c>
      <x:c r="H36" s="147"/>
      <x:c r="I36" s="147"/>
      <x:c r="J36" s="147"/>
      <x:c r="K36" s="147"/>
      <x:c r="L36" s="150" t="str">
        <x:f t="shared" si="7">IF(B36="","",IF(J36="Excluded","Excluded","Resource-linked"))</x:f>
      </x:c>
      <x:c r="M36" s="150" t="str">
        <x:f t="shared" si="8">IF(B36="","",IF(G36=0,"No resource cost / review","Resource Build-Up -&gt; "&amp;B36))</x:f>
      </x:c>
      <x:c r="N36" s="150" t="str">
        <x:f t="shared" si="9">IF(B36="","","Resource Build-Up")</x:f>
      </x:c>
      <x:c r="O36" s="150" t="str">
        <x:f t="shared" si="10">IF(B36="","","See Resource Build-Up / Resource Rate Library")</x:f>
      </x:c>
      <x:c r="P36" s="150" t="str">
        <x:f>IF(B36="","",IF(COUNTIF('Resource Build-Up'!$B$7:$B$306,B36)=0,IF(G36=0,"ZERO / REVIEW","NO RESOURCE"),"RESOURCE LINKED"))</x:f>
      </x:c>
      <x:c r="Q36" s="147"/>
      <x:c r="R36" s="106">
        <x:f t="shared" si="11"/>
      </x:c>
      <x:c r="S36" s="146" t="str">
        <x:f>IF(B36="","",IF(COUNTIF('Resource Build-Up'!$B$7:$B$306,B36)=0,"NO RESOURCE",IF(COUNTIFS('Resource Build-Up'!$B$7:$B$306,B36,'Resource Build-Up'!$AI$7:$AI$306,"&lt;&gt;OK")&gt;0,"RESOURCE QA","LINKED")))</x:f>
      </x:c>
      <x:c r="T36" s="140"/>
    </x:row>
    <x:row r="37" ht="26.399999618530273" customHeight="1">
      <x:c r="A37" s="151"/>
      <x:c r="B37" s="151"/>
      <x:c r="C37" s="151"/>
      <x:c r="D37" s="151"/>
      <x:c r="E37" s="148"/>
      <x:c r="F37" s="149" t="n">
        <x:f t="shared" si="6">IF(OR(B37="",E37=0),0,G37/E37)</x:f>
        <x:v>0</x:v>
      </x:c>
      <x:c r="G37" s="149" t="n">
        <x:f>IF(B37="",0,SUMIF('Resource Build-Up'!$B$7:$B$306,B37,'Resource Build-Up'!$Z$7:$Z$306))</x:f>
        <x:v>0</x:v>
      </x:c>
      <x:c r="H37" s="151"/>
      <x:c r="I37" s="151"/>
      <x:c r="J37" s="151"/>
      <x:c r="K37" s="151"/>
      <x:c r="L37" s="150" t="str">
        <x:f t="shared" si="7">IF(B37="","",IF(J37="Excluded","Excluded","Resource-linked"))</x:f>
      </x:c>
      <x:c r="M37" s="150" t="str">
        <x:f t="shared" si="8">IF(B37="","",IF(G37=0,"No resource cost / review","Resource Build-Up -&gt; "&amp;B37))</x:f>
      </x:c>
      <x:c r="N37" s="150" t="str">
        <x:f t="shared" si="9">IF(B37="","","Resource Build-Up")</x:f>
      </x:c>
      <x:c r="O37" s="150" t="str">
        <x:f t="shared" si="10">IF(B37="","","See Resource Build-Up / Resource Rate Library")</x:f>
      </x:c>
      <x:c r="P37" s="150" t="str">
        <x:f>IF(B37="","",IF(COUNTIF('Resource Build-Up'!$B$7:$B$306,B37)=0,IF(G37=0,"ZERO / REVIEW","NO RESOURCE"),"RESOURCE LINKED"))</x:f>
      </x:c>
      <x:c r="Q37" s="151"/>
      <x:c r="R37" s="106">
        <x:f t="shared" si="11"/>
      </x:c>
      <x:c r="S37" s="146" t="str">
        <x:f>IF(B37="","",IF(COUNTIF('Resource Build-Up'!$B$7:$B$306,B37)=0,"NO RESOURCE",IF(COUNTIFS('Resource Build-Up'!$B$7:$B$306,B37,'Resource Build-Up'!$AI$7:$AI$306,"&lt;&gt;OK")&gt;0,"RESOURCE QA","LINKED")))</x:f>
      </x:c>
      <x:c r="T37" s="140"/>
    </x:row>
    <x:row r="38" ht="26.399999618530273" customHeight="1">
      <x:c r="A38" s="147"/>
      <x:c r="B38" s="147"/>
      <x:c r="C38" s="147"/>
      <x:c r="D38" s="147"/>
      <x:c r="E38" s="148"/>
      <x:c r="F38" s="149" t="n">
        <x:f t="shared" si="6">IF(OR(B38="",E38=0),0,G38/E38)</x:f>
        <x:v>0</x:v>
      </x:c>
      <x:c r="G38" s="149" t="n">
        <x:f>IF(B38="",0,SUMIF('Resource Build-Up'!$B$7:$B$306,B38,'Resource Build-Up'!$Z$7:$Z$306))</x:f>
        <x:v>0</x:v>
      </x:c>
      <x:c r="H38" s="147"/>
      <x:c r="I38" s="147"/>
      <x:c r="J38" s="147"/>
      <x:c r="K38" s="147"/>
      <x:c r="L38" s="150" t="str">
        <x:f t="shared" si="7">IF(B38="","",IF(J38="Excluded","Excluded","Resource-linked"))</x:f>
      </x:c>
      <x:c r="M38" s="150" t="str">
        <x:f t="shared" si="8">IF(B38="","",IF(G38=0,"No resource cost / review","Resource Build-Up -&gt; "&amp;B38))</x:f>
      </x:c>
      <x:c r="N38" s="150" t="str">
        <x:f t="shared" si="9">IF(B38="","","Resource Build-Up")</x:f>
      </x:c>
      <x:c r="O38" s="150" t="str">
        <x:f t="shared" si="10">IF(B38="","","See Resource Build-Up / Resource Rate Library")</x:f>
      </x:c>
      <x:c r="P38" s="150" t="str">
        <x:f>IF(B38="","",IF(COUNTIF('Resource Build-Up'!$B$7:$B$306,B38)=0,IF(G38=0,"ZERO / REVIEW","NO RESOURCE"),"RESOURCE LINKED"))</x:f>
      </x:c>
      <x:c r="Q38" s="147"/>
      <x:c r="R38" s="106">
        <x:f t="shared" si="11"/>
      </x:c>
      <x:c r="S38" s="146" t="str">
        <x:f>IF(B38="","",IF(COUNTIF('Resource Build-Up'!$B$7:$B$306,B38)=0,"NO RESOURCE",IF(COUNTIFS('Resource Build-Up'!$B$7:$B$306,B38,'Resource Build-Up'!$AI$7:$AI$306,"&lt;&gt;OK")&gt;0,"RESOURCE QA","LINKED")))</x:f>
      </x:c>
      <x:c r="T38" s="140"/>
    </x:row>
    <x:row r="39" ht="26.399999618530273" customHeight="1">
      <x:c r="A39" s="151"/>
      <x:c r="B39" s="151"/>
      <x:c r="C39" s="151"/>
      <x:c r="D39" s="151"/>
      <x:c r="E39" s="148"/>
      <x:c r="F39" s="149" t="n">
        <x:f t="shared" si="6">IF(OR(B39="",E39=0),0,G39/E39)</x:f>
        <x:v>0</x:v>
      </x:c>
      <x:c r="G39" s="149" t="n">
        <x:f>IF(B39="",0,SUMIF('Resource Build-Up'!$B$7:$B$306,B39,'Resource Build-Up'!$Z$7:$Z$306))</x:f>
        <x:v>0</x:v>
      </x:c>
      <x:c r="H39" s="151"/>
      <x:c r="I39" s="151"/>
      <x:c r="J39" s="151"/>
      <x:c r="K39" s="151"/>
      <x:c r="L39" s="150" t="str">
        <x:f t="shared" si="7">IF(B39="","",IF(J39="Excluded","Excluded","Resource-linked"))</x:f>
      </x:c>
      <x:c r="M39" s="150" t="str">
        <x:f t="shared" si="8">IF(B39="","",IF(G39=0,"No resource cost / review","Resource Build-Up -&gt; "&amp;B39))</x:f>
      </x:c>
      <x:c r="N39" s="150" t="str">
        <x:f t="shared" si="9">IF(B39="","","Resource Build-Up")</x:f>
      </x:c>
      <x:c r="O39" s="150" t="str">
        <x:f t="shared" si="10">IF(B39="","","See Resource Build-Up / Resource Rate Library")</x:f>
      </x:c>
      <x:c r="P39" s="150" t="str">
        <x:f>IF(B39="","",IF(COUNTIF('Resource Build-Up'!$B$7:$B$306,B39)=0,IF(G39=0,"ZERO / REVIEW","NO RESOURCE"),"RESOURCE LINKED"))</x:f>
      </x:c>
      <x:c r="Q39" s="151"/>
      <x:c r="R39" s="106">
        <x:f t="shared" si="11"/>
      </x:c>
      <x:c r="S39" s="146" t="str">
        <x:f>IF(B39="","",IF(COUNTIF('Resource Build-Up'!$B$7:$B$306,B39)=0,"NO RESOURCE",IF(COUNTIFS('Resource Build-Up'!$B$7:$B$306,B39,'Resource Build-Up'!$AI$7:$AI$306,"&lt;&gt;OK")&gt;0,"RESOURCE QA","LINKED")))</x:f>
      </x:c>
      <x:c r="T39" s="140"/>
    </x:row>
    <x:row r="40" ht="26.399999618530273" customHeight="1">
      <x:c r="A40" s="147"/>
      <x:c r="B40" s="147"/>
      <x:c r="C40" s="147"/>
      <x:c r="D40" s="147"/>
      <x:c r="E40" s="148"/>
      <x:c r="F40" s="149" t="n">
        <x:f t="shared" si="6">IF(OR(B40="",E40=0),0,G40/E40)</x:f>
        <x:v>0</x:v>
      </x:c>
      <x:c r="G40" s="149" t="n">
        <x:f>IF(B40="",0,SUMIF('Resource Build-Up'!$B$7:$B$306,B40,'Resource Build-Up'!$Z$7:$Z$306))</x:f>
        <x:v>0</x:v>
      </x:c>
      <x:c r="H40" s="147"/>
      <x:c r="I40" s="147"/>
      <x:c r="J40" s="147"/>
      <x:c r="K40" s="147"/>
      <x:c r="L40" s="150" t="str">
        <x:f t="shared" si="7">IF(B40="","",IF(J40="Excluded","Excluded","Resource-linked"))</x:f>
      </x:c>
      <x:c r="M40" s="150" t="str">
        <x:f t="shared" si="8">IF(B40="","",IF(G40=0,"No resource cost / review","Resource Build-Up -&gt; "&amp;B40))</x:f>
      </x:c>
      <x:c r="N40" s="150" t="str">
        <x:f t="shared" si="9">IF(B40="","","Resource Build-Up")</x:f>
      </x:c>
      <x:c r="O40" s="150" t="str">
        <x:f t="shared" si="10">IF(B40="","","See Resource Build-Up / Resource Rate Library")</x:f>
      </x:c>
      <x:c r="P40" s="150" t="str">
        <x:f>IF(B40="","",IF(COUNTIF('Resource Build-Up'!$B$7:$B$306,B40)=0,IF(G40=0,"ZERO / REVIEW","NO RESOURCE"),"RESOURCE LINKED"))</x:f>
      </x:c>
      <x:c r="Q40" s="147"/>
      <x:c r="R40" s="106">
        <x:f t="shared" si="11"/>
      </x:c>
      <x:c r="S40" s="146" t="str">
        <x:f>IF(B40="","",IF(COUNTIF('Resource Build-Up'!$B$7:$B$306,B40)=0,"NO RESOURCE",IF(COUNTIFS('Resource Build-Up'!$B$7:$B$306,B40,'Resource Build-Up'!$AI$7:$AI$306,"&lt;&gt;OK")&gt;0,"RESOURCE QA","LINKED")))</x:f>
      </x:c>
      <x:c r="T40" s="140"/>
    </x:row>
    <x:row r="41" ht="26.399999618530273" customHeight="1">
      <x:c r="A41" s="151"/>
      <x:c r="B41" s="151"/>
      <x:c r="C41" s="151"/>
      <x:c r="D41" s="151"/>
      <x:c r="E41" s="148"/>
      <x:c r="F41" s="149" t="n">
        <x:f t="shared" si="6">IF(OR(B41="",E41=0),0,G41/E41)</x:f>
        <x:v>0</x:v>
      </x:c>
      <x:c r="G41" s="149" t="n">
        <x:f>IF(B41="",0,SUMIF('Resource Build-Up'!$B$7:$B$306,B41,'Resource Build-Up'!$Z$7:$Z$306))</x:f>
        <x:v>0</x:v>
      </x:c>
      <x:c r="H41" s="151"/>
      <x:c r="I41" s="151"/>
      <x:c r="J41" s="151"/>
      <x:c r="K41" s="151"/>
      <x:c r="L41" s="150" t="str">
        <x:f t="shared" si="7">IF(B41="","",IF(J41="Excluded","Excluded","Resource-linked"))</x:f>
      </x:c>
      <x:c r="M41" s="150" t="str">
        <x:f t="shared" si="8">IF(B41="","",IF(G41=0,"No resource cost / review","Resource Build-Up -&gt; "&amp;B41))</x:f>
      </x:c>
      <x:c r="N41" s="150" t="str">
        <x:f t="shared" si="9">IF(B41="","","Resource Build-Up")</x:f>
      </x:c>
      <x:c r="O41" s="150" t="str">
        <x:f t="shared" si="10">IF(B41="","","See Resource Build-Up / Resource Rate Library")</x:f>
      </x:c>
      <x:c r="P41" s="150" t="str">
        <x:f>IF(B41="","",IF(COUNTIF('Resource Build-Up'!$B$7:$B$306,B41)=0,IF(G41=0,"ZERO / REVIEW","NO RESOURCE"),"RESOURCE LINKED"))</x:f>
      </x:c>
      <x:c r="Q41" s="151"/>
      <x:c r="R41" s="106">
        <x:f t="shared" si="11"/>
      </x:c>
      <x:c r="S41" s="146" t="str">
        <x:f>IF(B41="","",IF(COUNTIF('Resource Build-Up'!$B$7:$B$306,B41)=0,"NO RESOURCE",IF(COUNTIFS('Resource Build-Up'!$B$7:$B$306,B41,'Resource Build-Up'!$AI$7:$AI$306,"&lt;&gt;OK")&gt;0,"RESOURCE QA","LINKED")))</x:f>
      </x:c>
      <x:c r="T41" s="140"/>
    </x:row>
    <x:row r="42" ht="26.399999618530273" customHeight="1">
      <x:c r="A42" s="33"/>
      <x:c r="B42" s="34"/>
      <x:c r="C42" s="34"/>
      <x:c r="D42" s="34"/>
      <x:c r="E42" s="17"/>
      <x:c r="F42" s="69" t="n">
        <x:f t="shared" si="6">IF(OR(B42="",E42=0),0,G42/E42)</x:f>
        <x:v>0</x:v>
      </x:c>
      <x:c r="G42" s="18" t="n">
        <x:f>IF(B42="",0,SUMIF('Resource Build-Up'!$B$7:$B$306,B42,'Resource Build-Up'!$Z$7:$Z$306))</x:f>
        <x:v>0</x:v>
      </x:c>
      <x:c r="H42" s="34"/>
      <x:c r="I42" s="34"/>
      <x:c r="J42" s="34"/>
      <x:c r="K42" s="34"/>
      <x:c r="L42" s="70" t="str">
        <x:f t="shared" si="7">IF(B42="","",IF(J42="Excluded","Excluded","Resource-linked"))</x:f>
      </x:c>
      <x:c r="M42" s="71" t="str">
        <x:f t="shared" si="8">IF(B42="","",IF(G42=0,"No resource cost / review","Resource Build-Up -&gt; "&amp;B42))</x:f>
      </x:c>
      <x:c r="N42" s="71" t="str">
        <x:f t="shared" si="9">IF(B42="","","Resource Build-Up")</x:f>
      </x:c>
      <x:c r="O42" s="71" t="str">
        <x:f t="shared" si="10">IF(B42="","","See Resource Build-Up / Resource Rate Library")</x:f>
      </x:c>
      <x:c r="P42" s="70" t="str">
        <x:f>IF(B42="","",IF(COUNTIF('Resource Build-Up'!$B$7:$B$306,B42)=0,IF(G42=0,"ZERO / REVIEW","NO RESOURCE"),"RESOURCE LINKED"))</x:f>
      </x:c>
      <x:c r="Q42" s="34"/>
      <x:c r="R42" s="106">
        <x:f t="shared" si="11"/>
      </x:c>
      <x:c r="S42" s="146" t="str">
        <x:f>IF(B42="","",IF(COUNTIF('Resource Build-Up'!$B$7:$B$306,B42)=0,"NO RESOURCE",IF(COUNTIFS('Resource Build-Up'!$B$7:$B$306,B42,'Resource Build-Up'!$AI$7:$AI$306,"&lt;&gt;OK")&gt;0,"RESOURCE QA","LINKED")))</x:f>
      </x:c>
      <x:c r="T42" s="140"/>
    </x:row>
    <x:row r="43" ht="26.399999618530273" customHeight="1">
      <x:c r="A43" s="156"/>
      <x:c r="B43" s="156"/>
      <x:c r="C43" s="156"/>
      <x:c r="D43" s="156"/>
      <x:c r="E43" s="154"/>
      <x:c r="F43" s="155" t="n">
        <x:f t="shared" si="6">IF(OR(B43="",E43=0),0,G43/E43)</x:f>
        <x:v>0</x:v>
      </x:c>
      <x:c r="G43" s="155" t="n">
        <x:f>IF(B43="",0,SUMIF('Resource Build-Up'!$B$7:$B$306,B43,'Resource Build-Up'!$Z$7:$Z$306))</x:f>
        <x:v>0</x:v>
      </x:c>
      <x:c r="H43" s="156"/>
      <x:c r="I43" s="156"/>
      <x:c r="J43" s="156"/>
      <x:c r="K43" s="156"/>
      <x:c r="L43" s="146" t="str">
        <x:f t="shared" si="7">IF(B43="","",IF(J43="Excluded","Excluded","Resource-linked"))</x:f>
      </x:c>
      <x:c r="M43" s="146" t="str">
        <x:f t="shared" si="8">IF(B43="","",IF(G43=0,"No resource cost / review","Resource Build-Up -&gt; "&amp;B43))</x:f>
      </x:c>
      <x:c r="N43" s="146" t="str">
        <x:f t="shared" si="9">IF(B43="","","Resource Build-Up")</x:f>
      </x:c>
      <x:c r="O43" s="146" t="str">
        <x:f t="shared" si="10">IF(B43="","","See Resource Build-Up / Resource Rate Library")</x:f>
      </x:c>
      <x:c r="P43" s="146" t="str">
        <x:f>IF(B43="","",IF(COUNTIF('Resource Build-Up'!$B$7:$B$306,B43)=0,IF(G43=0,"ZERO / REVIEW","NO RESOURCE"),"RESOURCE LINKED"))</x:f>
      </x:c>
      <x:c r="Q43" s="156"/>
      <x:c r="R43" s="106">
        <x:f t="shared" si="11"/>
      </x:c>
      <x:c r="S43" s="146" t="str">
        <x:f>IF(B43="","",IF(COUNTIF('Resource Build-Up'!$B$7:$B$306,B43)=0,"NO RESOURCE",IF(COUNTIFS('Resource Build-Up'!$B$7:$B$306,B43,'Resource Build-Up'!$AI$7:$AI$306,"&lt;&gt;OK")&gt;0,"RESOURCE QA","LINKED")))</x:f>
      </x:c>
      <x:c r="T43" s="140"/>
    </x:row>
    <x:row r="44" ht="26.399999618530273" customHeight="1">
      <x:c r="A44" s="33"/>
      <x:c r="B44" s="34"/>
      <x:c r="C44" s="34"/>
      <x:c r="D44" s="34"/>
      <x:c r="E44" s="17"/>
      <x:c r="F44" s="69" t="n">
        <x:f t="shared" si="6">IF(OR(B44="",E44=0),0,G44/E44)</x:f>
        <x:v>0</x:v>
      </x:c>
      <x:c r="G44" s="69" t="n">
        <x:f>IF(B44="",0,SUMIF('Resource Build-Up'!$B$7:$B$306,B44,'Resource Build-Up'!$Z$7:$Z$306))</x:f>
        <x:v>0</x:v>
      </x:c>
      <x:c r="H44" s="34"/>
      <x:c r="I44" s="34"/>
      <x:c r="J44" s="34"/>
      <x:c r="K44" s="34"/>
      <x:c r="L44" s="71" t="str">
        <x:f t="shared" si="7">IF(B44="","",IF(J44="Excluded","Excluded","Resource-linked"))</x:f>
      </x:c>
      <x:c r="M44" s="71" t="str">
        <x:f t="shared" si="8">IF(B44="","",IF(G44=0,"No resource cost / review","Resource Build-Up -&gt; "&amp;B44))</x:f>
      </x:c>
      <x:c r="N44" s="71" t="str">
        <x:f t="shared" si="9">IF(B44="","","Resource Build-Up")</x:f>
      </x:c>
      <x:c r="O44" s="71" t="str">
        <x:f t="shared" si="10">IF(B44="","","See Resource Build-Up / Resource Rate Library")</x:f>
      </x:c>
      <x:c r="P44" s="71" t="str">
        <x:f>IF(B44="","",IF(COUNTIF('Resource Build-Up'!$B$7:$B$306,B44)=0,IF(G44=0,"ZERO / REVIEW","NO RESOURCE"),"RESOURCE LINKED"))</x:f>
      </x:c>
      <x:c r="Q44" s="34"/>
      <x:c r="R44" s="106">
        <x:f t="shared" si="11"/>
      </x:c>
      <x:c r="S44" s="146" t="str">
        <x:f>IF(B44="","",IF(COUNTIF('Resource Build-Up'!$B$7:$B$306,B44)=0,"NO RESOURCE",IF(COUNTIFS('Resource Build-Up'!$B$7:$B$306,B44,'Resource Build-Up'!$AI$7:$AI$306,"&lt;&gt;OK")&gt;0,"RESOURCE QA","LINKED")))</x:f>
      </x:c>
      <x:c r="T44" s="140"/>
    </x:row>
    <x:row r="45" ht="26.399999618530273" customHeight="1">
      <x:c r="A45" s="35"/>
      <x:c r="B45" s="35"/>
      <x:c r="C45" s="35"/>
      <x:c r="D45" s="35"/>
      <x:c r="E45" s="152"/>
      <x:c r="F45" s="18" t="n">
        <x:f t="shared" si="6">IF(OR(B45="",E45=0),0,G45/E45)</x:f>
        <x:v>0</x:v>
      </x:c>
      <x:c r="G45" s="18" t="n">
        <x:f>IF(B45="",0,SUMIF('Resource Build-Up'!$B$7:$B$306,B45,'Resource Build-Up'!$Z$7:$Z$306))</x:f>
        <x:v>0</x:v>
      </x:c>
      <x:c r="H45" s="35"/>
      <x:c r="I45" s="35"/>
      <x:c r="J45" s="35"/>
      <x:c r="K45" s="35"/>
      <x:c r="L45" s="70" t="str">
        <x:f t="shared" si="7">IF(B45="","",IF(J45="Excluded","Excluded","Resource-linked"))</x:f>
      </x:c>
      <x:c r="M45" s="70" t="str">
        <x:f t="shared" si="8">IF(B45="","",IF(G45=0,"No resource cost / review","Resource Build-Up -&gt; "&amp;B45))</x:f>
      </x:c>
      <x:c r="N45" s="70" t="str">
        <x:f t="shared" si="9">IF(B45="","","Resource Build-Up")</x:f>
      </x:c>
      <x:c r="O45" s="70" t="str">
        <x:f t="shared" si="10">IF(B45="","","See Resource Build-Up / Resource Rate Library")</x:f>
      </x:c>
      <x:c r="P45" s="70" t="str">
        <x:f>IF(B45="","",IF(COUNTIF('Resource Build-Up'!$B$7:$B$306,B45)=0,IF(G45=0,"ZERO / REVIEW","NO RESOURCE"),"RESOURCE LINKED"))</x:f>
      </x:c>
      <x:c r="Q45" s="35"/>
      <x:c r="R45" s="106">
        <x:f t="shared" si="11"/>
      </x:c>
      <x:c r="S45" s="146" t="str">
        <x:f>IF(B45="","",IF(COUNTIF('Resource Build-Up'!$B$7:$B$306,B45)=0,"NO RESOURCE",IF(COUNTIFS('Resource Build-Up'!$B$7:$B$306,B45,'Resource Build-Up'!$AI$7:$AI$306,"&lt;&gt;OK")&gt;0,"RESOURCE QA","LINKED")))</x:f>
      </x:c>
      <x:c r="T45" s="140"/>
    </x:row>
    <x:row r="46" ht="26.399999618530273" customHeight="1">
      <x:c r="A46" s="147"/>
      <x:c r="B46" s="147"/>
      <x:c r="C46" s="147"/>
      <x:c r="D46" s="147"/>
      <x:c r="E46" s="148"/>
      <x:c r="F46" s="149" t="n">
        <x:f t="shared" si="6">IF(OR(B46="",E46=0),0,G46/E46)</x:f>
        <x:v>0</x:v>
      </x:c>
      <x:c r="G46" s="149" t="n">
        <x:f>IF(B46="",0,SUMIF('Resource Build-Up'!$B$7:$B$306,B46,'Resource Build-Up'!$Z$7:$Z$306))</x:f>
        <x:v>0</x:v>
      </x:c>
      <x:c r="H46" s="147"/>
      <x:c r="I46" s="147"/>
      <x:c r="J46" s="147"/>
      <x:c r="K46" s="147"/>
      <x:c r="L46" s="150" t="str">
        <x:f t="shared" si="7">IF(B46="","",IF(J46="Excluded","Excluded","Resource-linked"))</x:f>
      </x:c>
      <x:c r="M46" s="150" t="str">
        <x:f t="shared" si="8">IF(B46="","",IF(G46=0,"No resource cost / review","Resource Build-Up -&gt; "&amp;B46))</x:f>
      </x:c>
      <x:c r="N46" s="150" t="str">
        <x:f t="shared" si="9">IF(B46="","","Resource Build-Up")</x:f>
      </x:c>
      <x:c r="O46" s="150" t="str">
        <x:f t="shared" si="10">IF(B46="","","See Resource Build-Up / Resource Rate Library")</x:f>
      </x:c>
      <x:c r="P46" s="150" t="str">
        <x:f>IF(B46="","",IF(COUNTIF('Resource Build-Up'!$B$7:$B$306,B46)=0,IF(G46=0,"ZERO / REVIEW","NO RESOURCE"),"RESOURCE LINKED"))</x:f>
      </x:c>
      <x:c r="Q46" s="147"/>
      <x:c r="R46" s="106">
        <x:f t="shared" si="11"/>
      </x:c>
      <x:c r="S46" s="146" t="str">
        <x:f>IF(B46="","",IF(COUNTIF('Resource Build-Up'!$B$7:$B$306,B46)=0,"NO RESOURCE",IF(COUNTIFS('Resource Build-Up'!$B$7:$B$306,B46,'Resource Build-Up'!$AI$7:$AI$306,"&lt;&gt;OK")&gt;0,"RESOURCE QA","LINKED")))</x:f>
      </x:c>
      <x:c r="T46" s="140"/>
    </x:row>
    <x:row r="47" ht="26.399999618530273" customHeight="1">
      <x:c r="A47" s="151"/>
      <x:c r="B47" s="151"/>
      <x:c r="C47" s="151"/>
      <x:c r="D47" s="151"/>
      <x:c r="E47" s="148"/>
      <x:c r="F47" s="149" t="n">
        <x:f t="shared" si="6">IF(OR(B47="",E47=0),0,G47/E47)</x:f>
        <x:v>0</x:v>
      </x:c>
      <x:c r="G47" s="149" t="n">
        <x:f>IF(B47="",0,SUMIF('Resource Build-Up'!$B$7:$B$306,B47,'Resource Build-Up'!$Z$7:$Z$306))</x:f>
        <x:v>0</x:v>
      </x:c>
      <x:c r="H47" s="151"/>
      <x:c r="I47" s="151"/>
      <x:c r="J47" s="151"/>
      <x:c r="K47" s="151"/>
      <x:c r="L47" s="150" t="str">
        <x:f t="shared" si="7">IF(B47="","",IF(J47="Excluded","Excluded","Resource-linked"))</x:f>
      </x:c>
      <x:c r="M47" s="150" t="str">
        <x:f t="shared" si="8">IF(B47="","",IF(G47=0,"No resource cost / review","Resource Build-Up -&gt; "&amp;B47))</x:f>
      </x:c>
      <x:c r="N47" s="150" t="str">
        <x:f t="shared" si="9">IF(B47="","","Resource Build-Up")</x:f>
      </x:c>
      <x:c r="O47" s="150" t="str">
        <x:f t="shared" si="10">IF(B47="","","See Resource Build-Up / Resource Rate Library")</x:f>
      </x:c>
      <x:c r="P47" s="150" t="str">
        <x:f>IF(B47="","",IF(COUNTIF('Resource Build-Up'!$B$7:$B$306,B47)=0,IF(G47=0,"ZERO / REVIEW","NO RESOURCE"),"RESOURCE LINKED"))</x:f>
      </x:c>
      <x:c r="Q47" s="151"/>
      <x:c r="R47" s="106">
        <x:f t="shared" si="11"/>
      </x:c>
      <x:c r="S47" s="146" t="str">
        <x:f>IF(B47="","",IF(COUNTIF('Resource Build-Up'!$B$7:$B$306,B47)=0,"NO RESOURCE",IF(COUNTIFS('Resource Build-Up'!$B$7:$B$306,B47,'Resource Build-Up'!$AI$7:$AI$306,"&lt;&gt;OK")&gt;0,"RESOURCE QA","LINKED")))</x:f>
      </x:c>
      <x:c r="T47" s="140"/>
    </x:row>
    <x:row r="48" ht="26.399999618530273" customHeight="1">
      <x:c r="A48" s="147"/>
      <x:c r="B48" s="147"/>
      <x:c r="C48" s="147"/>
      <x:c r="D48" s="147"/>
      <x:c r="E48" s="148"/>
      <x:c r="F48" s="149" t="n">
        <x:f t="shared" si="6">IF(OR(B48="",E48=0),0,G48/E48)</x:f>
        <x:v>0</x:v>
      </x:c>
      <x:c r="G48" s="149" t="n">
        <x:f>IF(B48="",0,SUMIF('Resource Build-Up'!$B$7:$B$306,B48,'Resource Build-Up'!$Z$7:$Z$306))</x:f>
        <x:v>0</x:v>
      </x:c>
      <x:c r="H48" s="147"/>
      <x:c r="I48" s="147"/>
      <x:c r="J48" s="147"/>
      <x:c r="K48" s="147"/>
      <x:c r="L48" s="150" t="str">
        <x:f t="shared" si="7">IF(B48="","",IF(J48="Excluded","Excluded","Resource-linked"))</x:f>
      </x:c>
      <x:c r="M48" s="150" t="str">
        <x:f t="shared" si="8">IF(B48="","",IF(G48=0,"No resource cost / review","Resource Build-Up -&gt; "&amp;B48))</x:f>
      </x:c>
      <x:c r="N48" s="150" t="str">
        <x:f t="shared" si="9">IF(B48="","","Resource Build-Up")</x:f>
      </x:c>
      <x:c r="O48" s="150" t="str">
        <x:f t="shared" si="10">IF(B48="","","See Resource Build-Up / Resource Rate Library")</x:f>
      </x:c>
      <x:c r="P48" s="150" t="str">
        <x:f>IF(B48="","",IF(COUNTIF('Resource Build-Up'!$B$7:$B$306,B48)=0,IF(G48=0,"ZERO / REVIEW","NO RESOURCE"),"RESOURCE LINKED"))</x:f>
      </x:c>
      <x:c r="Q48" s="147"/>
      <x:c r="R48" s="106">
        <x:f t="shared" si="11"/>
      </x:c>
      <x:c r="S48" s="146" t="str">
        <x:f>IF(B48="","",IF(COUNTIF('Resource Build-Up'!$B$7:$B$306,B48)=0,"NO RESOURCE",IF(COUNTIFS('Resource Build-Up'!$B$7:$B$306,B48,'Resource Build-Up'!$AI$7:$AI$306,"&lt;&gt;OK")&gt;0,"RESOURCE QA","LINKED")))</x:f>
      </x:c>
      <x:c r="T48" s="140"/>
    </x:row>
    <x:row r="49" ht="26.399999618530273" customHeight="1">
      <x:c r="A49" s="151"/>
      <x:c r="B49" s="151"/>
      <x:c r="C49" s="151"/>
      <x:c r="D49" s="151"/>
      <x:c r="E49" s="148"/>
      <x:c r="F49" s="149" t="n">
        <x:f t="shared" si="6">IF(OR(B49="",E49=0),0,G49/E49)</x:f>
        <x:v>0</x:v>
      </x:c>
      <x:c r="G49" s="149" t="n">
        <x:f>IF(B49="",0,SUMIF('Resource Build-Up'!$B$7:$B$306,B49,'Resource Build-Up'!$Z$7:$Z$306))</x:f>
        <x:v>0</x:v>
      </x:c>
      <x:c r="H49" s="151"/>
      <x:c r="I49" s="151"/>
      <x:c r="J49" s="151"/>
      <x:c r="K49" s="151"/>
      <x:c r="L49" s="150" t="str">
        <x:f t="shared" si="7">IF(B49="","",IF(J49="Excluded","Excluded","Resource-linked"))</x:f>
      </x:c>
      <x:c r="M49" s="150" t="str">
        <x:f t="shared" si="8">IF(B49="","",IF(G49=0,"No resource cost / review","Resource Build-Up -&gt; "&amp;B49))</x:f>
      </x:c>
      <x:c r="N49" s="150" t="str">
        <x:f t="shared" si="9">IF(B49="","","Resource Build-Up")</x:f>
      </x:c>
      <x:c r="O49" s="150" t="str">
        <x:f t="shared" si="10">IF(B49="","","See Resource Build-Up / Resource Rate Library")</x:f>
      </x:c>
      <x:c r="P49" s="150" t="str">
        <x:f>IF(B49="","",IF(COUNTIF('Resource Build-Up'!$B$7:$B$306,B49)=0,IF(G49=0,"ZERO / REVIEW","NO RESOURCE"),"RESOURCE LINKED"))</x:f>
      </x:c>
      <x:c r="Q49" s="151"/>
      <x:c r="R49" s="106">
        <x:f t="shared" si="11"/>
      </x:c>
      <x:c r="S49" s="146" t="str">
        <x:f>IF(B49="","",IF(COUNTIF('Resource Build-Up'!$B$7:$B$306,B49)=0,"NO RESOURCE",IF(COUNTIFS('Resource Build-Up'!$B$7:$B$306,B49,'Resource Build-Up'!$AI$7:$AI$306,"&lt;&gt;OK")&gt;0,"RESOURCE QA","LINKED")))</x:f>
      </x:c>
      <x:c r="T49" s="140"/>
    </x:row>
    <x:row r="50" ht="26.399999618530273" customHeight="1">
      <x:c r="A50" s="147"/>
      <x:c r="B50" s="147"/>
      <x:c r="C50" s="147"/>
      <x:c r="D50" s="147"/>
      <x:c r="E50" s="148"/>
      <x:c r="F50" s="149" t="n">
        <x:f t="shared" si="6">IF(OR(B50="",E50=0),0,G50/E50)</x:f>
        <x:v>0</x:v>
      </x:c>
      <x:c r="G50" s="149" t="n">
        <x:f>IF(B50="",0,SUMIF('Resource Build-Up'!$B$7:$B$306,B50,'Resource Build-Up'!$Z$7:$Z$306))</x:f>
        <x:v>0</x:v>
      </x:c>
      <x:c r="H50" s="147"/>
      <x:c r="I50" s="147"/>
      <x:c r="J50" s="147"/>
      <x:c r="K50" s="147"/>
      <x:c r="L50" s="150" t="str">
        <x:f t="shared" si="7">IF(B50="","",IF(J50="Excluded","Excluded","Resource-linked"))</x:f>
      </x:c>
      <x:c r="M50" s="150" t="str">
        <x:f t="shared" si="8">IF(B50="","",IF(G50=0,"No resource cost / review","Resource Build-Up -&gt; "&amp;B50))</x:f>
      </x:c>
      <x:c r="N50" s="150" t="str">
        <x:f t="shared" si="9">IF(B50="","","Resource Build-Up")</x:f>
      </x:c>
      <x:c r="O50" s="150" t="str">
        <x:f t="shared" si="10">IF(B50="","","See Resource Build-Up / Resource Rate Library")</x:f>
      </x:c>
      <x:c r="P50" s="150" t="str">
        <x:f>IF(B50="","",IF(COUNTIF('Resource Build-Up'!$B$7:$B$306,B50)=0,IF(G50=0,"ZERO / REVIEW","NO RESOURCE"),"RESOURCE LINKED"))</x:f>
      </x:c>
      <x:c r="Q50" s="147"/>
      <x:c r="R50" s="106">
        <x:f t="shared" si="11"/>
      </x:c>
      <x:c r="S50" s="146" t="str">
        <x:f>IF(B50="","",IF(COUNTIF('Resource Build-Up'!$B$7:$B$306,B50)=0,"NO RESOURCE",IF(COUNTIFS('Resource Build-Up'!$B$7:$B$306,B50,'Resource Build-Up'!$AI$7:$AI$306,"&lt;&gt;OK")&gt;0,"RESOURCE QA","LINKED")))</x:f>
      </x:c>
      <x:c r="T50" s="140"/>
    </x:row>
    <x:row r="51" ht="26.399999618530273" customHeight="1">
      <x:c r="A51" s="151"/>
      <x:c r="B51" s="151"/>
      <x:c r="C51" s="151"/>
      <x:c r="D51" s="151"/>
      <x:c r="E51" s="148"/>
      <x:c r="F51" s="149" t="n">
        <x:f t="shared" si="6">IF(OR(B51="",E51=0),0,G51/E51)</x:f>
        <x:v>0</x:v>
      </x:c>
      <x:c r="G51" s="149" t="n">
        <x:f>IF(B51="",0,SUMIF('Resource Build-Up'!$B$7:$B$306,B51,'Resource Build-Up'!$Z$7:$Z$306))</x:f>
        <x:v>0</x:v>
      </x:c>
      <x:c r="H51" s="151"/>
      <x:c r="I51" s="151"/>
      <x:c r="J51" s="151"/>
      <x:c r="K51" s="151"/>
      <x:c r="L51" s="150" t="str">
        <x:f t="shared" si="7">IF(B51="","",IF(J51="Excluded","Excluded","Resource-linked"))</x:f>
      </x:c>
      <x:c r="M51" s="150" t="str">
        <x:f t="shared" si="8">IF(B51="","",IF(G51=0,"No resource cost / review","Resource Build-Up -&gt; "&amp;B51))</x:f>
      </x:c>
      <x:c r="N51" s="150" t="str">
        <x:f t="shared" si="9">IF(B51="","","Resource Build-Up")</x:f>
      </x:c>
      <x:c r="O51" s="150" t="str">
        <x:f t="shared" si="10">IF(B51="","","See Resource Build-Up / Resource Rate Library")</x:f>
      </x:c>
      <x:c r="P51" s="150" t="str">
        <x:f>IF(B51="","",IF(COUNTIF('Resource Build-Up'!$B$7:$B$306,B51)=0,IF(G51=0,"ZERO / REVIEW","NO RESOURCE"),"RESOURCE LINKED"))</x:f>
      </x:c>
      <x:c r="Q51" s="151"/>
      <x:c r="R51" s="106">
        <x:f t="shared" si="11"/>
      </x:c>
      <x:c r="S51" s="146" t="str">
        <x:f>IF(B51="","",IF(COUNTIF('Resource Build-Up'!$B$7:$B$306,B51)=0,"NO RESOURCE",IF(COUNTIFS('Resource Build-Up'!$B$7:$B$306,B51,'Resource Build-Up'!$AI$7:$AI$306,"&lt;&gt;OK")&gt;0,"RESOURCE QA","LINKED")))</x:f>
      </x:c>
      <x:c r="T51" s="140"/>
    </x:row>
    <x:row r="52" ht="26.399999618530273" customHeight="1">
      <x:c r="A52" s="147"/>
      <x:c r="B52" s="147"/>
      <x:c r="C52" s="147"/>
      <x:c r="D52" s="147"/>
      <x:c r="E52" s="148"/>
      <x:c r="F52" s="149" t="n">
        <x:f t="shared" si="6">IF(OR(B52="",E52=0),0,G52/E52)</x:f>
        <x:v>0</x:v>
      </x:c>
      <x:c r="G52" s="149" t="n">
        <x:f>IF(B52="",0,SUMIF('Resource Build-Up'!$B$7:$B$306,B52,'Resource Build-Up'!$Z$7:$Z$306))</x:f>
        <x:v>0</x:v>
      </x:c>
      <x:c r="H52" s="147"/>
      <x:c r="I52" s="147"/>
      <x:c r="J52" s="147"/>
      <x:c r="K52" s="147"/>
      <x:c r="L52" s="150" t="str">
        <x:f t="shared" si="7">IF(B52="","",IF(J52="Excluded","Excluded","Resource-linked"))</x:f>
      </x:c>
      <x:c r="M52" s="150" t="str">
        <x:f t="shared" si="8">IF(B52="","",IF(G52=0,"No resource cost / review","Resource Build-Up -&gt; "&amp;B52))</x:f>
      </x:c>
      <x:c r="N52" s="150" t="str">
        <x:f t="shared" si="9">IF(B52="","","Resource Build-Up")</x:f>
      </x:c>
      <x:c r="O52" s="150" t="str">
        <x:f t="shared" si="10">IF(B52="","","See Resource Build-Up / Resource Rate Library")</x:f>
      </x:c>
      <x:c r="P52" s="150" t="str">
        <x:f>IF(B52="","",IF(COUNTIF('Resource Build-Up'!$B$7:$B$306,B52)=0,IF(G52=0,"ZERO / REVIEW","NO RESOURCE"),"RESOURCE LINKED"))</x:f>
      </x:c>
      <x:c r="Q52" s="147"/>
      <x:c r="R52" s="106">
        <x:f t="shared" si="11"/>
      </x:c>
      <x:c r="S52" s="146" t="str">
        <x:f>IF(B52="","",IF(COUNTIF('Resource Build-Up'!$B$7:$B$306,B52)=0,"NO RESOURCE",IF(COUNTIFS('Resource Build-Up'!$B$7:$B$306,B52,'Resource Build-Up'!$AI$7:$AI$306,"&lt;&gt;OK")&gt;0,"RESOURCE QA","LINKED")))</x:f>
      </x:c>
      <x:c r="T52" s="140"/>
    </x:row>
    <x:row r="53" ht="26.399999618530273" customHeight="1">
      <x:c r="A53" s="151"/>
      <x:c r="B53" s="151"/>
      <x:c r="C53" s="151"/>
      <x:c r="D53" s="151"/>
      <x:c r="E53" s="148"/>
      <x:c r="F53" s="149" t="n">
        <x:f t="shared" si="6">IF(OR(B53="",E53=0),0,G53/E53)</x:f>
        <x:v>0</x:v>
      </x:c>
      <x:c r="G53" s="149" t="n">
        <x:f>IF(B53="",0,SUMIF('Resource Build-Up'!$B$7:$B$306,B53,'Resource Build-Up'!$Z$7:$Z$306))</x:f>
        <x:v>0</x:v>
      </x:c>
      <x:c r="H53" s="151"/>
      <x:c r="I53" s="151"/>
      <x:c r="J53" s="151"/>
      <x:c r="K53" s="151"/>
      <x:c r="L53" s="150" t="str">
        <x:f t="shared" si="7">IF(B53="","",IF(J53="Excluded","Excluded","Resource-linked"))</x:f>
      </x:c>
      <x:c r="M53" s="150" t="str">
        <x:f t="shared" si="8">IF(B53="","",IF(G53=0,"No resource cost / review","Resource Build-Up -&gt; "&amp;B53))</x:f>
      </x:c>
      <x:c r="N53" s="150" t="str">
        <x:f t="shared" si="9">IF(B53="","","Resource Build-Up")</x:f>
      </x:c>
      <x:c r="O53" s="150" t="str">
        <x:f t="shared" si="10">IF(B53="","","See Resource Build-Up / Resource Rate Library")</x:f>
      </x:c>
      <x:c r="P53" s="150" t="str">
        <x:f>IF(B53="","",IF(COUNTIF('Resource Build-Up'!$B$7:$B$306,B53)=0,IF(G53=0,"ZERO / REVIEW","NO RESOURCE"),"RESOURCE LINKED"))</x:f>
      </x:c>
      <x:c r="Q53" s="151"/>
      <x:c r="R53" s="106">
        <x:f t="shared" si="11"/>
      </x:c>
      <x:c r="S53" s="146" t="str">
        <x:f>IF(B53="","",IF(COUNTIF('Resource Build-Up'!$B$7:$B$306,B53)=0,"NO RESOURCE",IF(COUNTIFS('Resource Build-Up'!$B$7:$B$306,B53,'Resource Build-Up'!$AI$7:$AI$306,"&lt;&gt;OK")&gt;0,"RESOURCE QA","LINKED")))</x:f>
      </x:c>
      <x:c r="T53" s="140"/>
    </x:row>
    <x:row r="54" ht="26.399999618530273" customHeight="1">
      <x:c r="A54" s="33"/>
      <x:c r="B54" s="34"/>
      <x:c r="C54" s="34"/>
      <x:c r="D54" s="34"/>
      <x:c r="E54" s="17"/>
      <x:c r="F54" s="69" t="n">
        <x:f t="shared" si="6">IF(OR(B54="",E54=0),0,G54/E54)</x:f>
        <x:v>0</x:v>
      </x:c>
      <x:c r="G54" s="18" t="n">
        <x:f>IF(B54="",0,SUMIF('Resource Build-Up'!$B$7:$B$306,B54,'Resource Build-Up'!$Z$7:$Z$306))</x:f>
        <x:v>0</x:v>
      </x:c>
      <x:c r="H54" s="34"/>
      <x:c r="I54" s="34"/>
      <x:c r="J54" s="34"/>
      <x:c r="K54" s="34"/>
      <x:c r="L54" s="70" t="str">
        <x:f t="shared" si="7">IF(B54="","",IF(J54="Excluded","Excluded","Resource-linked"))</x:f>
      </x:c>
      <x:c r="M54" s="71" t="str">
        <x:f t="shared" si="8">IF(B54="","",IF(G54=0,"No resource cost / review","Resource Build-Up -&gt; "&amp;B54))</x:f>
      </x:c>
      <x:c r="N54" s="71" t="str">
        <x:f t="shared" si="9">IF(B54="","","Resource Build-Up")</x:f>
      </x:c>
      <x:c r="O54" s="71" t="str">
        <x:f t="shared" si="10">IF(B54="","","See Resource Build-Up / Resource Rate Library")</x:f>
      </x:c>
      <x:c r="P54" s="70" t="str">
        <x:f>IF(B54="","",IF(COUNTIF('Resource Build-Up'!$B$7:$B$306,B54)=0,IF(G54=0,"ZERO / REVIEW","NO RESOURCE"),"RESOURCE LINKED"))</x:f>
      </x:c>
      <x:c r="Q54" s="34"/>
      <x:c r="R54" s="106">
        <x:f t="shared" si="11"/>
      </x:c>
      <x:c r="S54" s="146" t="str">
        <x:f>IF(B54="","",IF(COUNTIF('Resource Build-Up'!$B$7:$B$306,B54)=0,"NO RESOURCE",IF(COUNTIFS('Resource Build-Up'!$B$7:$B$306,B54,'Resource Build-Up'!$AI$7:$AI$306,"&lt;&gt;OK")&gt;0,"RESOURCE QA","LINKED")))</x:f>
      </x:c>
      <x:c r="T54" s="140"/>
    </x:row>
    <x:row r="55" ht="26.399999618530273" customHeight="1">
      <x:c r="A55" s="156"/>
      <x:c r="B55" s="156"/>
      <x:c r="C55" s="156"/>
      <x:c r="D55" s="156"/>
      <x:c r="E55" s="154"/>
      <x:c r="F55" s="155" t="n">
        <x:f t="shared" si="6">IF(OR(B55="",E55=0),0,G55/E55)</x:f>
        <x:v>0</x:v>
      </x:c>
      <x:c r="G55" s="155" t="n">
        <x:f>IF(B55="",0,SUMIF('Resource Build-Up'!$B$7:$B$306,B55,'Resource Build-Up'!$Z$7:$Z$306))</x:f>
        <x:v>0</x:v>
      </x:c>
      <x:c r="H55" s="156"/>
      <x:c r="I55" s="156"/>
      <x:c r="J55" s="156"/>
      <x:c r="K55" s="156"/>
      <x:c r="L55" s="146" t="str">
        <x:f t="shared" si="7">IF(B55="","",IF(J55="Excluded","Excluded","Resource-linked"))</x:f>
      </x:c>
      <x:c r="M55" s="146" t="str">
        <x:f t="shared" si="8">IF(B55="","",IF(G55=0,"No resource cost / review","Resource Build-Up -&gt; "&amp;B55))</x:f>
      </x:c>
      <x:c r="N55" s="146" t="str">
        <x:f t="shared" si="9">IF(B55="","","Resource Build-Up")</x:f>
      </x:c>
      <x:c r="O55" s="146" t="str">
        <x:f t="shared" si="10">IF(B55="","","See Resource Build-Up / Resource Rate Library")</x:f>
      </x:c>
      <x:c r="P55" s="146" t="str">
        <x:f>IF(B55="","",IF(COUNTIF('Resource Build-Up'!$B$7:$B$306,B55)=0,IF(G55=0,"ZERO / REVIEW","NO RESOURCE"),"RESOURCE LINKED"))</x:f>
      </x:c>
      <x:c r="Q55" s="156"/>
      <x:c r="R55" s="106">
        <x:f t="shared" si="11"/>
      </x:c>
      <x:c r="S55" s="146" t="str">
        <x:f>IF(B55="","",IF(COUNTIF('Resource Build-Up'!$B$7:$B$306,B55)=0,"NO RESOURCE",IF(COUNTIFS('Resource Build-Up'!$B$7:$B$306,B55,'Resource Build-Up'!$AI$7:$AI$306,"&lt;&gt;OK")&gt;0,"RESOURCE QA","LINKED")))</x:f>
      </x:c>
      <x:c r="T55" s="140"/>
    </x:row>
    <x:row r="56" ht="26.399999618530273" customHeight="1">
      <x:c r="A56" s="33"/>
      <x:c r="B56" s="34"/>
      <x:c r="C56" s="34"/>
      <x:c r="D56" s="34"/>
      <x:c r="E56" s="17"/>
      <x:c r="F56" s="69" t="n">
        <x:f t="shared" si="6">IF(OR(B56="",E56=0),0,G56/E56)</x:f>
        <x:v>0</x:v>
      </x:c>
      <x:c r="G56" s="69" t="n">
        <x:f>IF(B56="",0,SUMIF('Resource Build-Up'!$B$7:$B$306,B56,'Resource Build-Up'!$Z$7:$Z$306))</x:f>
        <x:v>0</x:v>
      </x:c>
      <x:c r="H56" s="34"/>
      <x:c r="I56" s="34"/>
      <x:c r="J56" s="34"/>
      <x:c r="K56" s="34"/>
      <x:c r="L56" s="71" t="str">
        <x:f t="shared" si="7">IF(B56="","",IF(J56="Excluded","Excluded","Resource-linked"))</x:f>
      </x:c>
      <x:c r="M56" s="71" t="str">
        <x:f t="shared" si="8">IF(B56="","",IF(G56=0,"No resource cost / review","Resource Build-Up -&gt; "&amp;B56))</x:f>
      </x:c>
      <x:c r="N56" s="71" t="str">
        <x:f t="shared" si="9">IF(B56="","","Resource Build-Up")</x:f>
      </x:c>
      <x:c r="O56" s="71" t="str">
        <x:f t="shared" si="10">IF(B56="","","See Resource Build-Up / Resource Rate Library")</x:f>
      </x:c>
      <x:c r="P56" s="71" t="str">
        <x:f>IF(B56="","",IF(COUNTIF('Resource Build-Up'!$B$7:$B$306,B56)=0,IF(G56=0,"ZERO / REVIEW","NO RESOURCE"),"RESOURCE LINKED"))</x:f>
      </x:c>
      <x:c r="Q56" s="34"/>
      <x:c r="R56" s="106">
        <x:f t="shared" si="11"/>
      </x:c>
      <x:c r="S56" s="146" t="str">
        <x:f>IF(B56="","",IF(COUNTIF('Resource Build-Up'!$B$7:$B$306,B56)=0,"NO RESOURCE",IF(COUNTIFS('Resource Build-Up'!$B$7:$B$306,B56,'Resource Build-Up'!$AI$7:$AI$306,"&lt;&gt;OK")&gt;0,"RESOURCE QA","LINKED")))</x:f>
      </x:c>
      <x:c r="T56" s="140"/>
    </x:row>
    <x:row r="57" ht="26.399999618530273" customHeight="1">
      <x:c r="A57" s="151"/>
      <x:c r="B57" s="151"/>
      <x:c r="C57" s="151"/>
      <x:c r="D57" s="151"/>
      <x:c r="E57" s="148"/>
      <x:c r="F57" s="149" t="n">
        <x:f t="shared" si="6">IF(OR(B57="",E57=0),0,G57/E57)</x:f>
        <x:v>0</x:v>
      </x:c>
      <x:c r="G57" s="149" t="n">
        <x:f>IF(B57="",0,SUMIF('Resource Build-Up'!$B$7:$B$306,B57,'Resource Build-Up'!$Z$7:$Z$306))</x:f>
        <x:v>0</x:v>
      </x:c>
      <x:c r="H57" s="151"/>
      <x:c r="I57" s="151"/>
      <x:c r="J57" s="151"/>
      <x:c r="K57" s="151"/>
      <x:c r="L57" s="150" t="str">
        <x:f t="shared" si="7">IF(B57="","",IF(J57="Excluded","Excluded","Resource-linked"))</x:f>
      </x:c>
      <x:c r="M57" s="150" t="str">
        <x:f t="shared" si="8">IF(B57="","",IF(G57=0,"No resource cost / review","Resource Build-Up -&gt; "&amp;B57))</x:f>
      </x:c>
      <x:c r="N57" s="150" t="str">
        <x:f t="shared" si="9">IF(B57="","","Resource Build-Up")</x:f>
      </x:c>
      <x:c r="O57" s="150" t="str">
        <x:f t="shared" si="10">IF(B57="","","See Resource Build-Up / Resource Rate Library")</x:f>
      </x:c>
      <x:c r="P57" s="150" t="str">
        <x:f>IF(B57="","",IF(COUNTIF('Resource Build-Up'!$B$7:$B$306,B57)=0,IF(G57=0,"ZERO / REVIEW","NO RESOURCE"),"RESOURCE LINKED"))</x:f>
      </x:c>
      <x:c r="Q57" s="151"/>
      <x:c r="R57" s="106">
        <x:f t="shared" si="11"/>
      </x:c>
      <x:c r="S57" s="146" t="str">
        <x:f>IF(B57="","",IF(COUNTIF('Resource Build-Up'!$B$7:$B$306,B57)=0,"NO RESOURCE",IF(COUNTIFS('Resource Build-Up'!$B$7:$B$306,B57,'Resource Build-Up'!$AI$7:$AI$306,"&lt;&gt;OK")&gt;0,"RESOURCE QA","LINKED")))</x:f>
      </x:c>
      <x:c r="T57" s="140"/>
    </x:row>
    <x:row r="58" ht="26.399999618530273" customHeight="1">
      <x:c r="A58" s="147"/>
      <x:c r="B58" s="147"/>
      <x:c r="C58" s="147"/>
      <x:c r="D58" s="147"/>
      <x:c r="E58" s="148"/>
      <x:c r="F58" s="149" t="n">
        <x:f t="shared" si="6">IF(OR(B58="",E58=0),0,G58/E58)</x:f>
        <x:v>0</x:v>
      </x:c>
      <x:c r="G58" s="149" t="n">
        <x:f>IF(B58="",0,SUMIF('Resource Build-Up'!$B$7:$B$306,B58,'Resource Build-Up'!$Z$7:$Z$306))</x:f>
        <x:v>0</x:v>
      </x:c>
      <x:c r="H58" s="147"/>
      <x:c r="I58" s="147"/>
      <x:c r="J58" s="147"/>
      <x:c r="K58" s="147"/>
      <x:c r="L58" s="150" t="str">
        <x:f t="shared" si="7">IF(B58="","",IF(J58="Excluded","Excluded","Resource-linked"))</x:f>
      </x:c>
      <x:c r="M58" s="150" t="str">
        <x:f t="shared" si="8">IF(B58="","",IF(G58=0,"No resource cost / review","Resource Build-Up -&gt; "&amp;B58))</x:f>
      </x:c>
      <x:c r="N58" s="150" t="str">
        <x:f t="shared" si="9">IF(B58="","","Resource Build-Up")</x:f>
      </x:c>
      <x:c r="O58" s="150" t="str">
        <x:f t="shared" si="10">IF(B58="","","See Resource Build-Up / Resource Rate Library")</x:f>
      </x:c>
      <x:c r="P58" s="150" t="str">
        <x:f>IF(B58="","",IF(COUNTIF('Resource Build-Up'!$B$7:$B$306,B58)=0,IF(G58=0,"ZERO / REVIEW","NO RESOURCE"),"RESOURCE LINKED"))</x:f>
      </x:c>
      <x:c r="Q58" s="147"/>
      <x:c r="R58" s="106">
        <x:f t="shared" si="11"/>
      </x:c>
      <x:c r="S58" s="146" t="str">
        <x:f>IF(B58="","",IF(COUNTIF('Resource Build-Up'!$B$7:$B$306,B58)=0,"NO RESOURCE",IF(COUNTIFS('Resource Build-Up'!$B$7:$B$306,B58,'Resource Build-Up'!$AI$7:$AI$306,"&lt;&gt;OK")&gt;0,"RESOURCE QA","LINKED")))</x:f>
      </x:c>
      <x:c r="T58" s="140"/>
    </x:row>
    <x:row r="59" ht="26.399999618530273" customHeight="1">
      <x:c r="A59" s="151"/>
      <x:c r="B59" s="151"/>
      <x:c r="C59" s="151"/>
      <x:c r="D59" s="151"/>
      <x:c r="E59" s="148"/>
      <x:c r="F59" s="149" t="n">
        <x:f t="shared" si="6">IF(OR(B59="",E59=0),0,G59/E59)</x:f>
        <x:v>0</x:v>
      </x:c>
      <x:c r="G59" s="149" t="n">
        <x:f>IF(B59="",0,SUMIF('Resource Build-Up'!$B$7:$B$306,B59,'Resource Build-Up'!$Z$7:$Z$306))</x:f>
        <x:v>0</x:v>
      </x:c>
      <x:c r="H59" s="151"/>
      <x:c r="I59" s="151"/>
      <x:c r="J59" s="151"/>
      <x:c r="K59" s="151"/>
      <x:c r="L59" s="150" t="str">
        <x:f t="shared" si="7">IF(B59="","",IF(J59="Excluded","Excluded","Resource-linked"))</x:f>
      </x:c>
      <x:c r="M59" s="150" t="str">
        <x:f t="shared" si="8">IF(B59="","",IF(G59=0,"No resource cost / review","Resource Build-Up -&gt; "&amp;B59))</x:f>
      </x:c>
      <x:c r="N59" s="150" t="str">
        <x:f t="shared" si="9">IF(B59="","","Resource Build-Up")</x:f>
      </x:c>
      <x:c r="O59" s="150" t="str">
        <x:f t="shared" si="10">IF(B59="","","See Resource Build-Up / Resource Rate Library")</x:f>
      </x:c>
      <x:c r="P59" s="150" t="str">
        <x:f>IF(B59="","",IF(COUNTIF('Resource Build-Up'!$B$7:$B$306,B59)=0,IF(G59=0,"ZERO / REVIEW","NO RESOURCE"),"RESOURCE LINKED"))</x:f>
      </x:c>
      <x:c r="Q59" s="151"/>
      <x:c r="R59" s="106">
        <x:f t="shared" si="11"/>
      </x:c>
      <x:c r="S59" s="146" t="str">
        <x:f>IF(B59="","",IF(COUNTIF('Resource Build-Up'!$B$7:$B$306,B59)=0,"NO RESOURCE",IF(COUNTIFS('Resource Build-Up'!$B$7:$B$306,B59,'Resource Build-Up'!$AI$7:$AI$306,"&lt;&gt;OK")&gt;0,"RESOURCE QA","LINKED")))</x:f>
      </x:c>
      <x:c r="T59" s="140"/>
    </x:row>
    <x:row r="60" ht="26.399999618530273" customHeight="1">
      <x:c r="A60" s="147"/>
      <x:c r="B60" s="147"/>
      <x:c r="C60" s="147"/>
      <x:c r="D60" s="147"/>
      <x:c r="E60" s="148"/>
      <x:c r="F60" s="149" t="n">
        <x:f t="shared" si="6">IF(OR(B60="",E60=0),0,G60/E60)</x:f>
        <x:v>0</x:v>
      </x:c>
      <x:c r="G60" s="149" t="n">
        <x:f>IF(B60="",0,SUMIF('Resource Build-Up'!$B$7:$B$306,B60,'Resource Build-Up'!$Z$7:$Z$306))</x:f>
        <x:v>0</x:v>
      </x:c>
      <x:c r="H60" s="147"/>
      <x:c r="I60" s="147"/>
      <x:c r="J60" s="147"/>
      <x:c r="K60" s="147"/>
      <x:c r="L60" s="150" t="str">
        <x:f t="shared" si="7">IF(B60="","",IF(J60="Excluded","Excluded","Resource-linked"))</x:f>
      </x:c>
      <x:c r="M60" s="150" t="str">
        <x:f t="shared" si="8">IF(B60="","",IF(G60=0,"No resource cost / review","Resource Build-Up -&gt; "&amp;B60))</x:f>
      </x:c>
      <x:c r="N60" s="150" t="str">
        <x:f t="shared" si="9">IF(B60="","","Resource Build-Up")</x:f>
      </x:c>
      <x:c r="O60" s="150" t="str">
        <x:f t="shared" si="10">IF(B60="","","See Resource Build-Up / Resource Rate Library")</x:f>
      </x:c>
      <x:c r="P60" s="150" t="str">
        <x:f>IF(B60="","",IF(COUNTIF('Resource Build-Up'!$B$7:$B$306,B60)=0,IF(G60=0,"ZERO / REVIEW","NO RESOURCE"),"RESOURCE LINKED"))</x:f>
      </x:c>
      <x:c r="Q60" s="147"/>
      <x:c r="R60" s="106">
        <x:f t="shared" si="11"/>
      </x:c>
      <x:c r="S60" s="146" t="str">
        <x:f>IF(B60="","",IF(COUNTIF('Resource Build-Up'!$B$7:$B$306,B60)=0,"NO RESOURCE",IF(COUNTIFS('Resource Build-Up'!$B$7:$B$306,B60,'Resource Build-Up'!$AI$7:$AI$306,"&lt;&gt;OK")&gt;0,"RESOURCE QA","LINKED")))</x:f>
      </x:c>
      <x:c r="T60" s="140"/>
    </x:row>
    <x:row r="61" ht="26.399999618530273" customHeight="1">
      <x:c r="A61" s="151"/>
      <x:c r="B61" s="151"/>
      <x:c r="C61" s="151"/>
      <x:c r="D61" s="151"/>
      <x:c r="E61" s="148"/>
      <x:c r="F61" s="149" t="n">
        <x:f t="shared" si="6">IF(OR(B61="",E61=0),0,G61/E61)</x:f>
        <x:v>0</x:v>
      </x:c>
      <x:c r="G61" s="149" t="n">
        <x:f>IF(B61="",0,SUMIF('Resource Build-Up'!$B$7:$B$306,B61,'Resource Build-Up'!$Z$7:$Z$306))</x:f>
        <x:v>0</x:v>
      </x:c>
      <x:c r="H61" s="151"/>
      <x:c r="I61" s="151"/>
      <x:c r="J61" s="151"/>
      <x:c r="K61" s="151"/>
      <x:c r="L61" s="150" t="str">
        <x:f t="shared" si="7">IF(B61="","",IF(J61="Excluded","Excluded","Resource-linked"))</x:f>
      </x:c>
      <x:c r="M61" s="150" t="str">
        <x:f t="shared" si="8">IF(B61="","",IF(G61=0,"No resource cost / review","Resource Build-Up -&gt; "&amp;B61))</x:f>
      </x:c>
      <x:c r="N61" s="150" t="str">
        <x:f t="shared" si="9">IF(B61="","","Resource Build-Up")</x:f>
      </x:c>
      <x:c r="O61" s="150" t="str">
        <x:f t="shared" si="10">IF(B61="","","See Resource Build-Up / Resource Rate Library")</x:f>
      </x:c>
      <x:c r="P61" s="150" t="str">
        <x:f>IF(B61="","",IF(COUNTIF('Resource Build-Up'!$B$7:$B$306,B61)=0,IF(G61=0,"ZERO / REVIEW","NO RESOURCE"),"RESOURCE LINKED"))</x:f>
      </x:c>
      <x:c r="Q61" s="151"/>
      <x:c r="R61" s="106">
        <x:f t="shared" si="11"/>
      </x:c>
      <x:c r="S61" s="146" t="str">
        <x:f>IF(B61="","",IF(COUNTIF('Resource Build-Up'!$B$7:$B$306,B61)=0,"NO RESOURCE",IF(COUNTIFS('Resource Build-Up'!$B$7:$B$306,B61,'Resource Build-Up'!$AI$7:$AI$306,"&lt;&gt;OK")&gt;0,"RESOURCE QA","LINKED")))</x:f>
      </x:c>
      <x:c r="T61" s="140"/>
    </x:row>
    <x:row r="62" ht="26.399999618530273" customHeight="1">
      <x:c r="A62" s="35"/>
      <x:c r="B62" s="35"/>
      <x:c r="C62" s="35"/>
      <x:c r="D62" s="35"/>
      <x:c r="E62" s="152"/>
      <x:c r="F62" s="18" t="n">
        <x:f t="shared" si="6">IF(OR(B62="",E62=0),0,G62/E62)</x:f>
        <x:v>0</x:v>
      </x:c>
      <x:c r="G62" s="18" t="n">
        <x:f>IF(B62="",0,SUMIF('Resource Build-Up'!$B$7:$B$306,B62,'Resource Build-Up'!$Z$7:$Z$306))</x:f>
        <x:v>0</x:v>
      </x:c>
      <x:c r="H62" s="35"/>
      <x:c r="I62" s="35"/>
      <x:c r="J62" s="35"/>
      <x:c r="K62" s="35"/>
      <x:c r="L62" s="70" t="str">
        <x:f t="shared" si="7">IF(B62="","",IF(J62="Excluded","Excluded","Resource-linked"))</x:f>
      </x:c>
      <x:c r="M62" s="70" t="str">
        <x:f t="shared" si="8">IF(B62="","",IF(G62=0,"No resource cost / review","Resource Build-Up -&gt; "&amp;B62))</x:f>
      </x:c>
      <x:c r="N62" s="70" t="str">
        <x:f t="shared" si="9">IF(B62="","","Resource Build-Up")</x:f>
      </x:c>
      <x:c r="O62" s="70" t="str">
        <x:f t="shared" si="10">IF(B62="","","See Resource Build-Up / Resource Rate Library")</x:f>
      </x:c>
      <x:c r="P62" s="70" t="str">
        <x:f>IF(B62="","",IF(COUNTIF('Resource Build-Up'!$B$7:$B$306,B62)=0,IF(G62=0,"ZERO / REVIEW","NO RESOURCE"),"RESOURCE LINKED"))</x:f>
      </x:c>
      <x:c r="Q62" s="35"/>
      <x:c r="R62" s="106">
        <x:f t="shared" si="11"/>
      </x:c>
      <x:c r="S62" s="146" t="str">
        <x:f>IF(B62="","",IF(COUNTIF('Resource Build-Up'!$B$7:$B$306,B62)=0,"NO RESOURCE",IF(COUNTIFS('Resource Build-Up'!$B$7:$B$306,B62,'Resource Build-Up'!$AI$7:$AI$306,"&lt;&gt;OK")&gt;0,"RESOURCE QA","LINKED")))</x:f>
      </x:c>
      <x:c r="T62" s="140"/>
    </x:row>
    <x:row r="63" ht="26.399999618530273" customHeight="1">
      <x:c r="A63" s="33"/>
      <x:c r="B63" s="33"/>
      <x:c r="C63" s="33"/>
      <x:c r="D63" s="33"/>
      <x:c r="E63" s="152"/>
      <x:c r="F63" s="18" t="n">
        <x:f t="shared" si="6">IF(OR(B63="",E63=0),0,G63/E63)</x:f>
        <x:v>0</x:v>
      </x:c>
      <x:c r="G63" s="18" t="n">
        <x:f>IF(B63="",0,SUMIF('Resource Build-Up'!$B$7:$B$306,B63,'Resource Build-Up'!$Z$7:$Z$306))</x:f>
        <x:v>0</x:v>
      </x:c>
      <x:c r="H63" s="33"/>
      <x:c r="I63" s="33"/>
      <x:c r="J63" s="33"/>
      <x:c r="K63" s="33"/>
      <x:c r="L63" s="70" t="str">
        <x:f t="shared" si="7">IF(B63="","",IF(J63="Excluded","Excluded","Resource-linked"))</x:f>
      </x:c>
      <x:c r="M63" s="70" t="str">
        <x:f t="shared" si="8">IF(B63="","",IF(G63=0,"No resource cost / review","Resource Build-Up -&gt; "&amp;B63))</x:f>
      </x:c>
      <x:c r="N63" s="70" t="str">
        <x:f t="shared" si="9">IF(B63="","","Resource Build-Up")</x:f>
      </x:c>
      <x:c r="O63" s="70" t="str">
        <x:f t="shared" si="10">IF(B63="","","See Resource Build-Up / Resource Rate Library")</x:f>
      </x:c>
      <x:c r="P63" s="70" t="str">
        <x:f>IF(B63="","",IF(COUNTIF('Resource Build-Up'!$B$7:$B$306,B63)=0,IF(G63=0,"ZERO / REVIEW","NO RESOURCE"),"RESOURCE LINKED"))</x:f>
      </x:c>
      <x:c r="Q63" s="33"/>
      <x:c r="R63" s="106">
        <x:f t="shared" si="11"/>
      </x:c>
      <x:c r="S63" s="146" t="str">
        <x:f>IF(B63="","",IF(COUNTIF('Resource Build-Up'!$B$7:$B$306,B63)=0,"NO RESOURCE",IF(COUNTIFS('Resource Build-Up'!$B$7:$B$306,B63,'Resource Build-Up'!$AI$7:$AI$306,"&lt;&gt;OK")&gt;0,"RESOURCE QA","LINKED")))</x:f>
      </x:c>
      <x:c r="T63" s="140"/>
    </x:row>
    <x:row r="64" ht="26.399999618530273" customHeight="1">
      <x:c r="A64" s="151"/>
      <x:c r="B64" s="151"/>
      <x:c r="C64" s="151"/>
      <x:c r="D64" s="151"/>
      <x:c r="E64" s="148"/>
      <x:c r="F64" s="149" t="n">
        <x:f t="shared" ref="F64:F73" si="12">IF(OR(B64="",E64=0),0,G64/E64)</x:f>
        <x:v>0</x:v>
      </x:c>
      <x:c r="G64" s="149" t="n">
        <x:f>IF(B64="",0,SUMIF('Resource Build-Up'!$B$7:$B$306,B64,'Resource Build-Up'!$Z$7:$Z$306))</x:f>
        <x:v>0</x:v>
      </x:c>
      <x:c r="H64" s="151"/>
      <x:c r="I64" s="151"/>
      <x:c r="J64" s="151"/>
      <x:c r="K64" s="151"/>
      <x:c r="L64" s="150" t="str">
        <x:f t="shared" ref="L64:L73" si="13">IF(B64="","",IF(J64="Excluded","Excluded","Resource-linked"))</x:f>
      </x:c>
      <x:c r="M64" s="150" t="str">
        <x:f t="shared" ref="M64:M73" si="14">IF(B64="","",IF(G64=0,"No resource cost / review","Resource Build-Up -&gt; "&amp;B64))</x:f>
      </x:c>
      <x:c r="N64" s="150" t="str">
        <x:f t="shared" ref="N64:N73" si="15">IF(B64="","","Resource Build-Up")</x:f>
      </x:c>
      <x:c r="O64" s="150" t="str">
        <x:f t="shared" ref="O64:O73" si="16">IF(B64="","","See Resource Build-Up / Resource Rate Library")</x:f>
      </x:c>
      <x:c r="P64" s="150" t="str">
        <x:f>IF(B64="","",IF(COUNTIF('Resource Build-Up'!$B$7:$B$306,B64)=0,IF(G64=0,"ZERO / REVIEW","NO RESOURCE"),"RESOURCE LINKED"))</x:f>
      </x:c>
      <x:c r="Q64" s="151"/>
      <x:c r="R64" s="106" t="str">
        <x:f t="shared" ref="R64:R73" si="17">IF(OR(ISNUMBER(SEARCH("PC",P64)),ISNUMBER(SEARCH("quote",Q64))),"Jason","Rick")</x:f>
        <x:v>Rick</x:v>
      </x:c>
      <x:c r="S64" s="146" t="str">
        <x:f>IF(B64="","",IF(COUNTIF('Resource Build-Up'!$B$7:$B$306,B64)=0,"NO RESOURCE",IF(COUNTIFS('Resource Build-Up'!$B$7:$B$306,B64,'Resource Build-Up'!$AI$7:$AI$306,"&lt;&gt;OK")&gt;0,"RESOURCE QA","LINKED")))</x:f>
      </x:c>
      <x:c r="T64" s="140"/>
    </x:row>
    <x:row r="65" ht="26.399999618530273" customHeight="1">
      <x:c r="A65" s="147"/>
      <x:c r="B65" s="147"/>
      <x:c r="C65" s="147"/>
      <x:c r="D65" s="147"/>
      <x:c r="E65" s="148"/>
      <x:c r="F65" s="149" t="n">
        <x:f t="shared" si="12">IF(OR(B65="",E65=0),0,G65/E65)</x:f>
        <x:v>0</x:v>
      </x:c>
      <x:c r="G65" s="149" t="n">
        <x:f>IF(B65="",0,SUMIF('Resource Build-Up'!$B$7:$B$306,B65,'Resource Build-Up'!$Z$7:$Z$306))</x:f>
        <x:v>0</x:v>
      </x:c>
      <x:c r="H65" s="147"/>
      <x:c r="I65" s="147"/>
      <x:c r="J65" s="147"/>
      <x:c r="K65" s="147"/>
      <x:c r="L65" s="150" t="str">
        <x:f t="shared" si="13">IF(B65="","",IF(J65="Excluded","Excluded","Resource-linked"))</x:f>
      </x:c>
      <x:c r="M65" s="150" t="str">
        <x:f t="shared" si="14">IF(B65="","",IF(G65=0,"No resource cost / review","Resource Build-Up -&gt; "&amp;B65))</x:f>
      </x:c>
      <x:c r="N65" s="150" t="str">
        <x:f t="shared" si="15">IF(B65="","","Resource Build-Up")</x:f>
      </x:c>
      <x:c r="O65" s="150" t="str">
        <x:f t="shared" si="16">IF(B65="","","See Resource Build-Up / Resource Rate Library")</x:f>
      </x:c>
      <x:c r="P65" s="150" t="str">
        <x:f>IF(B65="","",IF(COUNTIF('Resource Build-Up'!$B$7:$B$306,B65)=0,IF(G65=0,"ZERO / REVIEW","NO RESOURCE"),"RESOURCE LINKED"))</x:f>
      </x:c>
      <x:c r="Q65" s="147"/>
      <x:c r="R65" s="106">
        <x:f t="shared" si="17"/>
      </x:c>
      <x:c r="S65" s="146" t="str">
        <x:f>IF(B65="","",IF(COUNTIF('Resource Build-Up'!$B$7:$B$306,B65)=0,"NO RESOURCE",IF(COUNTIFS('Resource Build-Up'!$B$7:$B$306,B65,'Resource Build-Up'!$AI$7:$AI$306,"&lt;&gt;OK")&gt;0,"RESOURCE QA","LINKED")))</x:f>
      </x:c>
      <x:c r="T65" s="140"/>
    </x:row>
    <x:row r="66" ht="26.399999618530273" customHeight="1">
      <x:c r="A66" s="151"/>
      <x:c r="B66" s="151"/>
      <x:c r="C66" s="151"/>
      <x:c r="D66" s="151"/>
      <x:c r="E66" s="148"/>
      <x:c r="F66" s="149" t="n">
        <x:f t="shared" si="12">IF(OR(B66="",E66=0),0,G66/E66)</x:f>
        <x:v>0</x:v>
      </x:c>
      <x:c r="G66" s="149" t="n">
        <x:f>IF(B66="",0,SUMIF('Resource Build-Up'!$B$7:$B$306,B66,'Resource Build-Up'!$Z$7:$Z$306))</x:f>
        <x:v>0</x:v>
      </x:c>
      <x:c r="H66" s="151"/>
      <x:c r="I66" s="151"/>
      <x:c r="J66" s="151"/>
      <x:c r="K66" s="151"/>
      <x:c r="L66" s="150" t="str">
        <x:f t="shared" si="13">IF(B66="","",IF(J66="Excluded","Excluded","Resource-linked"))</x:f>
      </x:c>
      <x:c r="M66" s="150" t="str">
        <x:f t="shared" si="14">IF(B66="","",IF(G66=0,"No resource cost / review","Resource Build-Up -&gt; "&amp;B66))</x:f>
      </x:c>
      <x:c r="N66" s="150" t="str">
        <x:f t="shared" si="15">IF(B66="","","Resource Build-Up")</x:f>
      </x:c>
      <x:c r="O66" s="150" t="str">
        <x:f t="shared" si="16">IF(B66="","","See Resource Build-Up / Resource Rate Library")</x:f>
      </x:c>
      <x:c r="P66" s="150" t="str">
        <x:f>IF(B66="","",IF(COUNTIF('Resource Build-Up'!$B$7:$B$306,B66)=0,IF(G66=0,"ZERO / REVIEW","NO RESOURCE"),"RESOURCE LINKED"))</x:f>
      </x:c>
      <x:c r="Q66" s="151"/>
      <x:c r="R66" s="106">
        <x:f t="shared" si="17"/>
      </x:c>
      <x:c r="S66" s="146" t="str">
        <x:f>IF(B66="","",IF(COUNTIF('Resource Build-Up'!$B$7:$B$306,B66)=0,"NO RESOURCE",IF(COUNTIFS('Resource Build-Up'!$B$7:$B$306,B66,'Resource Build-Up'!$AI$7:$AI$306,"&lt;&gt;OK")&gt;0,"RESOURCE QA","LINKED")))</x:f>
      </x:c>
      <x:c r="T66" s="140"/>
    </x:row>
    <x:row r="67" ht="26.399999618530273" customHeight="1">
      <x:c r="A67" s="147"/>
      <x:c r="B67" s="147"/>
      <x:c r="C67" s="147"/>
      <x:c r="D67" s="147"/>
      <x:c r="E67" s="148"/>
      <x:c r="F67" s="149" t="n">
        <x:f t="shared" si="12">IF(OR(B67="",E67=0),0,G67/E67)</x:f>
        <x:v>0</x:v>
      </x:c>
      <x:c r="G67" s="149" t="n">
        <x:f>IF(B67="",0,SUMIF('Resource Build-Up'!$B$7:$B$306,B67,'Resource Build-Up'!$Z$7:$Z$306))</x:f>
        <x:v>0</x:v>
      </x:c>
      <x:c r="H67" s="147"/>
      <x:c r="I67" s="147"/>
      <x:c r="J67" s="147"/>
      <x:c r="K67" s="147"/>
      <x:c r="L67" s="150" t="str">
        <x:f t="shared" si="13">IF(B67="","",IF(J67="Excluded","Excluded","Resource-linked"))</x:f>
      </x:c>
      <x:c r="M67" s="150" t="str">
        <x:f t="shared" si="14">IF(B67="","",IF(G67=0,"No resource cost / review","Resource Build-Up -&gt; "&amp;B67))</x:f>
      </x:c>
      <x:c r="N67" s="150" t="str">
        <x:f t="shared" si="15">IF(B67="","","Resource Build-Up")</x:f>
      </x:c>
      <x:c r="O67" s="150" t="str">
        <x:f t="shared" si="16">IF(B67="","","See Resource Build-Up / Resource Rate Library")</x:f>
      </x:c>
      <x:c r="P67" s="150" t="str">
        <x:f>IF(B67="","",IF(COUNTIF('Resource Build-Up'!$B$7:$B$306,B67)=0,IF(G67=0,"ZERO / REVIEW","NO RESOURCE"),"RESOURCE LINKED"))</x:f>
      </x:c>
      <x:c r="Q67" s="147"/>
      <x:c r="R67" s="106">
        <x:f t="shared" si="17"/>
      </x:c>
      <x:c r="S67" s="146" t="str">
        <x:f>IF(B67="","",IF(COUNTIF('Resource Build-Up'!$B$7:$B$306,B67)=0,"NO RESOURCE",IF(COUNTIFS('Resource Build-Up'!$B$7:$B$306,B67,'Resource Build-Up'!$AI$7:$AI$306,"&lt;&gt;OK")&gt;0,"RESOURCE QA","LINKED")))</x:f>
      </x:c>
      <x:c r="T67" s="140"/>
    </x:row>
    <x:row r="68" ht="26.399999618530273" customHeight="1">
      <x:c r="A68" s="151"/>
      <x:c r="B68" s="151"/>
      <x:c r="C68" s="151"/>
      <x:c r="D68" s="151"/>
      <x:c r="E68" s="148"/>
      <x:c r="F68" s="149" t="n">
        <x:f t="shared" si="12">IF(OR(B68="",E68=0),0,G68/E68)</x:f>
        <x:v>0</x:v>
      </x:c>
      <x:c r="G68" s="149" t="n">
        <x:f>IF(B68="",0,SUMIF('Resource Build-Up'!$B$7:$B$306,B68,'Resource Build-Up'!$Z$7:$Z$306))</x:f>
        <x:v>0</x:v>
      </x:c>
      <x:c r="H68" s="151"/>
      <x:c r="I68" s="151"/>
      <x:c r="J68" s="151"/>
      <x:c r="K68" s="151"/>
      <x:c r="L68" s="150" t="str">
        <x:f t="shared" si="13">IF(B68="","",IF(J68="Excluded","Excluded","Resource-linked"))</x:f>
      </x:c>
      <x:c r="M68" s="150" t="str">
        <x:f t="shared" si="14">IF(B68="","",IF(G68=0,"No resource cost / review","Resource Build-Up -&gt; "&amp;B68))</x:f>
      </x:c>
      <x:c r="N68" s="150" t="str">
        <x:f t="shared" si="15">IF(B68="","","Resource Build-Up")</x:f>
      </x:c>
      <x:c r="O68" s="150" t="str">
        <x:f t="shared" si="16">IF(B68="","","See Resource Build-Up / Resource Rate Library")</x:f>
      </x:c>
      <x:c r="P68" s="150" t="str">
        <x:f>IF(B68="","",IF(COUNTIF('Resource Build-Up'!$B$7:$B$306,B68)=0,IF(G68=0,"ZERO / REVIEW","NO RESOURCE"),"RESOURCE LINKED"))</x:f>
      </x:c>
      <x:c r="Q68" s="151"/>
      <x:c r="R68" s="106">
        <x:f t="shared" si="17"/>
      </x:c>
      <x:c r="S68" s="146" t="str">
        <x:f>IF(B68="","",IF(COUNTIF('Resource Build-Up'!$B$7:$B$306,B68)=0,"NO RESOURCE",IF(COUNTIFS('Resource Build-Up'!$B$7:$B$306,B68,'Resource Build-Up'!$AI$7:$AI$306,"&lt;&gt;OK")&gt;0,"RESOURCE QA","LINKED")))</x:f>
      </x:c>
      <x:c r="T68" s="140"/>
    </x:row>
    <x:row r="69" ht="26.399999618530273" customHeight="1">
      <x:c r="A69" s="147"/>
      <x:c r="B69" s="147"/>
      <x:c r="C69" s="147"/>
      <x:c r="D69" s="147"/>
      <x:c r="E69" s="148"/>
      <x:c r="F69" s="149" t="n">
        <x:f t="shared" si="12">IF(OR(B69="",E69=0),0,G69/E69)</x:f>
        <x:v>0</x:v>
      </x:c>
      <x:c r="G69" s="149" t="n">
        <x:f>IF(B69="",0,SUMIF('Resource Build-Up'!$B$7:$B$306,B69,'Resource Build-Up'!$Z$7:$Z$306))</x:f>
        <x:v>0</x:v>
      </x:c>
      <x:c r="H69" s="147"/>
      <x:c r="I69" s="147"/>
      <x:c r="J69" s="147"/>
      <x:c r="K69" s="147"/>
      <x:c r="L69" s="150" t="str">
        <x:f t="shared" si="13">IF(B69="","",IF(J69="Excluded","Excluded","Resource-linked"))</x:f>
      </x:c>
      <x:c r="M69" s="150" t="str">
        <x:f t="shared" si="14">IF(B69="","",IF(G69=0,"No resource cost / review","Resource Build-Up -&gt; "&amp;B69))</x:f>
      </x:c>
      <x:c r="N69" s="150" t="str">
        <x:f t="shared" si="15">IF(B69="","","Resource Build-Up")</x:f>
      </x:c>
      <x:c r="O69" s="150" t="str">
        <x:f t="shared" si="16">IF(B69="","","See Resource Build-Up / Resource Rate Library")</x:f>
      </x:c>
      <x:c r="P69" s="150" t="str">
        <x:f>IF(B69="","",IF(COUNTIF('Resource Build-Up'!$B$7:$B$306,B69)=0,IF(G69=0,"ZERO / REVIEW","NO RESOURCE"),"RESOURCE LINKED"))</x:f>
      </x:c>
      <x:c r="Q69" s="147"/>
      <x:c r="R69" s="106">
        <x:f t="shared" si="17"/>
      </x:c>
      <x:c r="S69" s="146" t="str">
        <x:f>IF(B69="","",IF(COUNTIF('Resource Build-Up'!$B$7:$B$306,B69)=0,"NO RESOURCE",IF(COUNTIFS('Resource Build-Up'!$B$7:$B$306,B69,'Resource Build-Up'!$AI$7:$AI$306,"&lt;&gt;OK")&gt;0,"RESOURCE QA","LINKED")))</x:f>
      </x:c>
      <x:c r="T69" s="140"/>
    </x:row>
    <x:row r="70" ht="26.399999618530273" customHeight="1">
      <x:c r="A70" s="35"/>
      <x:c r="B70" s="36"/>
      <x:c r="C70" s="36"/>
      <x:c r="D70" s="36"/>
      <x:c r="E70" s="17"/>
      <x:c r="F70" s="69" t="n">
        <x:f t="shared" si="12">IF(OR(B70="",E70=0),0,G70/E70)</x:f>
        <x:v>0</x:v>
      </x:c>
      <x:c r="G70" s="18" t="n">
        <x:f>IF(B70="",0,SUMIF('Resource Build-Up'!$B$7:$B$306,B70,'Resource Build-Up'!$Z$7:$Z$306))</x:f>
        <x:v>0</x:v>
      </x:c>
      <x:c r="H70" s="36"/>
      <x:c r="I70" s="36"/>
      <x:c r="J70" s="36"/>
      <x:c r="K70" s="36"/>
      <x:c r="L70" s="70" t="str">
        <x:f t="shared" si="13">IF(B70="","",IF(J70="Excluded","Excluded","Resource-linked"))</x:f>
      </x:c>
      <x:c r="M70" s="71" t="str">
        <x:f t="shared" si="14">IF(B70="","",IF(G70=0,"No resource cost / review","Resource Build-Up -&gt; "&amp;B70))</x:f>
      </x:c>
      <x:c r="N70" s="71" t="str">
        <x:f t="shared" si="15">IF(B70="","","Resource Build-Up")</x:f>
      </x:c>
      <x:c r="O70" s="71" t="str">
        <x:f t="shared" si="16">IF(B70="","","See Resource Build-Up / Resource Rate Library")</x:f>
      </x:c>
      <x:c r="P70" s="70" t="str">
        <x:f>IF(B70="","",IF(COUNTIF('Resource Build-Up'!$B$7:$B$306,B70)=0,IF(G70=0,"ZERO / REVIEW","NO RESOURCE"),"RESOURCE LINKED"))</x:f>
      </x:c>
      <x:c r="Q70" s="36"/>
      <x:c r="R70" s="106">
        <x:f t="shared" si="17"/>
      </x:c>
      <x:c r="S70" s="146" t="str">
        <x:f>IF(B70="","",IF(COUNTIF('Resource Build-Up'!$B$7:$B$306,B70)=0,"NO RESOURCE",IF(COUNTIFS('Resource Build-Up'!$B$7:$B$306,B70,'Resource Build-Up'!$AI$7:$AI$306,"&lt;&gt;OK")&gt;0,"RESOURCE QA","LINKED")))</x:f>
      </x:c>
      <x:c r="T70" s="140"/>
    </x:row>
    <x:row r="71" ht="26.399999618530273" customHeight="1">
      <x:c r="A71" s="153"/>
      <x:c r="B71" s="153"/>
      <x:c r="C71" s="153"/>
      <x:c r="D71" s="153"/>
      <x:c r="E71" s="154"/>
      <x:c r="F71" s="155" t="n">
        <x:f t="shared" si="12">IF(OR(B71="",E71=0),0,G71/E71)</x:f>
        <x:v>0</x:v>
      </x:c>
      <x:c r="G71" s="155" t="n">
        <x:f>IF(B71="",0,SUMIF('Resource Build-Up'!$B$7:$B$306,B71,'Resource Build-Up'!$Z$7:$Z$306))</x:f>
        <x:v>0</x:v>
      </x:c>
      <x:c r="H71" s="153"/>
      <x:c r="I71" s="153"/>
      <x:c r="J71" s="153"/>
      <x:c r="K71" s="153"/>
      <x:c r="L71" s="146" t="str">
        <x:f t="shared" si="13">IF(B71="","",IF(J71="Excluded","Excluded","Resource-linked"))</x:f>
      </x:c>
      <x:c r="M71" s="146" t="str">
        <x:f t="shared" si="14">IF(B71="","",IF(G71=0,"No resource cost / review","Resource Build-Up -&gt; "&amp;B71))</x:f>
      </x:c>
      <x:c r="N71" s="146" t="str">
        <x:f t="shared" si="15">IF(B71="","","Resource Build-Up")</x:f>
      </x:c>
      <x:c r="O71" s="146" t="str">
        <x:f t="shared" si="16">IF(B71="","","See Resource Build-Up / Resource Rate Library")</x:f>
      </x:c>
      <x:c r="P71" s="146" t="str">
        <x:f>IF(B71="","",IF(COUNTIF('Resource Build-Up'!$B$7:$B$306,B71)=0,IF(G71=0,"ZERO / REVIEW","NO RESOURCE"),"RESOURCE LINKED"))</x:f>
      </x:c>
      <x:c r="Q71" s="153"/>
      <x:c r="R71" s="106">
        <x:f t="shared" si="17"/>
      </x:c>
      <x:c r="S71" s="146" t="str">
        <x:f>IF(B71="","",IF(COUNTIF('Resource Build-Up'!$B$7:$B$306,B71)=0,"NO RESOURCE",IF(COUNTIFS('Resource Build-Up'!$B$7:$B$306,B71,'Resource Build-Up'!$AI$7:$AI$306,"&lt;&gt;OK")&gt;0,"RESOURCE QA","LINKED")))</x:f>
      </x:c>
      <x:c r="T71" s="140"/>
    </x:row>
    <x:row r="72" ht="26.399999618530273" customHeight="1">
      <x:c r="A72" s="35"/>
      <x:c r="B72" s="36"/>
      <x:c r="C72" s="36"/>
      <x:c r="D72" s="36"/>
      <x:c r="E72" s="17"/>
      <x:c r="F72" s="69" t="n">
        <x:f t="shared" si="12">IF(OR(B72="",E72=0),0,G72/E72)</x:f>
        <x:v>0</x:v>
      </x:c>
      <x:c r="G72" s="69" t="n">
        <x:f>IF(B72="",0,SUMIF('Resource Build-Up'!$B$7:$B$306,B72,'Resource Build-Up'!$Z$7:$Z$306))</x:f>
        <x:v>0</x:v>
      </x:c>
      <x:c r="H72" s="36"/>
      <x:c r="I72" s="36"/>
      <x:c r="J72" s="36"/>
      <x:c r="K72" s="36"/>
      <x:c r="L72" s="71" t="str">
        <x:f t="shared" si="13">IF(B72="","",IF(J72="Excluded","Excluded","Resource-linked"))</x:f>
      </x:c>
      <x:c r="M72" s="71" t="str">
        <x:f t="shared" si="14">IF(B72="","",IF(G72=0,"No resource cost / review","Resource Build-Up -&gt; "&amp;B72))</x:f>
      </x:c>
      <x:c r="N72" s="71" t="str">
        <x:f t="shared" si="15">IF(B72="","","Resource Build-Up")</x:f>
      </x:c>
      <x:c r="O72" s="71" t="str">
        <x:f t="shared" si="16">IF(B72="","","See Resource Build-Up / Resource Rate Library")</x:f>
      </x:c>
      <x:c r="P72" s="71" t="str">
        <x:f>IF(B72="","",IF(COUNTIF('Resource Build-Up'!$B$7:$B$306,B72)=0,IF(G72=0,"ZERO / REVIEW","NO RESOURCE"),"RESOURCE LINKED"))</x:f>
      </x:c>
      <x:c r="Q72" s="36"/>
      <x:c r="R72" s="106">
        <x:f t="shared" si="17"/>
      </x:c>
      <x:c r="S72" s="146" t="str">
        <x:f>IF(B72="","",IF(COUNTIF('Resource Build-Up'!$B$7:$B$306,B72)=0,"NO RESOURCE",IF(COUNTIFS('Resource Build-Up'!$B$7:$B$306,B72,'Resource Build-Up'!$AI$7:$AI$306,"&lt;&gt;OK")&gt;0,"RESOURCE QA","LINKED")))</x:f>
      </x:c>
      <x:c r="T72" s="140"/>
    </x:row>
    <x:row r="73" ht="26.399999618530273" customHeight="1">
      <x:c r="A73" s="147"/>
      <x:c r="B73" s="147"/>
      <x:c r="C73" s="147"/>
      <x:c r="D73" s="147"/>
      <x:c r="E73" s="148"/>
      <x:c r="F73" s="149" t="n">
        <x:f t="shared" si="12">IF(OR(B73="",E73=0),0,G73/E73)</x:f>
        <x:v>0</x:v>
      </x:c>
      <x:c r="G73" s="149" t="n">
        <x:f>IF(B73="",0,SUMIF('Resource Build-Up'!$B$7:$B$306,B73,'Resource Build-Up'!$Z$7:$Z$306))</x:f>
        <x:v>0</x:v>
      </x:c>
      <x:c r="H73" s="147"/>
      <x:c r="I73" s="147"/>
      <x:c r="J73" s="147"/>
      <x:c r="K73" s="147"/>
      <x:c r="L73" s="150" t="str">
        <x:f t="shared" si="13">IF(B73="","",IF(J73="Excluded","Excluded","Resource-linked"))</x:f>
      </x:c>
      <x:c r="M73" s="150" t="str">
        <x:f t="shared" si="14">IF(B73="","",IF(G73=0,"No resource cost / review","Resource Build-Up -&gt; "&amp;B73))</x:f>
      </x:c>
      <x:c r="N73" s="150" t="str">
        <x:f t="shared" si="15">IF(B73="","","Resource Build-Up")</x:f>
      </x:c>
      <x:c r="O73" s="150" t="str">
        <x:f t="shared" si="16">IF(B73="","","See Resource Build-Up / Resource Rate Library")</x:f>
      </x:c>
      <x:c r="P73" s="150" t="str">
        <x:f>IF(B73="","",IF(COUNTIF('Resource Build-Up'!$B$7:$B$306,B73)=0,IF(G73=0,"ZERO / REVIEW","NO RESOURCE"),"RESOURCE LINKED"))</x:f>
      </x:c>
      <x:c r="Q73" s="147"/>
      <x:c r="R73" s="106">
        <x:f t="shared" si="17"/>
      </x:c>
      <x:c r="S73" s="146" t="str">
        <x:f>IF(B73="","",IF(COUNTIF('Resource Build-Up'!$B$7:$B$306,B73)=0,"NO RESOURCE",IF(COUNTIFS('Resource Build-Up'!$B$7:$B$306,B73,'Resource Build-Up'!$AI$7:$AI$306,"&lt;&gt;OK")&gt;0,"RESOURCE QA","LINKED")))</x:f>
      </x:c>
      <x:c r="T73" s="140"/>
    </x:row>
    <x:row r="74" ht="21.450000762939453" customHeight="1">
      <x:c r="A74" s="157" t="s">
        <x:v>323</x:v>
      </x:c>
      <x:c r="B74" s="157"/>
      <x:c r="C74" s="157"/>
      <x:c r="D74" s="157"/>
      <x:c r="E74" s="158"/>
      <x:c r="F74" s="158"/>
      <x:c r="G74" s="159" t="n">
        <x:f>SUM(G3:G73)</x:f>
        <x:v>0</x:v>
      </x:c>
      <x:c r="H74" s="157"/>
      <x:c r="I74" s="157"/>
      <x:c r="J74" s="157"/>
      <x:c r="K74" s="157"/>
      <x:c r="L74" s="157"/>
      <x:c r="M74" s="157"/>
      <x:c r="N74" s="157"/>
      <x:c r="O74" s="157"/>
      <x:c r="P74" s="157"/>
      <x:c r="Q74" s="157"/>
      <x:c r="R74" s="106"/>
      <x:c r="S74" s="106"/>
      <x:c r="T74" s="140"/>
    </x:row>
    <x:row r="75" ht="21.450000762939453" customHeight="1">
      <x:c r="A75" s="107"/>
      <x:c r="B75" s="107"/>
      <x:c r="C75" s="107"/>
      <x:c r="D75" s="107"/>
      <x:c r="E75" s="119"/>
      <x:c r="F75" s="160"/>
      <x:c r="G75" s="161"/>
      <x:c r="H75" s="107"/>
      <x:c r="I75" s="107"/>
      <x:c r="J75" s="107"/>
      <x:c r="K75" s="107"/>
      <x:c r="L75" s="107"/>
      <x:c r="M75" s="107"/>
      <x:c r="N75" s="107"/>
      <x:c r="O75" s="107"/>
      <x:c r="P75" s="107"/>
      <x:c r="Q75" s="107"/>
      <x:c r="R75" s="106"/>
      <x:c r="S75" s="106"/>
      <x:c r="T75" s="106"/>
    </x:row>
    <x:row r="76" ht="21.450000762939453" customHeight="1">
      <x:c r="A76" s="107"/>
      <x:c r="B76" s="107"/>
      <x:c r="C76" s="107"/>
      <x:c r="D76" s="107"/>
      <x:c r="E76" s="119"/>
      <x:c r="F76" s="160"/>
      <x:c r="G76" s="161"/>
      <x:c r="H76" s="107"/>
      <x:c r="I76" s="107"/>
      <x:c r="J76" s="107"/>
      <x:c r="K76" s="107"/>
      <x:c r="L76" s="107"/>
      <x:c r="M76" s="107"/>
      <x:c r="N76" s="107"/>
      <x:c r="O76" s="107"/>
      <x:c r="P76" s="107"/>
      <x:c r="Q76" s="107"/>
      <x:c r="R76" s="106"/>
      <x:c r="S76" s="106"/>
      <x:c r="T76" s="106"/>
    </x:row>
    <x:row r="77" ht="21.450000762939453" customHeight="1">
      <x:c r="A77" s="20"/>
      <x:c r="B77" s="20"/>
      <x:c r="C77" s="20"/>
      <x:c r="D77" s="20"/>
      <x:c r="E77" s="162"/>
      <x:c r="F77" s="163"/>
      <x:c r="G77" s="24"/>
      <x:c r="H77" s="20"/>
      <x:c r="I77" s="20"/>
      <x:c r="J77" s="20"/>
      <x:c r="K77" s="21"/>
      <x:c r="L77" s="20"/>
      <x:c r="M77" s="20"/>
      <x:c r="N77" s="20"/>
      <x:c r="O77" s="20"/>
      <x:c r="P77" s="20"/>
      <x:c r="Q77" s="20"/>
      <x:c r="R77" s="106"/>
      <x:c r="S77" s="106"/>
      <x:c r="T77" s="106"/>
    </x:row>
    <x:row r="78" ht="21.450000762939453" customHeight="1">
      <x:c r="A78" s="20"/>
      <x:c r="B78" s="20"/>
      <x:c r="C78" s="20"/>
      <x:c r="D78" s="20"/>
      <x:c r="E78" s="162"/>
      <x:c r="F78" s="163"/>
      <x:c r="G78" s="24"/>
      <x:c r="H78" s="20"/>
      <x:c r="I78" s="20"/>
      <x:c r="J78" s="20"/>
      <x:c r="K78" s="21"/>
      <x:c r="L78" s="20"/>
      <x:c r="M78" s="20"/>
      <x:c r="N78" s="20"/>
      <x:c r="O78" s="20"/>
      <x:c r="P78" s="20"/>
      <x:c r="Q78" s="20"/>
      <x:c r="R78" s="106"/>
      <x:c r="S78" s="106"/>
      <x:c r="T78" s="106"/>
    </x:row>
    <x:row r="79" ht="21.450000762939453" customHeight="1">
      <x:c r="A79" s="107"/>
      <x:c r="B79" s="107"/>
      <x:c r="C79" s="107"/>
      <x:c r="D79" s="107"/>
      <x:c r="E79" s="119"/>
      <x:c r="F79" s="160"/>
      <x:c r="G79" s="161"/>
      <x:c r="H79" s="107"/>
      <x:c r="I79" s="107"/>
      <x:c r="J79" s="107"/>
      <x:c r="K79" s="107"/>
      <x:c r="L79" s="107"/>
      <x:c r="M79" s="107"/>
      <x:c r="N79" s="107"/>
      <x:c r="O79" s="107"/>
      <x:c r="P79" s="107"/>
      <x:c r="Q79" s="107"/>
      <x:c r="R79" s="106"/>
      <x:c r="S79" s="106"/>
      <x:c r="T79" s="106"/>
    </x:row>
    <x:row r="80" ht="21.450000762939453" customHeight="1">
      <x:c r="A80" s="20"/>
      <x:c r="B80" s="21"/>
      <x:c r="C80" s="21"/>
      <x:c r="D80" s="21"/>
      <x:c r="E80" s="22"/>
      <x:c r="F80" s="23"/>
      <x:c r="G80" s="24"/>
      <x:c r="H80" s="21"/>
      <x:c r="I80" s="21"/>
      <x:c r="J80" s="21"/>
      <x:c r="K80" s="21"/>
      <x:c r="L80" s="20"/>
      <x:c r="M80" s="21"/>
      <x:c r="N80" s="21"/>
      <x:c r="O80" s="21"/>
      <x:c r="P80" s="20"/>
      <x:c r="Q80" s="21"/>
      <x:c r="R80" s="106"/>
      <x:c r="S80" s="106"/>
      <x:c r="T80" s="106"/>
    </x:row>
    <x:row r="81" ht="21.450000762939453" customHeight="1">
      <x:c r="A81" s="106"/>
      <x:c r="B81" s="106"/>
      <x:c r="C81" s="106"/>
      <x:c r="D81" s="106"/>
      <x:c r="E81" s="164"/>
      <x:c r="F81" s="130"/>
      <x:c r="G81" s="130"/>
      <x:c r="H81" s="106"/>
      <x:c r="I81" s="106"/>
      <x:c r="J81" s="106"/>
      <x:c r="K81" s="106"/>
      <x:c r="L81" s="106"/>
      <x:c r="M81" s="106"/>
      <x:c r="N81" s="106"/>
      <x:c r="O81" s="106"/>
      <x:c r="P81" s="106"/>
      <x:c r="Q81" s="106"/>
      <x:c r="R81" s="106"/>
      <x:c r="S81" s="106"/>
      <x:c r="T81" s="106"/>
    </x:row>
    <x:row r="82" ht="21.450000762939453" customHeight="1">
      <x:c r="A82" s="20"/>
      <x:c r="B82" s="21"/>
      <x:c r="C82" s="21"/>
      <x:c r="D82" s="21"/>
      <x:c r="E82" s="22"/>
      <x:c r="F82" s="23"/>
      <x:c r="G82" s="23"/>
      <x:c r="H82" s="21"/>
      <x:c r="I82" s="21"/>
      <x:c r="J82" s="21"/>
      <x:c r="K82" s="21"/>
      <x:c r="L82" s="21"/>
      <x:c r="M82" s="21"/>
      <x:c r="N82" s="21"/>
      <x:c r="O82" s="21"/>
      <x:c r="P82" s="21"/>
      <x:c r="Q82" s="21"/>
      <x:c r="R82" s="106"/>
      <x:c r="S82" s="106"/>
      <x:c r="T82" s="106"/>
    </x:row>
    <x:row r="83" ht="21.450000762939453" customHeight="1">
      <x:c r="A83" s="107"/>
      <x:c r="B83" s="107"/>
      <x:c r="C83" s="107"/>
      <x:c r="D83" s="107"/>
      <x:c r="E83" s="119"/>
      <x:c r="F83" s="160"/>
      <x:c r="G83" s="161"/>
      <x:c r="H83" s="107"/>
      <x:c r="I83" s="107"/>
      <x:c r="J83" s="107"/>
      <x:c r="K83" s="107"/>
      <x:c r="L83" s="107"/>
      <x:c r="M83" s="107"/>
      <x:c r="N83" s="107"/>
      <x:c r="O83" s="107"/>
      <x:c r="P83" s="107"/>
      <x:c r="Q83" s="107"/>
      <x:c r="R83" s="106"/>
      <x:c r="S83" s="106"/>
      <x:c r="T83" s="106"/>
    </x:row>
    <x:row r="84" ht="21.450000762939453" customHeight="1">
      <x:c r="A84" s="107"/>
      <x:c r="B84" s="107"/>
      <x:c r="C84" s="107"/>
      <x:c r="D84" s="107"/>
      <x:c r="E84" s="119"/>
      <x:c r="F84" s="160"/>
      <x:c r="G84" s="161"/>
      <x:c r="H84" s="107"/>
      <x:c r="I84" s="107"/>
      <x:c r="J84" s="107"/>
      <x:c r="K84" s="106"/>
      <x:c r="L84" s="107"/>
      <x:c r="M84" s="107"/>
      <x:c r="N84" s="107"/>
      <x:c r="O84" s="107"/>
      <x:c r="P84" s="107"/>
      <x:c r="Q84" s="107"/>
      <x:c r="R84" s="106"/>
      <x:c r="S84" s="106"/>
      <x:c r="T84" s="106"/>
    </x:row>
    <x:row r="85" ht="21.450000762939453" customHeight="1">
      <x:c r="A85" s="107"/>
      <x:c r="B85" s="107"/>
      <x:c r="C85" s="107"/>
      <x:c r="D85" s="107"/>
      <x:c r="E85" s="119"/>
      <x:c r="F85" s="160"/>
      <x:c r="G85" s="161"/>
      <x:c r="H85" s="107"/>
      <x:c r="I85" s="107"/>
      <x:c r="J85" s="107"/>
      <x:c r="K85" s="106"/>
      <x:c r="L85" s="107"/>
      <x:c r="M85" s="107"/>
      <x:c r="N85" s="107"/>
      <x:c r="O85" s="107"/>
      <x:c r="P85" s="107"/>
      <x:c r="Q85" s="107"/>
      <x:c r="R85" s="106"/>
      <x:c r="S85" s="106"/>
      <x:c r="T85" s="106"/>
    </x:row>
    <x:row r="86" ht="21.450000762939453" customHeight="1">
      <x:c r="A86" s="107"/>
      <x:c r="B86" s="107"/>
      <x:c r="C86" s="107"/>
      <x:c r="D86" s="107"/>
      <x:c r="E86" s="119"/>
      <x:c r="F86" s="160"/>
      <x:c r="G86" s="161"/>
      <x:c r="H86" s="107"/>
      <x:c r="I86" s="107"/>
      <x:c r="J86" s="107"/>
      <x:c r="K86" s="106"/>
      <x:c r="L86" s="107"/>
      <x:c r="M86" s="107"/>
      <x:c r="N86" s="107"/>
      <x:c r="O86" s="107"/>
      <x:c r="P86" s="107"/>
      <x:c r="Q86" s="107"/>
      <x:c r="R86" s="106"/>
      <x:c r="S86" s="106"/>
      <x:c r="T86" s="106"/>
    </x:row>
    <x:row r="87" ht="21.450000762939453" customHeight="1">
      <x:c r="A87" s="107"/>
      <x:c r="B87" s="107"/>
      <x:c r="C87" s="107"/>
      <x:c r="D87" s="107"/>
      <x:c r="E87" s="119"/>
      <x:c r="F87" s="160"/>
      <x:c r="G87" s="161"/>
      <x:c r="H87" s="107"/>
      <x:c r="I87" s="107"/>
      <x:c r="J87" s="107"/>
      <x:c r="K87" s="107"/>
      <x:c r="L87" s="107"/>
      <x:c r="M87" s="107"/>
      <x:c r="N87" s="107"/>
      <x:c r="O87" s="107"/>
      <x:c r="P87" s="107"/>
      <x:c r="Q87" s="107"/>
      <x:c r="R87" s="106"/>
      <x:c r="S87" s="106"/>
      <x:c r="T87" s="106"/>
    </x:row>
    <x:row r="88" ht="21.450000762939453" customHeight="1">
      <x:c r="A88" s="107"/>
      <x:c r="B88" s="107"/>
      <x:c r="C88" s="107"/>
      <x:c r="D88" s="107"/>
      <x:c r="E88" s="119"/>
      <x:c r="F88" s="160"/>
      <x:c r="G88" s="161"/>
      <x:c r="H88" s="107"/>
      <x:c r="I88" s="107"/>
      <x:c r="J88" s="107"/>
      <x:c r="K88" s="106"/>
      <x:c r="L88" s="107"/>
      <x:c r="M88" s="107"/>
      <x:c r="N88" s="107"/>
      <x:c r="O88" s="107"/>
      <x:c r="P88" s="107"/>
      <x:c r="Q88" s="107"/>
      <x:c r="R88" s="106"/>
      <x:c r="S88" s="106"/>
      <x:c r="T88" s="106"/>
    </x:row>
    <x:row r="89" ht="21.450000762939453" customHeight="1">
      <x:c r="A89" s="20"/>
      <x:c r="B89" s="20"/>
      <x:c r="C89" s="20"/>
      <x:c r="D89" s="20"/>
      <x:c r="E89" s="162"/>
      <x:c r="F89" s="163"/>
      <x:c r="G89" s="24"/>
      <x:c r="H89" s="20"/>
      <x:c r="I89" s="20"/>
      <x:c r="J89" s="20"/>
      <x:c r="K89" s="20"/>
      <x:c r="L89" s="20"/>
      <x:c r="M89" s="20"/>
      <x:c r="N89" s="20"/>
      <x:c r="O89" s="20"/>
      <x:c r="P89" s="20"/>
      <x:c r="Q89" s="20"/>
      <x:c r="R89" s="106"/>
      <x:c r="S89" s="106"/>
      <x:c r="T89" s="106"/>
    </x:row>
    <x:row r="90" ht="21.450000762939453" customHeight="1">
      <x:c r="A90" s="20"/>
      <x:c r="B90" s="21"/>
      <x:c r="C90" s="21"/>
      <x:c r="D90" s="21"/>
      <x:c r="E90" s="22"/>
      <x:c r="F90" s="23"/>
      <x:c r="G90" s="24"/>
      <x:c r="H90" s="21"/>
      <x:c r="I90" s="21"/>
      <x:c r="J90" s="21"/>
      <x:c r="K90" s="21"/>
      <x:c r="L90" s="20"/>
      <x:c r="M90" s="21"/>
      <x:c r="N90" s="21"/>
      <x:c r="O90" s="21"/>
      <x:c r="P90" s="20"/>
      <x:c r="Q90" s="21"/>
      <x:c r="R90" s="106"/>
      <x:c r="S90" s="106"/>
      <x:c r="T90" s="106"/>
    </x:row>
    <x:row r="91" ht="21.450000762939453" customHeight="1">
      <x:c r="A91" s="106"/>
      <x:c r="B91" s="106"/>
      <x:c r="C91" s="106"/>
      <x:c r="D91" s="106"/>
      <x:c r="E91" s="164"/>
      <x:c r="F91" s="130"/>
      <x:c r="G91" s="130"/>
      <x:c r="H91" s="106"/>
      <x:c r="I91" s="106"/>
      <x:c r="J91" s="106"/>
      <x:c r="K91" s="106"/>
      <x:c r="L91" s="106"/>
      <x:c r="M91" s="106"/>
      <x:c r="N91" s="106"/>
      <x:c r="O91" s="106"/>
      <x:c r="P91" s="106"/>
      <x:c r="Q91" s="106"/>
      <x:c r="R91" s="106"/>
      <x:c r="S91" s="106"/>
      <x:c r="T91" s="106"/>
    </x:row>
    <x:row r="92" ht="21.450000762939453" customHeight="1">
      <x:c r="A92" s="20"/>
      <x:c r="B92" s="21"/>
      <x:c r="C92" s="21"/>
      <x:c r="D92" s="21"/>
      <x:c r="E92" s="22"/>
      <x:c r="F92" s="23"/>
      <x:c r="G92" s="23"/>
      <x:c r="H92" s="21"/>
      <x:c r="I92" s="21"/>
      <x:c r="J92" s="21"/>
      <x:c r="K92" s="21"/>
      <x:c r="L92" s="21"/>
      <x:c r="M92" s="21"/>
      <x:c r="N92" s="21"/>
      <x:c r="O92" s="21"/>
      <x:c r="P92" s="21"/>
      <x:c r="Q92" s="21"/>
      <x:c r="R92" s="106"/>
      <x:c r="S92" s="106"/>
      <x:c r="T92" s="106"/>
    </x:row>
    <x:row r="93" ht="21.450000762939453" customHeight="1">
      <x:c r="A93" s="107"/>
      <x:c r="B93" s="107"/>
      <x:c r="C93" s="107"/>
      <x:c r="D93" s="107"/>
      <x:c r="E93" s="119"/>
      <x:c r="F93" s="160"/>
      <x:c r="G93" s="161"/>
      <x:c r="H93" s="107"/>
      <x:c r="I93" s="107"/>
      <x:c r="J93" s="107"/>
      <x:c r="K93" s="107"/>
      <x:c r="L93" s="107"/>
      <x:c r="M93" s="107"/>
      <x:c r="N93" s="107"/>
      <x:c r="O93" s="107"/>
      <x:c r="P93" s="107"/>
      <x:c r="Q93" s="107"/>
      <x:c r="R93" s="106"/>
      <x:c r="S93" s="106"/>
      <x:c r="T93" s="106"/>
    </x:row>
    <x:row r="94" ht="21.450000762939453" customHeight="1">
      <x:c r="A94" s="107"/>
      <x:c r="B94" s="107"/>
      <x:c r="C94" s="107"/>
      <x:c r="D94" s="107"/>
      <x:c r="E94" s="119"/>
      <x:c r="F94" s="160"/>
      <x:c r="G94" s="161"/>
      <x:c r="H94" s="107"/>
      <x:c r="I94" s="107"/>
      <x:c r="J94" s="107"/>
      <x:c r="K94" s="107"/>
      <x:c r="L94" s="107"/>
      <x:c r="M94" s="107"/>
      <x:c r="N94" s="107"/>
      <x:c r="O94" s="107"/>
      <x:c r="P94" s="107"/>
      <x:c r="Q94" s="107"/>
      <x:c r="R94" s="106"/>
      <x:c r="S94" s="106"/>
      <x:c r="T94" s="106"/>
    </x:row>
    <x:row r="95" ht="21.450000762939453" customHeight="1">
      <x:c r="A95" s="20"/>
      <x:c r="B95" s="20"/>
      <x:c r="C95" s="20"/>
      <x:c r="D95" s="20"/>
      <x:c r="E95" s="162"/>
      <x:c r="F95" s="163"/>
      <x:c r="G95" s="24"/>
      <x:c r="H95" s="20"/>
      <x:c r="I95" s="20"/>
      <x:c r="J95" s="20"/>
      <x:c r="K95" s="21"/>
      <x:c r="L95" s="20"/>
      <x:c r="M95" s="20"/>
      <x:c r="N95" s="20"/>
      <x:c r="O95" s="20"/>
      <x:c r="P95" s="20"/>
      <x:c r="Q95" s="20"/>
      <x:c r="R95" s="106"/>
      <x:c r="S95" s="106"/>
      <x:c r="T95" s="106"/>
    </x:row>
    <x:row r="96" ht="21.450000762939453" customHeight="1">
      <x:c r="A96" s="20"/>
      <x:c r="B96" s="20"/>
      <x:c r="C96" s="20"/>
      <x:c r="D96" s="20"/>
      <x:c r="E96" s="162"/>
      <x:c r="F96" s="163"/>
      <x:c r="G96" s="24"/>
      <x:c r="H96" s="20"/>
      <x:c r="I96" s="20"/>
      <x:c r="J96" s="20"/>
      <x:c r="K96" s="20"/>
      <x:c r="L96" s="20"/>
      <x:c r="M96" s="20"/>
      <x:c r="N96" s="20"/>
      <x:c r="O96" s="20"/>
      <x:c r="P96" s="20"/>
      <x:c r="Q96" s="20"/>
      <x:c r="R96" s="106"/>
      <x:c r="S96" s="106"/>
      <x:c r="T96" s="106"/>
    </x:row>
    <x:row r="97" ht="21.450000762939453" customHeight="1">
      <x:c r="A97" s="20"/>
      <x:c r="B97" s="21"/>
      <x:c r="C97" s="21"/>
      <x:c r="D97" s="21"/>
      <x:c r="E97" s="22"/>
      <x:c r="F97" s="23"/>
      <x:c r="G97" s="24"/>
      <x:c r="H97" s="21"/>
      <x:c r="I97" s="21"/>
      <x:c r="J97" s="21"/>
      <x:c r="K97" s="21"/>
      <x:c r="L97" s="20"/>
      <x:c r="M97" s="21"/>
      <x:c r="N97" s="21"/>
      <x:c r="O97" s="21"/>
      <x:c r="P97" s="20"/>
      <x:c r="Q97" s="21"/>
      <x:c r="R97" s="106"/>
      <x:c r="S97" s="106"/>
      <x:c r="T97" s="106"/>
    </x:row>
    <x:row r="98" ht="21.450000762939453" customHeight="1">
      <x:c r="A98" s="106"/>
      <x:c r="B98" s="106"/>
      <x:c r="C98" s="106"/>
      <x:c r="D98" s="106"/>
      <x:c r="E98" s="164"/>
      <x:c r="F98" s="130"/>
      <x:c r="G98" s="130"/>
      <x:c r="H98" s="106"/>
      <x:c r="I98" s="106"/>
      <x:c r="J98" s="106"/>
      <x:c r="K98" s="106"/>
      <x:c r="L98" s="106"/>
      <x:c r="M98" s="106"/>
      <x:c r="N98" s="106"/>
      <x:c r="O98" s="106"/>
      <x:c r="P98" s="106"/>
      <x:c r="Q98" s="106"/>
      <x:c r="R98" s="106"/>
      <x:c r="S98" s="106"/>
      <x:c r="T98" s="106"/>
    </x:row>
    <x:row r="99" ht="21.450000762939453" customHeight="1">
      <x:c r="A99" s="20"/>
      <x:c r="B99" s="21"/>
      <x:c r="C99" s="21"/>
      <x:c r="D99" s="21"/>
      <x:c r="E99" s="22"/>
      <x:c r="F99" s="23"/>
      <x:c r="G99" s="23"/>
      <x:c r="H99" s="21"/>
      <x:c r="I99" s="21"/>
      <x:c r="J99" s="21"/>
      <x:c r="K99" s="20"/>
      <x:c r="L99" s="21"/>
      <x:c r="M99" s="21"/>
      <x:c r="N99" s="21"/>
      <x:c r="O99" s="21"/>
      <x:c r="P99" s="21"/>
      <x:c r="Q99" s="21"/>
      <x:c r="R99" s="106"/>
      <x:c r="S99" s="106"/>
      <x:c r="T99" s="106"/>
    </x:row>
    <x:row r="100" ht="21.450000762939453" customHeight="1">
      <x:c r="A100" s="107"/>
      <x:c r="B100" s="107"/>
      <x:c r="C100" s="107"/>
      <x:c r="D100" s="107"/>
      <x:c r="E100" s="119"/>
      <x:c r="F100" s="160"/>
      <x:c r="G100" s="161"/>
      <x:c r="H100" s="107"/>
      <x:c r="I100" s="107"/>
      <x:c r="J100" s="107"/>
      <x:c r="K100" s="107"/>
      <x:c r="L100" s="107"/>
      <x:c r="M100" s="107"/>
      <x:c r="N100" s="107"/>
      <x:c r="O100" s="107"/>
      <x:c r="P100" s="107"/>
      <x:c r="Q100" s="107"/>
      <x:c r="R100" s="106"/>
      <x:c r="S100" s="106"/>
      <x:c r="T100" s="106"/>
    </x:row>
    <x:row r="101" ht="21.450000762939453" customHeight="1">
      <x:c r="A101" s="107"/>
      <x:c r="B101" s="107"/>
      <x:c r="C101" s="107"/>
      <x:c r="D101" s="107"/>
      <x:c r="E101" s="119"/>
      <x:c r="F101" s="160"/>
      <x:c r="G101" s="161"/>
      <x:c r="H101" s="107"/>
      <x:c r="I101" s="107"/>
      <x:c r="J101" s="107"/>
      <x:c r="K101" s="107"/>
      <x:c r="L101" s="107"/>
      <x:c r="M101" s="107"/>
      <x:c r="N101" s="107"/>
      <x:c r="O101" s="107"/>
      <x:c r="P101" s="107"/>
      <x:c r="Q101" s="107"/>
      <x:c r="R101" s="106"/>
      <x:c r="S101" s="106"/>
      <x:c r="T101" s="106"/>
    </x:row>
    <x:row r="102" ht="21.450000762939453" customHeight="1">
      <x:c r="A102" s="107"/>
      <x:c r="B102" s="107"/>
      <x:c r="C102" s="107"/>
      <x:c r="D102" s="107"/>
      <x:c r="E102" s="119"/>
      <x:c r="F102" s="160"/>
      <x:c r="G102" s="161"/>
      <x:c r="H102" s="107"/>
      <x:c r="I102" s="107"/>
      <x:c r="J102" s="107"/>
      <x:c r="K102" s="107"/>
      <x:c r="L102" s="107"/>
      <x:c r="M102" s="107"/>
      <x:c r="N102" s="107"/>
      <x:c r="O102" s="107"/>
      <x:c r="P102" s="107"/>
      <x:c r="Q102" s="107"/>
      <x:c r="R102" s="106"/>
      <x:c r="S102" s="106"/>
      <x:c r="T102" s="106"/>
    </x:row>
    <x:row r="103" ht="21.450000762939453" customHeight="1">
      <x:c r="A103" s="107"/>
      <x:c r="B103" s="107"/>
      <x:c r="C103" s="107"/>
      <x:c r="D103" s="107"/>
      <x:c r="E103" s="119"/>
      <x:c r="F103" s="160"/>
      <x:c r="G103" s="161"/>
      <x:c r="H103" s="107"/>
      <x:c r="I103" s="107"/>
      <x:c r="J103" s="107"/>
      <x:c r="K103" s="107"/>
      <x:c r="L103" s="107"/>
      <x:c r="M103" s="107"/>
      <x:c r="N103" s="107"/>
      <x:c r="O103" s="107"/>
      <x:c r="P103" s="107"/>
      <x:c r="Q103" s="107"/>
      <x:c r="R103" s="106"/>
      <x:c r="S103" s="106"/>
      <x:c r="T103" s="106"/>
    </x:row>
    <x:row r="104" ht="21.450000762939453" customHeight="1">
      <x:c r="A104" s="20"/>
      <x:c r="B104" s="20"/>
      <x:c r="C104" s="20"/>
      <x:c r="D104" s="20"/>
      <x:c r="E104" s="162"/>
      <x:c r="F104" s="163"/>
      <x:c r="G104" s="24"/>
      <x:c r="H104" s="20"/>
      <x:c r="I104" s="20"/>
      <x:c r="J104" s="20"/>
      <x:c r="K104" s="20"/>
      <x:c r="L104" s="20"/>
      <x:c r="M104" s="20"/>
      <x:c r="N104" s="20"/>
      <x:c r="O104" s="20"/>
      <x:c r="P104" s="20"/>
      <x:c r="Q104" s="20"/>
      <x:c r="R104" s="106"/>
      <x:c r="S104" s="106"/>
      <x:c r="T104" s="106"/>
    </x:row>
    <x:row r="105" ht="21.450000762939453" customHeight="1">
      <x:c r="A105" s="20"/>
      <x:c r="B105" s="20"/>
      <x:c r="C105" s="20"/>
      <x:c r="D105" s="20"/>
      <x:c r="E105" s="162"/>
      <x:c r="F105" s="163"/>
      <x:c r="G105" s="24"/>
      <x:c r="H105" s="20"/>
      <x:c r="I105" s="20"/>
      <x:c r="J105" s="20"/>
      <x:c r="K105" s="20"/>
      <x:c r="L105" s="20"/>
      <x:c r="M105" s="20"/>
      <x:c r="N105" s="20"/>
      <x:c r="O105" s="20"/>
      <x:c r="P105" s="20"/>
      <x:c r="Q105" s="20"/>
      <x:c r="R105" s="106"/>
      <x:c r="S105" s="106"/>
      <x:c r="T105" s="106"/>
    </x:row>
    <x:row r="106" ht="21.450000762939453" customHeight="1">
      <x:c r="A106" s="107"/>
      <x:c r="B106" s="107"/>
      <x:c r="C106" s="107"/>
      <x:c r="D106" s="107"/>
      <x:c r="E106" s="119"/>
      <x:c r="F106" s="160"/>
      <x:c r="G106" s="161"/>
      <x:c r="H106" s="107"/>
      <x:c r="I106" s="107"/>
      <x:c r="J106" s="107"/>
      <x:c r="K106" s="107"/>
      <x:c r="L106" s="107"/>
      <x:c r="M106" s="107"/>
      <x:c r="N106" s="107"/>
      <x:c r="O106" s="107"/>
      <x:c r="P106" s="107"/>
      <x:c r="Q106" s="107"/>
      <x:c r="R106" s="106"/>
      <x:c r="S106" s="106"/>
      <x:c r="T106" s="106"/>
    </x:row>
    <x:row r="107" ht="21.450000762939453" customHeight="1">
      <x:c r="A107" s="107"/>
      <x:c r="B107" s="107"/>
      <x:c r="C107" s="107"/>
      <x:c r="D107" s="107"/>
      <x:c r="E107" s="119"/>
      <x:c r="F107" s="160"/>
      <x:c r="G107" s="161"/>
      <x:c r="H107" s="107"/>
      <x:c r="I107" s="107"/>
      <x:c r="J107" s="107"/>
      <x:c r="K107" s="107"/>
      <x:c r="L107" s="107"/>
      <x:c r="M107" s="107"/>
      <x:c r="N107" s="107"/>
      <x:c r="O107" s="107"/>
      <x:c r="P107" s="107"/>
      <x:c r="Q107" s="107"/>
      <x:c r="R107" s="106"/>
      <x:c r="S107" s="106"/>
      <x:c r="T107" s="106"/>
    </x:row>
    <x:row r="108" ht="21.450000762939453" customHeight="1">
      <x:c r="A108" s="107"/>
      <x:c r="B108" s="107"/>
      <x:c r="C108" s="107"/>
      <x:c r="D108" s="107"/>
      <x:c r="E108" s="119"/>
      <x:c r="F108" s="160"/>
      <x:c r="G108" s="161"/>
      <x:c r="H108" s="107"/>
      <x:c r="I108" s="107"/>
      <x:c r="J108" s="107"/>
      <x:c r="K108" s="106"/>
      <x:c r="L108" s="107"/>
      <x:c r="M108" s="107"/>
      <x:c r="N108" s="107"/>
      <x:c r="O108" s="107"/>
      <x:c r="P108" s="107"/>
      <x:c r="Q108" s="107"/>
      <x:c r="R108" s="106"/>
      <x:c r="S108" s="106"/>
      <x:c r="T108" s="106"/>
    </x:row>
    <x:row r="109" ht="21.450000762939453" customHeight="1">
      <x:c r="A109" s="107"/>
      <x:c r="B109" s="107"/>
      <x:c r="C109" s="107"/>
      <x:c r="D109" s="107"/>
      <x:c r="E109" s="119"/>
      <x:c r="F109" s="160"/>
      <x:c r="G109" s="161"/>
      <x:c r="H109" s="107"/>
      <x:c r="I109" s="107"/>
      <x:c r="J109" s="107"/>
      <x:c r="K109" s="106"/>
      <x:c r="L109" s="107"/>
      <x:c r="M109" s="107"/>
      <x:c r="N109" s="107"/>
      <x:c r="O109" s="107"/>
      <x:c r="P109" s="107"/>
      <x:c r="Q109" s="107"/>
      <x:c r="R109" s="106"/>
      <x:c r="S109" s="106"/>
      <x:c r="T109" s="106"/>
    </x:row>
    <x:row r="110" ht="21.450000762939453" customHeight="1">
      <x:c r="A110" s="20"/>
      <x:c r="B110" s="21"/>
      <x:c r="C110" s="21"/>
      <x:c r="D110" s="21"/>
      <x:c r="E110" s="22"/>
      <x:c r="F110" s="23"/>
      <x:c r="G110" s="24"/>
      <x:c r="H110" s="21"/>
      <x:c r="I110" s="21"/>
      <x:c r="J110" s="21"/>
      <x:c r="K110" s="21"/>
      <x:c r="L110" s="20"/>
      <x:c r="M110" s="21"/>
      <x:c r="N110" s="21"/>
      <x:c r="O110" s="21"/>
      <x:c r="P110" s="20"/>
      <x:c r="Q110" s="21"/>
      <x:c r="R110" s="106"/>
      <x:c r="S110" s="106"/>
      <x:c r="T110" s="106"/>
    </x:row>
    <x:row r="111" ht="21.450000762939453" customHeight="1">
      <x:c r="A111" s="21"/>
      <x:c r="B111" s="21"/>
      <x:c r="C111" s="21"/>
      <x:c r="D111" s="21"/>
      <x:c r="E111" s="22"/>
      <x:c r="F111" s="23"/>
      <x:c r="G111" s="23"/>
      <x:c r="H111" s="21"/>
      <x:c r="I111" s="21"/>
      <x:c r="J111" s="21"/>
      <x:c r="K111" s="21"/>
      <x:c r="L111" s="21"/>
      <x:c r="M111" s="21"/>
      <x:c r="N111" s="21"/>
      <x:c r="O111" s="21"/>
      <x:c r="P111" s="21"/>
      <x:c r="Q111" s="21"/>
      <x:c r="R111" s="106"/>
      <x:c r="S111" s="106"/>
      <x:c r="T111" s="106"/>
    </x:row>
    <x:row r="112" ht="21.450000762939453" customHeight="1">
      <x:c r="A112" s="20"/>
      <x:c r="B112" s="21"/>
      <x:c r="C112" s="21"/>
      <x:c r="D112" s="21"/>
      <x:c r="E112" s="22"/>
      <x:c r="F112" s="23"/>
      <x:c r="G112" s="23"/>
      <x:c r="H112" s="21"/>
      <x:c r="I112" s="21"/>
      <x:c r="J112" s="21"/>
      <x:c r="K112" s="21"/>
      <x:c r="L112" s="21"/>
      <x:c r="M112" s="21"/>
      <x:c r="N112" s="21"/>
      <x:c r="O112" s="21"/>
      <x:c r="P112" s="21"/>
      <x:c r="Q112" s="21"/>
      <x:c r="R112" s="106"/>
      <x:c r="S112" s="106"/>
      <x:c r="T112" s="106"/>
    </x:row>
    <x:row r="113" ht="21.450000762939453" customHeight="1">
      <x:c r="A113" s="107"/>
      <x:c r="B113" s="107"/>
      <x:c r="C113" s="107"/>
      <x:c r="D113" s="107"/>
      <x:c r="E113" s="165"/>
      <x:c r="F113" s="160"/>
      <x:c r="G113" s="161"/>
      <x:c r="H113" s="107"/>
      <x:c r="I113" s="107"/>
      <x:c r="J113" s="107"/>
      <x:c r="K113" s="107"/>
      <x:c r="L113" s="107"/>
      <x:c r="M113" s="107"/>
      <x:c r="N113" s="107"/>
      <x:c r="O113" s="107"/>
      <x:c r="P113" s="107"/>
      <x:c r="Q113" s="107"/>
      <x:c r="R113" s="106"/>
      <x:c r="S113" s="106"/>
      <x:c r="T113" s="106"/>
    </x:row>
    <x:row r="114" ht="21.450000762939453" customHeight="1">
      <x:c r="A114" s="107"/>
      <x:c r="B114" s="107"/>
      <x:c r="C114" s="107"/>
      <x:c r="D114" s="107"/>
      <x:c r="E114" s="165"/>
      <x:c r="F114" s="160"/>
      <x:c r="G114" s="161"/>
      <x:c r="H114" s="107"/>
      <x:c r="I114" s="107"/>
      <x:c r="J114" s="107"/>
      <x:c r="K114" s="107"/>
      <x:c r="L114" s="107"/>
      <x:c r="M114" s="107"/>
      <x:c r="N114" s="107"/>
      <x:c r="O114" s="107"/>
      <x:c r="P114" s="107"/>
      <x:c r="Q114" s="107"/>
      <x:c r="R114" s="106"/>
      <x:c r="S114" s="106"/>
      <x:c r="T114" s="106"/>
    </x:row>
    <x:row r="115" ht="21.450000762939453" customHeight="1">
      <x:c r="A115" s="107"/>
      <x:c r="B115" s="107"/>
      <x:c r="C115" s="107"/>
      <x:c r="D115" s="107"/>
      <x:c r="E115" s="165"/>
      <x:c r="F115" s="160"/>
      <x:c r="G115" s="161"/>
      <x:c r="H115" s="107"/>
      <x:c r="I115" s="107"/>
      <x:c r="J115" s="107"/>
      <x:c r="K115" s="107"/>
      <x:c r="L115" s="107"/>
      <x:c r="M115" s="107"/>
      <x:c r="N115" s="107"/>
      <x:c r="O115" s="107"/>
      <x:c r="P115" s="107"/>
      <x:c r="Q115" s="107"/>
      <x:c r="R115" s="106"/>
      <x:c r="S115" s="106"/>
      <x:c r="T115" s="106"/>
    </x:row>
    <x:row r="116" ht="21.450000762939453" customHeight="1">
      <x:c r="A116" s="107"/>
      <x:c r="B116" s="107"/>
      <x:c r="C116" s="107"/>
      <x:c r="D116" s="107"/>
      <x:c r="E116" s="165"/>
      <x:c r="F116" s="160"/>
      <x:c r="G116" s="161"/>
      <x:c r="H116" s="107"/>
      <x:c r="I116" s="107"/>
      <x:c r="J116" s="107"/>
      <x:c r="K116" s="107"/>
      <x:c r="L116" s="107"/>
      <x:c r="M116" s="107"/>
      <x:c r="N116" s="107"/>
      <x:c r="O116" s="107"/>
      <x:c r="P116" s="107"/>
      <x:c r="Q116" s="107"/>
      <x:c r="R116" s="106"/>
      <x:c r="S116" s="106"/>
      <x:c r="T116" s="106"/>
    </x:row>
    <x:row r="117" ht="21.450000762939453" customHeight="1">
      <x:c r="A117" s="107"/>
      <x:c r="B117" s="107"/>
      <x:c r="C117" s="107"/>
      <x:c r="D117" s="107"/>
      <x:c r="E117" s="165"/>
      <x:c r="F117" s="160"/>
      <x:c r="G117" s="161"/>
      <x:c r="H117" s="107"/>
      <x:c r="I117" s="107"/>
      <x:c r="J117" s="107"/>
      <x:c r="K117" s="107"/>
      <x:c r="L117" s="107"/>
      <x:c r="M117" s="107"/>
      <x:c r="N117" s="107"/>
      <x:c r="O117" s="107"/>
      <x:c r="P117" s="107"/>
      <x:c r="Q117" s="107"/>
      <x:c r="R117" s="106"/>
      <x:c r="S117" s="106"/>
      <x:c r="T117" s="106"/>
    </x:row>
    <x:row r="118" ht="21.450000762939453" customHeight="1">
      <x:c r="A118" s="107"/>
      <x:c r="B118" s="107"/>
      <x:c r="C118" s="107"/>
      <x:c r="D118" s="107"/>
      <x:c r="E118" s="165"/>
      <x:c r="F118" s="160"/>
      <x:c r="G118" s="161"/>
      <x:c r="H118" s="107"/>
      <x:c r="I118" s="107"/>
      <x:c r="J118" s="107"/>
      <x:c r="K118" s="107"/>
      <x:c r="L118" s="107"/>
      <x:c r="M118" s="107"/>
      <x:c r="N118" s="107"/>
      <x:c r="O118" s="107"/>
      <x:c r="P118" s="107"/>
      <x:c r="Q118" s="107"/>
      <x:c r="R118" s="106"/>
      <x:c r="S118" s="106"/>
      <x:c r="T118" s="106"/>
    </x:row>
    <x:row r="119" ht="21.450000762939453" customHeight="1">
      <x:c r="A119" s="107"/>
      <x:c r="B119" s="107"/>
      <x:c r="C119" s="107"/>
      <x:c r="D119" s="107"/>
      <x:c r="E119" s="165"/>
      <x:c r="F119" s="160"/>
      <x:c r="G119" s="161"/>
      <x:c r="H119" s="107"/>
      <x:c r="I119" s="107"/>
      <x:c r="J119" s="107"/>
      <x:c r="K119" s="107"/>
      <x:c r="L119" s="107"/>
      <x:c r="M119" s="107"/>
      <x:c r="N119" s="107"/>
      <x:c r="O119" s="107"/>
      <x:c r="P119" s="107"/>
      <x:c r="Q119" s="107"/>
      <x:c r="R119" s="106"/>
      <x:c r="S119" s="106"/>
      <x:c r="T119" s="106"/>
    </x:row>
    <x:row r="120" ht="21.450000762939453" customHeight="1">
      <x:c r="A120" s="107"/>
      <x:c r="B120" s="107"/>
      <x:c r="C120" s="107"/>
      <x:c r="D120" s="107"/>
      <x:c r="E120" s="165"/>
      <x:c r="F120" s="160"/>
      <x:c r="G120" s="161"/>
      <x:c r="H120" s="107"/>
      <x:c r="I120" s="107"/>
      <x:c r="J120" s="107"/>
      <x:c r="K120" s="107"/>
      <x:c r="L120" s="107"/>
      <x:c r="M120" s="107"/>
      <x:c r="N120" s="107"/>
      <x:c r="O120" s="107"/>
      <x:c r="P120" s="107"/>
      <x:c r="Q120" s="107"/>
      <x:c r="R120" s="106"/>
      <x:c r="S120" s="106"/>
      <x:c r="T120" s="106"/>
    </x:row>
    <x:row r="121" ht="21.450000762939453" customHeight="1">
      <x:c r="A121" s="107"/>
      <x:c r="B121" s="107"/>
      <x:c r="C121" s="107"/>
      <x:c r="D121" s="107"/>
      <x:c r="E121" s="165"/>
      <x:c r="F121" s="160"/>
      <x:c r="G121" s="161"/>
      <x:c r="H121" s="107"/>
      <x:c r="I121" s="107"/>
      <x:c r="J121" s="107"/>
      <x:c r="K121" s="107"/>
      <x:c r="L121" s="107"/>
      <x:c r="M121" s="107"/>
      <x:c r="N121" s="107"/>
      <x:c r="O121" s="107"/>
      <x:c r="P121" s="107"/>
      <x:c r="Q121" s="107"/>
      <x:c r="R121" s="106"/>
      <x:c r="S121" s="106"/>
      <x:c r="T121" s="106"/>
    </x:row>
    <x:row r="122" ht="21.450000762939453" customHeight="1">
      <x:c r="A122" s="107"/>
      <x:c r="B122" s="107"/>
      <x:c r="C122" s="107"/>
      <x:c r="D122" s="107"/>
      <x:c r="E122" s="165"/>
      <x:c r="F122" s="160"/>
      <x:c r="G122" s="161"/>
      <x:c r="H122" s="107"/>
      <x:c r="I122" s="107"/>
      <x:c r="J122" s="107"/>
      <x:c r="K122" s="107"/>
      <x:c r="L122" s="107"/>
      <x:c r="M122" s="107"/>
      <x:c r="N122" s="107"/>
      <x:c r="O122" s="107"/>
      <x:c r="P122" s="107"/>
      <x:c r="Q122" s="107"/>
      <x:c r="R122" s="106"/>
      <x:c r="S122" s="106"/>
      <x:c r="T122" s="106"/>
    </x:row>
    <x:row r="123" ht="21.450000762939453" customHeight="1">
      <x:c r="A123" s="107"/>
      <x:c r="B123" s="107"/>
      <x:c r="C123" s="107"/>
      <x:c r="D123" s="107"/>
      <x:c r="E123" s="165"/>
      <x:c r="F123" s="160"/>
      <x:c r="G123" s="161"/>
      <x:c r="H123" s="107"/>
      <x:c r="I123" s="107"/>
      <x:c r="J123" s="107"/>
      <x:c r="K123" s="107"/>
      <x:c r="L123" s="107"/>
      <x:c r="M123" s="107"/>
      <x:c r="N123" s="107"/>
      <x:c r="O123" s="107"/>
      <x:c r="P123" s="107"/>
      <x:c r="Q123" s="107"/>
      <x:c r="R123" s="106"/>
      <x:c r="S123" s="106"/>
      <x:c r="T123" s="106"/>
    </x:row>
    <x:row r="124" ht="21.450000762939453" customHeight="1">
      <x:c r="A124" s="107"/>
      <x:c r="B124" s="107"/>
      <x:c r="C124" s="107"/>
      <x:c r="D124" s="107"/>
      <x:c r="E124" s="165"/>
      <x:c r="F124" s="160"/>
      <x:c r="G124" s="161"/>
      <x:c r="H124" s="107"/>
      <x:c r="I124" s="107"/>
      <x:c r="J124" s="107"/>
      <x:c r="K124" s="107"/>
      <x:c r="L124" s="107"/>
      <x:c r="M124" s="107"/>
      <x:c r="N124" s="107"/>
      <x:c r="O124" s="107"/>
      <x:c r="P124" s="107"/>
      <x:c r="Q124" s="107"/>
      <x:c r="R124" s="106"/>
      <x:c r="S124" s="106"/>
      <x:c r="T124" s="106"/>
    </x:row>
    <x:row r="125" ht="21.450000762939453" customHeight="1">
      <x:c r="A125" s="107"/>
      <x:c r="B125" s="107"/>
      <x:c r="C125" s="107"/>
      <x:c r="D125" s="107"/>
      <x:c r="E125" s="165"/>
      <x:c r="F125" s="160"/>
      <x:c r="G125" s="161"/>
      <x:c r="H125" s="107"/>
      <x:c r="I125" s="107"/>
      <x:c r="J125" s="107"/>
      <x:c r="K125" s="107"/>
      <x:c r="L125" s="107"/>
      <x:c r="M125" s="107"/>
      <x:c r="N125" s="107"/>
      <x:c r="O125" s="107"/>
      <x:c r="P125" s="107"/>
      <x:c r="Q125" s="107"/>
      <x:c r="R125" s="106"/>
      <x:c r="S125" s="106"/>
      <x:c r="T125" s="106"/>
    </x:row>
    <x:row r="126" ht="21.450000762939453" customHeight="1">
      <x:c r="A126" s="107"/>
      <x:c r="B126" s="107"/>
      <x:c r="C126" s="107"/>
      <x:c r="D126" s="107"/>
      <x:c r="E126" s="165"/>
      <x:c r="F126" s="160"/>
      <x:c r="G126" s="161"/>
      <x:c r="H126" s="107"/>
      <x:c r="I126" s="107"/>
      <x:c r="J126" s="107"/>
      <x:c r="K126" s="107"/>
      <x:c r="L126" s="107"/>
      <x:c r="M126" s="107"/>
      <x:c r="N126" s="107"/>
      <x:c r="O126" s="107"/>
      <x:c r="P126" s="107"/>
      <x:c r="Q126" s="107"/>
      <x:c r="R126" s="106"/>
      <x:c r="S126" s="106"/>
      <x:c r="T126" s="106"/>
    </x:row>
    <x:row r="127" ht="21.450000762939453" customHeight="1">
      <x:c r="A127" s="107"/>
      <x:c r="B127" s="107"/>
      <x:c r="C127" s="107"/>
      <x:c r="D127" s="107"/>
      <x:c r="E127" s="165"/>
      <x:c r="F127" s="160"/>
      <x:c r="G127" s="161"/>
      <x:c r="H127" s="107"/>
      <x:c r="I127" s="107"/>
      <x:c r="J127" s="107"/>
      <x:c r="K127" s="107"/>
      <x:c r="L127" s="107"/>
      <x:c r="M127" s="107"/>
      <x:c r="N127" s="107"/>
      <x:c r="O127" s="107"/>
      <x:c r="P127" s="107"/>
      <x:c r="Q127" s="107"/>
      <x:c r="R127" s="106"/>
      <x:c r="S127" s="106"/>
      <x:c r="T127" s="106"/>
    </x:row>
    <x:row r="128" ht="21.450000762939453" customHeight="1">
      <x:c r="A128" s="107"/>
      <x:c r="B128" s="107"/>
      <x:c r="C128" s="107"/>
      <x:c r="D128" s="107"/>
      <x:c r="E128" s="165"/>
      <x:c r="F128" s="160"/>
      <x:c r="G128" s="161"/>
      <x:c r="H128" s="107"/>
      <x:c r="I128" s="107"/>
      <x:c r="J128" s="107"/>
      <x:c r="K128" s="107"/>
      <x:c r="L128" s="107"/>
      <x:c r="M128" s="107"/>
      <x:c r="N128" s="107"/>
      <x:c r="O128" s="107"/>
      <x:c r="P128" s="107"/>
      <x:c r="Q128" s="107"/>
      <x:c r="R128" s="106"/>
      <x:c r="S128" s="106"/>
      <x:c r="T128" s="106"/>
    </x:row>
    <x:row r="129" ht="21.450000762939453" customHeight="1">
      <x:c r="A129" s="107"/>
      <x:c r="B129" s="107"/>
      <x:c r="C129" s="107"/>
      <x:c r="D129" s="107"/>
      <x:c r="E129" s="165"/>
      <x:c r="F129" s="160"/>
      <x:c r="G129" s="161"/>
      <x:c r="H129" s="107"/>
      <x:c r="I129" s="107"/>
      <x:c r="J129" s="107"/>
      <x:c r="K129" s="107"/>
      <x:c r="L129" s="107"/>
      <x:c r="M129" s="107"/>
      <x:c r="N129" s="107"/>
      <x:c r="O129" s="107"/>
      <x:c r="P129" s="107"/>
      <x:c r="Q129" s="107"/>
      <x:c r="R129" s="106"/>
      <x:c r="S129" s="106"/>
      <x:c r="T129" s="106"/>
    </x:row>
    <x:row r="130" ht="21.450000762939453" customHeight="1">
      <x:c r="A130" s="107"/>
      <x:c r="B130" s="107"/>
      <x:c r="C130" s="107"/>
      <x:c r="D130" s="107"/>
      <x:c r="E130" s="165"/>
      <x:c r="F130" s="160"/>
      <x:c r="G130" s="161"/>
      <x:c r="H130" s="107"/>
      <x:c r="I130" s="107"/>
      <x:c r="J130" s="107"/>
      <x:c r="K130" s="107"/>
      <x:c r="L130" s="107"/>
      <x:c r="M130" s="107"/>
      <x:c r="N130" s="107"/>
      <x:c r="O130" s="107"/>
      <x:c r="P130" s="107"/>
      <x:c r="Q130" s="107"/>
      <x:c r="R130" s="106"/>
      <x:c r="S130" s="106"/>
      <x:c r="T130" s="106"/>
    </x:row>
    <x:row r="131" ht="21.450000762939453" customHeight="1">
      <x:c r="A131" s="107"/>
      <x:c r="B131" s="107"/>
      <x:c r="C131" s="107"/>
      <x:c r="D131" s="107"/>
      <x:c r="E131" s="165"/>
      <x:c r="F131" s="160"/>
      <x:c r="G131" s="161"/>
      <x:c r="H131" s="107"/>
      <x:c r="I131" s="107"/>
      <x:c r="J131" s="107"/>
      <x:c r="K131" s="107"/>
      <x:c r="L131" s="107"/>
      <x:c r="M131" s="107"/>
      <x:c r="N131" s="107"/>
      <x:c r="O131" s="107"/>
      <x:c r="P131" s="107"/>
      <x:c r="Q131" s="107"/>
      <x:c r="R131" s="106"/>
      <x:c r="S131" s="106"/>
      <x:c r="T131" s="106"/>
    </x:row>
    <x:row r="132" ht="21.450000762939453" customHeight="1">
      <x:c r="A132" s="107"/>
      <x:c r="B132" s="107"/>
      <x:c r="C132" s="107"/>
      <x:c r="D132" s="107"/>
      <x:c r="E132" s="165"/>
      <x:c r="F132" s="160"/>
      <x:c r="G132" s="161"/>
      <x:c r="H132" s="107"/>
      <x:c r="I132" s="107"/>
      <x:c r="J132" s="107"/>
      <x:c r="K132" s="107"/>
      <x:c r="L132" s="107"/>
      <x:c r="M132" s="107"/>
      <x:c r="N132" s="107"/>
      <x:c r="O132" s="107"/>
      <x:c r="P132" s="107"/>
      <x:c r="Q132" s="107"/>
      <x:c r="R132" s="106"/>
      <x:c r="S132" s="106"/>
      <x:c r="T132" s="106"/>
    </x:row>
    <x:row r="133" ht="21.450000762939453" customHeight="1">
      <x:c r="A133" s="107"/>
      <x:c r="B133" s="107"/>
      <x:c r="C133" s="107"/>
      <x:c r="D133" s="107"/>
      <x:c r="E133" s="165"/>
      <x:c r="F133" s="160"/>
      <x:c r="G133" s="161"/>
      <x:c r="H133" s="107"/>
      <x:c r="I133" s="107"/>
      <x:c r="J133" s="107"/>
      <x:c r="K133" s="107"/>
      <x:c r="L133" s="107"/>
      <x:c r="M133" s="107"/>
      <x:c r="N133" s="107"/>
      <x:c r="O133" s="107"/>
      <x:c r="P133" s="107"/>
      <x:c r="Q133" s="107"/>
      <x:c r="R133" s="106"/>
      <x:c r="S133" s="106"/>
      <x:c r="T133" s="106"/>
    </x:row>
    <x:row r="134" ht="21.450000762939453" customHeight="1">
      <x:c r="A134" s="106"/>
      <x:c r="B134" s="106"/>
      <x:c r="C134" s="106"/>
      <x:c r="D134" s="106"/>
      <x:c r="E134" s="164"/>
      <x:c r="F134" s="130"/>
      <x:c r="G134" s="130"/>
      <x:c r="H134" s="106"/>
      <x:c r="I134" s="106"/>
      <x:c r="J134" s="106"/>
      <x:c r="K134" s="106"/>
      <x:c r="L134" s="106"/>
      <x:c r="M134" s="106"/>
      <x:c r="N134" s="106"/>
      <x:c r="O134" s="106"/>
      <x:c r="P134" s="106"/>
      <x:c r="Q134" s="106"/>
      <x:c r="R134" s="106"/>
      <x:c r="S134" s="106"/>
      <x:c r="T134" s="106"/>
    </x:row>
    <x:row r="135" ht="21.450000762939453" customHeight="1">
      <x:c r="A135" s="107"/>
      <x:c r="B135" s="220"/>
      <x:c r="C135" s="208"/>
      <x:c r="D135" s="208"/>
      <x:c r="E135" s="164"/>
      <x:c r="F135" s="130"/>
      <x:c r="G135" s="166"/>
      <x:c r="H135" s="106"/>
      <x:c r="I135" s="106"/>
      <x:c r="J135" s="106"/>
      <x:c r="K135" s="106"/>
      <x:c r="L135" s="106"/>
      <x:c r="M135" s="106"/>
      <x:c r="N135" s="106"/>
      <x:c r="O135" s="106"/>
      <x:c r="P135" s="106"/>
      <x:c r="Q135" s="106"/>
      <x:c r="R135" s="106"/>
      <x:c r="S135" s="106"/>
      <x:c r="T135" s="106"/>
    </x:row>
    <x:row r="136" ht="21.450000762939453" customHeight="1">
      <x:c r="A136" s="107"/>
      <x:c r="B136" s="220"/>
      <x:c r="C136" s="208"/>
      <x:c r="D136" s="208"/>
      <x:c r="E136" s="164"/>
      <x:c r="F136" s="130"/>
      <x:c r="G136" s="166"/>
      <x:c r="H136" s="106"/>
      <x:c r="I136" s="106"/>
      <x:c r="J136" s="106"/>
      <x:c r="K136" s="106"/>
      <x:c r="L136" s="106"/>
      <x:c r="M136" s="106"/>
      <x:c r="N136" s="106"/>
      <x:c r="O136" s="106"/>
      <x:c r="P136" s="106"/>
      <x:c r="Q136" s="106"/>
      <x:c r="R136" s="106"/>
      <x:c r="S136" s="106"/>
      <x:c r="T136" s="106"/>
    </x:row>
    <x:row r="137" ht="21.450000762939453" customHeight="1">
      <x:c r="A137" s="107"/>
      <x:c r="B137" s="220"/>
      <x:c r="C137" s="208"/>
      <x:c r="D137" s="208"/>
      <x:c r="E137" s="164"/>
      <x:c r="F137" s="130"/>
      <x:c r="G137" s="166"/>
      <x:c r="H137" s="106"/>
      <x:c r="I137" s="106"/>
      <x:c r="J137" s="106"/>
      <x:c r="K137" s="106"/>
      <x:c r="L137" s="106"/>
      <x:c r="M137" s="106"/>
      <x:c r="N137" s="106"/>
      <x:c r="O137" s="106"/>
      <x:c r="P137" s="106"/>
      <x:c r="Q137" s="106"/>
      <x:c r="R137" s="106"/>
      <x:c r="S137" s="106"/>
      <x:c r="T137" s="106"/>
    </x:row>
  </x:sheetData>
  <x:mergeCells>
    <x:mergeCell ref="A1:C1"/>
    <x:mergeCell ref="B135:D135"/>
    <x:mergeCell ref="B136:D136"/>
    <x:mergeCell ref="B137:D137"/>
    <x:mergeCell ref="Q1:T1"/>
  </x:mergeCells>
  <x:conditionalFormatting sqref="F3:F109">
    <x:cfRule type="expression" dxfId="6" priority="1">
      <x:formula>$R3="Jason"</x:formula>
    </x:cfRule>
  </x:conditionalFormatting>
  <x:conditionalFormatting sqref="S3:S109">
    <x:cfRule type="expression" dxfId="5" priority="2">
      <x:formula>$S3="PC / Quote Required"</x:formula>
    </x:cfRule>
    <x:cfRule type="expression" dxfId="4" priority="3">
      <x:formula>$S3="Market Rate"</x:formula>
    </x:cfRule>
    <x:cfRule type="expression" dxfId="3" priority="4">
      <x:formula>$S3="Supplier Quote"</x:formula>
    </x:cfRule>
  </x:conditionalFormatting>
  <x:dataValidations count="2">
    <x:dataValidation type="custom" allowBlank="1" showErrorMessage="1" errorTitle="Linked formula cell" error="This value is linked. Change the upstream input/source instead of overwriting this cell." sqref="R64 R33 R3 L3:P73 S3:S73 F3:F73 G3:G74">
      <x:formula1>FALSE</x:formula1>
    </x:dataValidation>
    <x:dataValidation type="list" sqref="S3:S109">
      <x:formula1>"Supplier Quote,Historical Quote,Market Rate,Measured / Review,QS Build-up,PC / Quote Required,Closed,Review"</x:formula1>
    </x:dataValidation>
  </x:dataValidations>
  <x:pageMargins left="0.7" right="0.7" top="0.75" bottom="0.75" header="0.3" footer="0.3"/>
</x:worksheet>
</file>

<file path=xl/worksheets/sheet6.xml><?xml version="1.0" encoding="utf-8"?>
<x:worksheet xmlns:x="http://schemas.openxmlformats.org/spreadsheetml/2006/main">
  <x:sheetFormatPr defaultRowHeight="13.800000190734863"/>
  <x:cols>
    <x:col min="1" max="1" width="44.296875" style="1" customWidth="1"/>
    <x:col min="2" max="2" width="18" style="1" customWidth="1"/>
    <x:col min="3" max="3" width="10" style="1" customWidth="1"/>
    <x:col min="4" max="4" width="13" style="1" customWidth="1"/>
    <x:col min="5" max="5" width="15" style="1" customWidth="1"/>
    <x:col min="6" max="6" width="17" style="1" customWidth="1"/>
    <x:col min="7" max="7" width="15" style="1" customWidth="1"/>
    <x:col min="8" max="8" width="17" style="1" customWidth="1"/>
    <x:col min="9" max="10" width="15" style="1" customWidth="1"/>
    <x:col min="11" max="13" width="16" style="1" customWidth="1"/>
    <x:col min="14" max="14" width="13" style="1" customWidth="1"/>
    <x:col min="15" max="15" width="17" style="1" customWidth="1"/>
    <x:col min="16" max="16" width="57.5" style="1" customWidth="1"/>
  </x:cols>
  <x:sheetData>
    <x:row r="1" ht="27.75" customHeight="1">
      <x:c r="A1" s="230" t="str">
        <x:v>STAGE PAYMENT &amp; CASHFLOW - MASTER ESTIMATE WORKBOOK REV4</x:v>
      </x:c>
      <x:c r="B1" s="230"/>
      <x:c r="C1" s="230"/>
      <x:c r="D1" s="230"/>
      <x:c r="E1" s="230"/>
      <x:c r="F1" s="230"/>
      <x:c r="G1" s="230"/>
      <x:c r="H1" s="230"/>
      <x:c r="I1" s="230"/>
      <x:c r="J1" s="230"/>
      <x:c r="K1" s="230"/>
      <x:c r="L1" s="230"/>
      <x:c r="M1" s="230"/>
      <x:c r="N1" s="230"/>
      <x:c r="O1" s="230"/>
      <x:c r="P1" s="230"/>
    </x:row>
    <x:row r="2">
      <x:c r="A2" s="228" t="str">
        <x:v>Only stage timing, stage percentages and retention applicability are inputs. Revenue and direct-cost allocations remain formula linked.</x:v>
      </x:c>
      <x:c r="B2" s="211"/>
      <x:c r="C2" s="211"/>
      <x:c r="D2" s="211"/>
      <x:c r="E2" s="211"/>
      <x:c r="F2" s="211"/>
      <x:c r="G2" s="211"/>
      <x:c r="H2" s="211"/>
      <x:c r="I2" s="211"/>
      <x:c r="J2" s="211"/>
      <x:c r="K2" s="211"/>
      <x:c r="L2" s="211"/>
      <x:c r="M2" s="27"/>
      <x:c r="N2" s="27"/>
      <x:c r="O2" s="27"/>
      <x:c r="P2" s="27"/>
    </x:row>
    <x:row r="3" ht="20.100000381469727" customHeight="1">
      <x:c r="A3" s="229" t="str">
        <x:v>Cash on hand = cumulative net pre-GST receipts less base direct stage costs and included pre-margin provisions. Commercial adjustments (overhead/profit/bonds/finance) remain visible as commercial return/cost after those provisions.</x:v>
      </x:c>
      <x:c r="B3" s="211"/>
      <x:c r="C3" s="211"/>
      <x:c r="D3" s="211"/>
      <x:c r="E3" s="211"/>
      <x:c r="F3" s="211"/>
      <x:c r="G3" s="211"/>
      <x:c r="H3" s="211"/>
      <x:c r="I3" s="211"/>
      <x:c r="J3" s="211"/>
      <x:c r="K3" s="211"/>
      <x:c r="L3" s="211"/>
      <x:c r="M3" s="211"/>
      <x:c r="N3" s="211"/>
      <x:c r="O3" s="211"/>
      <x:c r="P3" s="211"/>
    </x:row>
    <x:row r="4" s="3" customFormat="1" ht="28.799999237060547" customHeight="1">
      <x:c r="A4" s="167" t="s">
        <x:v>324</x:v>
      </x:c>
      <x:c r="B4" s="167" t="s">
        <x:v>325</x:v>
      </x:c>
      <x:c r="C4" s="167" t="s">
        <x:v>326</x:v>
      </x:c>
      <x:c r="D4" s="167" t="s">
        <x:v>327</x:v>
      </x:c>
      <x:c r="E4" s="167" t="s">
        <x:v>328</x:v>
      </x:c>
      <x:c r="F4" s="167" t="s">
        <x:v>329</x:v>
      </x:c>
      <x:c r="G4" s="167" t="s">
        <x:v>330</x:v>
      </x:c>
      <x:c r="H4" s="167" t="s">
        <x:v>331</x:v>
      </x:c>
      <x:c r="I4" s="167" t="str">
        <x:v>Stage cost / provision</x:v>
      </x:c>
      <x:c r="J4" s="167" t="s">
        <x:v>332</x:v>
      </x:c>
      <x:c r="K4" s="167" t="s">
        <x:v>333</x:v>
      </x:c>
      <x:c r="L4" s="167" t="s">
        <x:v>334</x:v>
      </x:c>
      <x:c r="M4" s="31" t="s">
        <x:v>335</x:v>
      </x:c>
      <x:c r="N4" s="31" t="s">
        <x:v>125</x:v>
      </x:c>
      <x:c r="O4" s="31" t="s">
        <x:v>336</x:v>
      </x:c>
      <x:c r="P4" s="31" t="s">
        <x:v>86</x:v>
      </x:c>
    </x:row>
    <x:row r="5" s="3" customFormat="1" ht="23.549999237060547" customHeight="1">
      <x:c r="A5" s="106" t="s">
        <x:v>337</x:v>
      </x:c>
      <x:c r="B5" s="140" t="s">
        <x:v>338</x:v>
      </x:c>
      <x:c r="C5" s="141" t="n">
        <x:f>IF('Commercial Inputs'!$F$28="Yes",'Commercial Inputs'!$D$28,0)</x:f>
        <x:v>0</x:v>
      </x:c>
      <x:c r="D5" s="140" t="str">
        <x:f>IF('Commercial Inputs'!$F$29="Yes","Yes","No")</x:f>
        <x:v>No</x:v>
      </x:c>
      <x:c r="E5" s="168" t="n">
        <x:f>0</x:f>
        <x:v>0</x:v>
      </x:c>
      <x:c r="F5" s="168" t="n">
        <x:f>'Tender Build-Up'!$B$47*C5</x:f>
        <x:v>0</x:v>
      </x:c>
      <x:c r="G5" s="168" t="n">
        <x:f>IF(AND(D5="Yes",'Commercial Inputs'!$F$26="Yes"),F5*'Commercial Inputs'!$D$26,0)</x:f>
        <x:v>0</x:v>
      </x:c>
      <x:c r="H5" s="168" t="n">
        <x:f t="shared" ref="H5:H11" si="0">F5-G5</x:f>
        <x:v>0</x:v>
      </x:c>
      <x:c r="I5" s="168" t="n">
        <x:f>0</x:f>
        <x:v>0</x:v>
      </x:c>
      <x:c r="J5" s="168" t="n">
        <x:f t="shared" ref="J5:J11" si="1">H5-I5</x:f>
        <x:v>0</x:v>
      </x:c>
      <x:c r="K5" s="168" t="n">
        <x:f t="shared" ref="K5:K11" si="2">E5+J5</x:f>
        <x:v>0</x:v>
      </x:c>
      <x:c r="L5" s="168" t="n">
        <x:f>H5</x:f>
        <x:v>0</x:v>
      </x:c>
      <x:c r="M5" s="168" t="n">
        <x:f>G5</x:f>
        <x:v>0</x:v>
      </x:c>
      <x:c r="N5" s="168" t="n">
        <x:f>IF('Commercial Inputs'!$F$25="Yes",H5*'Commercial Inputs'!$D$25,0)</x:f>
        <x:v>0</x:v>
      </x:c>
      <x:c r="O5" s="168" t="n">
        <x:f t="shared" ref="O5:O11" si="3">H5+N5</x:f>
        <x:v>0</x:v>
      </x:c>
      <x:c r="P5" s="166"/>
    </x:row>
    <x:row r="6" s="3" customFormat="1" ht="23.549999237060547" customHeight="1">
      <x:c r="A6" s="106" t="s">
        <x:v>339</x:v>
      </x:c>
      <x:c r="B6" s="140"/>
      <x:c r="C6" s="141"/>
      <x:c r="D6" s="140"/>
      <x:c r="E6" s="168" t="n">
        <x:f t="shared" ref="E6:E11" si="4">K5</x:f>
        <x:v>0</x:v>
      </x:c>
      <x:c r="F6" s="168" t="n">
        <x:f>'Tender Build-Up'!$B$47*C6</x:f>
        <x:v>0</x:v>
      </x:c>
      <x:c r="G6" s="168" t="n">
        <x:f>IF(AND(D6="Yes",'Commercial Inputs'!$F$26="Yes"),F6*'Commercial Inputs'!$D$26,0)</x:f>
        <x:v>0</x:v>
      </x:c>
      <x:c r="H6" s="168" t="n">
        <x:f t="shared" si="0">F6-G6</x:f>
        <x:v>0</x:v>
      </x:c>
      <x:c r="I6" s="168" t="n">
        <x:f>SUM(Summary!$B$23:$B$24)</x:f>
        <x:v>0</x:v>
      </x:c>
      <x:c r="J6" s="168" t="n">
        <x:f t="shared" si="1">H6-I6</x:f>
        <x:v>0</x:v>
      </x:c>
      <x:c r="K6" s="168" t="n">
        <x:f t="shared" si="2">E6+J6</x:f>
        <x:v>0</x:v>
      </x:c>
      <x:c r="L6" s="168" t="n">
        <x:f t="shared" ref="L6:L11" si="5">L5+H6</x:f>
        <x:v>0</x:v>
      </x:c>
      <x:c r="M6" s="168" t="n">
        <x:f t="shared" ref="M6:M11" si="6">M5+G6</x:f>
        <x:v>0</x:v>
      </x:c>
      <x:c r="N6" s="168" t="n">
        <x:f>IF('Commercial Inputs'!$F$25="Yes",H6*'Commercial Inputs'!$D$25,0)</x:f>
        <x:v>0</x:v>
      </x:c>
      <x:c r="O6" s="168" t="n">
        <x:f t="shared" si="3">H6+N6</x:f>
        <x:v>0</x:v>
      </x:c>
      <x:c r="P6" s="166"/>
    </x:row>
    <x:row r="7" s="3" customFormat="1" ht="23.549999237060547" customHeight="1">
      <x:c r="A7" s="106" t="s">
        <x:v>340</x:v>
      </x:c>
      <x:c r="B7" s="140"/>
      <x:c r="C7" s="141"/>
      <x:c r="D7" s="140"/>
      <x:c r="E7" s="168" t="n">
        <x:f t="shared" si="4">K6</x:f>
        <x:v>0</x:v>
      </x:c>
      <x:c r="F7" s="168" t="n">
        <x:f>'Tender Build-Up'!$B$47*C7</x:f>
        <x:v>0</x:v>
      </x:c>
      <x:c r="G7" s="168" t="n">
        <x:f>IF(AND(D7="Yes",'Commercial Inputs'!$F$26="Yes"),F7*'Commercial Inputs'!$D$26,0)</x:f>
        <x:v>0</x:v>
      </x:c>
      <x:c r="H7" s="168" t="n">
        <x:f t="shared" si="0">F7-G7</x:f>
        <x:v>0</x:v>
      </x:c>
      <x:c r="I7" s="168" t="n">
        <x:f>Summary!$B$25</x:f>
        <x:v>0</x:v>
      </x:c>
      <x:c r="J7" s="168" t="n">
        <x:f t="shared" si="1">H7-I7</x:f>
        <x:v>0</x:v>
      </x:c>
      <x:c r="K7" s="168" t="n">
        <x:f t="shared" si="2">E7+J7</x:f>
        <x:v>0</x:v>
      </x:c>
      <x:c r="L7" s="168" t="n">
        <x:f t="shared" si="5">L6+H7</x:f>
        <x:v>0</x:v>
      </x:c>
      <x:c r="M7" s="168" t="n">
        <x:f t="shared" si="6">M6+G7</x:f>
        <x:v>0</x:v>
      </x:c>
      <x:c r="N7" s="168" t="n">
        <x:f>IF('Commercial Inputs'!$F$25="Yes",H7*'Commercial Inputs'!$D$25,0)</x:f>
        <x:v>0</x:v>
      </x:c>
      <x:c r="O7" s="168" t="n">
        <x:f t="shared" si="3">H7+N7</x:f>
        <x:v>0</x:v>
      </x:c>
      <x:c r="P7" s="166"/>
    </x:row>
    <x:row r="8" s="3" customFormat="1" ht="23.549999237060547" customHeight="1">
      <x:c r="A8" s="106" t="s">
        <x:v>341</x:v>
      </x:c>
      <x:c r="B8" s="140"/>
      <x:c r="C8" s="141"/>
      <x:c r="D8" s="140"/>
      <x:c r="E8" s="168" t="n">
        <x:f t="shared" si="4">K7</x:f>
        <x:v>0</x:v>
      </x:c>
      <x:c r="F8" s="168" t="n">
        <x:f>'Tender Build-Up'!$B$47*C8</x:f>
        <x:v>0</x:v>
      </x:c>
      <x:c r="G8" s="168" t="n">
        <x:f>IF(AND(D8="Yes",'Commercial Inputs'!$F$26="Yes"),F8*'Commercial Inputs'!$D$26,0)</x:f>
        <x:v>0</x:v>
      </x:c>
      <x:c r="H8" s="168" t="n">
        <x:f t="shared" si="0">F8-G8</x:f>
        <x:v>0</x:v>
      </x:c>
      <x:c r="I8" s="168" t="n">
        <x:f>SUM(Summary!$B$26:$B$27)</x:f>
        <x:v>0</x:v>
      </x:c>
      <x:c r="J8" s="168" t="n">
        <x:f t="shared" si="1">H8-I8</x:f>
        <x:v>0</x:v>
      </x:c>
      <x:c r="K8" s="168" t="n">
        <x:f t="shared" si="2">E8+J8</x:f>
        <x:v>0</x:v>
      </x:c>
      <x:c r="L8" s="168" t="n">
        <x:f t="shared" si="5">L7+H8</x:f>
        <x:v>0</x:v>
      </x:c>
      <x:c r="M8" s="168" t="n">
        <x:f t="shared" si="6">M7+G8</x:f>
        <x:v>0</x:v>
      </x:c>
      <x:c r="N8" s="168" t="n">
        <x:f>IF('Commercial Inputs'!$F$25="Yes",H8*'Commercial Inputs'!$D$25,0)</x:f>
        <x:v>0</x:v>
      </x:c>
      <x:c r="O8" s="168" t="n">
        <x:f t="shared" si="3">H8+N8</x:f>
        <x:v>0</x:v>
      </x:c>
      <x:c r="P8" s="166"/>
    </x:row>
    <x:row r="9" s="3" customFormat="1" ht="23.549999237060547" customHeight="1">
      <x:c r="A9" s="106" t="s">
        <x:v>342</x:v>
      </x:c>
      <x:c r="B9" s="140"/>
      <x:c r="C9" s="141"/>
      <x:c r="D9" s="140"/>
      <x:c r="E9" s="168" t="n">
        <x:f t="shared" si="4">K8</x:f>
        <x:v>0</x:v>
      </x:c>
      <x:c r="F9" s="168" t="n">
        <x:f>'Tender Build-Up'!$B$47*C9</x:f>
        <x:v>0</x:v>
      </x:c>
      <x:c r="G9" s="168" t="n">
        <x:f>IF(AND(D9="Yes",'Commercial Inputs'!$F$26="Yes"),F9*'Commercial Inputs'!$D$26,0)</x:f>
        <x:v>0</x:v>
      </x:c>
      <x:c r="H9" s="168" t="n">
        <x:f t="shared" si="0">F9-G9</x:f>
        <x:v>0</x:v>
      </x:c>
      <x:c r="I9" s="168" t="n">
        <x:f>SUM(Summary!$B$28:$B$29)</x:f>
        <x:v>0</x:v>
      </x:c>
      <x:c r="J9" s="168" t="n">
        <x:f t="shared" si="1">H9-I9</x:f>
        <x:v>0</x:v>
      </x:c>
      <x:c r="K9" s="168" t="n">
        <x:f t="shared" si="2">E9+J9</x:f>
        <x:v>0</x:v>
      </x:c>
      <x:c r="L9" s="168" t="n">
        <x:f t="shared" si="5">L8+H9</x:f>
        <x:v>0</x:v>
      </x:c>
      <x:c r="M9" s="168" t="n">
        <x:f t="shared" si="6">M8+G9</x:f>
        <x:v>0</x:v>
      </x:c>
      <x:c r="N9" s="168" t="n">
        <x:f>IF('Commercial Inputs'!$F$25="Yes",H9*'Commercial Inputs'!$D$25,0)</x:f>
        <x:v>0</x:v>
      </x:c>
      <x:c r="O9" s="168" t="n">
        <x:f t="shared" si="3">H9+N9</x:f>
        <x:v>0</x:v>
      </x:c>
      <x:c r="P9" s="166"/>
    </x:row>
    <x:row r="10" s="3" customFormat="1" ht="23.549999237060547" customHeight="1">
      <x:c r="A10" s="106" t="s">
        <x:v>343</x:v>
      </x:c>
      <x:c r="B10" s="140"/>
      <x:c r="C10" s="141"/>
      <x:c r="D10" s="140"/>
      <x:c r="E10" s="168" t="n">
        <x:f t="shared" si="4">K9</x:f>
        <x:v>0</x:v>
      </x:c>
      <x:c r="F10" s="168" t="n">
        <x:f>'Tender Build-Up'!$B$47*C10</x:f>
        <x:v>0</x:v>
      </x:c>
      <x:c r="G10" s="168" t="n">
        <x:f>IF(AND(D10="Yes",'Commercial Inputs'!$F$26="Yes"),F10*'Commercial Inputs'!$D$26,0)</x:f>
        <x:v>0</x:v>
      </x:c>
      <x:c r="H10" s="168" t="n">
        <x:f t="shared" si="0">F10-G10</x:f>
        <x:v>0</x:v>
      </x:c>
      <x:c r="I10" s="168" t="n">
        <x:f>Summary!$B$30</x:f>
        <x:v>0</x:v>
      </x:c>
      <x:c r="J10" s="168" t="n">
        <x:f t="shared" si="1">H10-I10</x:f>
        <x:v>0</x:v>
      </x:c>
      <x:c r="K10" s="168" t="n">
        <x:f t="shared" si="2">E10+J10</x:f>
        <x:v>0</x:v>
      </x:c>
      <x:c r="L10" s="168" t="n">
        <x:f t="shared" si="5">L9+H10</x:f>
        <x:v>0</x:v>
      </x:c>
      <x:c r="M10" s="168" t="n">
        <x:f t="shared" si="6">M9+G10</x:f>
        <x:v>0</x:v>
      </x:c>
      <x:c r="N10" s="168" t="n">
        <x:f>IF('Commercial Inputs'!$F$25="Yes",H10*'Commercial Inputs'!$D$25,0)</x:f>
        <x:v>0</x:v>
      </x:c>
      <x:c r="O10" s="168" t="n">
        <x:f t="shared" si="3">H10+N10</x:f>
        <x:v>0</x:v>
      </x:c>
      <x:c r="P10" s="166"/>
    </x:row>
    <x:row r="11" s="3" customFormat="1" ht="23.549999237060547" customHeight="1">
      <x:c r="A11" s="106" t="s">
        <x:v>344</x:v>
      </x:c>
      <x:c r="B11" s="140"/>
      <x:c r="C11" s="141"/>
      <x:c r="D11" s="140"/>
      <x:c r="E11" s="168" t="n">
        <x:f t="shared" si="4">K10</x:f>
        <x:v>0</x:v>
      </x:c>
      <x:c r="F11" s="168" t="n">
        <x:f>'Tender Build-Up'!$B$47*C11</x:f>
        <x:v>0</x:v>
      </x:c>
      <x:c r="G11" s="168" t="n">
        <x:f>IF(AND(D11="Yes",'Commercial Inputs'!$F$26="Yes"),F11*'Commercial Inputs'!$D$26,0)</x:f>
        <x:v>0</x:v>
      </x:c>
      <x:c r="H11" s="168" t="n">
        <x:f t="shared" si="0">F11-G11</x:f>
        <x:v>0</x:v>
      </x:c>
      <x:c r="I11" s="168" t="n">
        <x:f>SUM(Summary!$B$31:$B$32)</x:f>
        <x:v>0</x:v>
      </x:c>
      <x:c r="J11" s="168" t="n">
        <x:f t="shared" si="1">H11-I11</x:f>
        <x:v>0</x:v>
      </x:c>
      <x:c r="K11" s="168" t="n">
        <x:f t="shared" si="2">E11+J11</x:f>
        <x:v>0</x:v>
      </x:c>
      <x:c r="L11" s="168" t="n">
        <x:f t="shared" si="5">L10+H11</x:f>
        <x:v>0</x:v>
      </x:c>
      <x:c r="M11" s="168" t="n">
        <x:f t="shared" si="6">M10+G11</x:f>
        <x:v>0</x:v>
      </x:c>
      <x:c r="N11" s="168" t="n">
        <x:f>IF('Commercial Inputs'!$F$25="Yes",H11*'Commercial Inputs'!$D$25,0)</x:f>
        <x:v>0</x:v>
      </x:c>
      <x:c r="O11" s="168" t="n">
        <x:f t="shared" si="3">H11+N11</x:f>
        <x:v>0</x:v>
      </x:c>
      <x:c r="P11" s="166"/>
    </x:row>
    <x:row r="12" s="3" customFormat="1" ht="23.549999237060547" customHeight="1">
      <x:c r="A12" s="106" t="str">
        <x:v>Included pre-margin cost / risk provisions</x:v>
      </x:c>
      <x:c r="B12" s="106" t="str">
        <x:v>Timing to allocate / refine</x:v>
      </x:c>
      <x:c r="C12" s="592" t="n">
        <x:v>0</x:v>
      </x:c>
      <x:c r="D12" s="106" t="str">
        <x:v>No</x:v>
      </x:c>
      <x:c r="E12" s="594" t="n">
        <x:f>K11</x:f>
        <x:v>0</x:v>
      </x:c>
      <x:c r="F12" s="594" t="n">
        <x:v>0</x:v>
      </x:c>
      <x:c r="G12" s="594" t="n">
        <x:v>0</x:v>
      </x:c>
      <x:c r="H12" s="594" t="n">
        <x:v>0</x:v>
      </x:c>
      <x:c r="I12" s="594" t="n">
        <x:f>'Tender Build-Up'!$B$39</x:f>
        <x:v>0</x:v>
      </x:c>
      <x:c r="J12" s="594" t="n">
        <x:f>H12-I12</x:f>
        <x:v>0</x:v>
      </x:c>
      <x:c r="K12" s="594" t="n">
        <x:f>E12+J12</x:f>
        <x:v>0</x:v>
      </x:c>
      <x:c r="L12" s="594" t="n">
        <x:f>L11+H12</x:f>
        <x:v>0</x:v>
      </x:c>
      <x:c r="M12" s="594" t="n">
        <x:f>M11+G12</x:f>
        <x:v>0</x:v>
      </x:c>
      <x:c r="N12" s="594" t="n">
        <x:f>0</x:f>
        <x:v>0</x:v>
      </x:c>
      <x:c r="O12" s="594" t="n">
        <x:f>H12+N12</x:f>
        <x:v>0</x:v>
      </x:c>
      <x:c r="P12" s="166"/>
    </x:row>
    <x:row r="13" s="3" customFormat="1" ht="23.549999237060547" customHeight="1">
      <x:c r="A13" s="146" t="s">
        <x:v>345</x:v>
      </x:c>
      <x:c r="B13" s="146" t="str">
        <x:f>"After "&amp;TEXT('Commercial Inputs'!$D$27,"0")&amp;" months"</x:f>
        <x:v>After 0 months</x:v>
      </x:c>
      <x:c r="C13" s="170"/>
      <x:c r="D13" s="146" t="s">
        <x:v>244</x:v>
      </x:c>
      <x:c r="E13" s="168" t="n">
        <x:f>K12</x:f>
        <x:v>0</x:v>
      </x:c>
      <x:c r="F13" s="168" t="n">
        <x:f>SUM(G5:G11)</x:f>
        <x:v>0</x:v>
      </x:c>
      <x:c r="G13" s="168" t="n">
        <x:f>0</x:f>
        <x:v>0</x:v>
      </x:c>
      <x:c r="H13" s="168" t="n">
        <x:f>F13</x:f>
        <x:v>0</x:v>
      </x:c>
      <x:c r="I13" s="168" t="n">
        <x:f>0</x:f>
        <x:v>0</x:v>
      </x:c>
      <x:c r="J13" s="168" t="n">
        <x:f>H13</x:f>
        <x:v>0</x:v>
      </x:c>
      <x:c r="K13" s="168" t="n">
        <x:f>E13+J13</x:f>
        <x:v>0</x:v>
      </x:c>
      <x:c r="L13" s="168" t="n">
        <x:f>L12+H13</x:f>
        <x:v>0</x:v>
      </x:c>
      <x:c r="M13" s="168" t="n">
        <x:f>0</x:f>
        <x:v>0</x:v>
      </x:c>
      <x:c r="N13" s="168" t="n">
        <x:f>IF('Commercial Inputs'!$F$25="Yes",H13*'Commercial Inputs'!$D$25,0)</x:f>
        <x:v>0</x:v>
      </x:c>
      <x:c r="O13" s="168" t="n">
        <x:f>H13+N13</x:f>
        <x:v>0</x:v>
      </x:c>
      <x:c r="P13" s="166"/>
    </x:row>
    <x:row r="14" ht="9.300000190734863" customHeight="1">
      <x:c r="A14" s="27"/>
      <x:c r="B14" s="27"/>
      <x:c r="C14" s="43"/>
      <x:c r="D14" s="27"/>
      <x:c r="E14" s="42"/>
      <x:c r="F14" s="42"/>
      <x:c r="G14" s="42"/>
      <x:c r="H14" s="42"/>
      <x:c r="I14" s="42"/>
      <x:c r="J14" s="42"/>
      <x:c r="K14" s="42"/>
      <x:c r="L14" s="42"/>
      <x:c r="M14" s="42"/>
      <x:c r="N14" s="42"/>
      <x:c r="O14" s="42"/>
      <x:c r="P14" s="27"/>
    </x:row>
    <x:row r="15" s="3" customFormat="1" ht="20.100000381469727" customHeight="1">
      <x:c r="A15" s="12" t="s">
        <x:v>346</x:v>
      </x:c>
      <x:c r="B15" s="12"/>
      <x:c r="C15" s="171"/>
      <x:c r="D15" s="12"/>
      <x:c r="E15" s="172"/>
      <x:c r="F15" s="172"/>
      <x:c r="G15" s="172"/>
      <x:c r="H15" s="172"/>
      <x:c r="I15" s="172"/>
      <x:c r="J15" s="172"/>
      <x:c r="K15" s="172"/>
      <x:c r="L15" s="231"/>
      <x:c r="M15" s="231"/>
      <x:c r="N15" s="231"/>
      <x:c r="O15" s="231"/>
      <x:c r="P15" s="231"/>
    </x:row>
    <x:row r="16" s="3" customFormat="1" ht="20.100000381469727" customHeight="1">
      <x:c r="A16" s="106" t="s">
        <x:v>347</x:v>
      </x:c>
      <x:c r="B16" s="106"/>
      <x:c r="C16" s="169" t="n">
        <x:f>SUM(C5:C11)</x:f>
        <x:v>0</x:v>
      </x:c>
      <x:c r="D16" s="106"/>
      <x:c r="E16" s="121"/>
      <x:c r="F16" s="121"/>
      <x:c r="G16" s="121"/>
      <x:c r="H16" s="121"/>
      <x:c r="I16" s="121"/>
      <x:c r="J16" s="121"/>
      <x:c r="K16" s="121"/>
      <x:c r="L16" s="121"/>
      <x:c r="M16" s="121"/>
      <x:c r="N16" s="121"/>
      <x:c r="O16" s="121"/>
      <x:c r="P16" s="106" t="str">
        <x:f>IF(ABS(C16-1)&lt;0.000001,"OK","CHECK")</x:f>
        <x:v>CHECK</x:v>
      </x:c>
    </x:row>
    <x:row r="17" s="3" customFormat="1" ht="20.100000381469727" customHeight="1">
      <x:c r="A17" s="106" t="s">
        <x:v>348</x:v>
      </x:c>
      <x:c r="B17" s="106"/>
      <x:c r="C17" s="106"/>
      <x:c r="D17" s="106"/>
      <x:c r="E17" s="121"/>
      <x:c r="F17" s="121" t="n">
        <x:f>SUM(F5:F11)</x:f>
        <x:v>0</x:v>
      </x:c>
      <x:c r="G17" s="121"/>
      <x:c r="H17" s="121"/>
      <x:c r="I17" s="121"/>
      <x:c r="J17" s="121"/>
      <x:c r="K17" s="121"/>
      <x:c r="L17" s="121"/>
      <x:c r="M17" s="121"/>
      <x:c r="N17" s="121"/>
      <x:c r="O17" s="121"/>
      <x:c r="P17" s="106" t="str">
        <x:f>IF(ABS(F17-'Tender Build-Up'!$B$47)&lt;0.01,"OK","CHECK")</x:f>
        <x:v>OK</x:v>
      </x:c>
    </x:row>
    <x:row r="18" s="3" customFormat="1" ht="20.100000381469727" customHeight="1">
      <x:c r="A18" s="106" t="str">
        <x:v>Base direct costs + pre-margin provisions allocated</x:v>
      </x:c>
      <x:c r="B18" s="106"/>
      <x:c r="C18" s="106"/>
      <x:c r="D18" s="106"/>
      <x:c r="E18" s="121"/>
      <x:c r="F18" s="121"/>
      <x:c r="G18" s="121"/>
      <x:c r="H18" s="121"/>
      <x:c r="I18" s="121" t="n">
        <x:f>SUM(I5:I12)</x:f>
        <x:v>0</x:v>
      </x:c>
      <x:c r="J18" s="121"/>
      <x:c r="K18" s="121"/>
      <x:c r="L18" s="121"/>
      <x:c r="M18" s="121"/>
      <x:c r="N18" s="121"/>
      <x:c r="O18" s="121"/>
      <x:c r="P18" s="106" t="str">
        <x:f>IF(ABS(I18-(Summary!$B$33+'Tender Build-Up'!$B$39))&lt;0.01,"OK","CHECK")</x:f>
        <x:v>OK</x:v>
      </x:c>
    </x:row>
    <x:row r="19" s="3" customFormat="1" ht="20.100000381469727" customHeight="1">
      <x:c r="A19" s="106" t="s">
        <x:v>349</x:v>
      </x:c>
      <x:c r="B19" s="106"/>
      <x:c r="C19" s="106"/>
      <x:c r="D19" s="106"/>
      <x:c r="E19" s="121"/>
      <x:c r="F19" s="121"/>
      <x:c r="G19" s="121"/>
      <x:c r="H19" s="121"/>
      <x:c r="I19" s="121"/>
      <x:c r="J19" s="121"/>
      <x:c r="K19" s="121"/>
      <x:c r="L19" s="121" t="n">
        <x:f>L13</x:f>
        <x:v>0</x:v>
      </x:c>
      <x:c r="M19" s="121"/>
      <x:c r="N19" s="121"/>
      <x:c r="O19" s="121"/>
      <x:c r="P19" s="106" t="str">
        <x:f>IF(ABS(L19-'Tender Build-Up'!$B$47)&lt;0.01,"OK","CHECK")</x:f>
        <x:v>OK</x:v>
      </x:c>
    </x:row>
    <x:row r="20" s="3" customFormat="1" ht="20.100000381469727" customHeight="1">
      <x:c r="A20" s="106" t="str">
        <x:v>Final cash equals commercial adjustments after cost provisions</x:v>
      </x:c>
      <x:c r="B20" s="106"/>
      <x:c r="C20" s="106"/>
      <x:c r="D20" s="106"/>
      <x:c r="E20" s="121"/>
      <x:c r="F20" s="121"/>
      <x:c r="G20" s="121"/>
      <x:c r="H20" s="121"/>
      <x:c r="I20" s="121"/>
      <x:c r="J20" s="121"/>
      <x:c r="K20" s="121" t="n">
        <x:f>K13</x:f>
        <x:v>0</x:v>
      </x:c>
      <x:c r="L20" s="121"/>
      <x:c r="M20" s="121"/>
      <x:c r="N20" s="121"/>
      <x:c r="O20" s="121"/>
      <x:c r="P20" s="166" t="str">
        <x:f>IF(ABS(K20-'Tender Build-Up'!$B$46)&lt;0.01,"OK","CHECK")</x:f>
        <x:v>OK</x:v>
      </x:c>
    </x:row>
    <x:row r="21" s="3" customFormat="1" ht="20.100000381469727" customHeight="1">
      <x:c r="A21" s="106" t="s">
        <x:v>350</x:v>
      </x:c>
      <x:c r="B21" s="106"/>
      <x:c r="C21" s="106"/>
      <x:c r="D21" s="106"/>
      <x:c r="E21" s="121"/>
      <x:c r="F21" s="121"/>
      <x:c r="G21" s="121"/>
      <x:c r="H21" s="121"/>
      <x:c r="I21" s="121"/>
      <x:c r="J21" s="121"/>
      <x:c r="K21" s="121" t="n">
        <x:f>MIN(K5:K12)</x:f>
        <x:v>0</x:v>
      </x:c>
      <x:c r="L21" s="121"/>
      <x:c r="M21" s="121"/>
      <x:c r="N21" s="121"/>
      <x:c r="O21" s="121"/>
      <x:c r="P21" s="166" t="str">
        <x:f>IF(K21&gt;=0,"POSITIVE","FUNDING REQUIRED")</x:f>
        <x:v>POSITIVE</x:v>
      </x:c>
    </x:row>
  </x:sheetData>
  <x:mergeCells>
    <x:mergeCell ref="A2:L2"/>
    <x:mergeCell ref="A3:P3"/>
    <x:mergeCell ref="A1:P1"/>
    <x:mergeCell ref="L15:P15"/>
  </x:mergeCells>
  <x:dataValidations count="2">
    <x:dataValidation type="list" sqref="D5:D11">
      <x:formula1>"Yes,No"</x:formula1>
    </x:dataValidation>
    <x:dataValidation type="custom" allowBlank="1" showErrorMessage="1" errorTitle="Linked formula cell" error="This value is linked. Change the upstream input/source instead of overwriting this cell." sqref="B13 P16:P21 N13:O13 L19 K20:K21 J13:L13 I18 F17 E13:H13 E5:O11 C16">
      <x:formula1>FALSE</x:formula1>
    </x:dataValidation>
  </x:dataValidations>
  <x:pageMargins left="0.7" right="0.7" top="0.75" bottom="0.75" header="0.3" footer="0.3"/>
</x:worksheet>
</file>

<file path=xl/worksheets/sheet7.xml><?xml version="1.0" encoding="utf-8"?>
<x:worksheet xmlns:x="http://schemas.openxmlformats.org/spreadsheetml/2006/main">
  <x:sheetFormatPr defaultRowHeight="13.800000190734863"/>
  <x:cols>
    <x:col min="1" max="1" width="18" customWidth="1"/>
    <x:col min="2" max="2" width="14" customWidth="1"/>
    <x:col min="3" max="3" width="55.19921875" customWidth="1"/>
    <x:col min="4" max="4" width="14" customWidth="1"/>
    <x:col min="5" max="5" width="10" customWidth="1"/>
    <x:col min="6" max="6" width="24" customWidth="1"/>
    <x:col min="7" max="8" width="13" customWidth="1"/>
    <x:col min="9" max="9" width="14" customWidth="1"/>
    <x:col min="10" max="10" width="18" customWidth="1"/>
    <x:col min="11" max="11" width="13" customWidth="1"/>
    <x:col min="12" max="12" width="30.59765625" customWidth="1"/>
    <x:col min="13" max="13" width="49.796875" customWidth="1"/>
    <x:col min="14" max="14" width="44.296875" customWidth="1"/>
    <x:col min="15" max="15" width="18" customWidth="1"/>
    <x:col min="16" max="16" width="52.09765625" customWidth="1"/>
    <x:col min="17" max="17" width="46.296875" customWidth="1"/>
    <x:col min="18" max="18" width="12" customWidth="1"/>
    <x:col min="19" max="19" width="55.8984375" customWidth="1"/>
    <x:col min="20" max="20" width="75.59765625" customWidth="1"/>
  </x:cols>
  <x:sheetData>
    <x:row r="1" ht="27.299999237060547" customHeight="1">
      <x:c r="A1" s="230" t="str">
        <x:v>COMPANY RESOURCE RATE LIBRARY - MASTER ESTIMATE WORKBOOK REV4</x:v>
      </x:c>
      <x:c r="B1" s="230"/>
      <x:c r="C1" s="230"/>
      <x:c r="D1" s="230"/>
      <x:c r="E1" s="230"/>
      <x:c r="F1" s="230"/>
      <x:c r="G1" s="230"/>
      <x:c r="H1" s="230"/>
      <x:c r="I1" s="230"/>
      <x:c r="J1" s="230"/>
      <x:c r="K1" s="230"/>
      <x:c r="L1" s="230"/>
      <x:c r="M1" s="230"/>
      <x:c r="N1" s="230"/>
      <x:c r="O1" s="230"/>
      <x:c r="P1" s="230"/>
      <x:c r="Q1" s="230"/>
      <x:c r="R1" s="230"/>
      <x:c r="S1" s="230"/>
      <x:c r="T1" s="230"/>
    </x:row>
    <x:row r="2" s="3" customFormat="1" ht="16.350000381469727" customHeight="1">
      <x:c r="A2" s="232" t="str">
        <x:v>Reusable company / benchmark resource library. Retain useful history; update verified rates with source, effective date, region, GST basis, inclusions/exclusions and supersession reason.</x:v>
      </x:c>
      <x:c r="B2" s="232"/>
      <x:c r="C2" s="232"/>
      <x:c r="D2" s="232"/>
      <x:c r="E2" s="232"/>
      <x:c r="F2" s="232"/>
      <x:c r="G2" s="232"/>
      <x:c r="H2" s="232"/>
      <x:c r="I2" s="232"/>
      <x:c r="J2" s="232"/>
      <x:c r="K2" s="232"/>
      <x:c r="L2" s="232"/>
      <x:c r="M2" s="232"/>
      <x:c r="N2" s="232"/>
      <x:c r="O2" s="232"/>
      <x:c r="P2" s="232"/>
      <x:c r="Q2" s="232"/>
      <x:c r="R2" s="232"/>
      <x:c r="S2" s="232"/>
      <x:c r="T2" s="232"/>
    </x:row>
    <x:row r="3" s="3" customFormat="1" ht="16.350000381469727" customHeight="1">
      <x:c r="A3" s="233" t="s">
        <x:v>351</x:v>
      </x:c>
      <x:c r="B3" s="233"/>
      <x:c r="C3" s="233"/>
      <x:c r="D3" s="233"/>
      <x:c r="E3" s="233"/>
      <x:c r="F3" s="233"/>
      <x:c r="G3" s="233"/>
      <x:c r="H3" s="233"/>
      <x:c r="I3" s="233"/>
      <x:c r="J3" s="233"/>
      <x:c r="K3" s="233"/>
      <x:c r="L3" s="233"/>
      <x:c r="M3" s="233"/>
      <x:c r="N3" s="233"/>
      <x:c r="O3" s="233"/>
      <x:c r="P3" s="233"/>
      <x:c r="Q3" s="233"/>
      <x:c r="R3" s="233"/>
      <x:c r="S3" s="233"/>
      <x:c r="T3" s="233"/>
    </x:row>
    <x:row r="4" s="3" customFormat="1" ht="29.25" customHeight="1">
      <x:c r="A4" s="31" t="s">
        <x:v>352</x:v>
      </x:c>
      <x:c r="B4" s="31" t="s">
        <x:v>353</x:v>
      </x:c>
      <x:c r="C4" s="31" t="s">
        <x:v>354</x:v>
      </x:c>
      <x:c r="D4" s="31" t="s">
        <x:v>355</x:v>
      </x:c>
      <x:c r="E4" s="31" t="s">
        <x:v>96</x:v>
      </x:c>
      <x:c r="F4" s="31" t="s">
        <x:v>356</x:v>
      </x:c>
      <x:c r="G4" s="31" t="s">
        <x:v>357</x:v>
      </x:c>
      <x:c r="H4" s="31" t="s">
        <x:v>358</x:v>
      </x:c>
      <x:c r="I4" s="31" t="s">
        <x:v>359</x:v>
      </x:c>
      <x:c r="J4" s="31" t="s">
        <x:v>360</x:v>
      </x:c>
      <x:c r="K4" s="31" t="s">
        <x:v>361</x:v>
      </x:c>
      <x:c r="L4" s="31" t="s">
        <x:v>317</x:v>
      </x:c>
      <x:c r="M4" s="31" t="s">
        <x:v>362</x:v>
      </x:c>
      <x:c r="N4" s="31" t="s">
        <x:v>363</x:v>
      </x:c>
      <x:c r="O4" s="31" t="s">
        <x:v>364</x:v>
      </x:c>
      <x:c r="P4" s="31" t="s">
        <x:v>365</x:v>
      </x:c>
      <x:c r="Q4" s="31" t="s">
        <x:v>366</x:v>
      </x:c>
      <x:c r="R4" s="31" t="s">
        <x:v>367</x:v>
      </x:c>
      <x:c r="S4" s="31" t="s">
        <x:v>321</x:v>
      </x:c>
      <x:c r="T4" s="31" t="s">
        <x:v>86</x:v>
      </x:c>
    </x:row>
    <x:row r="5" ht="19.200000762939453" customHeight="1">
      <x:c r="A5" s="45" t="s">
        <x:v>368</x:v>
      </x:c>
      <x:c r="B5" s="46" t="s">
        <x:v>369</x:v>
      </x:c>
      <x:c r="C5" s="46" t="s">
        <x:v>370</x:v>
      </x:c>
      <x:c r="D5" s="46" t="s">
        <x:v>369</x:v>
      </x:c>
      <x:c r="E5" s="46" t="s">
        <x:v>371</x:v>
      </x:c>
      <x:c r="F5" s="46" t="s">
        <x:v>372</x:v>
      </x:c>
      <x:c r="G5" s="46" t="s">
        <x:v>373</x:v>
      </x:c>
      <x:c r="H5" s="46" t="s">
        <x:v>373</x:v>
      </x:c>
      <x:c r="I5" s="49">
        <x:v>64</x:v>
      </x:c>
      <x:c r="J5" s="50" t="s">
        <x:v>374</x:v>
      </x:c>
      <x:c r="K5" s="58" t="s">
        <x:v>375</x:v>
      </x:c>
      <x:c r="L5" s="50" t="s">
        <x:v>376</x:v>
      </x:c>
      <x:c r="M5" s="50" t="s">
        <x:v>377</x:v>
      </x:c>
      <x:c r="N5" s="50" t="s">
        <x:v>378</x:v>
      </x:c>
      <x:c r="O5" s="50"/>
      <x:c r="P5" s="50" t="s">
        <x:v>379</x:v>
      </x:c>
      <x:c r="Q5" s="50" t="s">
        <x:v>380</x:v>
      </x:c>
      <x:c r="R5" s="50" t="s">
        <x:v>381</x:v>
      </x:c>
      <x:c r="S5" s="50" t="s">
        <x:v>382</x:v>
      </x:c>
      <x:c r="T5" s="51" t="s">
        <x:v>383</x:v>
      </x:c>
    </x:row>
    <x:row r="6" ht="19.200000762939453" customHeight="1">
      <x:c r="A6" s="47" t="s">
        <x:v>384</x:v>
      </x:c>
      <x:c r="B6" s="48" t="s">
        <x:v>369</x:v>
      </x:c>
      <x:c r="C6" s="48" t="s">
        <x:v>385</x:v>
      </x:c>
      <x:c r="D6" s="48" t="s">
        <x:v>369</x:v>
      </x:c>
      <x:c r="E6" s="48" t="s">
        <x:v>371</x:v>
      </x:c>
      <x:c r="F6" s="48" t="s">
        <x:v>372</x:v>
      </x:c>
      <x:c r="G6" s="48" t="s">
        <x:v>373</x:v>
      </x:c>
      <x:c r="H6" s="48" t="s">
        <x:v>373</x:v>
      </x:c>
      <x:c r="I6" s="52">
        <x:v>73</x:v>
      </x:c>
      <x:c r="J6" s="53" t="s">
        <x:v>374</x:v>
      </x:c>
      <x:c r="K6" s="59" t="s">
        <x:v>375</x:v>
      </x:c>
      <x:c r="L6" s="53" t="s">
        <x:v>376</x:v>
      </x:c>
      <x:c r="M6" s="53" t="s">
        <x:v>377</x:v>
      </x:c>
      <x:c r="N6" s="53" t="s">
        <x:v>378</x:v>
      </x:c>
      <x:c r="O6" s="53"/>
      <x:c r="P6" s="53" t="s">
        <x:v>379</x:v>
      </x:c>
      <x:c r="Q6" s="53" t="s">
        <x:v>380</x:v>
      </x:c>
      <x:c r="R6" s="53" t="s">
        <x:v>381</x:v>
      </x:c>
      <x:c r="S6" s="53" t="s">
        <x:v>382</x:v>
      </x:c>
      <x:c r="T6" s="54" t="s">
        <x:v>383</x:v>
      </x:c>
    </x:row>
    <x:row r="7" ht="19.200000762939453" customHeight="1">
      <x:c r="A7" s="47" t="s">
        <x:v>386</x:v>
      </x:c>
      <x:c r="B7" s="48" t="s">
        <x:v>369</x:v>
      </x:c>
      <x:c r="C7" s="48" t="s">
        <x:v>387</x:v>
      </x:c>
      <x:c r="D7" s="48" t="s">
        <x:v>369</x:v>
      </x:c>
      <x:c r="E7" s="48" t="s">
        <x:v>371</x:v>
      </x:c>
      <x:c r="F7" s="48" t="s">
        <x:v>372</x:v>
      </x:c>
      <x:c r="G7" s="48" t="s">
        <x:v>373</x:v>
      </x:c>
      <x:c r="H7" s="48" t="s">
        <x:v>373</x:v>
      </x:c>
      <x:c r="I7" s="52">
        <x:v>45</x:v>
      </x:c>
      <x:c r="J7" s="53" t="s">
        <x:v>374</x:v>
      </x:c>
      <x:c r="K7" s="59" t="s">
        <x:v>375</x:v>
      </x:c>
      <x:c r="L7" s="53" t="s">
        <x:v>376</x:v>
      </x:c>
      <x:c r="M7" s="53" t="s">
        <x:v>388</x:v>
      </x:c>
      <x:c r="N7" s="53" t="s">
        <x:v>378</x:v>
      </x:c>
      <x:c r="O7" s="53"/>
      <x:c r="P7" s="53" t="s">
        <x:v>379</x:v>
      </x:c>
      <x:c r="Q7" s="53" t="s">
        <x:v>389</x:v>
      </x:c>
      <x:c r="R7" s="53" t="s">
        <x:v>381</x:v>
      </x:c>
      <x:c r="S7" s="53" t="s">
        <x:v>382</x:v>
      </x:c>
      <x:c r="T7" s="54"/>
    </x:row>
    <x:row r="8" ht="19.200000762939453" customHeight="1">
      <x:c r="A8" s="47" t="s">
        <x:v>390</x:v>
      </x:c>
      <x:c r="B8" s="48" t="s">
        <x:v>369</x:v>
      </x:c>
      <x:c r="C8" s="48" t="s">
        <x:v>391</x:v>
      </x:c>
      <x:c r="D8" s="48" t="s">
        <x:v>369</x:v>
      </x:c>
      <x:c r="E8" s="48" t="s">
        <x:v>371</x:v>
      </x:c>
      <x:c r="F8" s="48" t="s">
        <x:v>372</x:v>
      </x:c>
      <x:c r="G8" s="48" t="s">
        <x:v>373</x:v>
      </x:c>
      <x:c r="H8" s="48" t="s">
        <x:v>373</x:v>
      </x:c>
      <x:c r="I8" s="52">
        <x:v>51</x:v>
      </x:c>
      <x:c r="J8" s="53" t="s">
        <x:v>374</x:v>
      </x:c>
      <x:c r="K8" s="59" t="s">
        <x:v>375</x:v>
      </x:c>
      <x:c r="L8" s="53" t="s">
        <x:v>376</x:v>
      </x:c>
      <x:c r="M8" s="53" t="s">
        <x:v>388</x:v>
      </x:c>
      <x:c r="N8" s="53" t="s">
        <x:v>378</x:v>
      </x:c>
      <x:c r="O8" s="53"/>
      <x:c r="P8" s="53" t="s">
        <x:v>379</x:v>
      </x:c>
      <x:c r="Q8" s="53" t="s">
        <x:v>392</x:v>
      </x:c>
      <x:c r="R8" s="53" t="s">
        <x:v>381</x:v>
      </x:c>
      <x:c r="S8" s="53" t="s">
        <x:v>382</x:v>
      </x:c>
      <x:c r="T8" s="54"/>
    </x:row>
    <x:row r="9" ht="19.200000762939453" customHeight="1">
      <x:c r="A9" s="47" t="s">
        <x:v>393</x:v>
      </x:c>
      <x:c r="B9" s="48" t="s">
        <x:v>369</x:v>
      </x:c>
      <x:c r="C9" s="48" t="s">
        <x:v>394</x:v>
      </x:c>
      <x:c r="D9" s="48" t="s">
        <x:v>369</x:v>
      </x:c>
      <x:c r="E9" s="48" t="s">
        <x:v>371</x:v>
      </x:c>
      <x:c r="F9" s="48" t="s">
        <x:v>372</x:v>
      </x:c>
      <x:c r="G9" s="48" t="s">
        <x:v>373</x:v>
      </x:c>
      <x:c r="H9" s="48" t="s">
        <x:v>373</x:v>
      </x:c>
      <x:c r="I9" s="52">
        <x:v>38</x:v>
      </x:c>
      <x:c r="J9" s="53" t="s">
        <x:v>374</x:v>
      </x:c>
      <x:c r="K9" s="59" t="s">
        <x:v>375</x:v>
      </x:c>
      <x:c r="L9" s="53" t="s">
        <x:v>376</x:v>
      </x:c>
      <x:c r="M9" s="53" t="s">
        <x:v>388</x:v>
      </x:c>
      <x:c r="N9" s="53" t="s">
        <x:v>378</x:v>
      </x:c>
      <x:c r="O9" s="53"/>
      <x:c r="P9" s="53" t="s">
        <x:v>379</x:v>
      </x:c>
      <x:c r="Q9" s="53" t="s">
        <x:v>395</x:v>
      </x:c>
      <x:c r="R9" s="53" t="s">
        <x:v>381</x:v>
      </x:c>
      <x:c r="S9" s="53" t="s">
        <x:v>382</x:v>
      </x:c>
      <x:c r="T9" s="54"/>
    </x:row>
    <x:row r="10" ht="19.200000762939453" customHeight="1">
      <x:c r="A10" s="47" t="s">
        <x:v>396</x:v>
      </x:c>
      <x:c r="B10" s="48" t="s">
        <x:v>369</x:v>
      </x:c>
      <x:c r="C10" s="48" t="s">
        <x:v>397</x:v>
      </x:c>
      <x:c r="D10" s="48" t="s">
        <x:v>369</x:v>
      </x:c>
      <x:c r="E10" s="48" t="s">
        <x:v>371</x:v>
      </x:c>
      <x:c r="F10" s="48" t="s">
        <x:v>372</x:v>
      </x:c>
      <x:c r="G10" s="48" t="s">
        <x:v>373</x:v>
      </x:c>
      <x:c r="H10" s="48" t="s">
        <x:v>373</x:v>
      </x:c>
      <x:c r="I10" s="52">
        <x:v>44</x:v>
      </x:c>
      <x:c r="J10" s="53" t="s">
        <x:v>374</x:v>
      </x:c>
      <x:c r="K10" s="59" t="s">
        <x:v>375</x:v>
      </x:c>
      <x:c r="L10" s="53" t="s">
        <x:v>376</x:v>
      </x:c>
      <x:c r="M10" s="53" t="s">
        <x:v>388</x:v>
      </x:c>
      <x:c r="N10" s="53" t="s">
        <x:v>378</x:v>
      </x:c>
      <x:c r="O10" s="53"/>
      <x:c r="P10" s="53" t="s">
        <x:v>379</x:v>
      </x:c>
      <x:c r="Q10" s="53" t="s">
        <x:v>398</x:v>
      </x:c>
      <x:c r="R10" s="53" t="s">
        <x:v>381</x:v>
      </x:c>
      <x:c r="S10" s="53" t="s">
        <x:v>382</x:v>
      </x:c>
      <x:c r="T10" s="54"/>
    </x:row>
    <x:row r="11" ht="19.200000762939453" customHeight="1">
      <x:c r="A11" s="47" t="s">
        <x:v>399</x:v>
      </x:c>
      <x:c r="B11" s="48" t="s">
        <x:v>400</x:v>
      </x:c>
      <x:c r="C11" s="48" t="s">
        <x:v>401</x:v>
      </x:c>
      <x:c r="D11" s="48" t="s">
        <x:v>400</x:v>
      </x:c>
      <x:c r="E11" s="48" t="s">
        <x:v>371</x:v>
      </x:c>
      <x:c r="F11" s="48" t="s">
        <x:v>402</x:v>
      </x:c>
      <x:c r="G11" s="48" t="s">
        <x:v>403</x:v>
      </x:c>
      <x:c r="H11" s="48" t="s">
        <x:v>403</x:v>
      </x:c>
      <x:c r="I11" s="52">
        <x:v>85</x:v>
      </x:c>
      <x:c r="J11" s="53" t="s">
        <x:v>404</x:v>
      </x:c>
      <x:c r="K11" s="59" t="s">
        <x:v>375</x:v>
      </x:c>
      <x:c r="L11" s="53" t="s">
        <x:v>405</x:v>
      </x:c>
      <x:c r="M11" s="53" t="s">
        <x:v>406</x:v>
      </x:c>
      <x:c r="N11" s="53" t="s">
        <x:v>407</x:v>
      </x:c>
      <x:c r="O11" s="53" t="s">
        <x:v>408</x:v>
      </x:c>
      <x:c r="P11" s="53" t="s">
        <x:v>409</x:v>
      </x:c>
      <x:c r="Q11" s="53" t="s">
        <x:v>410</x:v>
      </x:c>
      <x:c r="R11" s="53" t="s">
        <x:v>411</x:v>
      </x:c>
      <x:c r="S11" s="53" t="s">
        <x:v>412</x:v>
      </x:c>
      <x:c r="T11" s="54" t="s">
        <x:v>413</x:v>
      </x:c>
    </x:row>
    <x:row r="12" ht="19.200000762939453" customHeight="1">
      <x:c r="A12" s="47" t="s">
        <x:v>414</x:v>
      </x:c>
      <x:c r="B12" s="48" t="s">
        <x:v>400</x:v>
      </x:c>
      <x:c r="C12" s="48" t="s">
        <x:v>415</x:v>
      </x:c>
      <x:c r="D12" s="48" t="s">
        <x:v>400</x:v>
      </x:c>
      <x:c r="E12" s="48" t="s">
        <x:v>371</x:v>
      </x:c>
      <x:c r="F12" s="48" t="s">
        <x:v>402</x:v>
      </x:c>
      <x:c r="G12" s="48" t="s">
        <x:v>403</x:v>
      </x:c>
      <x:c r="H12" s="48" t="s">
        <x:v>403</x:v>
      </x:c>
      <x:c r="I12" s="52">
        <x:v>110</x:v>
      </x:c>
      <x:c r="J12" s="53" t="s">
        <x:v>404</x:v>
      </x:c>
      <x:c r="K12" s="59" t="s">
        <x:v>375</x:v>
      </x:c>
      <x:c r="L12" s="53" t="s">
        <x:v>405</x:v>
      </x:c>
      <x:c r="M12" s="53" t="s">
        <x:v>406</x:v>
      </x:c>
      <x:c r="N12" s="53" t="s">
        <x:v>407</x:v>
      </x:c>
      <x:c r="O12" s="53" t="s">
        <x:v>408</x:v>
      </x:c>
      <x:c r="P12" s="53" t="s">
        <x:v>409</x:v>
      </x:c>
      <x:c r="Q12" s="53" t="s">
        <x:v>410</x:v>
      </x:c>
      <x:c r="R12" s="53" t="s">
        <x:v>411</x:v>
      </x:c>
      <x:c r="S12" s="53" t="s">
        <x:v>412</x:v>
      </x:c>
      <x:c r="T12" s="54" t="s">
        <x:v>416</x:v>
      </x:c>
    </x:row>
    <x:row r="13" ht="19.200000762939453" customHeight="1">
      <x:c r="A13" s="47" t="s">
        <x:v>417</x:v>
      </x:c>
      <x:c r="B13" s="48" t="s">
        <x:v>400</x:v>
      </x:c>
      <x:c r="C13" s="48" t="s">
        <x:v>418</x:v>
      </x:c>
      <x:c r="D13" s="48" t="s">
        <x:v>400</x:v>
      </x:c>
      <x:c r="E13" s="48" t="s">
        <x:v>371</x:v>
      </x:c>
      <x:c r="F13" s="48" t="s">
        <x:v>402</x:v>
      </x:c>
      <x:c r="G13" s="48" t="s">
        <x:v>403</x:v>
      </x:c>
      <x:c r="H13" s="48" t="s">
        <x:v>403</x:v>
      </x:c>
      <x:c r="I13" s="52">
        <x:v>150</x:v>
      </x:c>
      <x:c r="J13" s="53" t="s">
        <x:v>404</x:v>
      </x:c>
      <x:c r="K13" s="59" t="s">
        <x:v>375</x:v>
      </x:c>
      <x:c r="L13" s="53" t="s">
        <x:v>405</x:v>
      </x:c>
      <x:c r="M13" s="53" t="s">
        <x:v>406</x:v>
      </x:c>
      <x:c r="N13" s="53" t="s">
        <x:v>407</x:v>
      </x:c>
      <x:c r="O13" s="53" t="s">
        <x:v>408</x:v>
      </x:c>
      <x:c r="P13" s="53" t="s">
        <x:v>409</x:v>
      </x:c>
      <x:c r="Q13" s="53" t="s">
        <x:v>410</x:v>
      </x:c>
      <x:c r="R13" s="53" t="s">
        <x:v>411</x:v>
      </x:c>
      <x:c r="S13" s="53" t="s">
        <x:v>412</x:v>
      </x:c>
      <x:c r="T13" s="54" t="s">
        <x:v>419</x:v>
      </x:c>
    </x:row>
    <x:row r="14" ht="19.200000762939453" customHeight="1">
      <x:c r="A14" s="47" t="s">
        <x:v>420</x:v>
      </x:c>
      <x:c r="B14" s="48" t="s">
        <x:v>400</x:v>
      </x:c>
      <x:c r="C14" s="48" t="s">
        <x:v>421</x:v>
      </x:c>
      <x:c r="D14" s="48" t="s">
        <x:v>400</x:v>
      </x:c>
      <x:c r="E14" s="48" t="s">
        <x:v>371</x:v>
      </x:c>
      <x:c r="F14" s="48" t="s">
        <x:v>422</x:v>
      </x:c>
      <x:c r="G14" s="48" t="s">
        <x:v>403</x:v>
      </x:c>
      <x:c r="H14" s="48" t="s">
        <x:v>403</x:v>
      </x:c>
      <x:c r="I14" s="52">
        <x:v>110</x:v>
      </x:c>
      <x:c r="J14" s="53" t="s">
        <x:v>404</x:v>
      </x:c>
      <x:c r="K14" s="59" t="s">
        <x:v>375</x:v>
      </x:c>
      <x:c r="L14" s="53" t="s">
        <x:v>423</x:v>
      </x:c>
      <x:c r="M14" s="53" t="s">
        <x:v>424</x:v>
      </x:c>
      <x:c r="N14" s="53" t="s">
        <x:v>425</x:v>
      </x:c>
      <x:c r="O14" s="53" t="s">
        <x:v>426</x:v>
      </x:c>
      <x:c r="P14" s="53" t="s">
        <x:v>427</x:v>
      </x:c>
      <x:c r="Q14" s="53" t="s">
        <x:v>428</x:v>
      </x:c>
      <x:c r="R14" s="53" t="s">
        <x:v>381</x:v>
      </x:c>
      <x:c r="S14" s="53" t="s">
        <x:v>429</x:v>
      </x:c>
      <x:c r="T14" s="54" t="s">
        <x:v>430</x:v>
      </x:c>
    </x:row>
    <x:row r="15" ht="19.200000762939453" customHeight="1">
      <x:c r="A15" s="47" t="s">
        <x:v>431</x:v>
      </x:c>
      <x:c r="B15" s="48" t="s">
        <x:v>400</x:v>
      </x:c>
      <x:c r="C15" s="48" t="s">
        <x:v>432</x:v>
      </x:c>
      <x:c r="D15" s="48" t="s">
        <x:v>400</x:v>
      </x:c>
      <x:c r="E15" s="48" t="s">
        <x:v>371</x:v>
      </x:c>
      <x:c r="F15" s="48" t="s">
        <x:v>433</x:v>
      </x:c>
      <x:c r="G15" s="48" t="s">
        <x:v>244</x:v>
      </x:c>
      <x:c r="H15" s="48" t="s">
        <x:v>244</x:v>
      </x:c>
      <x:c r="I15" s="52">
        <x:v>120</x:v>
      </x:c>
      <x:c r="J15" s="53" t="s">
        <x:v>404</x:v>
      </x:c>
      <x:c r="K15" s="59" t="s">
        <x:v>375</x:v>
      </x:c>
      <x:c r="L15" s="53" t="s">
        <x:v>434</x:v>
      </x:c>
      <x:c r="M15" s="53" t="s">
        <x:v>435</x:v>
      </x:c>
      <x:c r="N15" s="53" t="s">
        <x:v>436</x:v>
      </x:c>
      <x:c r="O15" s="53"/>
      <x:c r="P15" s="53" t="s">
        <x:v>437</x:v>
      </x:c>
      <x:c r="Q15" s="53" t="s">
        <x:v>438</x:v>
      </x:c>
      <x:c r="R15" s="53" t="s">
        <x:v>381</x:v>
      </x:c>
      <x:c r="S15" s="53" t="s">
        <x:v>439</x:v>
      </x:c>
      <x:c r="T15" s="54"/>
    </x:row>
    <x:row r="16" ht="19.200000762939453" customHeight="1">
      <x:c r="A16" s="47" t="s">
        <x:v>440</x:v>
      </x:c>
      <x:c r="B16" s="48" t="s">
        <x:v>441</x:v>
      </x:c>
      <x:c r="C16" s="48" t="s">
        <x:v>442</x:v>
      </x:c>
      <x:c r="D16" s="48" t="s">
        <x:v>441</x:v>
      </x:c>
      <x:c r="E16" s="48" t="s">
        <x:v>443</x:v>
      </x:c>
      <x:c r="F16" s="48" t="s">
        <x:v>444</x:v>
      </x:c>
      <x:c r="G16" s="48" t="s">
        <x:v>373</x:v>
      </x:c>
      <x:c r="H16" s="48" t="s">
        <x:v>373</x:v>
      </x:c>
      <x:c r="I16" s="52">
        <x:v>65</x:v>
      </x:c>
      <x:c r="J16" s="53" t="s">
        <x:v>404</x:v>
      </x:c>
      <x:c r="K16" s="59" t="s">
        <x:v>375</x:v>
      </x:c>
      <x:c r="L16" s="53" t="s">
        <x:v>445</x:v>
      </x:c>
      <x:c r="M16" s="53" t="s">
        <x:v>446</x:v>
      </x:c>
      <x:c r="N16" s="53" t="s">
        <x:v>447</x:v>
      </x:c>
      <x:c r="O16" s="53"/>
      <x:c r="P16" s="53" t="s">
        <x:v>448</x:v>
      </x:c>
      <x:c r="Q16" s="53" t="s">
        <x:v>449</x:v>
      </x:c>
      <x:c r="R16" s="53" t="s">
        <x:v>450</x:v>
      </x:c>
      <x:c r="S16" s="53" t="s">
        <x:v>451</x:v>
      </x:c>
      <x:c r="T16" s="54" t="s">
        <x:v>452</x:v>
      </x:c>
    </x:row>
    <x:row r="17" ht="19.200000762939453" customHeight="1">
      <x:c r="A17" s="47" t="s">
        <x:v>453</x:v>
      </x:c>
      <x:c r="B17" s="48" t="s">
        <x:v>441</x:v>
      </x:c>
      <x:c r="C17" s="48" t="s">
        <x:v>454</x:v>
      </x:c>
      <x:c r="D17" s="48" t="s">
        <x:v>441</x:v>
      </x:c>
      <x:c r="E17" s="48" t="s">
        <x:v>455</x:v>
      </x:c>
      <x:c r="F17" s="48" t="s">
        <x:v>444</x:v>
      </x:c>
      <x:c r="G17" s="48" t="s">
        <x:v>373</x:v>
      </x:c>
      <x:c r="H17" s="48" t="s">
        <x:v>373</x:v>
      </x:c>
      <x:c r="I17" s="52">
        <x:v>30.5</x:v>
      </x:c>
      <x:c r="J17" s="53" t="s">
        <x:v>404</x:v>
      </x:c>
      <x:c r="K17" s="59" t="s">
        <x:v>375</x:v>
      </x:c>
      <x:c r="L17" s="53" t="s">
        <x:v>376</x:v>
      </x:c>
      <x:c r="M17" s="53" t="s">
        <x:v>456</x:v>
      </x:c>
      <x:c r="N17" s="53" t="s">
        <x:v>447</x:v>
      </x:c>
      <x:c r="O17" s="53"/>
      <x:c r="P17" s="53" t="s">
        <x:v>457</x:v>
      </x:c>
      <x:c r="Q17" s="53" t="s">
        <x:v>458</x:v>
      </x:c>
      <x:c r="R17" s="53" t="s">
        <x:v>411</x:v>
      </x:c>
      <x:c r="S17" s="53" t="s">
        <x:v>451</x:v>
      </x:c>
      <x:c r="T17" s="54" t="s">
        <x:v>459</x:v>
      </x:c>
    </x:row>
    <x:row r="18" ht="19.200000762939453" customHeight="1">
      <x:c r="A18" s="47" t="s">
        <x:v>460</x:v>
      </x:c>
      <x:c r="B18" s="48" t="s">
        <x:v>441</x:v>
      </x:c>
      <x:c r="C18" s="48" t="s">
        <x:v>461</x:v>
      </x:c>
      <x:c r="D18" s="48" t="s">
        <x:v>441</x:v>
      </x:c>
      <x:c r="E18" s="48" t="s">
        <x:v>455</x:v>
      </x:c>
      <x:c r="F18" s="48" t="s">
        <x:v>444</x:v>
      </x:c>
      <x:c r="G18" s="48" t="s">
        <x:v>373</x:v>
      </x:c>
      <x:c r="H18" s="48" t="s">
        <x:v>373</x:v>
      </x:c>
      <x:c r="I18" s="52">
        <x:v>31</x:v>
      </x:c>
      <x:c r="J18" s="53" t="s">
        <x:v>404</x:v>
      </x:c>
      <x:c r="K18" s="59" t="s">
        <x:v>375</x:v>
      </x:c>
      <x:c r="L18" s="53" t="s">
        <x:v>376</x:v>
      </x:c>
      <x:c r="M18" s="53" t="s">
        <x:v>456</x:v>
      </x:c>
      <x:c r="N18" s="53" t="s">
        <x:v>447</x:v>
      </x:c>
      <x:c r="O18" s="53"/>
      <x:c r="P18" s="53" t="s">
        <x:v>457</x:v>
      </x:c>
      <x:c r="Q18" s="53" t="s">
        <x:v>458</x:v>
      </x:c>
      <x:c r="R18" s="53" t="s">
        <x:v>411</x:v>
      </x:c>
      <x:c r="S18" s="53" t="s">
        <x:v>451</x:v>
      </x:c>
      <x:c r="T18" s="54" t="s">
        <x:v>459</x:v>
      </x:c>
    </x:row>
    <x:row r="19" ht="19.200000762939453" customHeight="1">
      <x:c r="A19" s="47" t="s">
        <x:v>462</x:v>
      </x:c>
      <x:c r="B19" s="48" t="s">
        <x:v>441</x:v>
      </x:c>
      <x:c r="C19" s="48" t="s">
        <x:v>463</x:v>
      </x:c>
      <x:c r="D19" s="48" t="s">
        <x:v>441</x:v>
      </x:c>
      <x:c r="E19" s="48" t="s">
        <x:v>455</x:v>
      </x:c>
      <x:c r="F19" s="48" t="s">
        <x:v>444</x:v>
      </x:c>
      <x:c r="G19" s="48" t="s">
        <x:v>373</x:v>
      </x:c>
      <x:c r="H19" s="48" t="s">
        <x:v>373</x:v>
      </x:c>
      <x:c r="I19" s="52">
        <x:v>48.5</x:v>
      </x:c>
      <x:c r="J19" s="53" t="s">
        <x:v>404</x:v>
      </x:c>
      <x:c r="K19" s="59" t="s">
        <x:v>375</x:v>
      </x:c>
      <x:c r="L19" s="53" t="s">
        <x:v>376</x:v>
      </x:c>
      <x:c r="M19" s="53" t="s">
        <x:v>456</x:v>
      </x:c>
      <x:c r="N19" s="53" t="s">
        <x:v>464</x:v>
      </x:c>
      <x:c r="O19" s="53"/>
      <x:c r="P19" s="53" t="s">
        <x:v>465</x:v>
      </x:c>
      <x:c r="Q19" s="53" t="s">
        <x:v>458</x:v>
      </x:c>
      <x:c r="R19" s="53" t="s">
        <x:v>411</x:v>
      </x:c>
      <x:c r="S19" s="53" t="s">
        <x:v>451</x:v>
      </x:c>
      <x:c r="T19" s="54" t="s">
        <x:v>466</x:v>
      </x:c>
    </x:row>
    <x:row r="20" ht="19.200000762939453" customHeight="1">
      <x:c r="A20" s="47" t="s">
        <x:v>467</x:v>
      </x:c>
      <x:c r="B20" s="48" t="s">
        <x:v>441</x:v>
      </x:c>
      <x:c r="C20" s="48" t="s">
        <x:v>468</x:v>
      </x:c>
      <x:c r="D20" s="48" t="s">
        <x:v>441</x:v>
      </x:c>
      <x:c r="E20" s="48" t="s">
        <x:v>469</x:v>
      </x:c>
      <x:c r="F20" s="48" t="s">
        <x:v>444</x:v>
      </x:c>
      <x:c r="G20" s="48" t="s">
        <x:v>373</x:v>
      </x:c>
      <x:c r="H20" s="48" t="s">
        <x:v>373</x:v>
      </x:c>
      <x:c r="I20" s="52">
        <x:v>3.25</x:v>
      </x:c>
      <x:c r="J20" s="53" t="s">
        <x:v>404</x:v>
      </x:c>
      <x:c r="K20" s="59" t="s">
        <x:v>375</x:v>
      </x:c>
      <x:c r="L20" s="53" t="s">
        <x:v>376</x:v>
      </x:c>
      <x:c r="M20" s="53" t="s">
        <x:v>470</x:v>
      </x:c>
      <x:c r="N20" s="53" t="s">
        <x:v>471</x:v>
      </x:c>
      <x:c r="O20" s="53"/>
      <x:c r="P20" s="53" t="s">
        <x:v>472</x:v>
      </x:c>
      <x:c r="Q20" s="53" t="s">
        <x:v>473</x:v>
      </x:c>
      <x:c r="R20" s="53" t="s">
        <x:v>381</x:v>
      </x:c>
      <x:c r="S20" s="53" t="s">
        <x:v>439</x:v>
      </x:c>
      <x:c r="T20" s="54"/>
    </x:row>
    <x:row r="21" ht="19.200000762939453" customHeight="1">
      <x:c r="A21" s="47" t="s">
        <x:v>474</x:v>
      </x:c>
      <x:c r="B21" s="48" t="s">
        <x:v>441</x:v>
      </x:c>
      <x:c r="C21" s="48" t="s">
        <x:v>475</x:v>
      </x:c>
      <x:c r="D21" s="48" t="s">
        <x:v>441</x:v>
      </x:c>
      <x:c r="E21" s="48" t="s">
        <x:v>443</x:v>
      </x:c>
      <x:c r="F21" s="48" t="s">
        <x:v>476</x:v>
      </x:c>
      <x:c r="G21" s="48" t="s">
        <x:v>373</x:v>
      </x:c>
      <x:c r="H21" s="48" t="s">
        <x:v>373</x:v>
      </x:c>
      <x:c r="I21" s="52">
        <x:v>325</x:v>
      </x:c>
      <x:c r="J21" s="53" t="s">
        <x:v>404</x:v>
      </x:c>
      <x:c r="K21" s="59" t="s">
        <x:v>375</x:v>
      </x:c>
      <x:c r="L21" s="53" t="s">
        <x:v>376</x:v>
      </x:c>
      <x:c r="M21" s="53" t="s">
        <x:v>477</x:v>
      </x:c>
      <x:c r="N21" s="53" t="s">
        <x:v>471</x:v>
      </x:c>
      <x:c r="O21" s="53"/>
      <x:c r="P21" s="53" t="s">
        <x:v>478</x:v>
      </x:c>
      <x:c r="Q21" s="53" t="s">
        <x:v>479</x:v>
      </x:c>
      <x:c r="R21" s="53" t="s">
        <x:v>381</x:v>
      </x:c>
      <x:c r="S21" s="53" t="s">
        <x:v>439</x:v>
      </x:c>
      <x:c r="T21" s="54"/>
    </x:row>
    <x:row r="22" ht="19.200000762939453" customHeight="1">
      <x:c r="A22" s="47" t="s">
        <x:v>480</x:v>
      </x:c>
      <x:c r="B22" s="48" t="s">
        <x:v>441</x:v>
      </x:c>
      <x:c r="C22" s="48" t="s">
        <x:v>481</x:v>
      </x:c>
      <x:c r="D22" s="48" t="s">
        <x:v>441</x:v>
      </x:c>
      <x:c r="E22" s="48" t="s">
        <x:v>469</x:v>
      </x:c>
      <x:c r="F22" s="48" t="s">
        <x:v>444</x:v>
      </x:c>
      <x:c r="G22" s="48" t="s">
        <x:v>373</x:v>
      </x:c>
      <x:c r="H22" s="48" t="s">
        <x:v>373</x:v>
      </x:c>
      <x:c r="I22" s="52">
        <x:v>20</x:v>
      </x:c>
      <x:c r="J22" s="53" t="s">
        <x:v>404</x:v>
      </x:c>
      <x:c r="K22" s="59" t="s">
        <x:v>375</x:v>
      </x:c>
      <x:c r="L22" s="53" t="s">
        <x:v>376</x:v>
      </x:c>
      <x:c r="M22" s="53" t="s">
        <x:v>482</x:v>
      </x:c>
      <x:c r="N22" s="53" t="s">
        <x:v>471</x:v>
      </x:c>
      <x:c r="O22" s="53"/>
      <x:c r="P22" s="53" t="s">
        <x:v>483</x:v>
      </x:c>
      <x:c r="Q22" s="53" t="s">
        <x:v>484</x:v>
      </x:c>
      <x:c r="R22" s="53" t="s">
        <x:v>381</x:v>
      </x:c>
      <x:c r="S22" s="53" t="s">
        <x:v>439</x:v>
      </x:c>
      <x:c r="T22" s="54" t="str">
        <x:v>Confirm project-specific mesh grade and specification before order.</x:v>
      </x:c>
    </x:row>
    <x:row r="23" ht="19.200000762939453" customHeight="1">
      <x:c r="A23" s="47" t="s">
        <x:v>485</x:v>
      </x:c>
      <x:c r="B23" s="48" t="s">
        <x:v>441</x:v>
      </x:c>
      <x:c r="C23" s="48" t="s">
        <x:v>486</x:v>
      </x:c>
      <x:c r="D23" s="48" t="s">
        <x:v>441</x:v>
      </x:c>
      <x:c r="E23" s="48" t="s">
        <x:v>487</x:v>
      </x:c>
      <x:c r="F23" s="48" t="s">
        <x:v>444</x:v>
      </x:c>
      <x:c r="G23" s="48" t="s">
        <x:v>373</x:v>
      </x:c>
      <x:c r="H23" s="48" t="s">
        <x:v>373</x:v>
      </x:c>
      <x:c r="I23" s="52">
        <x:v>45</x:v>
      </x:c>
      <x:c r="J23" s="53" t="s">
        <x:v>404</x:v>
      </x:c>
      <x:c r="K23" s="59" t="s">
        <x:v>375</x:v>
      </x:c>
      <x:c r="L23" s="53" t="s">
        <x:v>445</x:v>
      </x:c>
      <x:c r="M23" s="53" t="s">
        <x:v>470</x:v>
      </x:c>
      <x:c r="N23" s="53" t="s">
        <x:v>488</x:v>
      </x:c>
      <x:c r="O23" s="53"/>
      <x:c r="P23" s="53" t="s">
        <x:v>489</x:v>
      </x:c>
      <x:c r="Q23" s="53" t="s">
        <x:v>490</x:v>
      </x:c>
      <x:c r="R23" s="53" t="s">
        <x:v>450</x:v>
      </x:c>
      <x:c r="S23" s="53" t="s">
        <x:v>439</x:v>
      </x:c>
      <x:c r="T23" s="54"/>
    </x:row>
    <x:row r="24" ht="19.200000762939453" customHeight="1">
      <x:c r="A24" s="47" t="s">
        <x:v>491</x:v>
      </x:c>
      <x:c r="B24" s="48" t="s">
        <x:v>441</x:v>
      </x:c>
      <x:c r="C24" s="48" t="s">
        <x:v>492</x:v>
      </x:c>
      <x:c r="D24" s="48" t="s">
        <x:v>441</x:v>
      </x:c>
      <x:c r="E24" s="48" t="s">
        <x:v>487</x:v>
      </x:c>
      <x:c r="F24" s="48" t="s">
        <x:v>444</x:v>
      </x:c>
      <x:c r="G24" s="48" t="s">
        <x:v>373</x:v>
      </x:c>
      <x:c r="H24" s="48" t="s">
        <x:v>373</x:v>
      </x:c>
      <x:c r="I24" s="52">
        <x:v>95</x:v>
      </x:c>
      <x:c r="J24" s="53" t="s">
        <x:v>404</x:v>
      </x:c>
      <x:c r="K24" s="59" t="s">
        <x:v>375</x:v>
      </x:c>
      <x:c r="L24" s="53" t="s">
        <x:v>445</x:v>
      </x:c>
      <x:c r="M24" s="53" t="s">
        <x:v>470</x:v>
      </x:c>
      <x:c r="N24" s="53" t="s">
        <x:v>488</x:v>
      </x:c>
      <x:c r="O24" s="53"/>
      <x:c r="P24" s="53" t="s">
        <x:v>489</x:v>
      </x:c>
      <x:c r="Q24" s="53" t="s">
        <x:v>490</x:v>
      </x:c>
      <x:c r="R24" s="53" t="s">
        <x:v>450</x:v>
      </x:c>
      <x:c r="S24" s="53" t="s">
        <x:v>439</x:v>
      </x:c>
      <x:c r="T24" s="54"/>
    </x:row>
    <x:row r="25" ht="19.200000762939453" customHeight="1">
      <x:c r="A25" s="47" t="s">
        <x:v>493</x:v>
      </x:c>
      <x:c r="B25" s="48" t="s">
        <x:v>441</x:v>
      </x:c>
      <x:c r="C25" s="48" t="s">
        <x:v>494</x:v>
      </x:c>
      <x:c r="D25" s="48" t="s">
        <x:v>441</x:v>
      </x:c>
      <x:c r="E25" s="48" t="s">
        <x:v>487</x:v>
      </x:c>
      <x:c r="F25" s="48" t="s">
        <x:v>444</x:v>
      </x:c>
      <x:c r="G25" s="48" t="s">
        <x:v>373</x:v>
      </x:c>
      <x:c r="H25" s="48" t="s">
        <x:v>373</x:v>
      </x:c>
      <x:c r="I25" s="52">
        <x:v>20</x:v>
      </x:c>
      <x:c r="J25" s="53" t="s">
        <x:v>404</x:v>
      </x:c>
      <x:c r="K25" s="59" t="s">
        <x:v>375</x:v>
      </x:c>
      <x:c r="L25" s="53" t="s">
        <x:v>445</x:v>
      </x:c>
      <x:c r="M25" s="53" t="s">
        <x:v>470</x:v>
      </x:c>
      <x:c r="N25" s="53" t="s">
        <x:v>488</x:v>
      </x:c>
      <x:c r="O25" s="53"/>
      <x:c r="P25" s="53" t="s">
        <x:v>495</x:v>
      </x:c>
      <x:c r="Q25" s="53" t="s">
        <x:v>496</x:v>
      </x:c>
      <x:c r="R25" s="53" t="s">
        <x:v>450</x:v>
      </x:c>
      <x:c r="S25" s="53" t="s">
        <x:v>439</x:v>
      </x:c>
      <x:c r="T25" s="54"/>
    </x:row>
    <x:row r="26" ht="19.200000762939453" customHeight="1">
      <x:c r="A26" s="47" t="s">
        <x:v>497</x:v>
      </x:c>
      <x:c r="B26" s="48" t="s">
        <x:v>441</x:v>
      </x:c>
      <x:c r="C26" s="48" t="s">
        <x:v>498</x:v>
      </x:c>
      <x:c r="D26" s="48" t="s">
        <x:v>441</x:v>
      </x:c>
      <x:c r="E26" s="48" t="s">
        <x:v>487</x:v>
      </x:c>
      <x:c r="F26" s="48" t="s">
        <x:v>444</x:v>
      </x:c>
      <x:c r="G26" s="48" t="s">
        <x:v>373</x:v>
      </x:c>
      <x:c r="H26" s="48" t="s">
        <x:v>373</x:v>
      </x:c>
      <x:c r="I26" s="52">
        <x:v>22</x:v>
      </x:c>
      <x:c r="J26" s="53" t="s">
        <x:v>404</x:v>
      </x:c>
      <x:c r="K26" s="59" t="s">
        <x:v>375</x:v>
      </x:c>
      <x:c r="L26" s="53" t="s">
        <x:v>445</x:v>
      </x:c>
      <x:c r="M26" s="53" t="s">
        <x:v>470</x:v>
      </x:c>
      <x:c r="N26" s="53" t="s">
        <x:v>488</x:v>
      </x:c>
      <x:c r="O26" s="53"/>
      <x:c r="P26" s="53" t="s">
        <x:v>499</x:v>
      </x:c>
      <x:c r="Q26" s="53" t="s">
        <x:v>500</x:v>
      </x:c>
      <x:c r="R26" s="53" t="s">
        <x:v>450</x:v>
      </x:c>
      <x:c r="S26" s="53" t="s">
        <x:v>439</x:v>
      </x:c>
      <x:c r="T26" s="54"/>
    </x:row>
    <x:row r="27" ht="19.200000762939453" customHeight="1">
      <x:c r="A27" s="47" t="s">
        <x:v>501</x:v>
      </x:c>
      <x:c r="B27" s="48" t="s">
        <x:v>441</x:v>
      </x:c>
      <x:c r="C27" s="48" t="s">
        <x:v>502</x:v>
      </x:c>
      <x:c r="D27" s="48" t="s">
        <x:v>441</x:v>
      </x:c>
      <x:c r="E27" s="48" t="s">
        <x:v>503</x:v>
      </x:c>
      <x:c r="F27" s="48" t="s">
        <x:v>504</x:v>
      </x:c>
      <x:c r="G27" s="48" t="s">
        <x:v>373</x:v>
      </x:c>
      <x:c r="H27" s="48" t="s">
        <x:v>373</x:v>
      </x:c>
      <x:c r="I27" s="52">
        <x:v>5500</x:v>
      </x:c>
      <x:c r="J27" s="53" t="s">
        <x:v>404</x:v>
      </x:c>
      <x:c r="K27" s="59" t="s">
        <x:v>375</x:v>
      </x:c>
      <x:c r="L27" s="53" t="s">
        <x:v>445</x:v>
      </x:c>
      <x:c r="M27" s="53" t="s">
        <x:v>504</x:v>
      </x:c>
      <x:c r="N27" s="53" t="s">
        <x:v>488</x:v>
      </x:c>
      <x:c r="O27" s="53"/>
      <x:c r="P27" s="53" t="s">
        <x:v>505</x:v>
      </x:c>
      <x:c r="Q27" s="53" t="s">
        <x:v>506</x:v>
      </x:c>
      <x:c r="R27" s="53" t="s">
        <x:v>450</x:v>
      </x:c>
      <x:c r="S27" s="53" t="s">
        <x:v>439</x:v>
      </x:c>
      <x:c r="T27" s="54"/>
    </x:row>
    <x:row r="28" ht="19.200000762939453" customHeight="1">
      <x:c r="A28" s="47" t="s">
        <x:v>507</x:v>
      </x:c>
      <x:c r="B28" s="48" t="s">
        <x:v>441</x:v>
      </x:c>
      <x:c r="C28" s="48" t="s">
        <x:v>508</x:v>
      </x:c>
      <x:c r="D28" s="48" t="s">
        <x:v>441</x:v>
      </x:c>
      <x:c r="E28" s="48" t="s">
        <x:v>503</x:v>
      </x:c>
      <x:c r="F28" s="48" t="s">
        <x:v>504</x:v>
      </x:c>
      <x:c r="G28" s="48" t="s">
        <x:v>373</x:v>
      </x:c>
      <x:c r="H28" s="48" t="s">
        <x:v>373</x:v>
      </x:c>
      <x:c r="I28" s="52">
        <x:v>7000</x:v>
      </x:c>
      <x:c r="J28" s="53" t="s">
        <x:v>404</x:v>
      </x:c>
      <x:c r="K28" s="59" t="s">
        <x:v>375</x:v>
      </x:c>
      <x:c r="L28" s="53" t="s">
        <x:v>445</x:v>
      </x:c>
      <x:c r="M28" s="53" t="s">
        <x:v>504</x:v>
      </x:c>
      <x:c r="N28" s="53" t="s">
        <x:v>488</x:v>
      </x:c>
      <x:c r="O28" s="53"/>
      <x:c r="P28" s="53" t="s">
        <x:v>505</x:v>
      </x:c>
      <x:c r="Q28" s="53" t="s">
        <x:v>509</x:v>
      </x:c>
      <x:c r="R28" s="53" t="s">
        <x:v>450</x:v>
      </x:c>
      <x:c r="S28" s="53" t="s">
        <x:v>439</x:v>
      </x:c>
      <x:c r="T28" s="54"/>
    </x:row>
    <x:row r="29" ht="19.200000762939453" customHeight="1">
      <x:c r="A29" s="47" t="s">
        <x:v>510</x:v>
      </x:c>
      <x:c r="B29" s="48" t="s">
        <x:v>441</x:v>
      </x:c>
      <x:c r="C29" s="48" t="s">
        <x:v>511</x:v>
      </x:c>
      <x:c r="D29" s="48" t="s">
        <x:v>441</x:v>
      </x:c>
      <x:c r="E29" s="48" t="s">
        <x:v>503</x:v>
      </x:c>
      <x:c r="F29" s="48" t="s">
        <x:v>444</x:v>
      </x:c>
      <x:c r="G29" s="48" t="s">
        <x:v>373</x:v>
      </x:c>
      <x:c r="H29" s="48" t="s">
        <x:v>373</x:v>
      </x:c>
      <x:c r="I29" s="52">
        <x:v>1800</x:v>
      </x:c>
      <x:c r="J29" s="53" t="s">
        <x:v>404</x:v>
      </x:c>
      <x:c r="K29" s="59" t="s">
        <x:v>375</x:v>
      </x:c>
      <x:c r="L29" s="53" t="s">
        <x:v>445</x:v>
      </x:c>
      <x:c r="M29" s="53" t="s">
        <x:v>470</x:v>
      </x:c>
      <x:c r="N29" s="53" t="s">
        <x:v>488</x:v>
      </x:c>
      <x:c r="O29" s="53"/>
      <x:c r="P29" s="53" t="s">
        <x:v>512</x:v>
      </x:c>
      <x:c r="Q29" s="53" t="s">
        <x:v>513</x:v>
      </x:c>
      <x:c r="R29" s="53" t="s">
        <x:v>450</x:v>
      </x:c>
      <x:c r="S29" s="53" t="s">
        <x:v>439</x:v>
      </x:c>
      <x:c r="T29" s="54"/>
    </x:row>
    <x:row r="30" ht="19.200000762939453" customHeight="1">
      <x:c r="A30" s="47" t="s">
        <x:v>514</x:v>
      </x:c>
      <x:c r="B30" s="48" t="s">
        <x:v>441</x:v>
      </x:c>
      <x:c r="C30" s="48" t="s">
        <x:v>515</x:v>
      </x:c>
      <x:c r="D30" s="48" t="s">
        <x:v>441</x:v>
      </x:c>
      <x:c r="E30" s="48" t="s">
        <x:v>503</x:v>
      </x:c>
      <x:c r="F30" s="48" t="s">
        <x:v>504</x:v>
      </x:c>
      <x:c r="G30" s="48" t="s">
        <x:v>373</x:v>
      </x:c>
      <x:c r="H30" s="48" t="s">
        <x:v>373</x:v>
      </x:c>
      <x:c r="I30" s="52">
        <x:v>1800</x:v>
      </x:c>
      <x:c r="J30" s="53" t="s">
        <x:v>404</x:v>
      </x:c>
      <x:c r="K30" s="59" t="s">
        <x:v>375</x:v>
      </x:c>
      <x:c r="L30" s="53" t="s">
        <x:v>445</x:v>
      </x:c>
      <x:c r="M30" s="53" t="s">
        <x:v>504</x:v>
      </x:c>
      <x:c r="N30" s="53" t="s">
        <x:v>488</x:v>
      </x:c>
      <x:c r="O30" s="53"/>
      <x:c r="P30" s="53" t="s">
        <x:v>516</x:v>
      </x:c>
      <x:c r="Q30" s="53" t="s">
        <x:v>513</x:v>
      </x:c>
      <x:c r="R30" s="53" t="s">
        <x:v>450</x:v>
      </x:c>
      <x:c r="S30" s="53" t="s">
        <x:v>439</x:v>
      </x:c>
      <x:c r="T30" s="54"/>
    </x:row>
    <x:row r="31" ht="19.200000762939453" customHeight="1">
      <x:c r="A31" s="47" t="s">
        <x:v>517</x:v>
      </x:c>
      <x:c r="B31" s="48" t="s">
        <x:v>441</x:v>
      </x:c>
      <x:c r="C31" s="48" t="s">
        <x:v>518</x:v>
      </x:c>
      <x:c r="D31" s="48" t="s">
        <x:v>441</x:v>
      </x:c>
      <x:c r="E31" s="48" t="s">
        <x:v>503</x:v>
      </x:c>
      <x:c r="F31" s="48" t="s">
        <x:v>504</x:v>
      </x:c>
      <x:c r="G31" s="48" t="s">
        <x:v>373</x:v>
      </x:c>
      <x:c r="H31" s="48" t="s">
        <x:v>373</x:v>
      </x:c>
      <x:c r="I31" s="52">
        <x:v>4500</x:v>
      </x:c>
      <x:c r="J31" s="53" t="s">
        <x:v>404</x:v>
      </x:c>
      <x:c r="K31" s="59" t="s">
        <x:v>375</x:v>
      </x:c>
      <x:c r="L31" s="53" t="s">
        <x:v>445</x:v>
      </x:c>
      <x:c r="M31" s="53" t="s">
        <x:v>504</x:v>
      </x:c>
      <x:c r="N31" s="53" t="s">
        <x:v>488</x:v>
      </x:c>
      <x:c r="O31" s="53"/>
      <x:c r="P31" s="53" t="s">
        <x:v>519</x:v>
      </x:c>
      <x:c r="Q31" s="53" t="s">
        <x:v>513</x:v>
      </x:c>
      <x:c r="R31" s="53" t="s">
        <x:v>450</x:v>
      </x:c>
      <x:c r="S31" s="53" t="s">
        <x:v>439</x:v>
      </x:c>
      <x:c r="T31" s="54"/>
    </x:row>
    <x:row r="32" ht="19.200000762939453" customHeight="1">
      <x:c r="A32" s="47" t="s">
        <x:v>520</x:v>
      </x:c>
      <x:c r="B32" s="48" t="s">
        <x:v>521</x:v>
      </x:c>
      <x:c r="C32" s="48" t="s">
        <x:v>522</x:v>
      </x:c>
      <x:c r="D32" s="48" t="s">
        <x:v>521</x:v>
      </x:c>
      <x:c r="E32" s="48" t="s">
        <x:v>469</x:v>
      </x:c>
      <x:c r="F32" s="48" t="s">
        <x:v>523</x:v>
      </x:c>
      <x:c r="G32" s="48" t="s">
        <x:v>403</x:v>
      </x:c>
      <x:c r="H32" s="48" t="s">
        <x:v>403</x:v>
      </x:c>
      <x:c r="I32" s="52">
        <x:v>55</x:v>
      </x:c>
      <x:c r="J32" s="53" t="s">
        <x:v>404</x:v>
      </x:c>
      <x:c r="K32" s="59" t="s">
        <x:v>375</x:v>
      </x:c>
      <x:c r="L32" s="53" t="s">
        <x:v>524</x:v>
      </x:c>
      <x:c r="M32" s="53" t="s">
        <x:v>525</x:v>
      </x:c>
      <x:c r="N32" s="53" t="s">
        <x:v>488</x:v>
      </x:c>
      <x:c r="O32" s="53"/>
      <x:c r="P32" s="53" t="s">
        <x:v>526</x:v>
      </x:c>
      <x:c r="Q32" s="53" t="s">
        <x:v>527</x:v>
      </x:c>
      <x:c r="R32" s="53" t="s">
        <x:v>450</x:v>
      </x:c>
      <x:c r="S32" s="53" t="s">
        <x:v>528</x:v>
      </x:c>
      <x:c r="T32" s="54"/>
    </x:row>
    <x:row r="33" ht="19.200000762939453" customHeight="1">
      <x:c r="A33" s="47" t="s">
        <x:v>529</x:v>
      </x:c>
      <x:c r="B33" s="48" t="s">
        <x:v>521</x:v>
      </x:c>
      <x:c r="C33" s="48" t="s">
        <x:v>530</x:v>
      </x:c>
      <x:c r="D33" s="48" t="s">
        <x:v>521</x:v>
      </x:c>
      <x:c r="E33" s="48" t="s">
        <x:v>487</x:v>
      </x:c>
      <x:c r="F33" s="48" t="s">
        <x:v>523</x:v>
      </x:c>
      <x:c r="G33" s="48" t="s">
        <x:v>403</x:v>
      </x:c>
      <x:c r="H33" s="48" t="s">
        <x:v>403</x:v>
      </x:c>
      <x:c r="I33" s="52">
        <x:v>145</x:v>
      </x:c>
      <x:c r="J33" s="53" t="s">
        <x:v>404</x:v>
      </x:c>
      <x:c r="K33" s="59" t="s">
        <x:v>375</x:v>
      </x:c>
      <x:c r="L33" s="53" t="s">
        <x:v>524</x:v>
      </x:c>
      <x:c r="M33" s="53" t="s">
        <x:v>531</x:v>
      </x:c>
      <x:c r="N33" s="53" t="s">
        <x:v>488</x:v>
      </x:c>
      <x:c r="O33" s="53"/>
      <x:c r="P33" s="53" t="s">
        <x:v>532</x:v>
      </x:c>
      <x:c r="Q33" s="53" t="s">
        <x:v>533</x:v>
      </x:c>
      <x:c r="R33" s="53" t="s">
        <x:v>450</x:v>
      </x:c>
      <x:c r="S33" s="53" t="s">
        <x:v>528</x:v>
      </x:c>
      <x:c r="T33" s="54"/>
    </x:row>
    <x:row r="34" ht="19.200000762939453" customHeight="1">
      <x:c r="A34" s="47" t="s">
        <x:v>534</x:v>
      </x:c>
      <x:c r="B34" s="48" t="s">
        <x:v>521</x:v>
      </x:c>
      <x:c r="C34" s="48" t="s">
        <x:v>535</x:v>
      </x:c>
      <x:c r="D34" s="48" t="s">
        <x:v>521</x:v>
      </x:c>
      <x:c r="E34" s="48" t="s">
        <x:v>487</x:v>
      </x:c>
      <x:c r="F34" s="48" t="s">
        <x:v>523</x:v>
      </x:c>
      <x:c r="G34" s="48" t="s">
        <x:v>403</x:v>
      </x:c>
      <x:c r="H34" s="48" t="s">
        <x:v>403</x:v>
      </x:c>
      <x:c r="I34" s="52">
        <x:v>115</x:v>
      </x:c>
      <x:c r="J34" s="53" t="s">
        <x:v>404</x:v>
      </x:c>
      <x:c r="K34" s="59" t="s">
        <x:v>375</x:v>
      </x:c>
      <x:c r="L34" s="53" t="s">
        <x:v>524</x:v>
      </x:c>
      <x:c r="M34" s="53" t="s">
        <x:v>531</x:v>
      </x:c>
      <x:c r="N34" s="53" t="s">
        <x:v>488</x:v>
      </x:c>
      <x:c r="O34" s="53"/>
      <x:c r="P34" s="53" t="s">
        <x:v>536</x:v>
      </x:c>
      <x:c r="Q34" s="53" t="s">
        <x:v>533</x:v>
      </x:c>
      <x:c r="R34" s="53" t="s">
        <x:v>450</x:v>
      </x:c>
      <x:c r="S34" s="53" t="s">
        <x:v>528</x:v>
      </x:c>
      <x:c r="T34" s="54"/>
    </x:row>
    <x:row r="35" ht="19.200000762939453" customHeight="1">
      <x:c r="A35" s="47" t="s">
        <x:v>537</x:v>
      </x:c>
      <x:c r="B35" s="48" t="s">
        <x:v>521</x:v>
      </x:c>
      <x:c r="C35" s="48" t="s">
        <x:v>538</x:v>
      </x:c>
      <x:c r="D35" s="48" t="s">
        <x:v>521</x:v>
      </x:c>
      <x:c r="E35" s="48" t="s">
        <x:v>487</x:v>
      </x:c>
      <x:c r="F35" s="48" t="s">
        <x:v>523</x:v>
      </x:c>
      <x:c r="G35" s="48" t="s">
        <x:v>403</x:v>
      </x:c>
      <x:c r="H35" s="48" t="s">
        <x:v>403</x:v>
      </x:c>
      <x:c r="I35" s="52">
        <x:v>275</x:v>
      </x:c>
      <x:c r="J35" s="53" t="s">
        <x:v>404</x:v>
      </x:c>
      <x:c r="K35" s="59" t="s">
        <x:v>375</x:v>
      </x:c>
      <x:c r="L35" s="53" t="s">
        <x:v>524</x:v>
      </x:c>
      <x:c r="M35" s="53" t="s">
        <x:v>539</x:v>
      </x:c>
      <x:c r="N35" s="53" t="s">
        <x:v>488</x:v>
      </x:c>
      <x:c r="O35" s="53"/>
      <x:c r="P35" s="53" t="s">
        <x:v>540</x:v>
      </x:c>
      <x:c r="Q35" s="53" t="s">
        <x:v>541</x:v>
      </x:c>
      <x:c r="R35" s="53" t="s">
        <x:v>450</x:v>
      </x:c>
      <x:c r="S35" s="53" t="s">
        <x:v>528</x:v>
      </x:c>
      <x:c r="T35" s="54"/>
    </x:row>
    <x:row r="36" ht="19.200000762939453" customHeight="1">
      <x:c r="A36" s="47" t="s">
        <x:v>542</x:v>
      </x:c>
      <x:c r="B36" s="48" t="s">
        <x:v>521</x:v>
      </x:c>
      <x:c r="C36" s="48" t="s">
        <x:v>543</x:v>
      </x:c>
      <x:c r="D36" s="48" t="s">
        <x:v>521</x:v>
      </x:c>
      <x:c r="E36" s="48" t="s">
        <x:v>544</x:v>
      </x:c>
      <x:c r="F36" s="48" t="s">
        <x:v>523</x:v>
      </x:c>
      <x:c r="G36" s="48" t="s">
        <x:v>373</x:v>
      </x:c>
      <x:c r="H36" s="48" t="s">
        <x:v>373</x:v>
      </x:c>
      <x:c r="I36" s="52">
        <x:v>1</x:v>
      </x:c>
      <x:c r="J36" s="53" t="s">
        <x:v>545</x:v>
      </x:c>
      <x:c r="K36" s="59" t="s">
        <x:v>375</x:v>
      </x:c>
      <x:c r="L36" s="53" t="s">
        <x:v>546</x:v>
      </x:c>
      <x:c r="M36" s="53" t="s">
        <x:v>547</x:v>
      </x:c>
      <x:c r="N36" s="53" t="s">
        <x:v>548</x:v>
      </x:c>
      <x:c r="O36" s="53"/>
      <x:c r="P36" s="53" t="s">
        <x:v>549</x:v>
      </x:c>
      <x:c r="Q36" s="53" t="s">
        <x:v>550</x:v>
      </x:c>
      <x:c r="R36" s="53" t="s">
        <x:v>450</x:v>
      </x:c>
      <x:c r="S36" s="53" t="s">
        <x:v>528</x:v>
      </x:c>
      <x:c r="T36" s="54" t="s">
        <x:v>551</x:v>
      </x:c>
    </x:row>
    <x:row r="37" ht="19.200000762939453" customHeight="1">
      <x:c r="A37" s="47" t="s">
        <x:v>552</x:v>
      </x:c>
      <x:c r="B37" s="48" t="s">
        <x:v>553</x:v>
      </x:c>
      <x:c r="C37" s="48" t="s">
        <x:v>554</x:v>
      </x:c>
      <x:c r="D37" s="48" t="s">
        <x:v>553</x:v>
      </x:c>
      <x:c r="E37" s="48" t="s">
        <x:v>544</x:v>
      </x:c>
      <x:c r="F37" s="48" t="s">
        <x:v>555</x:v>
      </x:c>
      <x:c r="G37" s="48" t="s">
        <x:v>373</x:v>
      </x:c>
      <x:c r="H37" s="48" t="s">
        <x:v>373</x:v>
      </x:c>
      <x:c r="I37" s="52">
        <x:v>1</x:v>
      </x:c>
      <x:c r="J37" s="53" t="s">
        <x:v>545</x:v>
      </x:c>
      <x:c r="K37" s="59" t="s">
        <x:v>375</x:v>
      </x:c>
      <x:c r="L37" s="53" t="s">
        <x:v>546</x:v>
      </x:c>
      <x:c r="M37" s="53" t="s">
        <x:v>556</x:v>
      </x:c>
      <x:c r="N37" s="53" t="s">
        <x:v>557</x:v>
      </x:c>
      <x:c r="O37" s="53"/>
      <x:c r="P37" s="53" t="s">
        <x:v>549</x:v>
      </x:c>
      <x:c r="Q37" s="53" t="s">
        <x:v>550</x:v>
      </x:c>
      <x:c r="R37" s="53" t="s">
        <x:v>381</x:v>
      </x:c>
      <x:c r="S37" s="53" t="s">
        <x:v>528</x:v>
      </x:c>
      <x:c r="T37" s="54" t="s">
        <x:v>551</x:v>
      </x:c>
    </x:row>
    <x:row r="38" ht="19.200000762939453" customHeight="1">
      <x:c r="A38" s="47" t="s">
        <x:v>558</x:v>
      </x:c>
      <x:c r="B38" s="48" t="s">
        <x:v>553</x:v>
      </x:c>
      <x:c r="C38" s="48" t="s">
        <x:v>559</x:v>
      </x:c>
      <x:c r="D38" s="48" t="s">
        <x:v>553</x:v>
      </x:c>
      <x:c r="E38" s="48" t="s">
        <x:v>455</x:v>
      </x:c>
      <x:c r="F38" s="48" t="s">
        <x:v>560</x:v>
      </x:c>
      <x:c r="G38" s="48" t="s">
        <x:v>373</x:v>
      </x:c>
      <x:c r="H38" s="48" t="s">
        <x:v>373</x:v>
      </x:c>
      <x:c r="I38" s="52">
        <x:v>22</x:v>
      </x:c>
      <x:c r="J38" s="53" t="s">
        <x:v>404</x:v>
      </x:c>
      <x:c r="K38" s="59" t="s">
        <x:v>375</x:v>
      </x:c>
      <x:c r="L38" s="53" t="s">
        <x:v>376</x:v>
      </x:c>
      <x:c r="M38" s="53" t="s">
        <x:v>561</x:v>
      </x:c>
      <x:c r="N38" s="53" t="s">
        <x:v>471</x:v>
      </x:c>
      <x:c r="O38" s="53"/>
      <x:c r="P38" s="53" t="s">
        <x:v>562</x:v>
      </x:c>
      <x:c r="Q38" s="53" t="s">
        <x:v>563</x:v>
      </x:c>
      <x:c r="R38" s="53" t="s">
        <x:v>411</x:v>
      </x:c>
      <x:c r="S38" s="53" t="s">
        <x:v>439</x:v>
      </x:c>
      <x:c r="T38" s="54"/>
    </x:row>
    <x:row r="39" ht="19.200000762939453" customHeight="1">
      <x:c r="A39" s="47" t="str">
        <x:v>LAB-RIGGER</x:v>
      </x:c>
      <x:c r="B39" s="48" t="str">
        <x:v>Labour</x:v>
      </x:c>
      <x:c r="C39" s="48" t="str">
        <x:v>Certified crane rigger / dogman / lifting crew</x:v>
      </x:c>
      <x:c r="D39" s="48" t="str">
        <x:v>Labour</x:v>
      </x:c>
      <x:c r="E39" s="48" t="str">
        <x:v>hr</x:v>
      </x:c>
      <x:c r="F39" s="48" t="str">
        <x:v>Specialist labour / subcontract</x:v>
      </x:c>
      <x:c r="G39" s="48" t="str">
        <x:v>N/A</x:v>
      </x:c>
      <x:c r="H39" s="48" t="str">
        <x:v>N/A</x:v>
      </x:c>
      <x:c r="I39" s="52" t="n">
        <x:v>1</x:v>
      </x:c>
      <x:c r="J39" s="53" t="str">
        <x:v>NZ / AU project-specific</x:v>
      </x:c>
      <x:c r="K39" s="59" t="str">
        <x:v>15-Aug-2026</x:v>
      </x:c>
      <x:c r="L39" s="53" t="str">
        <x:v>Job override required</x:v>
      </x:c>
      <x:c r="M39" s="53" t="str">
        <x:v>Crane / rigging subcontractor</x:v>
      </x:c>
      <x:c r="N39" s="53" t="str">
        <x:v>Quote required</x:v>
      </x:c>
      <x:c r="O39" s="53" t="str">
        <x:v>Minimum call-out by quote</x:v>
      </x:c>
      <x:c r="P39" s="53" t="str">
        <x:v>Certified rigger/dogman labour to stated lift methodology</x:v>
      </x:c>
      <x:c r="Q39" s="53" t="str">
        <x:v>Crane, rigging gear, travel and overtime unless specifically included</x:v>
      </x:c>
      <x:c r="R39" s="53" t="str">
        <x:v>Low</x:v>
      </x:c>
      <x:c r="S39" s="53" t="str">
        <x:v>RED - quote or job-specific evidence required</x:v>
      </x:c>
      <x:c r="T39" s="54" t="str">
        <x:v>Base $1 forces explicit job-rate override; verify competency and crew composition.</x:v>
      </x:c>
    </x:row>
    <x:row r="40" ht="19.200000762939453" customHeight="1">
      <x:c r="A40" s="47" t="str">
        <x:v>PL-CRANE-70AT</x:v>
      </x:c>
      <x:c r="B40" s="48" t="str">
        <x:v>Plant</x:v>
      </x:c>
      <x:c r="C40" s="48" t="str">
        <x:v>70 t all-terrain mobile crane wet hire</x:v>
      </x:c>
      <x:c r="D40" s="48" t="str">
        <x:v>Plant</x:v>
      </x:c>
      <x:c r="E40" s="48" t="str">
        <x:v>hr</x:v>
      </x:c>
      <x:c r="F40" s="48" t="str">
        <x:v>Specialist crane hire</x:v>
      </x:c>
      <x:c r="G40" s="48" t="str">
        <x:v>Yes</x:v>
      </x:c>
      <x:c r="H40" s="48" t="str">
        <x:v>Yes</x:v>
      </x:c>
      <x:c r="I40" s="52" t="n">
        <x:v>1</x:v>
      </x:c>
      <x:c r="J40" s="53" t="str">
        <x:v>NZ / AU project-specific</x:v>
      </x:c>
      <x:c r="K40" s="59" t="str">
        <x:v>15-Aug-2026</x:v>
      </x:c>
      <x:c r="L40" s="53" t="str">
        <x:v>Job override required</x:v>
      </x:c>
      <x:c r="M40" s="53" t="str">
        <x:v>Mobile crane supplier</x:v>
      </x:c>
      <x:c r="N40" s="53" t="str">
        <x:v>Quote required</x:v>
      </x:c>
      <x:c r="O40" s="53" t="str">
        <x:v>Minimum hire + mobilisation by quote</x:v>
      </x:c>
      <x:c r="P40" s="53" t="str">
        <x:v>Crane, operator and normal fuel subject to supplier quote</x:v>
      </x:c>
      <x:c r="Q40" s="53" t="str">
        <x:v>Mobilisation, ballast transport, rigging, dogman, mats, travel/overtime unless included</x:v>
      </x:c>
      <x:c r="R40" s="53" t="str">
        <x:v>Low</x:v>
      </x:c>
      <x:c r="S40" s="53" t="str">
        <x:v>RED - quote or job-specific evidence required</x:v>
      </x:c>
      <x:c r="T40" s="54" t="str">
        <x:v>Capacity class only. Verify certified load chart, lift radius, ballast, outrigger reactions, access and minimum hire.</x:v>
      </x:c>
    </x:row>
    <x:row r="41" ht="19.200000762939453" customHeight="1">
      <x:c r="A41" s="47" t="str">
        <x:v>PL-CRANE-90AT</x:v>
      </x:c>
      <x:c r="B41" s="48" t="str">
        <x:v>Plant</x:v>
      </x:c>
      <x:c r="C41" s="48" t="str">
        <x:v>90 t all-terrain mobile crane wet hire</x:v>
      </x:c>
      <x:c r="D41" s="48" t="str">
        <x:v>Plant</x:v>
      </x:c>
      <x:c r="E41" s="48" t="str">
        <x:v>hr</x:v>
      </x:c>
      <x:c r="F41" s="48" t="str">
        <x:v>Specialist crane hire</x:v>
      </x:c>
      <x:c r="G41" s="48" t="str">
        <x:v>Yes</x:v>
      </x:c>
      <x:c r="H41" s="48" t="str">
        <x:v>Yes</x:v>
      </x:c>
      <x:c r="I41" s="52" t="n">
        <x:v>1</x:v>
      </x:c>
      <x:c r="J41" s="53" t="str">
        <x:v>NZ / AU project-specific</x:v>
      </x:c>
      <x:c r="K41" s="59" t="str">
        <x:v>15-Aug-2026</x:v>
      </x:c>
      <x:c r="L41" s="53" t="str">
        <x:v>Job override required</x:v>
      </x:c>
      <x:c r="M41" s="53" t="str">
        <x:v>Mobile crane supplier</x:v>
      </x:c>
      <x:c r="N41" s="53" t="str">
        <x:v>Quote required</x:v>
      </x:c>
      <x:c r="O41" s="53" t="str">
        <x:v>Minimum hire + mobilisation by quote</x:v>
      </x:c>
      <x:c r="P41" s="53" t="str">
        <x:v>Crane, operator and normal fuel subject to supplier quote</x:v>
      </x:c>
      <x:c r="Q41" s="53" t="str">
        <x:v>Mobilisation, ballast transport, rigging, dogman, mats, travel/overtime unless included</x:v>
      </x:c>
      <x:c r="R41" s="53" t="str">
        <x:v>Low</x:v>
      </x:c>
      <x:c r="S41" s="53" t="str">
        <x:v>RED - quote or job-specific evidence required</x:v>
      </x:c>
      <x:c r="T41" s="54" t="str">
        <x:v>Capacity class only. Verify certified load chart, lift radius, ballast, outrigger reactions, access and minimum hire.</x:v>
      </x:c>
    </x:row>
    <x:row r="42" ht="19.200000762939453" customHeight="1">
      <x:c r="A42" s="47" t="str">
        <x:v>PL-CRANE-120AT</x:v>
      </x:c>
      <x:c r="B42" s="48" t="str">
        <x:v>Plant</x:v>
      </x:c>
      <x:c r="C42" s="48" t="str">
        <x:v>120 t all-terrain mobile crane wet hire</x:v>
      </x:c>
      <x:c r="D42" s="48" t="str">
        <x:v>Plant</x:v>
      </x:c>
      <x:c r="E42" s="48" t="str">
        <x:v>hr</x:v>
      </x:c>
      <x:c r="F42" s="48" t="str">
        <x:v>Specialist crane hire</x:v>
      </x:c>
      <x:c r="G42" s="48" t="str">
        <x:v>Yes</x:v>
      </x:c>
      <x:c r="H42" s="48" t="str">
        <x:v>Yes</x:v>
      </x:c>
      <x:c r="I42" s="52" t="n">
        <x:v>1</x:v>
      </x:c>
      <x:c r="J42" s="53" t="str">
        <x:v>NZ / AU project-specific</x:v>
      </x:c>
      <x:c r="K42" s="59" t="str">
        <x:v>15-Aug-2026</x:v>
      </x:c>
      <x:c r="L42" s="53" t="str">
        <x:v>Job override required</x:v>
      </x:c>
      <x:c r="M42" s="53" t="str">
        <x:v>Mobile crane supplier</x:v>
      </x:c>
      <x:c r="N42" s="53" t="str">
        <x:v>Quote required</x:v>
      </x:c>
      <x:c r="O42" s="53" t="str">
        <x:v>Minimum hire + mobilisation by quote</x:v>
      </x:c>
      <x:c r="P42" s="53" t="str">
        <x:v>Crane, operator and normal fuel subject to supplier quote</x:v>
      </x:c>
      <x:c r="Q42" s="53" t="str">
        <x:v>Mobilisation, ballast transport, rigging, dogman, mats, travel/overtime unless included</x:v>
      </x:c>
      <x:c r="R42" s="53" t="str">
        <x:v>Low</x:v>
      </x:c>
      <x:c r="S42" s="53" t="str">
        <x:v>RED - quote or job-specific evidence required</x:v>
      </x:c>
      <x:c r="T42" s="54" t="str">
        <x:v>Capacity class only. Verify certified load chart, lift radius, ballast, outrigger reactions, access and minimum hire.</x:v>
      </x:c>
    </x:row>
    <x:row r="43" ht="19.200000762939453" customHeight="1">
      <x:c r="A43" s="47" t="str">
        <x:v>PL-CRANE-MATS</x:v>
      </x:c>
      <x:c r="B43" s="48" t="str">
        <x:v>Plant</x:v>
      </x:c>
      <x:c r="C43" s="48" t="str">
        <x:v>Crane mats / outrigger spreader mats hire set</x:v>
      </x:c>
      <x:c r="D43" s="48" t="str">
        <x:v>Plant</x:v>
      </x:c>
      <x:c r="E43" s="48" t="str">
        <x:v>day</x:v>
      </x:c>
      <x:c r="F43" s="48" t="str">
        <x:v>Specialist hire</x:v>
      </x:c>
      <x:c r="G43" s="48" t="str">
        <x:v>N/A</x:v>
      </x:c>
      <x:c r="H43" s="48" t="str">
        <x:v>N/A</x:v>
      </x:c>
      <x:c r="I43" s="52" t="n">
        <x:v>1</x:v>
      </x:c>
      <x:c r="J43" s="53" t="str">
        <x:v>NZ / AU project-specific</x:v>
      </x:c>
      <x:c r="K43" s="59" t="str">
        <x:v>15-Aug-2026</x:v>
      </x:c>
      <x:c r="L43" s="53" t="str">
        <x:v>Job override required</x:v>
      </x:c>
      <x:c r="M43" s="53" t="str">
        <x:v>Crane / temporary works supplier</x:v>
      </x:c>
      <x:c r="N43" s="53" t="str">
        <x:v>Quote required</x:v>
      </x:c>
      <x:c r="O43" s="53" t="str">
        <x:v>Minimum hire / transport by quote</x:v>
      </x:c>
      <x:c r="P43" s="53" t="str">
        <x:v>Mats/spreader set to supplier/temp-works requirement</x:v>
      </x:c>
      <x:c r="Q43" s="53" t="str">
        <x:v>Transport, placement, design/certification and abnormal ground treatment unless included</x:v>
      </x:c>
      <x:c r="R43" s="53" t="str">
        <x:v>Low</x:v>
      </x:c>
      <x:c r="S43" s="53" t="str">
        <x:v>RED - quote or job-specific evidence required</x:v>
      </x:c>
      <x:c r="T43" s="54" t="str">
        <x:v>Base $1 forces explicit job override. Check whether crane supplier already includes mats to avoid duplication.</x:v>
      </x:c>
    </x:row>
    <x:row r="44" ht="19.200000762939453" customHeight="1">
      <x:c r="A44" s="47" t="str">
        <x:v>PL-RIGGING-SET</x:v>
      </x:c>
      <x:c r="B44" s="48" t="str">
        <x:v>Plant</x:v>
      </x:c>
      <x:c r="C44" s="48" t="str">
        <x:v>Certified crane rigging / lifting gear set</x:v>
      </x:c>
      <x:c r="D44" s="48" t="str">
        <x:v>Plant</x:v>
      </x:c>
      <x:c r="E44" s="48" t="str">
        <x:v>day</x:v>
      </x:c>
      <x:c r="F44" s="48" t="str">
        <x:v>Specialist hire</x:v>
      </x:c>
      <x:c r="G44" s="48" t="str">
        <x:v>N/A</x:v>
      </x:c>
      <x:c r="H44" s="48" t="str">
        <x:v>N/A</x:v>
      </x:c>
      <x:c r="I44" s="52" t="n">
        <x:v>1</x:v>
      </x:c>
      <x:c r="J44" s="53" t="str">
        <x:v>NZ / AU project-specific</x:v>
      </x:c>
      <x:c r="K44" s="59" t="str">
        <x:v>15-Aug-2026</x:v>
      </x:c>
      <x:c r="L44" s="53" t="str">
        <x:v>Job override required</x:v>
      </x:c>
      <x:c r="M44" s="53" t="str">
        <x:v>Crane / rigging supplier</x:v>
      </x:c>
      <x:c r="N44" s="53" t="str">
        <x:v>Quote required</x:v>
      </x:c>
      <x:c r="O44" s="53" t="str">
        <x:v>Minimum hire / mobilisation by quote</x:v>
      </x:c>
      <x:c r="P44" s="53" t="str">
        <x:v>Certified slings, shackles and stated lifting gear set</x:v>
      </x:c>
      <x:c r="Q44" s="53" t="str">
        <x:v>Project-specific lifting beam, proprietary clutches, engineered lifting frame and rigger labour unless included</x:v>
      </x:c>
      <x:c r="R44" s="53" t="str">
        <x:v>Low</x:v>
      </x:c>
      <x:c r="S44" s="53" t="str">
        <x:v>RED - quote or job-specific evidence required</x:v>
      </x:c>
      <x:c r="T44" s="54" t="str">
        <x:v>Base $1 forces explicit job override; reconcile with crane quote and precaster lifting requirements.</x:v>
      </x:c>
    </x:row>
    <x:row r="45" ht="19.200000762939453" customHeight="1">
      <x:c r="A45" s="47" t="str">
        <x:v>PL-TRUCK-6W</x:v>
      </x:c>
      <x:c r="B45" s="48" t="str">
        <x:v>Plant</x:v>
      </x:c>
      <x:c r="C45" s="48" t="str">
        <x:v>6-wheel tip truck wet hire</x:v>
      </x:c>
      <x:c r="D45" s="48" t="str">
        <x:v>Plant</x:v>
      </x:c>
      <x:c r="E45" s="48" t="str">
        <x:v>hr</x:v>
      </x:c>
      <x:c r="F45" s="48" t="str">
        <x:v>Wet hire / cartage</x:v>
      </x:c>
      <x:c r="G45" s="48" t="str">
        <x:v>Yes</x:v>
      </x:c>
      <x:c r="H45" s="48" t="str">
        <x:v>Yes</x:v>
      </x:c>
      <x:c r="I45" s="52" t="n">
        <x:v>1</x:v>
      </x:c>
      <x:c r="J45" s="53" t="str">
        <x:v>NZ / AU project-specific</x:v>
      </x:c>
      <x:c r="K45" s="59" t="str">
        <x:v>15-Aug-2026</x:v>
      </x:c>
      <x:c r="L45" s="53" t="str">
        <x:v>Job override required</x:v>
      </x:c>
      <x:c r="M45" s="53" t="str">
        <x:v>Civil cartage supplier</x:v>
      </x:c>
      <x:c r="N45" s="53" t="str">
        <x:v>Quote required</x:v>
      </x:c>
      <x:c r="O45" s="53" t="str">
        <x:v>Minimum hours / travel by quote</x:v>
      </x:c>
      <x:c r="P45" s="53" t="str">
        <x:v>Truck, driver and normal fuel subject to quote</x:v>
      </x:c>
      <x:c r="Q45" s="53" t="str">
        <x:v>Tipping fees, material supply, permits and abnormal waiting unless included</x:v>
      </x:c>
      <x:c r="R45" s="53" t="str">
        <x:v>Low</x:v>
      </x:c>
      <x:c r="S45" s="53" t="str">
        <x:v>RED - quote or job-specific evidence required</x:v>
      </x:c>
      <x:c r="T45" s="54" t="str">
        <x:v>Use for internal/site cartage where hourly wet hire is the truthful basis; do not duplicate supplier-delivery charges.</x:v>
      </x:c>
    </x:row>
    <x:row r="46" ht="19.200000762939453" customHeight="1">
      <x:c r="A46" s="47" t="str">
        <x:v>PL-TRANSPORT-HEAVY</x:v>
      </x:c>
      <x:c r="B46" s="48" t="str">
        <x:v>Plant</x:v>
      </x:c>
      <x:c r="C46" s="48" t="str">
        <x:v>Heavy / oversize transporter or precast internal haul</x:v>
      </x:c>
      <x:c r="D46" s="48" t="str">
        <x:v>Plant</x:v>
      </x:c>
      <x:c r="E46" s="48" t="str">
        <x:v>trip</x:v>
      </x:c>
      <x:c r="F46" s="48" t="str">
        <x:v>Specialist transport</x:v>
      </x:c>
      <x:c r="G46" s="48" t="str">
        <x:v>Yes</x:v>
      </x:c>
      <x:c r="H46" s="48" t="str">
        <x:v>Yes</x:v>
      </x:c>
      <x:c r="I46" s="52" t="n">
        <x:v>1</x:v>
      </x:c>
      <x:c r="J46" s="53" t="str">
        <x:v>NZ / AU project-specific</x:v>
      </x:c>
      <x:c r="K46" s="59" t="str">
        <x:v>15-Aug-2026</x:v>
      </x:c>
      <x:c r="L46" s="53" t="str">
        <x:v>Job override required</x:v>
      </x:c>
      <x:c r="M46" s="53" t="str">
        <x:v>Heavy transport / precast carrier</x:v>
      </x:c>
      <x:c r="N46" s="53" t="str">
        <x:v>Quote required</x:v>
      </x:c>
      <x:c r="O46" s="53" t="str">
        <x:v>Mobilisation, permits and escort by quote</x:v>
      </x:c>
      <x:c r="P46" s="53" t="str">
        <x:v>Transport vehicle and driver to stated route/load</x:v>
      </x:c>
      <x:c r="Q46" s="53" t="str">
        <x:v>Craneage, loading/unloading, permits/escorts and route strengthening unless included</x:v>
      </x:c>
      <x:c r="R46" s="53" t="str">
        <x:v>Low</x:v>
      </x:c>
      <x:c r="S46" s="53" t="str">
        <x:v>RED - quote or job-specific evidence required</x:v>
      </x:c>
      <x:c r="T46" s="54" t="str">
        <x:v>Use only where contractor transport scope is confirmed. Verify route, axle/load limits, turning and delivery responsibility.</x:v>
      </x:c>
    </x:row>
    <x:row r="47" ht="19.200000762939453" customHeight="1">
      <x:c r="A47" s="47" t="str">
        <x:v>OTH-CARTAGE-LOAD</x:v>
      </x:c>
      <x:c r="B47" s="48" t="str">
        <x:v>Other</x:v>
      </x:c>
      <x:c r="C47" s="48" t="str">
        <x:v>Supplier delivery / cartage charge per load</x:v>
      </x:c>
      <x:c r="D47" s="48" t="str">
        <x:v>Other</x:v>
      </x:c>
      <x:c r="E47" s="48" t="str">
        <x:v>load</x:v>
      </x:c>
      <x:c r="F47" s="48" t="str">
        <x:v>Job-specific supplier delivery</x:v>
      </x:c>
      <x:c r="G47" s="48" t="str">
        <x:v>N/A</x:v>
      </x:c>
      <x:c r="H47" s="48" t="str">
        <x:v>N/A</x:v>
      </x:c>
      <x:c r="I47" s="52" t="n">
        <x:v>1</x:v>
      </x:c>
      <x:c r="J47" s="53" t="str">
        <x:v>Project-specific</x:v>
      </x:c>
      <x:c r="K47" s="59" t="str">
        <x:v>15-Aug-2026</x:v>
      </x:c>
      <x:c r="L47" s="53" t="str">
        <x:v>Job override required</x:v>
      </x:c>
      <x:c r="M47" s="53" t="str">
        <x:v>Material supplier / carrier</x:v>
      </x:c>
      <x:c r="N47" s="53" t="str">
        <x:v>Quote required</x:v>
      </x:c>
      <x:c r="O47" s="53" t="str">
        <x:v>Load size / zone / minimum by quote</x:v>
      </x:c>
      <x:c r="P47" s="53" t="str">
        <x:v>Delivery/cartage charge only to stated site and load size</x:v>
      </x:c>
      <x:c r="Q47" s="53" t="str">
        <x:v>Material supply, waiting time, tipping, permits and rehandling unless included</x:v>
      </x:c>
      <x:c r="R47" s="53" t="str">
        <x:v>Low</x:v>
      </x:c>
      <x:c r="S47" s="53" t="str">
        <x:v>RED - quote or job-specific evidence required</x:v>
      </x:c>
      <x:c r="T47" s="54" t="str">
        <x:v>Reusable cost code only; project location, load size and delivered rate must be overridden from current evidence.</x:v>
      </x:c>
    </x:row>
    <x:row r="48" ht="19.200000762939453" customHeight="1">
      <x:c r="A48" s="47" t="str">
        <x:v>SUB-PROOFROLL</x:v>
      </x:c>
      <x:c r="B48" s="48" t="str">
        <x:v>Subcontract</x:v>
      </x:c>
      <x:c r="C48" s="48" t="str">
        <x:v>Proof-roll / working-platform verification / field testing attendance</x:v>
      </x:c>
      <x:c r="D48" s="48" t="str">
        <x:v>Subcontract</x:v>
      </x:c>
      <x:c r="E48" s="48" t="str">
        <x:v>LS</x:v>
      </x:c>
      <x:c r="F48" s="48" t="str">
        <x:v>Specialist subcontract</x:v>
      </x:c>
      <x:c r="G48" s="48" t="str">
        <x:v>N/A</x:v>
      </x:c>
      <x:c r="H48" s="48" t="str">
        <x:v>N/A</x:v>
      </x:c>
      <x:c r="I48" s="52" t="n">
        <x:v>1</x:v>
      </x:c>
      <x:c r="J48" s="53" t="str">
        <x:v>NZ / AU project-specific</x:v>
      </x:c>
      <x:c r="K48" s="59" t="str">
        <x:v>15-Aug-2026</x:v>
      </x:c>
      <x:c r="L48" s="53" t="str">
        <x:v>Job override required</x:v>
      </x:c>
      <x:c r="M48" s="53" t="str">
        <x:v>Geotech / testing provider</x:v>
      </x:c>
      <x:c r="N48" s="53" t="str">
        <x:v>Quote required</x:v>
      </x:c>
      <x:c r="O48" s="53" t="str">
        <x:v>Attendance / testing scope by quote</x:v>
      </x:c>
      <x:c r="P48" s="53" t="str">
        <x:v>Proof-roll or stated field-verification/testing attendance</x:v>
      </x:c>
      <x:c r="Q48" s="53" t="str">
        <x:v>Temporary works design, geotech design certification, remediation and repeat visits unless included</x:v>
      </x:c>
      <x:c r="R48" s="53" t="str">
        <x:v>Low</x:v>
      </x:c>
      <x:c r="S48" s="53" t="str">
        <x:v>RED - quote or job-specific evidence required</x:v>
      </x:c>
      <x:c r="T48" s="54" t="str">
        <x:v>Keep testing/verification separate from temporary-works design and from physical platform construction.</x:v>
      </x:c>
    </x:row>
    <x:row r="49" ht="19.200000762939453" customHeight="1">
      <x:c r="A49" s="47" t="str">
        <x:v>MAT-GEOGRID</x:v>
      </x:c>
      <x:c r="B49" s="48" t="str">
        <x:v>Material</x:v>
      </x:c>
      <x:c r="C49" s="48" t="str">
        <x:v>Geogrid / ground-stabilisation reinforcement - project specified</x:v>
      </x:c>
      <x:c r="D49" s="48" t="str">
        <x:v>Material</x:v>
      </x:c>
      <x:c r="E49" s="48" t="str">
        <x:v>m2</x:v>
      </x:c>
      <x:c r="F49" s="48" t="str">
        <x:v>Merchant supply</x:v>
      </x:c>
      <x:c r="G49" s="48" t="str">
        <x:v>N/A</x:v>
      </x:c>
      <x:c r="H49" s="48" t="str">
        <x:v>N/A</x:v>
      </x:c>
      <x:c r="I49" s="52" t="n">
        <x:v>1</x:v>
      </x:c>
      <x:c r="J49" s="53" t="str">
        <x:v>NZ / AU project-specific</x:v>
      </x:c>
      <x:c r="K49" s="59" t="str">
        <x:v>15-Aug-2026</x:v>
      </x:c>
      <x:c r="L49" s="53" t="str">
        <x:v>Job override required</x:v>
      </x:c>
      <x:c r="M49" s="53" t="str">
        <x:v>Civil merchant / geosynthetics supplier</x:v>
      </x:c>
      <x:c r="N49" s="53" t="str">
        <x:v>Quote required</x:v>
      </x:c>
      <x:c r="O49" s="53" t="str">
        <x:v>Product/specification by quote</x:v>
      </x:c>
      <x:c r="P49" s="53" t="str">
        <x:v>Specified geogrid material only</x:v>
      </x:c>
      <x:c r="Q49" s="53" t="str">
        <x:v>Design, geotextile, aggregate, installation and laps/waste unless included</x:v>
      </x:c>
      <x:c r="R49" s="53" t="str">
        <x:v>Low</x:v>
      </x:c>
      <x:c r="S49" s="53" t="str">
        <x:v>RED - quote or job-specific evidence required</x:v>
      </x:c>
      <x:c r="T49" s="54" t="str">
        <x:v>No generic rate. Select product from temporary works/geotech design and obtain project-specific quote.</x:v>
      </x:c>
    </x:row>
    <x:row r="50" ht="34" customHeight="1">
      <x:c r="A50" s="47" t="str">
        <x:v>ALLIED-LAB-FOREMAN</x:v>
      </x:c>
      <x:c r="B50" s="48" t="str">
        <x:v>Labour</x:v>
      </x:c>
      <x:c r="C50" s="48" t="str">
        <x:v>Civil foreman / working foreman - Allied specific</x:v>
      </x:c>
      <x:c r="D50" s="48" t="str">
        <x:v>Labour</x:v>
      </x:c>
      <x:c r="E50" s="48" t="str">
        <x:v>hr</x:v>
      </x:c>
      <x:c r="F50" s="48" t="str">
        <x:v>Internal / agency</x:v>
      </x:c>
      <x:c r="G50" s="48" t="str">
        <x:v>N/A</x:v>
      </x:c>
      <x:c r="H50" s="48" t="str">
        <x:v>N/A</x:v>
      </x:c>
      <x:c r="I50" s="52" t="n">
        <x:v>65</x:v>
      </x:c>
      <x:c r="J50" s="53" t="str">
        <x:v>Auckland / NZ</x:v>
      </x:c>
      <x:c r="K50" s="59" t="str">
        <x:v>17-Aug-2026</x:v>
      </x:c>
      <x:c r="L50" s="53" t="str">
        <x:v>Allied-specific rate - company input (AMBER)</x:v>
      </x:c>
      <x:c r="M50" s="53" t="str">
        <x:v>Allied Civil - Jason review</x:v>
      </x:c>
      <x:c r="N50" s="53" t="str">
        <x:v>Clevedon_Civil_Works_Tender_Estimate_Rev5JW.xlsx; comparison baseline LAB-FOREMAN = $64.00/hr</x:v>
      </x:c>
      <x:c r="O50" s="53"/>
      <x:c r="P50" s="53" t="str">
        <x:v>Direct employment allowance</x:v>
      </x:c>
      <x:c r="Q50" s="53" t="str">
        <x:v>Margin, vehicle, overtime</x:v>
      </x:c>
      <x:c r="R50" s="53"/>
      <x:c r="S50" s="53"/>
      <x:c r="T50" s="54"/>
    </x:row>
    <x:row r="51" ht="34" customHeight="1">
      <x:c r="A51" s="47" t="str">
        <x:v>ALLIED-LAB-SUPERVISOR</x:v>
      </x:c>
      <x:c r="B51" s="48" t="str">
        <x:v>Labour</x:v>
      </x:c>
      <x:c r="C51" s="48" t="str">
        <x:v>Site supervisor / project manager - Allied specific</x:v>
      </x:c>
      <x:c r="D51" s="48" t="str">
        <x:v>Labour</x:v>
      </x:c>
      <x:c r="E51" s="48" t="str">
        <x:v>hr</x:v>
      </x:c>
      <x:c r="F51" s="48" t="str">
        <x:v>Internal / agency</x:v>
      </x:c>
      <x:c r="G51" s="48" t="str">
        <x:v>N/A</x:v>
      </x:c>
      <x:c r="H51" s="48" t="str">
        <x:v>N/A</x:v>
      </x:c>
      <x:c r="I51" s="52" t="n">
        <x:v>70</x:v>
      </x:c>
      <x:c r="J51" s="53" t="str">
        <x:v>Auckland / NZ</x:v>
      </x:c>
      <x:c r="K51" s="59" t="str">
        <x:v>17-Aug-2026</x:v>
      </x:c>
      <x:c r="L51" s="53" t="str">
        <x:v>Allied-specific rate - company input (AMBER)</x:v>
      </x:c>
      <x:c r="M51" s="53" t="str">
        <x:v>Allied Civil - Jason review</x:v>
      </x:c>
      <x:c r="N51" s="53" t="str">
        <x:v>Clevedon_Civil_Works_Tender_Estimate_Rev5JW.xlsx; comparison baseline LAB-SUPERVISOR = $73.00/hr</x:v>
      </x:c>
      <x:c r="O51" s="53"/>
      <x:c r="P51" s="53" t="str">
        <x:v>Direct employment allowance</x:v>
      </x:c>
      <x:c r="Q51" s="53" t="str">
        <x:v>Margin, vehicle, overtime</x:v>
      </x:c>
      <x:c r="R51" s="53"/>
      <x:c r="S51" s="53"/>
      <x:c r="T51" s="54"/>
    </x:row>
    <x:row r="52" ht="34" customHeight="1">
      <x:c r="A52" s="47" t="str">
        <x:v>ALLIED-LAB-DRAINLAYER</x:v>
      </x:c>
      <x:c r="B52" s="48" t="str">
        <x:v>Labour</x:v>
      </x:c>
      <x:c r="C52" s="48" t="str">
        <x:v>Registered drainlayer / pipe layer - Allied specific</x:v>
      </x:c>
      <x:c r="D52" s="48" t="str">
        <x:v>Labour</x:v>
      </x:c>
      <x:c r="E52" s="48" t="str">
        <x:v>hr</x:v>
      </x:c>
      <x:c r="F52" s="48" t="str">
        <x:v>Internal / agency</x:v>
      </x:c>
      <x:c r="G52" s="48" t="str">
        <x:v>N/A</x:v>
      </x:c>
      <x:c r="H52" s="48" t="str">
        <x:v>N/A</x:v>
      </x:c>
      <x:c r="I52" s="52" t="n">
        <x:v>45</x:v>
      </x:c>
      <x:c r="J52" s="53" t="str">
        <x:v>Auckland / NZ</x:v>
      </x:c>
      <x:c r="K52" s="59" t="str">
        <x:v>17-Aug-2026</x:v>
      </x:c>
      <x:c r="L52" s="53" t="str">
        <x:v>Allied-specific rate - company input (AMBER)</x:v>
      </x:c>
      <x:c r="M52" s="53" t="str">
        <x:v>Allied Civil - Jason review</x:v>
      </x:c>
      <x:c r="N52" s="53" t="str">
        <x:v>Clevedon_Civil_Works_Tender_Estimate_Rev5JW.xlsx; comparison baseline LAB-DRAINLAYER = $51.00/hr</x:v>
      </x:c>
      <x:c r="O52" s="53"/>
      <x:c r="P52" s="53" t="str">
        <x:v>Direct employment allowance</x:v>
      </x:c>
      <x:c r="Q52" s="53" t="str">
        <x:v>Vehicle and overtime</x:v>
      </x:c>
      <x:c r="R52" s="53"/>
      <x:c r="S52" s="53"/>
      <x:c r="T52" s="54"/>
    </x:row>
    <x:row r="53" ht="34" customHeight="1">
      <x:c r="A53" s="47" t="str">
        <x:v>ALLIED-PL-EXC-1.7</x:v>
      </x:c>
      <x:c r="B53" s="48" t="str">
        <x:v>Plant</x:v>
      </x:c>
      <x:c r="C53" s="48" t="str">
        <x:v>1.7 t excavator wet hire - Allied specific</x:v>
      </x:c>
      <x:c r="D53" s="48" t="str">
        <x:v>Plant</x:v>
      </x:c>
      <x:c r="E53" s="48" t="str">
        <x:v>hr</x:v>
      </x:c>
      <x:c r="F53" s="48" t="str">
        <x:v>Wet hire</x:v>
      </x:c>
      <x:c r="G53" s="48" t="str">
        <x:v>Yes</x:v>
      </x:c>
      <x:c r="H53" s="48" t="str">
        <x:v>Yes</x:v>
      </x:c>
      <x:c r="I53" s="52" t="n">
        <x:v>75</x:v>
      </x:c>
      <x:c r="J53" s="53" t="str">
        <x:v>Auckland</x:v>
      </x:c>
      <x:c r="K53" s="59" t="str">
        <x:v>17-Aug-2026</x:v>
      </x:c>
      <x:c r="L53" s="53" t="str">
        <x:v>Allied-specific rate - company input (AMBER)</x:v>
      </x:c>
      <x:c r="M53" s="53" t="str">
        <x:v>Allied Civil - Jason review</x:v>
      </x:c>
      <x:c r="N53" s="53" t="str">
        <x:v>Clevedon_Civil_Works_Tender_Estimate_Rev5JW.xlsx; comparison baseline PL-EXC-1.7 = $85.00/hr</x:v>
      </x:c>
      <x:c r="O53" s="53" t="str">
        <x:v>Delivery by quote</x:v>
      </x:c>
      <x:c r="P53" s="53" t="str">
        <x:v>Machine, operator, fuel and normal buckets</x:v>
      </x:c>
      <x:c r="Q53" s="53" t="str">
        <x:v>Delivery, overtime and specialist attachments</x:v>
      </x:c>
      <x:c r="R53" s="53"/>
      <x:c r="S53" s="53"/>
      <x:c r="T53" s="54"/>
    </x:row>
    <x:row r="54" ht="34" customHeight="1">
      <x:c r="A54" s="47" t="str">
        <x:v>ALLIED-MAT-AP65</x:v>
      </x:c>
      <x:c r="B54" s="48" t="str">
        <x:v>Material</x:v>
      </x:c>
      <x:c r="C54" s="48" t="str">
        <x:v>AP65 subbase aggregate - Allied specific</x:v>
      </x:c>
      <x:c r="D54" s="48" t="str">
        <x:v>Material</x:v>
      </x:c>
      <x:c r="E54" s="48" t="str">
        <x:v>t</x:v>
      </x:c>
      <x:c r="F54" s="48" t="str">
        <x:v>Merchant supply</x:v>
      </x:c>
      <x:c r="G54" s="48" t="str">
        <x:v>N/A</x:v>
      </x:c>
      <x:c r="H54" s="48" t="str">
        <x:v>N/A</x:v>
      </x:c>
      <x:c r="I54" s="52" t="n">
        <x:v>29</x:v>
      </x:c>
      <x:c r="J54" s="53" t="str">
        <x:v>Auckland</x:v>
      </x:c>
      <x:c r="K54" s="59" t="str">
        <x:v>17-Aug-2026</x:v>
      </x:c>
      <x:c r="L54" s="53" t="str">
        <x:v>Allied-specific rate - company input (AMBER)</x:v>
      </x:c>
      <x:c r="M54" s="53" t="str">
        <x:v>Rockshop Quarry - Allied direct-delivery / T&amp;T basis</x:v>
      </x:c>
      <x:c r="N54" s="53" t="str">
        <x:v>Clevedon_Civil_Works_Tender_Estimate_Rev5JW.xlsx; comparison baseline MAT-AP65 = $30.50/t</x:v>
      </x:c>
      <x:c r="O54" s="53"/>
      <x:c r="P54" s="53" t="str">
        <x:v>Ex-quarry / base material allowance</x:v>
      </x:c>
      <x:c r="Q54" s="53" t="str">
        <x:v>Haul and placement; confirm whether Allied $/t basis includes T&amp;T direct delivery</x:v>
      </x:c>
      <x:c r="R54" s="53"/>
      <x:c r="S54" s="53"/>
      <x:c r="T54" s="54"/>
    </x:row>
    <x:row r="55" ht="34" customHeight="1">
      <x:c r="A55" s="47" t="str">
        <x:v>ALLIED-MAT-AP40</x:v>
      </x:c>
      <x:c r="B55" s="48" t="str">
        <x:v>Material</x:v>
      </x:c>
      <x:c r="C55" s="48" t="str">
        <x:v>AP40 / GAP40 basecourse aggregate - Allied specific</x:v>
      </x:c>
      <x:c r="D55" s="48" t="str">
        <x:v>Material</x:v>
      </x:c>
      <x:c r="E55" s="48" t="str">
        <x:v>t</x:v>
      </x:c>
      <x:c r="F55" s="48" t="str">
        <x:v>Merchant supply</x:v>
      </x:c>
      <x:c r="G55" s="48" t="str">
        <x:v>N/A</x:v>
      </x:c>
      <x:c r="H55" s="48" t="str">
        <x:v>N/A</x:v>
      </x:c>
      <x:c r="I55" s="52" t="n">
        <x:v>29</x:v>
      </x:c>
      <x:c r="J55" s="53" t="str">
        <x:v>Auckland</x:v>
      </x:c>
      <x:c r="K55" s="59" t="str">
        <x:v>17-Aug-2026</x:v>
      </x:c>
      <x:c r="L55" s="53" t="str">
        <x:v>Allied-specific rate - company input (AMBER)</x:v>
      </x:c>
      <x:c r="M55" s="53" t="str">
        <x:v>Rockshop Quarry - Allied direct-delivery / T&amp;T basis</x:v>
      </x:c>
      <x:c r="N55" s="53" t="str">
        <x:v>Clevedon_Civil_Works_Tender_Estimate_Rev5JW.xlsx; comparison baseline MAT-AP40 = $31.00/t</x:v>
      </x:c>
      <x:c r="O55" s="53"/>
      <x:c r="P55" s="53" t="str">
        <x:v>Ex-quarry / base material allowance</x:v>
      </x:c>
      <x:c r="Q55" s="53" t="str">
        <x:v>Haul and placement; confirm whether Allied $/t basis includes T&amp;T direct delivery</x:v>
      </x:c>
      <x:c r="R55" s="53"/>
      <x:c r="S55" s="53"/>
      <x:c r="T55" s="54"/>
    </x:row>
    <x:row r="56" ht="34" customHeight="1">
      <x:c r="A56" s="47" t="str">
        <x:v>ALLIED-MAT-DRAINAGG</x:v>
      </x:c>
      <x:c r="B56" s="48" t="str">
        <x:v>Material</x:v>
      </x:c>
      <x:c r="C56" s="48" t="str">
        <x:v>Drainage aggregate - Allied specific</x:v>
      </x:c>
      <x:c r="D56" s="48" t="str">
        <x:v>Material</x:v>
      </x:c>
      <x:c r="E56" s="48" t="str">
        <x:v>t</x:v>
      </x:c>
      <x:c r="F56" s="48" t="str">
        <x:v>Merchant supply</x:v>
      </x:c>
      <x:c r="G56" s="48" t="str">
        <x:v>N/A</x:v>
      </x:c>
      <x:c r="H56" s="48" t="str">
        <x:v>N/A</x:v>
      </x:c>
      <x:c r="I56" s="52" t="n">
        <x:v>36</x:v>
      </x:c>
      <x:c r="J56" s="53" t="str">
        <x:v>Auckland</x:v>
      </x:c>
      <x:c r="K56" s="59" t="str">
        <x:v>17-Aug-2026</x:v>
      </x:c>
      <x:c r="L56" s="53" t="str">
        <x:v>Allied-specific rate - company input (AMBER)</x:v>
      </x:c>
      <x:c r="M56" s="53" t="str">
        <x:v>Rockshop Quarry - Allied direct-delivery / T&amp;T basis</x:v>
      </x:c>
      <x:c r="N56" s="53" t="str">
        <x:v>Clevedon_Civil_Works_Tender_Estimate_Rev5JW.xlsx; comparison baseline MAT-DRAINAGG = $48.50/t</x:v>
      </x:c>
      <x:c r="O56" s="53"/>
      <x:c r="P56" s="53" t="str">
        <x:v>Aggregate</x:v>
      </x:c>
      <x:c r="Q56" s="53" t="str">
        <x:v>Haul and placement; confirm whether Allied $/t basis includes T&amp;T direct delivery</x:v>
      </x:c>
      <x:c r="R56" s="53"/>
      <x:c r="S56" s="53"/>
      <x:c r="T56" s="54"/>
    </x:row>
    <x:row r="57" ht="34" customHeight="1">
      <x:c r="A57" s="47" t="str">
        <x:v>ALLIED-MAT-SWMH</x:v>
      </x:c>
      <x:c r="B57" s="48" t="str">
        <x:v>Material</x:v>
      </x:c>
      <x:c r="C57" s="48" t="str">
        <x:v>Precast stormwater manhole set - Allied specific</x:v>
      </x:c>
      <x:c r="D57" s="48" t="str">
        <x:v>Material</x:v>
      </x:c>
      <x:c r="E57" s="48" t="str">
        <x:v>ea</x:v>
      </x:c>
      <x:c r="F57" s="48" t="str">
        <x:v>Precast supplier</x:v>
      </x:c>
      <x:c r="G57" s="48" t="str">
        <x:v>N/A</x:v>
      </x:c>
      <x:c r="H57" s="48" t="str">
        <x:v>N/A</x:v>
      </x:c>
      <x:c r="I57" s="52" t="n">
        <x:v>7000</x:v>
      </x:c>
      <x:c r="J57" s="53" t="str">
        <x:v>Auckland</x:v>
      </x:c>
      <x:c r="K57" s="59" t="str">
        <x:v>17-Aug-2026</x:v>
      </x:c>
      <x:c r="L57" s="53" t="str">
        <x:v>Allied-specific rate - company input (AMBER)</x:v>
      </x:c>
      <x:c r="M57" s="53" t="str">
        <x:v>Allied Civil / Auckland Council safety-grate requirement</x:v>
      </x:c>
      <x:c r="N57" s="53" t="str">
        <x:v>Clevedon_Civil_Works_Tender_Estimate_Rev5JW.xlsx; comparison baseline MAT-SWMH = $5500.00/ea</x:v>
      </x:c>
      <x:c r="O57" s="53"/>
      <x:c r="P57" s="53" t="str">
        <x:v>Chamber, riser, lid and safety grate allowance</x:v>
      </x:c>
      <x:c r="Q57" s="53" t="str">
        <x:v>Excavation, concrete and installation</x:v>
      </x:c>
      <x:c r="R57" s="53"/>
      <x:c r="S57" s="53"/>
      <x:c r="T57" s="54"/>
    </x:row>
    <x:row r="58" ht="34" customHeight="1">
      <x:c r="A58" s="47" t="str">
        <x:v>ALLIED-OTH-FACILITIES</x:v>
      </x:c>
      <x:c r="B58" s="48" t="str">
        <x:v>Other</x:v>
      </x:c>
      <x:c r="C58" s="48" t="str">
        <x:v>Temporary facilities, utilities and welfare weekly allowance - Allied specific</x:v>
      </x:c>
      <x:c r="D58" s="48" t="str">
        <x:v>Other</x:v>
      </x:c>
      <x:c r="E58" s="48" t="str">
        <x:v>week</x:v>
      </x:c>
      <x:c r="F58" s="48" t="str">
        <x:v>Job-specific / hire allowance</x:v>
      </x:c>
      <x:c r="G58" s="48" t="str">
        <x:v>N/A</x:v>
      </x:c>
      <x:c r="H58" s="48" t="str">
        <x:v>N/A</x:v>
      </x:c>
      <x:c r="I58" s="52" t="n">
        <x:v>410</x:v>
      </x:c>
      <x:c r="J58" s="53" t="str">
        <x:v>Auckland</x:v>
      </x:c>
      <x:c r="K58" s="59" t="str">
        <x:v>17-Aug-2026</x:v>
      </x:c>
      <x:c r="L58" s="53" t="str">
        <x:v>Allied-specific rate - company input (AMBER)</x:v>
      </x:c>
      <x:c r="M58" s="53" t="str">
        <x:v>Allied Civil - Jason review</x:v>
      </x:c>
      <x:c r="N58" s="53" t="str">
        <x:v>Clevedon_Civil_Works_Tender_Estimate_Rev5JW.xlsx; PG03 note; 20 weeks = $8,200.00</x:v>
      </x:c>
      <x:c r="O58" s="53" t="str">
        <x:v>Confirm hire minimums and mobilisation</x:v>
      </x:c>
      <x:c r="P58" s="53" t="str">
        <x:v>Weekly facilities, toilet, temporary power/water and consumables allowance</x:v>
      </x:c>
      <x:c r="Q58" s="53" t="str">
        <x:v>Mobilisation, site-specific setup and abnormal servicing unless confirmed</x:v>
      </x:c>
      <x:c r="R58" s="53"/>
      <x:c r="S58" s="53"/>
      <x:c r="T58" s="54"/>
    </x:row>
    <x:row r="59" ht="34" customHeight="1">
      <x:c r="A59" s="47" t="str">
        <x:v>ALLIED-SUB-SURVEY-SET</x:v>
      </x:c>
      <x:c r="B59" s="48" t="str">
        <x:v>Subcontract</x:v>
      </x:c>
      <x:c r="C59" s="48" t="str">
        <x:v>Drainage construction setout package - Allied specific</x:v>
      </x:c>
      <x:c r="D59" s="48" t="str">
        <x:v>Subcontract</x:v>
      </x:c>
      <x:c r="E59" s="48" t="str">
        <x:v>LS</x:v>
      </x:c>
      <x:c r="F59" s="48" t="str">
        <x:v>Specialist subcontract</x:v>
      </x:c>
      <x:c r="G59" s="48" t="str">
        <x:v>N/A</x:v>
      </x:c>
      <x:c r="H59" s="48" t="str">
        <x:v>N/A</x:v>
      </x:c>
      <x:c r="I59" s="52" t="n">
        <x:v>1500</x:v>
      </x:c>
      <x:c r="J59" s="53" t="str">
        <x:v>Auckland</x:v>
      </x:c>
      <x:c r="K59" s="59" t="str">
        <x:v>17-Aug-2026</x:v>
      </x:c>
      <x:c r="L59" s="53" t="str">
        <x:v>Allied-specific supplier input (AMBER)</x:v>
      </x:c>
      <x:c r="M59" s="53" t="str">
        <x:v>Allied Civil survey supplier - not named</x:v>
      </x:c>
      <x:c r="N59" s="53" t="str">
        <x:v>Clevedon_Civil_Works_Tender_Estimate_Rev5JW.xlsx; Rate Verification note; rate recorded excl. GST</x:v>
      </x:c>
      <x:c r="O59" s="53" t="str">
        <x:v>One drainage setout package</x:v>
      </x:c>
      <x:c r="P59" s="53" t="str">
        <x:v>Drainage construction setout</x:v>
      </x:c>
      <x:c r="Q59" s="53" t="str">
        <x:v>Other survey, rework, as-builts and additional visits</x:v>
      </x:c>
      <x:c r="R59" s="53"/>
      <x:c r="S59" s="53"/>
      <x:c r="T59" s="54"/>
    </x:row>
    <x:row r="60" ht="34" customHeight="1">
      <x:c r="A60" s="47" t="str">
        <x:v>ALLIED-SUB-SURVEY-ASB</x:v>
      </x:c>
      <x:c r="B60" s="48" t="str">
        <x:v>Subcontract</x:v>
      </x:c>
      <x:c r="C60" s="48" t="str">
        <x:v>Drainage as-built survey package - Allied specific</x:v>
      </x:c>
      <x:c r="D60" s="48" t="str">
        <x:v>Subcontract</x:v>
      </x:c>
      <x:c r="E60" s="48" t="str">
        <x:v>LS</x:v>
      </x:c>
      <x:c r="F60" s="48" t="str">
        <x:v>Specialist subcontract</x:v>
      </x:c>
      <x:c r="G60" s="48" t="str">
        <x:v>N/A</x:v>
      </x:c>
      <x:c r="H60" s="48" t="str">
        <x:v>N/A</x:v>
      </x:c>
      <x:c r="I60" s="52" t="n">
        <x:v>2500</x:v>
      </x:c>
      <x:c r="J60" s="53" t="str">
        <x:v>Auckland</x:v>
      </x:c>
      <x:c r="K60" s="59" t="str">
        <x:v>17-Aug-2026</x:v>
      </x:c>
      <x:c r="L60" s="53" t="str">
        <x:v>Allied-specific supplier input (AMBER)</x:v>
      </x:c>
      <x:c r="M60" s="53" t="str">
        <x:v>Allied Civil survey supplier - not named</x:v>
      </x:c>
      <x:c r="N60" s="53" t="str">
        <x:v>Clevedon_Civil_Works_Tender_Estimate_Rev5JW.xlsx; Rate Verification note; rate recorded excl. GST</x:v>
      </x:c>
      <x:c r="O60" s="53" t="str">
        <x:v>One drainage as-built package</x:v>
      </x:c>
      <x:c r="P60" s="53" t="str">
        <x:v>Drainage as-built survey</x:v>
      </x:c>
      <x:c r="Q60" s="53" t="str">
        <x:v>Setout, other survey, rework and additional visits</x:v>
      </x:c>
      <x:c r="R60" s="53"/>
      <x:c r="S60" s="53"/>
      <x:c r="T60" s="54"/>
    </x:row>
    <x:row r="61" ht="34" customHeight="1">
      <x:c r="A61" s="47" t="str">
        <x:v>ALLIED-SUB-GPR-VISIT</x:v>
      </x:c>
      <x:c r="B61" s="48" t="str">
        <x:v>Subcontract</x:v>
      </x:c>
      <x:c r="C61" s="48" t="str">
        <x:v>GPR utility-locating visit - Allied specific</x:v>
      </x:c>
      <x:c r="D61" s="48" t="str">
        <x:v>Subcontract</x:v>
      </x:c>
      <x:c r="E61" s="48" t="str">
        <x:v>visit</x:v>
      </x:c>
      <x:c r="F61" s="48" t="str">
        <x:v>Specialist subcontract</x:v>
      </x:c>
      <x:c r="G61" s="48" t="str">
        <x:v>N/A</x:v>
      </x:c>
      <x:c r="H61" s="48" t="str">
        <x:v>N/A</x:v>
      </x:c>
      <x:c r="I61" s="52" t="n">
        <x:v>250</x:v>
      </x:c>
      <x:c r="J61" s="53" t="str">
        <x:v>Auckland</x:v>
      </x:c>
      <x:c r="K61" s="59" t="str">
        <x:v>17-Aug-2026</x:v>
      </x:c>
      <x:c r="L61" s="53" t="str">
        <x:v>Allied-specific supplier input (AMBER)</x:v>
      </x:c>
      <x:c r="M61" s="53" t="str">
        <x:v>Allied Civil GPR supplier - not named</x:v>
      </x:c>
      <x:c r="N61" s="53" t="str">
        <x:v>Clevedon_Civil_Works_Tender_Estimate_Rev5JW.xlsx; Jason noted cash rate/no GST - formal invoicing and scope require verification</x:v>
      </x:c>
      <x:c r="O61" s="53" t="str">
        <x:v>Per visit; minimums and mobilisation to confirm</x:v>
      </x:c>
      <x:c r="P61" s="53" t="str">
        <x:v>GPR utility-locating visit</x:v>
      </x:c>
      <x:c r="Q61" s="53" t="str">
        <x:v>Potholing, traffic management, additional visits and formal report unless confirmed</x:v>
      </x:c>
      <x:c r="R61" s="53"/>
      <x:c r="S61" s="53"/>
      <x:c r="T61" s="54"/>
    </x:row>
    <x:row r="62" ht="34" customHeight="1">
      <x:c r="A62" s="65" t="str">
        <x:v>ALLIED-SUB-TMP-DAY</x:v>
      </x:c>
      <x:c r="B62" s="66" t="str">
        <x:v>Subcontract</x:v>
      </x:c>
      <x:c r="C62" s="66" t="str">
        <x:v>Traffic management delivery day - Allied specific</x:v>
      </x:c>
      <x:c r="D62" s="66" t="str">
        <x:v>Subcontract</x:v>
      </x:c>
      <x:c r="E62" s="66" t="str">
        <x:v>day</x:v>
      </x:c>
      <x:c r="F62" s="66" t="str">
        <x:v>Specialist subcontract</x:v>
      </x:c>
      <x:c r="G62" s="66" t="str">
        <x:v>Yes</x:v>
      </x:c>
      <x:c r="H62" s="66" t="str">
        <x:v>Yes</x:v>
      </x:c>
      <x:c r="I62" s="72" t="n">
        <x:v>1600</x:v>
      </x:c>
      <x:c r="J62" s="73" t="str">
        <x:v>Auckland</x:v>
      </x:c>
      <x:c r="K62" s="74" t="str">
        <x:v>17-Aug-2026</x:v>
      </x:c>
      <x:c r="L62" s="73" t="str">
        <x:v>Allied-specific supplier input (AMBER)</x:v>
      </x:c>
      <x:c r="M62" s="73" t="str">
        <x:v>Allied Civil TMP supplier - not named</x:v>
      </x:c>
      <x:c r="N62" s="73" t="str">
        <x:v>Clevedon_Civil_Works_Tender_Estimate_Rev5JW.xlsx; Rate Verification note; TMP plan/design is additional</x:v>
      </x:c>
      <x:c r="O62" s="73" t="str">
        <x:v>Daily minimum; confirm working hours</x:v>
      </x:c>
      <x:c r="P62" s="73" t="str">
        <x:v>On-site traffic management delivery day</x:v>
      </x:c>
      <x:c r="Q62" s="73" t="str">
        <x:v>TMP plan/design, approvals, after-hours, fees and extensions</x:v>
      </x:c>
      <x:c r="R62" s="73"/>
      <x:c r="S62" s="73"/>
      <x:c r="T62" s="75"/>
    </x:row>
    <x:row r="63" ht="34" customHeight="1">
      <x:c r="A63" s="65" t="str">
        <x:v>ALLIED-SUB-LINEMARK</x:v>
      </x:c>
      <x:c r="B63" s="66" t="str">
        <x:v>Subcontract</x:v>
      </x:c>
      <x:c r="C63" s="66" t="str">
        <x:v>Standard line marking - Allied specific</x:v>
      </x:c>
      <x:c r="D63" s="66" t="str">
        <x:v>Subcontract</x:v>
      </x:c>
      <x:c r="E63" s="66" t="str">
        <x:v>lm</x:v>
      </x:c>
      <x:c r="F63" s="66" t="str">
        <x:v>Specialist subcontract</x:v>
      </x:c>
      <x:c r="G63" s="66" t="str">
        <x:v>Yes</x:v>
      </x:c>
      <x:c r="H63" s="66" t="str">
        <x:v>Yes</x:v>
      </x:c>
      <x:c r="I63" s="72" t="n">
        <x:v>22</x:v>
      </x:c>
      <x:c r="J63" s="73" t="str">
        <x:v>Auckland</x:v>
      </x:c>
      <x:c r="K63" s="74" t="str">
        <x:v>17-Aug-2026</x:v>
      </x:c>
      <x:c r="L63" s="73" t="str">
        <x:v>Allied-specific supplier input (AMBER)</x:v>
      </x:c>
      <x:c r="M63" s="73" t="str">
        <x:v>Allied Civil line-marking supplier - not named</x:v>
      </x:c>
      <x:c r="N63" s="73" t="str">
        <x:v>Clevedon_Civil_Works_Tender_Estimate_Rev5JW.xlsx; QS PV06 firm-up note</x:v>
      </x:c>
      <x:c r="O63" s="73" t="str">
        <x:v>Minimum job charge to confirm</x:v>
      </x:c>
      <x:c r="P63" s="73" t="str">
        <x:v>Standard line marking per lineal metre</x:v>
      </x:c>
      <x:c r="Q63" s="73" t="str">
        <x:v>Arrows, symbols, accessible markings, signs, preparation and traffic management unless quoted</x:v>
      </x:c>
      <x:c r="R63" s="73"/>
      <x:c r="S63" s="73"/>
      <x:c r="T63" s="75"/>
    </x:row>
    <x:row r="64" ht="19.200000762939453" customHeight="1">
      <x:c r="A64" s="65"/>
      <x:c r="B64" s="66"/>
      <x:c r="C64" s="66"/>
      <x:c r="D64" s="66"/>
      <x:c r="E64" s="66"/>
      <x:c r="F64" s="66"/>
      <x:c r="G64" s="66"/>
      <x:c r="H64" s="66"/>
      <x:c r="I64" s="72"/>
      <x:c r="J64" s="73"/>
      <x:c r="K64" s="74"/>
      <x:c r="L64" s="73"/>
      <x:c r="M64" s="73"/>
      <x:c r="N64" s="73"/>
      <x:c r="O64" s="73"/>
      <x:c r="P64" s="73"/>
      <x:c r="Q64" s="73"/>
      <x:c r="R64" s="73"/>
      <x:c r="S64" s="73"/>
      <x:c r="T64" s="75"/>
    </x:row>
    <x:row r="65" ht="19.200000762939453" customHeight="1">
      <x:c r="A65" s="65"/>
      <x:c r="B65" s="66"/>
      <x:c r="C65" s="66"/>
      <x:c r="D65" s="66"/>
      <x:c r="E65" s="66"/>
      <x:c r="F65" s="66"/>
      <x:c r="G65" s="66"/>
      <x:c r="H65" s="66"/>
      <x:c r="I65" s="72"/>
      <x:c r="J65" s="73"/>
      <x:c r="K65" s="74"/>
      <x:c r="L65" s="73"/>
      <x:c r="M65" s="73"/>
      <x:c r="N65" s="73"/>
      <x:c r="O65" s="73"/>
      <x:c r="P65" s="73"/>
      <x:c r="Q65" s="73"/>
      <x:c r="R65" s="73"/>
      <x:c r="S65" s="73"/>
      <x:c r="T65" s="75"/>
    </x:row>
    <x:row r="66" ht="19.200000762939453" customHeight="1">
      <x:c r="A66" s="65"/>
      <x:c r="B66" s="66"/>
      <x:c r="C66" s="66"/>
      <x:c r="D66" s="66"/>
      <x:c r="E66" s="66"/>
      <x:c r="F66" s="66"/>
      <x:c r="G66" s="66"/>
      <x:c r="H66" s="66"/>
      <x:c r="I66" s="72"/>
      <x:c r="J66" s="73"/>
      <x:c r="K66" s="74"/>
      <x:c r="L66" s="73"/>
      <x:c r="M66" s="73"/>
      <x:c r="N66" s="73"/>
      <x:c r="O66" s="73"/>
      <x:c r="P66" s="73"/>
      <x:c r="Q66" s="73"/>
      <x:c r="R66" s="73"/>
      <x:c r="S66" s="73"/>
      <x:c r="T66" s="75"/>
    </x:row>
    <x:row r="67" ht="19.200000762939453" customHeight="1">
      <x:c r="A67" s="65"/>
      <x:c r="B67" s="66"/>
      <x:c r="C67" s="66"/>
      <x:c r="D67" s="66"/>
      <x:c r="E67" s="66"/>
      <x:c r="F67" s="66"/>
      <x:c r="G67" s="66"/>
      <x:c r="H67" s="66"/>
      <x:c r="I67" s="72"/>
      <x:c r="J67" s="73"/>
      <x:c r="K67" s="74"/>
      <x:c r="L67" s="73"/>
      <x:c r="M67" s="73"/>
      <x:c r="N67" s="73"/>
      <x:c r="O67" s="73"/>
      <x:c r="P67" s="73"/>
      <x:c r="Q67" s="73"/>
      <x:c r="R67" s="73"/>
      <x:c r="S67" s="73"/>
      <x:c r="T67" s="75"/>
    </x:row>
    <x:row r="68" ht="19.200000762939453" customHeight="1">
      <x:c r="A68" s="65"/>
      <x:c r="B68" s="66"/>
      <x:c r="C68" s="66"/>
      <x:c r="D68" s="66"/>
      <x:c r="E68" s="66"/>
      <x:c r="F68" s="66"/>
      <x:c r="G68" s="66"/>
      <x:c r="H68" s="66"/>
      <x:c r="I68" s="72"/>
      <x:c r="J68" s="73"/>
      <x:c r="K68" s="74"/>
      <x:c r="L68" s="73"/>
      <x:c r="M68" s="73"/>
      <x:c r="N68" s="73"/>
      <x:c r="O68" s="73"/>
      <x:c r="P68" s="73"/>
      <x:c r="Q68" s="73"/>
      <x:c r="R68" s="73"/>
      <x:c r="S68" s="73"/>
      <x:c r="T68" s="75"/>
    </x:row>
    <x:row r="69" ht="19.200000762939453" customHeight="1">
      <x:c r="A69" s="65"/>
      <x:c r="B69" s="66"/>
      <x:c r="C69" s="66"/>
      <x:c r="D69" s="66"/>
      <x:c r="E69" s="66"/>
      <x:c r="F69" s="66"/>
      <x:c r="G69" s="66"/>
      <x:c r="H69" s="66"/>
      <x:c r="I69" s="72"/>
      <x:c r="J69" s="73"/>
      <x:c r="K69" s="74"/>
      <x:c r="L69" s="73"/>
      <x:c r="M69" s="73"/>
      <x:c r="N69" s="73"/>
      <x:c r="O69" s="73"/>
      <x:c r="P69" s="73"/>
      <x:c r="Q69" s="73"/>
      <x:c r="R69" s="73"/>
      <x:c r="S69" s="73"/>
      <x:c r="T69" s="75"/>
    </x:row>
    <x:row r="70" ht="19.200000762939453" customHeight="1">
      <x:c r="A70" s="65"/>
      <x:c r="B70" s="66"/>
      <x:c r="C70" s="66"/>
      <x:c r="D70" s="66"/>
      <x:c r="E70" s="66"/>
      <x:c r="F70" s="66"/>
      <x:c r="G70" s="66"/>
      <x:c r="H70" s="66"/>
      <x:c r="I70" s="72"/>
      <x:c r="J70" s="73"/>
      <x:c r="K70" s="74"/>
      <x:c r="L70" s="73"/>
      <x:c r="M70" s="73"/>
      <x:c r="N70" s="73"/>
      <x:c r="O70" s="73"/>
      <x:c r="P70" s="73"/>
      <x:c r="Q70" s="73"/>
      <x:c r="R70" s="73"/>
      <x:c r="S70" s="73"/>
      <x:c r="T70" s="75"/>
    </x:row>
    <x:row r="71" ht="19.200000762939453" customHeight="1">
      <x:c r="A71" s="65"/>
      <x:c r="B71" s="66"/>
      <x:c r="C71" s="66"/>
      <x:c r="D71" s="66"/>
      <x:c r="E71" s="66"/>
      <x:c r="F71" s="66"/>
      <x:c r="G71" s="66"/>
      <x:c r="H71" s="66"/>
      <x:c r="I71" s="72"/>
      <x:c r="J71" s="73"/>
      <x:c r="K71" s="74"/>
      <x:c r="L71" s="73"/>
      <x:c r="M71" s="73"/>
      <x:c r="N71" s="73"/>
      <x:c r="O71" s="73"/>
      <x:c r="P71" s="73"/>
      <x:c r="Q71" s="73"/>
      <x:c r="R71" s="73"/>
      <x:c r="S71" s="73"/>
      <x:c r="T71" s="75"/>
    </x:row>
    <x:row r="72" ht="19.200000762939453" customHeight="1">
      <x:c r="A72" s="65"/>
      <x:c r="B72" s="66"/>
      <x:c r="C72" s="66"/>
      <x:c r="D72" s="66"/>
      <x:c r="E72" s="66"/>
      <x:c r="F72" s="66"/>
      <x:c r="G72" s="66"/>
      <x:c r="H72" s="66"/>
      <x:c r="I72" s="72"/>
      <x:c r="J72" s="73"/>
      <x:c r="K72" s="74"/>
      <x:c r="L72" s="73"/>
      <x:c r="M72" s="73"/>
      <x:c r="N72" s="73"/>
      <x:c r="O72" s="73"/>
      <x:c r="P72" s="73"/>
      <x:c r="Q72" s="73"/>
      <x:c r="R72" s="73"/>
      <x:c r="S72" s="73"/>
      <x:c r="T72" s="75"/>
    </x:row>
    <x:row r="73" ht="19.200000762939453" customHeight="1">
      <x:c r="A73" s="65"/>
      <x:c r="B73" s="66"/>
      <x:c r="C73" s="66"/>
      <x:c r="D73" s="66"/>
      <x:c r="E73" s="66"/>
      <x:c r="F73" s="66"/>
      <x:c r="G73" s="66"/>
      <x:c r="H73" s="66"/>
      <x:c r="I73" s="72"/>
      <x:c r="J73" s="73"/>
      <x:c r="K73" s="74"/>
      <x:c r="L73" s="73"/>
      <x:c r="M73" s="73"/>
      <x:c r="N73" s="73"/>
      <x:c r="O73" s="73"/>
      <x:c r="P73" s="73"/>
      <x:c r="Q73" s="73"/>
      <x:c r="R73" s="73"/>
      <x:c r="S73" s="73"/>
      <x:c r="T73" s="75"/>
    </x:row>
    <x:row r="74" ht="19.200000762939453" customHeight="1">
      <x:c r="A74" s="65"/>
      <x:c r="B74" s="66"/>
      <x:c r="C74" s="66"/>
      <x:c r="D74" s="66"/>
      <x:c r="E74" s="66"/>
      <x:c r="F74" s="66"/>
      <x:c r="G74" s="66"/>
      <x:c r="H74" s="66"/>
      <x:c r="I74" s="72"/>
      <x:c r="J74" s="73"/>
      <x:c r="K74" s="74"/>
      <x:c r="L74" s="73"/>
      <x:c r="M74" s="73"/>
      <x:c r="N74" s="73"/>
      <x:c r="O74" s="73"/>
      <x:c r="P74" s="73"/>
      <x:c r="Q74" s="73"/>
      <x:c r="R74" s="73"/>
      <x:c r="S74" s="73"/>
      <x:c r="T74" s="75"/>
    </x:row>
    <x:row r="75" ht="19.200000762939453" customHeight="1">
      <x:c r="A75" s="65"/>
      <x:c r="B75" s="66"/>
      <x:c r="C75" s="66"/>
      <x:c r="D75" s="66"/>
      <x:c r="E75" s="66"/>
      <x:c r="F75" s="66"/>
      <x:c r="G75" s="66"/>
      <x:c r="H75" s="66"/>
      <x:c r="I75" s="72"/>
      <x:c r="J75" s="73"/>
      <x:c r="K75" s="74"/>
      <x:c r="L75" s="73"/>
      <x:c r="M75" s="73"/>
      <x:c r="N75" s="73"/>
      <x:c r="O75" s="73"/>
      <x:c r="P75" s="73"/>
      <x:c r="Q75" s="73"/>
      <x:c r="R75" s="73"/>
      <x:c r="S75" s="73"/>
      <x:c r="T75" s="75"/>
    </x:row>
    <x:row r="76" ht="19.200000762939453" customHeight="1">
      <x:c r="A76" s="65"/>
      <x:c r="B76" s="66"/>
      <x:c r="C76" s="66"/>
      <x:c r="D76" s="66"/>
      <x:c r="E76" s="66"/>
      <x:c r="F76" s="66"/>
      <x:c r="G76" s="66"/>
      <x:c r="H76" s="66"/>
      <x:c r="I76" s="72"/>
      <x:c r="J76" s="73"/>
      <x:c r="K76" s="74"/>
      <x:c r="L76" s="73"/>
      <x:c r="M76" s="73"/>
      <x:c r="N76" s="73"/>
      <x:c r="O76" s="73"/>
      <x:c r="P76" s="73"/>
      <x:c r="Q76" s="73"/>
      <x:c r="R76" s="73"/>
      <x:c r="S76" s="73"/>
      <x:c r="T76" s="75"/>
    </x:row>
    <x:row r="77" ht="19.200000762939453" customHeight="1">
      <x:c r="A77" s="65"/>
      <x:c r="B77" s="66"/>
      <x:c r="C77" s="66"/>
      <x:c r="D77" s="66"/>
      <x:c r="E77" s="66"/>
      <x:c r="F77" s="66"/>
      <x:c r="G77" s="66"/>
      <x:c r="H77" s="66"/>
      <x:c r="I77" s="72"/>
      <x:c r="J77" s="73"/>
      <x:c r="K77" s="74"/>
      <x:c r="L77" s="73"/>
      <x:c r="M77" s="73"/>
      <x:c r="N77" s="73"/>
      <x:c r="O77" s="73"/>
      <x:c r="P77" s="73"/>
      <x:c r="Q77" s="73"/>
      <x:c r="R77" s="73"/>
      <x:c r="S77" s="73"/>
      <x:c r="T77" s="75"/>
    </x:row>
    <x:row r="78" ht="19.200000762939453" customHeight="1">
      <x:c r="A78" s="65"/>
      <x:c r="B78" s="66"/>
      <x:c r="C78" s="66"/>
      <x:c r="D78" s="66"/>
      <x:c r="E78" s="66"/>
      <x:c r="F78" s="66"/>
      <x:c r="G78" s="66"/>
      <x:c r="H78" s="66"/>
      <x:c r="I78" s="72"/>
      <x:c r="J78" s="73"/>
      <x:c r="K78" s="74"/>
      <x:c r="L78" s="73"/>
      <x:c r="M78" s="73"/>
      <x:c r="N78" s="73"/>
      <x:c r="O78" s="73"/>
      <x:c r="P78" s="73"/>
      <x:c r="Q78" s="73"/>
      <x:c r="R78" s="73"/>
      <x:c r="S78" s="73"/>
      <x:c r="T78" s="75"/>
    </x:row>
    <x:row r="79" ht="19.200000762939453" customHeight="1">
      <x:c r="A79" s="65"/>
      <x:c r="B79" s="66"/>
      <x:c r="C79" s="66"/>
      <x:c r="D79" s="66"/>
      <x:c r="E79" s="66"/>
      <x:c r="F79" s="66"/>
      <x:c r="G79" s="66"/>
      <x:c r="H79" s="66"/>
      <x:c r="I79" s="72"/>
      <x:c r="J79" s="73"/>
      <x:c r="K79" s="74"/>
      <x:c r="L79" s="73"/>
      <x:c r="M79" s="73"/>
      <x:c r="N79" s="73"/>
      <x:c r="O79" s="73"/>
      <x:c r="P79" s="73"/>
      <x:c r="Q79" s="73"/>
      <x:c r="R79" s="73"/>
      <x:c r="S79" s="73"/>
      <x:c r="T79" s="75"/>
    </x:row>
    <x:row r="80" ht="19.200000762939453" customHeight="1">
      <x:c r="A80" s="65"/>
      <x:c r="B80" s="66"/>
      <x:c r="C80" s="66"/>
      <x:c r="D80" s="66"/>
      <x:c r="E80" s="66"/>
      <x:c r="F80" s="66"/>
      <x:c r="G80" s="66"/>
      <x:c r="H80" s="66"/>
      <x:c r="I80" s="72"/>
      <x:c r="J80" s="73"/>
      <x:c r="K80" s="74"/>
      <x:c r="L80" s="73"/>
      <x:c r="M80" s="73"/>
      <x:c r="N80" s="73"/>
      <x:c r="O80" s="73"/>
      <x:c r="P80" s="73"/>
      <x:c r="Q80" s="73"/>
      <x:c r="R80" s="73"/>
      <x:c r="S80" s="73"/>
      <x:c r="T80" s="75"/>
    </x:row>
    <x:row r="81" ht="19.200000762939453" customHeight="1">
      <x:c r="A81" s="65"/>
      <x:c r="B81" s="66"/>
      <x:c r="C81" s="66"/>
      <x:c r="D81" s="66"/>
      <x:c r="E81" s="66"/>
      <x:c r="F81" s="66"/>
      <x:c r="G81" s="66"/>
      <x:c r="H81" s="66"/>
      <x:c r="I81" s="72"/>
      <x:c r="J81" s="73"/>
      <x:c r="K81" s="74"/>
      <x:c r="L81" s="73"/>
      <x:c r="M81" s="73"/>
      <x:c r="N81" s="73"/>
      <x:c r="O81" s="73"/>
      <x:c r="P81" s="73"/>
      <x:c r="Q81" s="73"/>
      <x:c r="R81" s="73"/>
      <x:c r="S81" s="73"/>
      <x:c r="T81" s="75"/>
    </x:row>
    <x:row r="82" ht="19.200000762939453" customHeight="1">
      <x:c r="A82" s="65"/>
      <x:c r="B82" s="66"/>
      <x:c r="C82" s="66"/>
      <x:c r="D82" s="66"/>
      <x:c r="E82" s="66"/>
      <x:c r="F82" s="66"/>
      <x:c r="G82" s="66"/>
      <x:c r="H82" s="66"/>
      <x:c r="I82" s="72"/>
      <x:c r="J82" s="73"/>
      <x:c r="K82" s="74"/>
      <x:c r="L82" s="73"/>
      <x:c r="M82" s="73"/>
      <x:c r="N82" s="73"/>
      <x:c r="O82" s="73"/>
      <x:c r="P82" s="73"/>
      <x:c r="Q82" s="73"/>
      <x:c r="R82" s="73"/>
      <x:c r="S82" s="73"/>
      <x:c r="T82" s="75"/>
    </x:row>
    <x:row r="83" ht="19.200000762939453" customHeight="1">
      <x:c r="A83" s="65"/>
      <x:c r="B83" s="66"/>
      <x:c r="C83" s="66"/>
      <x:c r="D83" s="66"/>
      <x:c r="E83" s="66"/>
      <x:c r="F83" s="66"/>
      <x:c r="G83" s="66"/>
      <x:c r="H83" s="66"/>
      <x:c r="I83" s="72"/>
      <x:c r="J83" s="73"/>
      <x:c r="K83" s="74"/>
      <x:c r="L83" s="73"/>
      <x:c r="M83" s="73"/>
      <x:c r="N83" s="73"/>
      <x:c r="O83" s="73"/>
      <x:c r="P83" s="73"/>
      <x:c r="Q83" s="73"/>
      <x:c r="R83" s="73"/>
      <x:c r="S83" s="73"/>
      <x:c r="T83" s="75"/>
    </x:row>
    <x:row r="84" ht="19.200000762939453" customHeight="1">
      <x:c r="A84" s="65"/>
      <x:c r="B84" s="66"/>
      <x:c r="C84" s="66"/>
      <x:c r="D84" s="66"/>
      <x:c r="E84" s="66"/>
      <x:c r="F84" s="66"/>
      <x:c r="G84" s="66"/>
      <x:c r="H84" s="66"/>
      <x:c r="I84" s="72"/>
      <x:c r="J84" s="73"/>
      <x:c r="K84" s="74"/>
      <x:c r="L84" s="73"/>
      <x:c r="M84" s="73"/>
      <x:c r="N84" s="73"/>
      <x:c r="O84" s="73"/>
      <x:c r="P84" s="73"/>
      <x:c r="Q84" s="73"/>
      <x:c r="R84" s="73"/>
      <x:c r="S84" s="73"/>
      <x:c r="T84" s="75"/>
    </x:row>
    <x:row r="85" ht="19.200000762939453" customHeight="1">
      <x:c r="A85" s="67"/>
      <x:c r="B85" s="68"/>
      <x:c r="C85" s="68"/>
      <x:c r="D85" s="68"/>
      <x:c r="E85" s="68"/>
      <x:c r="F85" s="68"/>
      <x:c r="G85" s="68"/>
      <x:c r="H85" s="68"/>
      <x:c r="I85" s="76"/>
      <x:c r="J85" s="77"/>
      <x:c r="K85" s="78"/>
      <x:c r="L85" s="77"/>
      <x:c r="M85" s="77"/>
      <x:c r="N85" s="77"/>
      <x:c r="O85" s="77"/>
      <x:c r="P85" s="77"/>
      <x:c r="Q85" s="77"/>
      <x:c r="R85" s="77"/>
      <x:c r="S85" s="77"/>
      <x:c r="T85" s="79"/>
    </x:row>
  </x:sheetData>
  <x:mergeCells>
    <x:mergeCell ref="A1:T1"/>
    <x:mergeCell ref="A2:T2"/>
    <x:mergeCell ref="A3:T3"/>
  </x:mergeCells>
  <x:dataValidations count="4">
    <x:dataValidation type="list" sqref="D5:D85">
      <x:formula1>"Labour,Plant,Material,Subcontract,Cartage,Disposal,Testing,Other"</x:formula1>
    </x:dataValidation>
    <x:dataValidation type="list" sqref="G5:H85">
      <x:formula1>"Yes,No,N/A"</x:formula1>
    </x:dataValidation>
    <x:dataValidation type="list" sqref="R5:R85">
      <x:formula1>"High,Medium,Low,Quote-backed,Not assessed"</x:formula1>
    </x:dataValidation>
    <x:dataValidation type="list" sqref="S5:S85">
      <x:formula1>"Verified,Rate required,Quote required,Expired / Reverify,Do not use"</x:formula1>
    </x:dataValidation>
  </x:dataValidations>
  <x:pageMargins left="0.7" right="0.7" top="0.75" bottom="0.75" header="0.3" footer="0.3"/>
</x:worksheet>
</file>

<file path=xl/worksheets/sheet8.xml><?xml version="1.0" encoding="utf-8"?>
<x:worksheet xmlns:x="http://schemas.openxmlformats.org/spreadsheetml/2006/main">
  <x:sheetFormatPr defaultRowHeight="13.800000190734863"/>
  <x:cols>
    <x:col min="1" max="1" width="17" customWidth="1"/>
    <x:col min="2" max="2" width="12" customWidth="1"/>
    <x:col min="3" max="3" width="37.19921875" customWidth="1"/>
    <x:col min="4" max="4" width="55.19921875" customWidth="1"/>
    <x:col min="5" max="6" width="10" customWidth="1"/>
    <x:col min="7" max="7" width="14" customWidth="1"/>
    <x:col min="8" max="8" width="81.5" customWidth="1"/>
    <x:col min="9" max="13" width="14" customWidth="1"/>
    <x:col min="14" max="14" width="29.59765625" customWidth="1"/>
    <x:col min="15" max="16" width="15" customWidth="1"/>
    <x:col min="17" max="17" width="30" customWidth="1"/>
    <x:col min="18" max="19" width="15" customWidth="1"/>
    <x:col min="20" max="20" width="12" customWidth="1"/>
    <x:col min="21" max="22" width="11" customWidth="1"/>
    <x:col min="23" max="26" width="14" customWidth="1"/>
    <x:col min="27" max="27" width="27" customWidth="1"/>
    <x:col min="28" max="28" width="52.8984375" customWidth="1"/>
    <x:col min="29" max="32" width="13" customWidth="1"/>
    <x:col min="33" max="33" width="52.5" customWidth="1"/>
    <x:col min="34" max="34" width="12" customWidth="1"/>
    <x:col min="35" max="35" width="30" customWidth="1"/>
    <x:col min="36" max="36" width="24" customWidth="1"/>
    <x:col min="37" max="37" width="16" hidden="0" customWidth="1"/>
    <x:col min="38" max="38" width="34" hidden="0" customWidth="1"/>
    <x:col min="39" max="39" width="44" hidden="0" customWidth="1"/>
    <x:col min="40" max="40" width="20" hidden="0" customWidth="1"/>
  </x:cols>
  <x:sheetData>
    <x:row r="1" ht="22.5" customHeight="1">
      <x:c r="A1" s="234" t="str">
        <x:v>RESOURCE BUILD-UP - MASTER ESTIMATE WORKBOOK REV4 - LINKED COST / DURATION FORMULAS</x:v>
      </x:c>
      <x:c r="B1" s="234"/>
      <x:c r="C1" s="234"/>
      <x:c r="D1" s="234"/>
      <x:c r="E1" s="234"/>
      <x:c r="F1" s="234"/>
      <x:c r="G1" s="234"/>
      <x:c r="H1" s="234"/>
      <x:c r="I1" s="234"/>
      <x:c r="J1" s="234"/>
      <x:c r="K1" s="234"/>
      <x:c r="L1" s="234"/>
      <x:c r="M1" s="234"/>
      <x:c r="N1" s="234"/>
      <x:c r="O1" s="234"/>
      <x:c r="P1" s="234"/>
      <x:c r="Q1" s="234"/>
      <x:c r="R1" s="234"/>
      <x:c r="S1" s="234"/>
      <x:c r="T1" s="234"/>
      <x:c r="U1" s="234"/>
      <x:c r="V1" s="234"/>
      <x:c r="W1" s="234"/>
      <x:c r="X1" s="234"/>
      <x:c r="Y1" s="234"/>
      <x:c r="Z1" s="234"/>
      <x:c r="AA1" s="234"/>
      <x:c r="AB1" s="234"/>
      <x:c r="AC1" s="234"/>
      <x:c r="AD1" s="234"/>
      <x:c r="AE1" s="234"/>
      <x:c r="AF1" s="234"/>
      <x:c r="AG1" s="234"/>
      <x:c r="AH1" s="234"/>
      <x:c r="AI1" s="234"/>
      <x:c r="AJ1" s="234"/>
    </x:row>
    <x:row r="2" s="3" customFormat="1" ht="21.149999618530273" customHeight="1">
      <x:c r="A2" s="232" t="str">
        <x:v>Every active QS Code must have resource rows here. Extended Cost totals by QS Code are pulled into QS Takeoff; do not type a second QS rate or amount.</x:v>
      </x:c>
      <x:c r="B2" s="232"/>
      <x:c r="C2" s="232"/>
      <x:c r="D2" s="232"/>
      <x:c r="E2" s="232"/>
      <x:c r="F2" s="232"/>
      <x:c r="G2" s="232"/>
      <x:c r="H2" s="232"/>
      <x:c r="I2" s="232"/>
      <x:c r="J2" s="232"/>
      <x:c r="K2" s="232"/>
      <x:c r="L2" s="232"/>
      <x:c r="M2" s="232"/>
      <x:c r="N2" s="232"/>
      <x:c r="O2" s="232"/>
      <x:c r="P2" s="232"/>
      <x:c r="Q2" s="232"/>
      <x:c r="R2" s="232"/>
      <x:c r="S2" s="232"/>
      <x:c r="T2" s="232"/>
      <x:c r="U2" s="232"/>
      <x:c r="V2" s="232"/>
      <x:c r="W2" s="232"/>
      <x:c r="X2" s="232"/>
      <x:c r="Y2" s="232"/>
      <x:c r="Z2" s="232"/>
      <x:c r="AA2" s="232"/>
      <x:c r="AB2" s="232"/>
      <x:c r="AC2" s="232"/>
      <x:c r="AD2" s="232"/>
      <x:c r="AE2" s="232"/>
      <x:c r="AF2" s="232"/>
      <x:c r="AG2" s="232"/>
      <x:c r="AH2" s="232"/>
      <x:c r="AI2" s="232"/>
      <x:c r="AJ2" s="232"/>
    </x:row>
    <x:row r="3" s="3" customFormat="1" ht="21.149999618530273" customHeight="1">
      <x:c r="A3" s="233" t="s">
        <x:v>564</x:v>
      </x:c>
      <x:c r="B3" s="233"/>
      <x:c r="C3" s="233"/>
      <x:c r="D3" s="233"/>
      <x:c r="E3" s="233"/>
      <x:c r="F3" s="233"/>
      <x:c r="G3" s="233"/>
      <x:c r="H3" s="233"/>
      <x:c r="I3" s="233"/>
      <x:c r="J3" s="233"/>
      <x:c r="K3" s="233"/>
      <x:c r="L3" s="233"/>
      <x:c r="M3" s="233"/>
      <x:c r="N3" s="233"/>
      <x:c r="O3" s="233"/>
      <x:c r="P3" s="233"/>
      <x:c r="Q3" s="233"/>
      <x:c r="R3" s="233"/>
      <x:c r="S3" s="233"/>
      <x:c r="T3" s="233"/>
      <x:c r="U3" s="233"/>
      <x:c r="V3" s="233"/>
      <x:c r="W3" s="233"/>
      <x:c r="X3" s="233"/>
      <x:c r="Y3" s="233"/>
      <x:c r="Z3" s="233"/>
      <x:c r="AA3" s="233"/>
      <x:c r="AB3" s="233"/>
      <x:c r="AC3" s="233"/>
      <x:c r="AD3" s="233"/>
      <x:c r="AE3" s="233"/>
      <x:c r="AF3" s="233"/>
      <x:c r="AG3" s="233"/>
      <x:c r="AH3" s="233"/>
      <x:c r="AI3" s="233"/>
      <x:c r="AJ3" s="233"/>
    </x:row>
    <x:row r="4" s="3" customFormat="1" ht="21.149999618530273" customHeight="1">
      <x:c r="A4" s="235" t="str">
        <x:v>Calculation modes: Time x Count; QS Qty x Factor; Direct Qty; Lump Sum / Quote. Duration is derived from quantity/productivity or explicitly overridden where sequencing requires it.</x:v>
      </x:c>
      <x:c r="B4" s="235"/>
      <x:c r="C4" s="235"/>
      <x:c r="D4" s="235"/>
      <x:c r="E4" s="235"/>
      <x:c r="F4" s="235"/>
      <x:c r="G4" s="235"/>
      <x:c r="H4" s="235"/>
      <x:c r="I4" s="235"/>
      <x:c r="J4" s="235"/>
      <x:c r="K4" s="235"/>
      <x:c r="L4" s="235"/>
      <x:c r="M4" s="235"/>
      <x:c r="N4" s="235"/>
      <x:c r="O4" s="235"/>
      <x:c r="P4" s="235"/>
      <x:c r="Q4" s="235"/>
      <x:c r="R4" s="235"/>
      <x:c r="S4" s="235"/>
      <x:c r="T4" s="235"/>
      <x:c r="U4" s="235"/>
      <x:c r="V4" s="235"/>
      <x:c r="W4" s="235"/>
      <x:c r="X4" s="235"/>
      <x:c r="Y4" s="235"/>
      <x:c r="Z4" s="235"/>
      <x:c r="AA4" s="235"/>
      <x:c r="AB4" s="235"/>
      <x:c r="AC4" s="235"/>
      <x:c r="AD4" s="235"/>
      <x:c r="AE4" s="235"/>
      <x:c r="AF4" s="235"/>
      <x:c r="AG4" s="235"/>
      <x:c r="AH4" s="235"/>
      <x:c r="AI4" s="235"/>
      <x:c r="AJ4" s="235"/>
    </x:row>
    <x:row r="5" ht="34" customHeight="1">
      <x:c r="A5" s="467" t="str">
        <x:v>Weather controls: AK:AM are estimator inputs; AN is formula-controlled exposed Labour/Plant cost feeding Weather Risk. Materials, fixed subcontract and Other costs are excluded from direct weather productivity by default.</x:v>
      </x:c>
      <x:c r="B5" s="467"/>
      <x:c r="C5" s="467"/>
      <x:c r="D5" s="467"/>
      <x:c r="E5" s="467"/>
      <x:c r="F5" s="467"/>
      <x:c r="G5" s="467"/>
      <x:c r="H5" s="467"/>
      <x:c r="I5" s="467"/>
      <x:c r="J5" s="467"/>
      <x:c r="K5" s="467"/>
      <x:c r="L5" s="467"/>
      <x:c r="M5" s="467"/>
      <x:c r="N5" s="467"/>
      <x:c r="O5" s="467"/>
      <x:c r="P5" s="467"/>
      <x:c r="Q5" s="467"/>
      <x:c r="R5" s="467"/>
      <x:c r="S5" s="467"/>
      <x:c r="T5" s="467"/>
      <x:c r="U5" s="467"/>
      <x:c r="V5" s="467"/>
      <x:c r="W5" s="467"/>
      <x:c r="X5" s="467"/>
      <x:c r="Y5" s="467"/>
      <x:c r="Z5" s="467"/>
      <x:c r="AA5" s="467"/>
      <x:c r="AB5" s="467"/>
      <x:c r="AC5" s="467"/>
      <x:c r="AD5" s="467"/>
      <x:c r="AE5" s="467"/>
      <x:c r="AF5" s="467"/>
      <x:c r="AG5" s="467"/>
      <x:c r="AH5" s="467"/>
      <x:c r="AI5" s="467"/>
      <x:c r="AJ5" s="467"/>
      <x:c r="AK5" s="467"/>
      <x:c r="AL5" s="467"/>
      <x:c r="AM5" s="467"/>
      <x:c r="AN5" s="467"/>
    </x:row>
    <x:row r="6" s="3" customFormat="1" ht="25.950000762939453" customHeight="1">
      <x:c r="A6" s="173" t="s">
        <x:v>565</x:v>
      </x:c>
      <x:c r="B6" s="174" t="s">
        <x:v>566</x:v>
      </x:c>
      <x:c r="C6" s="174" t="s">
        <x:v>567</x:v>
      </x:c>
      <x:c r="D6" s="174" t="s">
        <x:v>568</x:v>
      </x:c>
      <x:c r="E6" s="174" t="s">
        <x:v>569</x:v>
      </x:c>
      <x:c r="F6" s="174" t="s">
        <x:v>570</x:v>
      </x:c>
      <x:c r="G6" s="174" t="s">
        <x:v>571</x:v>
      </x:c>
      <x:c r="H6" s="174" t="s">
        <x:v>572</x:v>
      </x:c>
      <x:c r="I6" s="174" t="s">
        <x:v>573</x:v>
      </x:c>
      <x:c r="J6" s="174" t="s">
        <x:v>574</x:v>
      </x:c>
      <x:c r="K6" s="174" t="s">
        <x:v>575</x:v>
      </x:c>
      <x:c r="L6" s="174" t="s">
        <x:v>576</x:v>
      </x:c>
      <x:c r="M6" s="174" t="s">
        <x:v>577</x:v>
      </x:c>
      <x:c r="N6" s="174" t="s">
        <x:v>578</x:v>
      </x:c>
      <x:c r="O6" s="174" t="s">
        <x:v>579</x:v>
      </x:c>
      <x:c r="P6" s="174" t="s">
        <x:v>352</x:v>
      </x:c>
      <x:c r="Q6" s="174" t="s">
        <x:v>354</x:v>
      </x:c>
      <x:c r="R6" s="174" t="s">
        <x:v>580</x:v>
      </x:c>
      <x:c r="S6" s="174" t="s">
        <x:v>581</x:v>
      </x:c>
      <x:c r="T6" s="174" t="s">
        <x:v>582</x:v>
      </x:c>
      <x:c r="U6" s="174" t="s">
        <x:v>583</x:v>
      </x:c>
      <x:c r="V6" s="174" t="s">
        <x:v>584</x:v>
      </x:c>
      <x:c r="W6" s="174" t="s">
        <x:v>585</x:v>
      </x:c>
      <x:c r="X6" s="174" t="s">
        <x:v>586</x:v>
      </x:c>
      <x:c r="Y6" s="174" t="s">
        <x:v>587</x:v>
      </x:c>
      <x:c r="Z6" s="174" t="s">
        <x:v>588</x:v>
      </x:c>
      <x:c r="AA6" s="174" t="s">
        <x:v>589</x:v>
      </x:c>
      <x:c r="AB6" s="174" t="s">
        <x:v>590</x:v>
      </x:c>
      <x:c r="AC6" s="174" t="s">
        <x:v>591</x:v>
      </x:c>
      <x:c r="AD6" s="174" t="s">
        <x:v>357</x:v>
      </x:c>
      <x:c r="AE6" s="174" t="s">
        <x:v>358</x:v>
      </x:c>
      <x:c r="AF6" s="174" t="s">
        <x:v>367</x:v>
      </x:c>
      <x:c r="AG6" s="174" t="s">
        <x:v>592</x:v>
      </x:c>
      <x:c r="AH6" s="174" t="s">
        <x:v>593</x:v>
      </x:c>
      <x:c r="AI6" s="174" t="s">
        <x:v>594</x:v>
      </x:c>
      <x:c r="AJ6" s="175" t="s">
        <x:v>86</x:v>
      </x:c>
      <x:c r="AK6" s="581" t="str">
        <x:v>Weather Exposed?</x:v>
      </x:c>
      <x:c r="AL6" s="581" t="str">
        <x:v>Weather Task Type</x:v>
      </x:c>
      <x:c r="AM6" s="581" t="str">
        <x:v>Weather Basis / Status</x:v>
      </x:c>
      <x:c r="AN6" s="581" t="str">
        <x:v>Weather-Exposed Labour + Plant Cost</x:v>
      </x:c>
    </x:row>
    <x:row r="7" ht="22.049999237060547" customHeight="1">
      <x:c r="A7" s="80" t="str">
        <x:f>IF(B7="","",B7&amp;"-"&amp;TEXT(COUNTIF($B$7:B7,B7),"000"))</x:f>
      </x:c>
      <x:c r="B7" s="53"/>
      <x:c r="C7" s="81" t="str">
        <x:f>IFERROR(INDEX('QS Takeoff'!$A$3:$A$194,MATCH(B7,'QS Takeoff'!$B$3:$B$194,0)),"")</x:f>
      </x:c>
      <x:c r="D7" s="81" t="str">
        <x:f>IFERROR(INDEX('QS Takeoff'!$C$3:$C$194,MATCH(B7,'QS Takeoff'!$B$3:$B$194,0)),"")</x:f>
      </x:c>
      <x:c r="E7" s="81" t="str">
        <x:f>IFERROR(INDEX('QS Takeoff'!$E$3:$E$194,MATCH(B7,'QS Takeoff'!$B$3:$B$194,0)),"")</x:f>
      </x:c>
      <x:c r="F7" s="81" t="str">
        <x:f>IFERROR(INDEX('QS Takeoff'!$D$3:$D$194,MATCH(B7,'QS Takeoff'!$B$3:$B$194,0)),"")</x:f>
      </x:c>
      <x:c r="G7" s="81" t="str">
        <x:f>IFERROR(INDEX('QS Takeoff'!$J$3:$J$194,MATCH(B7,'QS Takeoff'!$B$3:$B$194,0)),"")</x:f>
      </x:c>
      <x:c r="H7" s="53"/>
      <x:c r="I7" s="60"/>
      <x:c r="J7" s="60"/>
      <x:c r="K7" s="82" t="str">
        <x:f t="shared" ref="K7:K70" si="0">IF(OR(B7="",I7="",I7=0),"",E7/I7)</x:f>
      </x:c>
      <x:c r="L7" s="60"/>
      <x:c r="M7" s="82" t="str">
        <x:f t="shared" ref="M7:M70" si="1">IF(L7&gt;0,L7,K7)</x:f>
      </x:c>
      <x:c r="N7" s="53"/>
      <x:c r="O7" s="53"/>
      <x:c r="P7" s="53"/>
      <x:c r="Q7" s="81" t="str">
        <x:f>IFERROR(INDEX('Resource Rate Library'!$C$5:$C$85,MATCH(P7,'Resource Rate Library'!$A$5:$A$85,0)),"")</x:f>
      </x:c>
      <x:c r="R7" s="53"/>
      <x:c r="S7" s="53"/>
      <x:c r="T7" s="81" t="str">
        <x:f>IFERROR(INDEX('Resource Rate Library'!$E$5:$E$85,MATCH(P7,'Resource Rate Library'!$A$5:$A$85,0)),"")</x:f>
      </x:c>
      <x:c r="U7" s="62"/>
      <x:c r="V7" s="62"/>
      <x:c r="W7" s="83" t="n">
        <x:f>IFERROR(INDEX('Resource Rate Library'!$I$5:$I$85,MATCH(P7,'Resource Rate Library'!$A$5:$A$85,0)),0)</x:f>
        <x:v>0</x:v>
      </x:c>
      <x:c r="X7" s="52"/>
      <x:c r="Y7" s="83" t="n">
        <x:f t="shared" ref="Y7:Y70" si="2">IF(X7&gt;0,X7,W7)</x:f>
        <x:v>0</x:v>
      </x:c>
      <x:c r="Z7" s="83" t="str">
        <x:f t="shared" ref="Z7:Z70" si="3">IF(B7="","",IF(N7="Time x Count",M7*R7*IF(U7="",1,U7)*Y7,IF(N7="QS Qty x Factor",E7*R7*(1+IF(V7="",0,V7))*Y7,IF(N7="Direct Qty",S7*(1+IF(V7="",0,V7))*Y7,IF(N7="Lump Sum / Quote",S7*Y7,0)))))</x:f>
      </x:c>
      <x:c r="AA7" s="81" t="str">
        <x:f>IFERROR(INDEX('Resource Rate Library'!$N$5:$N$85,MATCH(P7,'Resource Rate Library'!$A$5:$A$85,0)),"")</x:f>
      </x:c>
      <x:c r="AB7" s="53"/>
      <x:c r="AC7" s="59"/>
      <x:c r="AD7" s="81" t="str">
        <x:f>IFERROR(INDEX('Resource Rate Library'!$G$5:$G$85,MATCH(P7,'Resource Rate Library'!$A$5:$A$85,0)),"")</x:f>
      </x:c>
      <x:c r="AE7" s="81" t="str">
        <x:f>IFERROR(INDEX('Resource Rate Library'!$H$5:$H$85,MATCH(P7,'Resource Rate Library'!$A$5:$A$85,0)),"")</x:f>
      </x:c>
      <x:c r="AF7" s="53"/>
      <x:c r="AG7" s="53"/>
      <x:c r="AH7" s="53"/>
      <x:c r="AI7" s="81" t="str">
        <x:f t="shared" ref="AI7:AI27" si="4">IF(B7="","",IF(AND(P7="",N7&lt;&gt;"Lump Sum / Quote"),"RESOURCE CODE",IF(Y7=0,"RATE MISSING",IF(AND(O7="Plant",AD7="Yes",COUNTIFS($B$7:$B$306,B7,$O$7:$O$306,"Labour",$Q$7:$Q$306,"*Operator*")&gt;0),"OPERATOR DOUBLE-COUNT",IF(AND(O7="Plant",AE7="Yes",COUNTIFS($B$7:$B$306,B7,$Q$7:$Q$306,"*Fuel*")&gt;0),"FUEL DOUBLE-COUNT",IF(AH7&lt;&gt;"Yes","VERIFY","OK"))))))</x:f>
      </x:c>
      <x:c r="AJ7" s="54"/>
      <x:c r="AK7" s="473"/>
      <x:c r="AL7" s="473"/>
      <x:c r="AM7" s="473"/>
      <x:c r="AN7" s="500" t="n">
        <x:f>IF(AND(AK7="Yes",OR(O7="Labour",O7="Plant")),Z7,0)</x:f>
        <x:v>0</x:v>
      </x:c>
    </x:row>
    <x:row r="8" ht="22.049999237060547" customHeight="1">
      <x:c r="A8" s="80" t="str">
        <x:f>IF(B8="","",B8&amp;"-"&amp;TEXT(COUNTIF($B$7:B8,B8),"000"))</x:f>
      </x:c>
      <x:c r="B8" s="53"/>
      <x:c r="C8" s="81" t="str">
        <x:f>IFERROR(INDEX('QS Takeoff'!$A$3:$A$194,MATCH(B8,'QS Takeoff'!$B$3:$B$194,0)),"")</x:f>
      </x:c>
      <x:c r="D8" s="81" t="str">
        <x:f>IFERROR(INDEX('QS Takeoff'!$C$3:$C$194,MATCH(B8,'QS Takeoff'!$B$3:$B$194,0)),"")</x:f>
      </x:c>
      <x:c r="E8" s="81" t="str">
        <x:f>IFERROR(INDEX('QS Takeoff'!$E$3:$E$194,MATCH(B8,'QS Takeoff'!$B$3:$B$194,0)),"")</x:f>
      </x:c>
      <x:c r="F8" s="81" t="str">
        <x:f>IFERROR(INDEX('QS Takeoff'!$D$3:$D$194,MATCH(B8,'QS Takeoff'!$B$3:$B$194,0)),"")</x:f>
      </x:c>
      <x:c r="G8" s="81" t="str">
        <x:f>IFERROR(INDEX('QS Takeoff'!$J$3:$J$194,MATCH(B8,'QS Takeoff'!$B$3:$B$194,0)),"")</x:f>
      </x:c>
      <x:c r="H8" s="53"/>
      <x:c r="I8" s="60"/>
      <x:c r="J8" s="60"/>
      <x:c r="K8" s="82" t="str">
        <x:f t="shared" si="0">IF(OR(B8="",I8="",I8=0),"",E8/I8)</x:f>
      </x:c>
      <x:c r="L8" s="60"/>
      <x:c r="M8" s="82" t="str">
        <x:f t="shared" si="1">IF(L8&gt;0,L8,K8)</x:f>
      </x:c>
      <x:c r="N8" s="53"/>
      <x:c r="O8" s="53"/>
      <x:c r="P8" s="53"/>
      <x:c r="Q8" s="81" t="str">
        <x:f>IFERROR(INDEX('Resource Rate Library'!$C$5:$C$85,MATCH(P8,'Resource Rate Library'!$A$5:$A$85,0)),"")</x:f>
      </x:c>
      <x:c r="R8" s="53"/>
      <x:c r="S8" s="53"/>
      <x:c r="T8" s="81" t="str">
        <x:f>IFERROR(INDEX('Resource Rate Library'!$E$5:$E$85,MATCH(P8,'Resource Rate Library'!$A$5:$A$85,0)),"")</x:f>
      </x:c>
      <x:c r="U8" s="62"/>
      <x:c r="V8" s="62"/>
      <x:c r="W8" s="83" t="n">
        <x:f>IFERROR(INDEX('Resource Rate Library'!$I$5:$I$85,MATCH(P8,'Resource Rate Library'!$A$5:$A$85,0)),0)</x:f>
        <x:v>0</x:v>
      </x:c>
      <x:c r="X8" s="52"/>
      <x:c r="Y8" s="83" t="n">
        <x:f t="shared" si="2">IF(X8&gt;0,X8,W8)</x:f>
        <x:v>0</x:v>
      </x:c>
      <x:c r="Z8" s="83" t="str">
        <x:f t="shared" si="3">IF(B8="","",IF(N8="Time x Count",M8*R8*IF(U8="",1,U8)*Y8,IF(N8="QS Qty x Factor",E8*R8*(1+IF(V8="",0,V8))*Y8,IF(N8="Direct Qty",S8*(1+IF(V8="",0,V8))*Y8,IF(N8="Lump Sum / Quote",S8*Y8,0)))))</x:f>
      </x:c>
      <x:c r="AA8" s="81" t="str">
        <x:f>IFERROR(INDEX('Resource Rate Library'!$N$5:$N$85,MATCH(P8,'Resource Rate Library'!$A$5:$A$85,0)),"")</x:f>
      </x:c>
      <x:c r="AB8" s="53"/>
      <x:c r="AC8" s="59"/>
      <x:c r="AD8" s="81" t="str">
        <x:f>IFERROR(INDEX('Resource Rate Library'!$G$5:$G$85,MATCH(P8,'Resource Rate Library'!$A$5:$A$85,0)),"")</x:f>
      </x:c>
      <x:c r="AE8" s="81" t="str">
        <x:f>IFERROR(INDEX('Resource Rate Library'!$H$5:$H$85,MATCH(P8,'Resource Rate Library'!$A$5:$A$85,0)),"")</x:f>
      </x:c>
      <x:c r="AF8" s="53"/>
      <x:c r="AG8" s="53"/>
      <x:c r="AH8" s="53"/>
      <x:c r="AI8" s="81" t="str">
        <x:f t="shared" si="4">IF(B8="","",IF(AND(P8="",N8&lt;&gt;"Lump Sum / Quote"),"RESOURCE CODE",IF(Y8=0,"RATE MISSING",IF(AND(O8="Plant",AD8="Yes",COUNTIFS($B$7:$B$306,B8,$O$7:$O$306,"Labour",$Q$7:$Q$306,"*Operator*")&gt;0),"OPERATOR DOUBLE-COUNT",IF(AND(O8="Plant",AE8="Yes",COUNTIFS($B$7:$B$306,B8,$Q$7:$Q$306,"*Fuel*")&gt;0),"FUEL DOUBLE-COUNT",IF(AH8&lt;&gt;"Yes","VERIFY","OK"))))))</x:f>
      </x:c>
      <x:c r="AJ8" s="54"/>
      <x:c r="AK8" s="473"/>
      <x:c r="AL8" s="473"/>
      <x:c r="AM8" s="473"/>
      <x:c r="AN8" s="500" t="n">
        <x:f>IF(AND(AK8="Yes",OR(O8="Labour",O8="Plant")),Z8,0)</x:f>
        <x:v>0</x:v>
      </x:c>
    </x:row>
    <x:row r="9" ht="22.049999237060547" customHeight="1">
      <x:c r="A9" s="80" t="str">
        <x:f>IF(B9="","",B9&amp;"-"&amp;TEXT(COUNTIF($B$7:B9,B9),"000"))</x:f>
      </x:c>
      <x:c r="B9" s="53"/>
      <x:c r="C9" s="81" t="str">
        <x:f>IFERROR(INDEX('QS Takeoff'!$A$3:$A$194,MATCH(B9,'QS Takeoff'!$B$3:$B$194,0)),"")</x:f>
      </x:c>
      <x:c r="D9" s="81" t="str">
        <x:f>IFERROR(INDEX('QS Takeoff'!$C$3:$C$194,MATCH(B9,'QS Takeoff'!$B$3:$B$194,0)),"")</x:f>
      </x:c>
      <x:c r="E9" s="81" t="str">
        <x:f>IFERROR(INDEX('QS Takeoff'!$E$3:$E$194,MATCH(B9,'QS Takeoff'!$B$3:$B$194,0)),"")</x:f>
      </x:c>
      <x:c r="F9" s="81" t="str">
        <x:f>IFERROR(INDEX('QS Takeoff'!$D$3:$D$194,MATCH(B9,'QS Takeoff'!$B$3:$B$194,0)),"")</x:f>
      </x:c>
      <x:c r="G9" s="81" t="str">
        <x:f>IFERROR(INDEX('QS Takeoff'!$J$3:$J$194,MATCH(B9,'QS Takeoff'!$B$3:$B$194,0)),"")</x:f>
      </x:c>
      <x:c r="H9" s="53"/>
      <x:c r="I9" s="60"/>
      <x:c r="J9" s="60"/>
      <x:c r="K9" s="82" t="str">
        <x:f t="shared" si="0">IF(OR(B9="",I9="",I9=0),"",E9/I9)</x:f>
      </x:c>
      <x:c r="L9" s="60"/>
      <x:c r="M9" s="82" t="str">
        <x:f t="shared" si="1">IF(L9&gt;0,L9,K9)</x:f>
      </x:c>
      <x:c r="N9" s="53"/>
      <x:c r="O9" s="53"/>
      <x:c r="P9" s="53"/>
      <x:c r="Q9" s="81" t="str">
        <x:f>IFERROR(INDEX('Resource Rate Library'!$C$5:$C$85,MATCH(P9,'Resource Rate Library'!$A$5:$A$85,0)),"")</x:f>
      </x:c>
      <x:c r="R9" s="53"/>
      <x:c r="S9" s="53"/>
      <x:c r="T9" s="81" t="str">
        <x:f>IFERROR(INDEX('Resource Rate Library'!$E$5:$E$85,MATCH(P9,'Resource Rate Library'!$A$5:$A$85,0)),"")</x:f>
      </x:c>
      <x:c r="U9" s="62"/>
      <x:c r="V9" s="62"/>
      <x:c r="W9" s="83" t="n">
        <x:f>IFERROR(INDEX('Resource Rate Library'!$I$5:$I$85,MATCH(P9,'Resource Rate Library'!$A$5:$A$85,0)),0)</x:f>
        <x:v>0</x:v>
      </x:c>
      <x:c r="X9" s="52"/>
      <x:c r="Y9" s="83" t="n">
        <x:f t="shared" si="2">IF(X9&gt;0,X9,W9)</x:f>
        <x:v>0</x:v>
      </x:c>
      <x:c r="Z9" s="83" t="str">
        <x:f t="shared" si="3">IF(B9="","",IF(N9="Time x Count",M9*R9*IF(U9="",1,U9)*Y9,IF(N9="QS Qty x Factor",E9*R9*(1+IF(V9="",0,V9))*Y9,IF(N9="Direct Qty",S9*(1+IF(V9="",0,V9))*Y9,IF(N9="Lump Sum / Quote",S9*Y9,0)))))</x:f>
      </x:c>
      <x:c r="AA9" s="81" t="str">
        <x:f>IFERROR(INDEX('Resource Rate Library'!$N$5:$N$85,MATCH(P9,'Resource Rate Library'!$A$5:$A$85,0)),"")</x:f>
      </x:c>
      <x:c r="AB9" s="53"/>
      <x:c r="AC9" s="59"/>
      <x:c r="AD9" s="81" t="str">
        <x:f>IFERROR(INDEX('Resource Rate Library'!$G$5:$G$85,MATCH(P9,'Resource Rate Library'!$A$5:$A$85,0)),"")</x:f>
      </x:c>
      <x:c r="AE9" s="81" t="str">
        <x:f>IFERROR(INDEX('Resource Rate Library'!$H$5:$H$85,MATCH(P9,'Resource Rate Library'!$A$5:$A$85,0)),"")</x:f>
      </x:c>
      <x:c r="AF9" s="53"/>
      <x:c r="AG9" s="53"/>
      <x:c r="AH9" s="53"/>
      <x:c r="AI9" s="81" t="str">
        <x:f t="shared" si="4">IF(B9="","",IF(AND(P9="",N9&lt;&gt;"Lump Sum / Quote"),"RESOURCE CODE",IF(Y9=0,"RATE MISSING",IF(AND(O9="Plant",AD9="Yes",COUNTIFS($B$7:$B$306,B9,$O$7:$O$306,"Labour",$Q$7:$Q$306,"*Operator*")&gt;0),"OPERATOR DOUBLE-COUNT",IF(AND(O9="Plant",AE9="Yes",COUNTIFS($B$7:$B$306,B9,$Q$7:$Q$306,"*Fuel*")&gt;0),"FUEL DOUBLE-COUNT",IF(AH9&lt;&gt;"Yes","VERIFY","OK"))))))</x:f>
      </x:c>
      <x:c r="AJ9" s="54"/>
      <x:c r="AK9" s="473"/>
      <x:c r="AL9" s="473"/>
      <x:c r="AM9" s="473"/>
      <x:c r="AN9" s="500" t="n">
        <x:f>IF(AND(AK9="Yes",OR(O9="Labour",O9="Plant")),Z9,0)</x:f>
        <x:v>0</x:v>
      </x:c>
    </x:row>
    <x:row r="10" ht="22.049999237060547" customHeight="1">
      <x:c r="A10" s="80" t="str">
        <x:f>IF(B10="","",B10&amp;"-"&amp;TEXT(COUNTIF($B$7:B10,B10),"000"))</x:f>
      </x:c>
      <x:c r="B10" s="53"/>
      <x:c r="C10" s="81" t="str">
        <x:f>IFERROR(INDEX('QS Takeoff'!$A$3:$A$194,MATCH(B10,'QS Takeoff'!$B$3:$B$194,0)),"")</x:f>
      </x:c>
      <x:c r="D10" s="81" t="str">
        <x:f>IFERROR(INDEX('QS Takeoff'!$C$3:$C$194,MATCH(B10,'QS Takeoff'!$B$3:$B$194,0)),"")</x:f>
      </x:c>
      <x:c r="E10" s="81" t="str">
        <x:f>IFERROR(INDEX('QS Takeoff'!$E$3:$E$194,MATCH(B10,'QS Takeoff'!$B$3:$B$194,0)),"")</x:f>
      </x:c>
      <x:c r="F10" s="81" t="str">
        <x:f>IFERROR(INDEX('QS Takeoff'!$D$3:$D$194,MATCH(B10,'QS Takeoff'!$B$3:$B$194,0)),"")</x:f>
      </x:c>
      <x:c r="G10" s="81" t="str">
        <x:f>IFERROR(INDEX('QS Takeoff'!$J$3:$J$194,MATCH(B10,'QS Takeoff'!$B$3:$B$194,0)),"")</x:f>
      </x:c>
      <x:c r="H10" s="53"/>
      <x:c r="I10" s="60"/>
      <x:c r="J10" s="60"/>
      <x:c r="K10" s="82" t="str">
        <x:f t="shared" si="0">IF(OR(B10="",I10="",I10=0),"",E10/I10)</x:f>
      </x:c>
      <x:c r="L10" s="60"/>
      <x:c r="M10" s="82" t="str">
        <x:f t="shared" si="1">IF(L10&gt;0,L10,K10)</x:f>
      </x:c>
      <x:c r="N10" s="53"/>
      <x:c r="O10" s="53"/>
      <x:c r="P10" s="53"/>
      <x:c r="Q10" s="81" t="str">
        <x:f>IFERROR(INDEX('Resource Rate Library'!$C$5:$C$85,MATCH(P10,'Resource Rate Library'!$A$5:$A$85,0)),"")</x:f>
      </x:c>
      <x:c r="R10" s="53"/>
      <x:c r="S10" s="53"/>
      <x:c r="T10" s="81" t="str">
        <x:f>IFERROR(INDEX('Resource Rate Library'!$E$5:$E$85,MATCH(P10,'Resource Rate Library'!$A$5:$A$85,0)),"")</x:f>
      </x:c>
      <x:c r="U10" s="62"/>
      <x:c r="V10" s="62"/>
      <x:c r="W10" s="83" t="n">
        <x:f>IFERROR(INDEX('Resource Rate Library'!$I$5:$I$85,MATCH(P10,'Resource Rate Library'!$A$5:$A$85,0)),0)</x:f>
        <x:v>0</x:v>
      </x:c>
      <x:c r="X10" s="52"/>
      <x:c r="Y10" s="83" t="n">
        <x:f t="shared" si="2">IF(X10&gt;0,X10,W10)</x:f>
        <x:v>0</x:v>
      </x:c>
      <x:c r="Z10" s="83" t="str">
        <x:f t="shared" si="3">IF(B10="","",IF(N10="Time x Count",M10*R10*IF(U10="",1,U10)*Y10,IF(N10="QS Qty x Factor",E10*R10*(1+IF(V10="",0,V10))*Y10,IF(N10="Direct Qty",S10*(1+IF(V10="",0,V10))*Y10,IF(N10="Lump Sum / Quote",S10*Y10,0)))))</x:f>
      </x:c>
      <x:c r="AA10" s="81" t="str">
        <x:f>IFERROR(INDEX('Resource Rate Library'!$N$5:$N$85,MATCH(P10,'Resource Rate Library'!$A$5:$A$85,0)),"")</x:f>
      </x:c>
      <x:c r="AB10" s="53"/>
      <x:c r="AC10" s="59"/>
      <x:c r="AD10" s="81" t="str">
        <x:f>IFERROR(INDEX('Resource Rate Library'!$G$5:$G$85,MATCH(P10,'Resource Rate Library'!$A$5:$A$85,0)),"")</x:f>
      </x:c>
      <x:c r="AE10" s="81" t="str">
        <x:f>IFERROR(INDEX('Resource Rate Library'!$H$5:$H$85,MATCH(P10,'Resource Rate Library'!$A$5:$A$85,0)),"")</x:f>
      </x:c>
      <x:c r="AF10" s="53"/>
      <x:c r="AG10" s="53"/>
      <x:c r="AH10" s="53"/>
      <x:c r="AI10" s="81" t="str">
        <x:f t="shared" si="4">IF(B10="","",IF(AND(P10="",N10&lt;&gt;"Lump Sum / Quote"),"RESOURCE CODE",IF(Y10=0,"RATE MISSING",IF(AND(O10="Plant",AD10="Yes",COUNTIFS($B$7:$B$306,B10,$O$7:$O$306,"Labour",$Q$7:$Q$306,"*Operator*")&gt;0),"OPERATOR DOUBLE-COUNT",IF(AND(O10="Plant",AE10="Yes",COUNTIFS($B$7:$B$306,B10,$Q$7:$Q$306,"*Fuel*")&gt;0),"FUEL DOUBLE-COUNT",IF(AH10&lt;&gt;"Yes","VERIFY","OK"))))))</x:f>
      </x:c>
      <x:c r="AJ10" s="54"/>
      <x:c r="AK10" s="473"/>
      <x:c r="AL10" s="473"/>
      <x:c r="AM10" s="473"/>
      <x:c r="AN10" s="500" t="n">
        <x:f>IF(AND(AK10="Yes",OR(O10="Labour",O10="Plant")),Z10,0)</x:f>
        <x:v>0</x:v>
      </x:c>
    </x:row>
    <x:row r="11" ht="22.049999237060547" customHeight="1">
      <x:c r="A11" s="80" t="str">
        <x:f>IF(B11="","",B11&amp;"-"&amp;TEXT(COUNTIF($B$7:B11,B11),"000"))</x:f>
      </x:c>
      <x:c r="B11" s="53"/>
      <x:c r="C11" s="81" t="str">
        <x:f>IFERROR(INDEX('QS Takeoff'!$A$3:$A$194,MATCH(B11,'QS Takeoff'!$B$3:$B$194,0)),"")</x:f>
      </x:c>
      <x:c r="D11" s="81" t="str">
        <x:f>IFERROR(INDEX('QS Takeoff'!$C$3:$C$194,MATCH(B11,'QS Takeoff'!$B$3:$B$194,0)),"")</x:f>
      </x:c>
      <x:c r="E11" s="81" t="str">
        <x:f>IFERROR(INDEX('QS Takeoff'!$E$3:$E$194,MATCH(B11,'QS Takeoff'!$B$3:$B$194,0)),"")</x:f>
      </x:c>
      <x:c r="F11" s="81" t="str">
        <x:f>IFERROR(INDEX('QS Takeoff'!$D$3:$D$194,MATCH(B11,'QS Takeoff'!$B$3:$B$194,0)),"")</x:f>
      </x:c>
      <x:c r="G11" s="81" t="str">
        <x:f>IFERROR(INDEX('QS Takeoff'!$J$3:$J$194,MATCH(B11,'QS Takeoff'!$B$3:$B$194,0)),"")</x:f>
      </x:c>
      <x:c r="H11" s="53"/>
      <x:c r="I11" s="60"/>
      <x:c r="J11" s="60"/>
      <x:c r="K11" s="82" t="str">
        <x:f t="shared" si="0">IF(OR(B11="",I11="",I11=0),"",E11/I11)</x:f>
      </x:c>
      <x:c r="L11" s="60"/>
      <x:c r="M11" s="82" t="str">
        <x:f t="shared" si="1">IF(L11&gt;0,L11,K11)</x:f>
      </x:c>
      <x:c r="N11" s="53"/>
      <x:c r="O11" s="53"/>
      <x:c r="P11" s="53"/>
      <x:c r="Q11" s="81" t="str">
        <x:f>IFERROR(INDEX('Resource Rate Library'!$C$5:$C$85,MATCH(P11,'Resource Rate Library'!$A$5:$A$85,0)),"")</x:f>
      </x:c>
      <x:c r="R11" s="53"/>
      <x:c r="S11" s="53"/>
      <x:c r="T11" s="81" t="str">
        <x:f>IFERROR(INDEX('Resource Rate Library'!$E$5:$E$85,MATCH(P11,'Resource Rate Library'!$A$5:$A$85,0)),"")</x:f>
      </x:c>
      <x:c r="U11" s="62"/>
      <x:c r="V11" s="62"/>
      <x:c r="W11" s="83" t="n">
        <x:f>IFERROR(INDEX('Resource Rate Library'!$I$5:$I$85,MATCH(P11,'Resource Rate Library'!$A$5:$A$85,0)),0)</x:f>
        <x:v>0</x:v>
      </x:c>
      <x:c r="X11" s="52"/>
      <x:c r="Y11" s="83" t="n">
        <x:f t="shared" si="2">IF(X11&gt;0,X11,W11)</x:f>
        <x:v>0</x:v>
      </x:c>
      <x:c r="Z11" s="83" t="str">
        <x:f t="shared" si="3">IF(B11="","",IF(N11="Time x Count",M11*R11*IF(U11="",1,U11)*Y11,IF(N11="QS Qty x Factor",E11*R11*(1+IF(V11="",0,V11))*Y11,IF(N11="Direct Qty",S11*(1+IF(V11="",0,V11))*Y11,IF(N11="Lump Sum / Quote",S11*Y11,0)))))</x:f>
      </x:c>
      <x:c r="AA11" s="81" t="str">
        <x:f>IFERROR(INDEX('Resource Rate Library'!$N$5:$N$85,MATCH(P11,'Resource Rate Library'!$A$5:$A$85,0)),"")</x:f>
      </x:c>
      <x:c r="AB11" s="53"/>
      <x:c r="AC11" s="59"/>
      <x:c r="AD11" s="81" t="str">
        <x:f>IFERROR(INDEX('Resource Rate Library'!$G$5:$G$85,MATCH(P11,'Resource Rate Library'!$A$5:$A$85,0)),"")</x:f>
      </x:c>
      <x:c r="AE11" s="81" t="str">
        <x:f>IFERROR(INDEX('Resource Rate Library'!$H$5:$H$85,MATCH(P11,'Resource Rate Library'!$A$5:$A$85,0)),"")</x:f>
      </x:c>
      <x:c r="AF11" s="53"/>
      <x:c r="AG11" s="53"/>
      <x:c r="AH11" s="53"/>
      <x:c r="AI11" s="81" t="str">
        <x:f t="shared" si="4">IF(B11="","",IF(AND(P11="",N11&lt;&gt;"Lump Sum / Quote"),"RESOURCE CODE",IF(Y11=0,"RATE MISSING",IF(AND(O11="Plant",AD11="Yes",COUNTIFS($B$7:$B$306,B11,$O$7:$O$306,"Labour",$Q$7:$Q$306,"*Operator*")&gt;0),"OPERATOR DOUBLE-COUNT",IF(AND(O11="Plant",AE11="Yes",COUNTIFS($B$7:$B$306,B11,$Q$7:$Q$306,"*Fuel*")&gt;0),"FUEL DOUBLE-COUNT",IF(AH11&lt;&gt;"Yes","VERIFY","OK"))))))</x:f>
      </x:c>
      <x:c r="AJ11" s="54"/>
      <x:c r="AK11" s="473"/>
      <x:c r="AL11" s="473"/>
      <x:c r="AM11" s="473"/>
      <x:c r="AN11" s="500" t="n">
        <x:f>IF(AND(AK11="Yes",OR(O11="Labour",O11="Plant")),Z11,0)</x:f>
        <x:v>0</x:v>
      </x:c>
    </x:row>
    <x:row r="12" ht="22.049999237060547" customHeight="1">
      <x:c r="A12" s="80" t="str">
        <x:f>IF(B12="","",B12&amp;"-"&amp;TEXT(COUNTIF($B$7:B12,B12),"000"))</x:f>
      </x:c>
      <x:c r="B12" s="53"/>
      <x:c r="C12" s="81" t="str">
        <x:f>IFERROR(INDEX('QS Takeoff'!$A$3:$A$194,MATCH(B12,'QS Takeoff'!$B$3:$B$194,0)),"")</x:f>
      </x:c>
      <x:c r="D12" s="81" t="str">
        <x:f>IFERROR(INDEX('QS Takeoff'!$C$3:$C$194,MATCH(B12,'QS Takeoff'!$B$3:$B$194,0)),"")</x:f>
      </x:c>
      <x:c r="E12" s="81" t="str">
        <x:f>IFERROR(INDEX('QS Takeoff'!$E$3:$E$194,MATCH(B12,'QS Takeoff'!$B$3:$B$194,0)),"")</x:f>
      </x:c>
      <x:c r="F12" s="81" t="str">
        <x:f>IFERROR(INDEX('QS Takeoff'!$D$3:$D$194,MATCH(B12,'QS Takeoff'!$B$3:$B$194,0)),"")</x:f>
      </x:c>
      <x:c r="G12" s="81" t="str">
        <x:f>IFERROR(INDEX('QS Takeoff'!$J$3:$J$194,MATCH(B12,'QS Takeoff'!$B$3:$B$194,0)),"")</x:f>
      </x:c>
      <x:c r="H12" s="53"/>
      <x:c r="I12" s="60"/>
      <x:c r="J12" s="60"/>
      <x:c r="K12" s="82" t="str">
        <x:f t="shared" si="0">IF(OR(B12="",I12="",I12=0),"",E12/I12)</x:f>
      </x:c>
      <x:c r="L12" s="60"/>
      <x:c r="M12" s="82" t="str">
        <x:f t="shared" si="1">IF(L12&gt;0,L12,K12)</x:f>
      </x:c>
      <x:c r="N12" s="53"/>
      <x:c r="O12" s="53"/>
      <x:c r="P12" s="53"/>
      <x:c r="Q12" s="81" t="str">
        <x:f>IFERROR(INDEX('Resource Rate Library'!$C$5:$C$85,MATCH(P12,'Resource Rate Library'!$A$5:$A$85,0)),"")</x:f>
      </x:c>
      <x:c r="R12" s="53"/>
      <x:c r="S12" s="53"/>
      <x:c r="T12" s="81" t="str">
        <x:f>IFERROR(INDEX('Resource Rate Library'!$E$5:$E$85,MATCH(P12,'Resource Rate Library'!$A$5:$A$85,0)),"")</x:f>
      </x:c>
      <x:c r="U12" s="62"/>
      <x:c r="V12" s="62"/>
      <x:c r="W12" s="83" t="n">
        <x:f>IFERROR(INDEX('Resource Rate Library'!$I$5:$I$85,MATCH(P12,'Resource Rate Library'!$A$5:$A$85,0)),0)</x:f>
        <x:v>0</x:v>
      </x:c>
      <x:c r="X12" s="52"/>
      <x:c r="Y12" s="83" t="n">
        <x:f t="shared" si="2">IF(X12&gt;0,X12,W12)</x:f>
        <x:v>0</x:v>
      </x:c>
      <x:c r="Z12" s="83" t="str">
        <x:f t="shared" si="3">IF(B12="","",IF(N12="Time x Count",M12*R12*IF(U12="",1,U12)*Y12,IF(N12="QS Qty x Factor",E12*R12*(1+IF(V12="",0,V12))*Y12,IF(N12="Direct Qty",S12*(1+IF(V12="",0,V12))*Y12,IF(N12="Lump Sum / Quote",S12*Y12,0)))))</x:f>
      </x:c>
      <x:c r="AA12" s="81" t="str">
        <x:f>IFERROR(INDEX('Resource Rate Library'!$N$5:$N$85,MATCH(P12,'Resource Rate Library'!$A$5:$A$85,0)),"")</x:f>
      </x:c>
      <x:c r="AB12" s="53"/>
      <x:c r="AC12" s="59"/>
      <x:c r="AD12" s="81" t="str">
        <x:f>IFERROR(INDEX('Resource Rate Library'!$G$5:$G$85,MATCH(P12,'Resource Rate Library'!$A$5:$A$85,0)),"")</x:f>
      </x:c>
      <x:c r="AE12" s="81" t="str">
        <x:f>IFERROR(INDEX('Resource Rate Library'!$H$5:$H$85,MATCH(P12,'Resource Rate Library'!$A$5:$A$85,0)),"")</x:f>
      </x:c>
      <x:c r="AF12" s="53"/>
      <x:c r="AG12" s="53"/>
      <x:c r="AH12" s="53"/>
      <x:c r="AI12" s="81" t="str">
        <x:f t="shared" si="4">IF(B12="","",IF(AND(P12="",N12&lt;&gt;"Lump Sum / Quote"),"RESOURCE CODE",IF(Y12=0,"RATE MISSING",IF(AND(O12="Plant",AD12="Yes",COUNTIFS($B$7:$B$306,B12,$O$7:$O$306,"Labour",$Q$7:$Q$306,"*Operator*")&gt;0),"OPERATOR DOUBLE-COUNT",IF(AND(O12="Plant",AE12="Yes",COUNTIFS($B$7:$B$306,B12,$Q$7:$Q$306,"*Fuel*")&gt;0),"FUEL DOUBLE-COUNT",IF(AH12&lt;&gt;"Yes","VERIFY","OK"))))))</x:f>
      </x:c>
      <x:c r="AJ12" s="54"/>
      <x:c r="AK12" s="473"/>
      <x:c r="AL12" s="473"/>
      <x:c r="AM12" s="473"/>
      <x:c r="AN12" s="500" t="n">
        <x:f>IF(AND(AK12="Yes",OR(O12="Labour",O12="Plant")),Z12,0)</x:f>
        <x:v>0</x:v>
      </x:c>
    </x:row>
    <x:row r="13" ht="22.049999237060547" customHeight="1">
      <x:c r="A13" s="80" t="str">
        <x:f>IF(B13="","",B13&amp;"-"&amp;TEXT(COUNTIF($B$7:B13,B13),"000"))</x:f>
      </x:c>
      <x:c r="B13" s="53"/>
      <x:c r="C13" s="81" t="str">
        <x:f>IFERROR(INDEX('QS Takeoff'!$A$3:$A$194,MATCH(B13,'QS Takeoff'!$B$3:$B$194,0)),"")</x:f>
      </x:c>
      <x:c r="D13" s="81" t="str">
        <x:f>IFERROR(INDEX('QS Takeoff'!$C$3:$C$194,MATCH(B13,'QS Takeoff'!$B$3:$B$194,0)),"")</x:f>
      </x:c>
      <x:c r="E13" s="81" t="str">
        <x:f>IFERROR(INDEX('QS Takeoff'!$E$3:$E$194,MATCH(B13,'QS Takeoff'!$B$3:$B$194,0)),"")</x:f>
      </x:c>
      <x:c r="F13" s="81" t="str">
        <x:f>IFERROR(INDEX('QS Takeoff'!$D$3:$D$194,MATCH(B13,'QS Takeoff'!$B$3:$B$194,0)),"")</x:f>
      </x:c>
      <x:c r="G13" s="81" t="str">
        <x:f>IFERROR(INDEX('QS Takeoff'!$J$3:$J$194,MATCH(B13,'QS Takeoff'!$B$3:$B$194,0)),"")</x:f>
      </x:c>
      <x:c r="H13" s="53"/>
      <x:c r="I13" s="60"/>
      <x:c r="J13" s="60"/>
      <x:c r="K13" s="82" t="str">
        <x:f t="shared" si="0">IF(OR(B13="",I13="",I13=0),"",E13/I13)</x:f>
      </x:c>
      <x:c r="L13" s="60"/>
      <x:c r="M13" s="82" t="str">
        <x:f t="shared" si="1">IF(L13&gt;0,L13,K13)</x:f>
      </x:c>
      <x:c r="N13" s="53"/>
      <x:c r="O13" s="53"/>
      <x:c r="P13" s="53"/>
      <x:c r="Q13" s="81" t="str">
        <x:f>IFERROR(INDEX('Resource Rate Library'!$C$5:$C$85,MATCH(P13,'Resource Rate Library'!$A$5:$A$85,0)),"")</x:f>
      </x:c>
      <x:c r="R13" s="53"/>
      <x:c r="S13" s="53"/>
      <x:c r="T13" s="81" t="str">
        <x:f>IFERROR(INDEX('Resource Rate Library'!$E$5:$E$85,MATCH(P13,'Resource Rate Library'!$A$5:$A$85,0)),"")</x:f>
      </x:c>
      <x:c r="U13" s="62"/>
      <x:c r="V13" s="62"/>
      <x:c r="W13" s="83" t="n">
        <x:f>IFERROR(INDEX('Resource Rate Library'!$I$5:$I$85,MATCH(P13,'Resource Rate Library'!$A$5:$A$85,0)),0)</x:f>
        <x:v>0</x:v>
      </x:c>
      <x:c r="X13" s="52"/>
      <x:c r="Y13" s="83" t="n">
        <x:f t="shared" si="2">IF(X13&gt;0,X13,W13)</x:f>
        <x:v>0</x:v>
      </x:c>
      <x:c r="Z13" s="83" t="str">
        <x:f t="shared" si="3">IF(B13="","",IF(N13="Time x Count",M13*R13*IF(U13="",1,U13)*Y13,IF(N13="QS Qty x Factor",E13*R13*(1+IF(V13="",0,V13))*Y13,IF(N13="Direct Qty",S13*(1+IF(V13="",0,V13))*Y13,IF(N13="Lump Sum / Quote",S13*Y13,0)))))</x:f>
      </x:c>
      <x:c r="AA13" s="81" t="str">
        <x:f>IFERROR(INDEX('Resource Rate Library'!$N$5:$N$85,MATCH(P13,'Resource Rate Library'!$A$5:$A$85,0)),"")</x:f>
      </x:c>
      <x:c r="AB13" s="53"/>
      <x:c r="AC13" s="59"/>
      <x:c r="AD13" s="81" t="str">
        <x:f>IFERROR(INDEX('Resource Rate Library'!$G$5:$G$85,MATCH(P13,'Resource Rate Library'!$A$5:$A$85,0)),"")</x:f>
      </x:c>
      <x:c r="AE13" s="81" t="str">
        <x:f>IFERROR(INDEX('Resource Rate Library'!$H$5:$H$85,MATCH(P13,'Resource Rate Library'!$A$5:$A$85,0)),"")</x:f>
      </x:c>
      <x:c r="AF13" s="53"/>
      <x:c r="AG13" s="53"/>
      <x:c r="AH13" s="53"/>
      <x:c r="AI13" s="81" t="str">
        <x:f t="shared" si="4">IF(B13="","",IF(AND(P13="",N13&lt;&gt;"Lump Sum / Quote"),"RESOURCE CODE",IF(Y13=0,"RATE MISSING",IF(AND(O13="Plant",AD13="Yes",COUNTIFS($B$7:$B$306,B13,$O$7:$O$306,"Labour",$Q$7:$Q$306,"*Operator*")&gt;0),"OPERATOR DOUBLE-COUNT",IF(AND(O13="Plant",AE13="Yes",COUNTIFS($B$7:$B$306,B13,$Q$7:$Q$306,"*Fuel*")&gt;0),"FUEL DOUBLE-COUNT",IF(AH13&lt;&gt;"Yes","VERIFY","OK"))))))</x:f>
      </x:c>
      <x:c r="AJ13" s="54"/>
      <x:c r="AK13" s="473"/>
      <x:c r="AL13" s="473"/>
      <x:c r="AM13" s="473"/>
      <x:c r="AN13" s="500" t="n">
        <x:f>IF(AND(AK13="Yes",OR(O13="Labour",O13="Plant")),Z13,0)</x:f>
        <x:v>0</x:v>
      </x:c>
    </x:row>
    <x:row r="14" ht="22.049999237060547" customHeight="1">
      <x:c r="A14" s="80" t="str">
        <x:f>IF(B14="","",B14&amp;"-"&amp;TEXT(COUNTIF($B$7:B14,B14),"000"))</x:f>
      </x:c>
      <x:c r="B14" s="53"/>
      <x:c r="C14" s="81" t="str">
        <x:f>IFERROR(INDEX('QS Takeoff'!$A$3:$A$194,MATCH(B14,'QS Takeoff'!$B$3:$B$194,0)),"")</x:f>
      </x:c>
      <x:c r="D14" s="81" t="str">
        <x:f>IFERROR(INDEX('QS Takeoff'!$C$3:$C$194,MATCH(B14,'QS Takeoff'!$B$3:$B$194,0)),"")</x:f>
      </x:c>
      <x:c r="E14" s="81" t="str">
        <x:f>IFERROR(INDEX('QS Takeoff'!$E$3:$E$194,MATCH(B14,'QS Takeoff'!$B$3:$B$194,0)),"")</x:f>
      </x:c>
      <x:c r="F14" s="81" t="str">
        <x:f>IFERROR(INDEX('QS Takeoff'!$D$3:$D$194,MATCH(B14,'QS Takeoff'!$B$3:$B$194,0)),"")</x:f>
      </x:c>
      <x:c r="G14" s="81" t="str">
        <x:f>IFERROR(INDEX('QS Takeoff'!$J$3:$J$194,MATCH(B14,'QS Takeoff'!$B$3:$B$194,0)),"")</x:f>
      </x:c>
      <x:c r="H14" s="53"/>
      <x:c r="I14" s="60"/>
      <x:c r="J14" s="60"/>
      <x:c r="K14" s="82" t="str">
        <x:f t="shared" si="0">IF(OR(B14="",I14="",I14=0),"",E14/I14)</x:f>
      </x:c>
      <x:c r="L14" s="60"/>
      <x:c r="M14" s="82" t="str">
        <x:f t="shared" si="1">IF(L14&gt;0,L14,K14)</x:f>
      </x:c>
      <x:c r="N14" s="53"/>
      <x:c r="O14" s="53"/>
      <x:c r="P14" s="53"/>
      <x:c r="Q14" s="81" t="str">
        <x:f>IFERROR(INDEX('Resource Rate Library'!$C$5:$C$85,MATCH(P14,'Resource Rate Library'!$A$5:$A$85,0)),"")</x:f>
      </x:c>
      <x:c r="R14" s="53"/>
      <x:c r="S14" s="53"/>
      <x:c r="T14" s="81" t="str">
        <x:f>IFERROR(INDEX('Resource Rate Library'!$E$5:$E$85,MATCH(P14,'Resource Rate Library'!$A$5:$A$85,0)),"")</x:f>
      </x:c>
      <x:c r="U14" s="62"/>
      <x:c r="V14" s="62"/>
      <x:c r="W14" s="83" t="n">
        <x:f>IFERROR(INDEX('Resource Rate Library'!$I$5:$I$85,MATCH(P14,'Resource Rate Library'!$A$5:$A$85,0)),0)</x:f>
        <x:v>0</x:v>
      </x:c>
      <x:c r="X14" s="52"/>
      <x:c r="Y14" s="83" t="n">
        <x:f t="shared" si="2">IF(X14&gt;0,X14,W14)</x:f>
        <x:v>0</x:v>
      </x:c>
      <x:c r="Z14" s="83" t="str">
        <x:f t="shared" si="3">IF(B14="","",IF(N14="Time x Count",M14*R14*IF(U14="",1,U14)*Y14,IF(N14="QS Qty x Factor",E14*R14*(1+IF(V14="",0,V14))*Y14,IF(N14="Direct Qty",S14*(1+IF(V14="",0,V14))*Y14,IF(N14="Lump Sum / Quote",S14*Y14,0)))))</x:f>
      </x:c>
      <x:c r="AA14" s="81" t="str">
        <x:f>IFERROR(INDEX('Resource Rate Library'!$N$5:$N$85,MATCH(P14,'Resource Rate Library'!$A$5:$A$85,0)),"")</x:f>
      </x:c>
      <x:c r="AB14" s="53"/>
      <x:c r="AC14" s="59"/>
      <x:c r="AD14" s="81" t="str">
        <x:f>IFERROR(INDEX('Resource Rate Library'!$G$5:$G$85,MATCH(P14,'Resource Rate Library'!$A$5:$A$85,0)),"")</x:f>
      </x:c>
      <x:c r="AE14" s="81" t="str">
        <x:f>IFERROR(INDEX('Resource Rate Library'!$H$5:$H$85,MATCH(P14,'Resource Rate Library'!$A$5:$A$85,0)),"")</x:f>
      </x:c>
      <x:c r="AF14" s="53"/>
      <x:c r="AG14" s="53"/>
      <x:c r="AH14" s="53"/>
      <x:c r="AI14" s="81" t="str">
        <x:f t="shared" si="4">IF(B14="","",IF(AND(P14="",N14&lt;&gt;"Lump Sum / Quote"),"RESOURCE CODE",IF(Y14=0,"RATE MISSING",IF(AND(O14="Plant",AD14="Yes",COUNTIFS($B$7:$B$306,B14,$O$7:$O$306,"Labour",$Q$7:$Q$306,"*Operator*")&gt;0),"OPERATOR DOUBLE-COUNT",IF(AND(O14="Plant",AE14="Yes",COUNTIFS($B$7:$B$306,B14,$Q$7:$Q$306,"*Fuel*")&gt;0),"FUEL DOUBLE-COUNT",IF(AH14&lt;&gt;"Yes","VERIFY","OK"))))))</x:f>
      </x:c>
      <x:c r="AJ14" s="54"/>
      <x:c r="AK14" s="473"/>
      <x:c r="AL14" s="473"/>
      <x:c r="AM14" s="473"/>
      <x:c r="AN14" s="500" t="n">
        <x:f>IF(AND(AK14="Yes",OR(O14="Labour",O14="Plant")),Z14,0)</x:f>
        <x:v>0</x:v>
      </x:c>
    </x:row>
    <x:row r="15" ht="22.049999237060547" customHeight="1">
      <x:c r="A15" s="80" t="str">
        <x:f>IF(B15="","",B15&amp;"-"&amp;TEXT(COUNTIF($B$7:B15,B15),"000"))</x:f>
      </x:c>
      <x:c r="B15" s="53"/>
      <x:c r="C15" s="81" t="str">
        <x:f>IFERROR(INDEX('QS Takeoff'!$A$3:$A$194,MATCH(B15,'QS Takeoff'!$B$3:$B$194,0)),"")</x:f>
      </x:c>
      <x:c r="D15" s="81" t="str">
        <x:f>IFERROR(INDEX('QS Takeoff'!$C$3:$C$194,MATCH(B15,'QS Takeoff'!$B$3:$B$194,0)),"")</x:f>
      </x:c>
      <x:c r="E15" s="81" t="str">
        <x:f>IFERROR(INDEX('QS Takeoff'!$E$3:$E$194,MATCH(B15,'QS Takeoff'!$B$3:$B$194,0)),"")</x:f>
      </x:c>
      <x:c r="F15" s="81" t="str">
        <x:f>IFERROR(INDEX('QS Takeoff'!$D$3:$D$194,MATCH(B15,'QS Takeoff'!$B$3:$B$194,0)),"")</x:f>
      </x:c>
      <x:c r="G15" s="81" t="str">
        <x:f>IFERROR(INDEX('QS Takeoff'!$J$3:$J$194,MATCH(B15,'QS Takeoff'!$B$3:$B$194,0)),"")</x:f>
      </x:c>
      <x:c r="H15" s="53"/>
      <x:c r="I15" s="60"/>
      <x:c r="J15" s="60"/>
      <x:c r="K15" s="82" t="str">
        <x:f t="shared" si="0">IF(OR(B15="",I15="",I15=0),"",E15/I15)</x:f>
      </x:c>
      <x:c r="L15" s="60"/>
      <x:c r="M15" s="82" t="str">
        <x:f t="shared" si="1">IF(L15&gt;0,L15,K15)</x:f>
      </x:c>
      <x:c r="N15" s="53"/>
      <x:c r="O15" s="53"/>
      <x:c r="P15" s="53"/>
      <x:c r="Q15" s="81" t="str">
        <x:f>IFERROR(INDEX('Resource Rate Library'!$C$5:$C$85,MATCH(P15,'Resource Rate Library'!$A$5:$A$85,0)),"")</x:f>
      </x:c>
      <x:c r="R15" s="53"/>
      <x:c r="S15" s="53"/>
      <x:c r="T15" s="81" t="str">
        <x:f>IFERROR(INDEX('Resource Rate Library'!$E$5:$E$85,MATCH(P15,'Resource Rate Library'!$A$5:$A$85,0)),"")</x:f>
      </x:c>
      <x:c r="U15" s="62"/>
      <x:c r="V15" s="62"/>
      <x:c r="W15" s="83" t="n">
        <x:f>IFERROR(INDEX('Resource Rate Library'!$I$5:$I$85,MATCH(P15,'Resource Rate Library'!$A$5:$A$85,0)),0)</x:f>
        <x:v>0</x:v>
      </x:c>
      <x:c r="X15" s="52"/>
      <x:c r="Y15" s="83" t="n">
        <x:f t="shared" si="2">IF(X15&gt;0,X15,W15)</x:f>
        <x:v>0</x:v>
      </x:c>
      <x:c r="Z15" s="83" t="str">
        <x:f t="shared" si="3">IF(B15="","",IF(N15="Time x Count",M15*R15*IF(U15="",1,U15)*Y15,IF(N15="QS Qty x Factor",E15*R15*(1+IF(V15="",0,V15))*Y15,IF(N15="Direct Qty",S15*(1+IF(V15="",0,V15))*Y15,IF(N15="Lump Sum / Quote",S15*Y15,0)))))</x:f>
      </x:c>
      <x:c r="AA15" s="81" t="str">
        <x:f>IFERROR(INDEX('Resource Rate Library'!$N$5:$N$85,MATCH(P15,'Resource Rate Library'!$A$5:$A$85,0)),"")</x:f>
      </x:c>
      <x:c r="AB15" s="53"/>
      <x:c r="AC15" s="59"/>
      <x:c r="AD15" s="81" t="str">
        <x:f>IFERROR(INDEX('Resource Rate Library'!$G$5:$G$85,MATCH(P15,'Resource Rate Library'!$A$5:$A$85,0)),"")</x:f>
      </x:c>
      <x:c r="AE15" s="81" t="str">
        <x:f>IFERROR(INDEX('Resource Rate Library'!$H$5:$H$85,MATCH(P15,'Resource Rate Library'!$A$5:$A$85,0)),"")</x:f>
      </x:c>
      <x:c r="AF15" s="53"/>
      <x:c r="AG15" s="53"/>
      <x:c r="AH15" s="53"/>
      <x:c r="AI15" s="81" t="str">
        <x:f t="shared" si="4">IF(B15="","",IF(AND(P15="",N15&lt;&gt;"Lump Sum / Quote"),"RESOURCE CODE",IF(Y15=0,"RATE MISSING",IF(AND(O15="Plant",AD15="Yes",COUNTIFS($B$7:$B$306,B15,$O$7:$O$306,"Labour",$Q$7:$Q$306,"*Operator*")&gt;0),"OPERATOR DOUBLE-COUNT",IF(AND(O15="Plant",AE15="Yes",COUNTIFS($B$7:$B$306,B15,$Q$7:$Q$306,"*Fuel*")&gt;0),"FUEL DOUBLE-COUNT",IF(AH15&lt;&gt;"Yes","VERIFY","OK"))))))</x:f>
      </x:c>
      <x:c r="AJ15" s="54"/>
      <x:c r="AK15" s="473"/>
      <x:c r="AL15" s="473"/>
      <x:c r="AM15" s="473"/>
      <x:c r="AN15" s="500" t="n">
        <x:f>IF(AND(AK15="Yes",OR(O15="Labour",O15="Plant")),Z15,0)</x:f>
        <x:v>0</x:v>
      </x:c>
    </x:row>
    <x:row r="16" ht="22.049999237060547" customHeight="1">
      <x:c r="A16" s="80" t="str">
        <x:f>IF(B16="","",B16&amp;"-"&amp;TEXT(COUNTIF($B$7:B16,B16),"000"))</x:f>
      </x:c>
      <x:c r="B16" s="53"/>
      <x:c r="C16" s="81" t="str">
        <x:f>IFERROR(INDEX('QS Takeoff'!$A$3:$A$194,MATCH(B16,'QS Takeoff'!$B$3:$B$194,0)),"")</x:f>
      </x:c>
      <x:c r="D16" s="81" t="str">
        <x:f>IFERROR(INDEX('QS Takeoff'!$C$3:$C$194,MATCH(B16,'QS Takeoff'!$B$3:$B$194,0)),"")</x:f>
      </x:c>
      <x:c r="E16" s="81" t="str">
        <x:f>IFERROR(INDEX('QS Takeoff'!$E$3:$E$194,MATCH(B16,'QS Takeoff'!$B$3:$B$194,0)),"")</x:f>
      </x:c>
      <x:c r="F16" s="81" t="str">
        <x:f>IFERROR(INDEX('QS Takeoff'!$D$3:$D$194,MATCH(B16,'QS Takeoff'!$B$3:$B$194,0)),"")</x:f>
      </x:c>
      <x:c r="G16" s="81" t="str">
        <x:f>IFERROR(INDEX('QS Takeoff'!$J$3:$J$194,MATCH(B16,'QS Takeoff'!$B$3:$B$194,0)),"")</x:f>
      </x:c>
      <x:c r="H16" s="53"/>
      <x:c r="I16" s="60"/>
      <x:c r="J16" s="60"/>
      <x:c r="K16" s="82" t="str">
        <x:f t="shared" si="0">IF(OR(B16="",I16="",I16=0),"",E16/I16)</x:f>
      </x:c>
      <x:c r="L16" s="60"/>
      <x:c r="M16" s="82" t="str">
        <x:f t="shared" si="1">IF(L16&gt;0,L16,K16)</x:f>
      </x:c>
      <x:c r="N16" s="53"/>
      <x:c r="O16" s="53"/>
      <x:c r="P16" s="53"/>
      <x:c r="Q16" s="81" t="str">
        <x:f>IFERROR(INDEX('Resource Rate Library'!$C$5:$C$85,MATCH(P16,'Resource Rate Library'!$A$5:$A$85,0)),"")</x:f>
      </x:c>
      <x:c r="R16" s="53"/>
      <x:c r="S16" s="53"/>
      <x:c r="T16" s="81" t="str">
        <x:f>IFERROR(INDEX('Resource Rate Library'!$E$5:$E$85,MATCH(P16,'Resource Rate Library'!$A$5:$A$85,0)),"")</x:f>
      </x:c>
      <x:c r="U16" s="62"/>
      <x:c r="V16" s="62"/>
      <x:c r="W16" s="83" t="n">
        <x:f>IFERROR(INDEX('Resource Rate Library'!$I$5:$I$85,MATCH(P16,'Resource Rate Library'!$A$5:$A$85,0)),0)</x:f>
        <x:v>0</x:v>
      </x:c>
      <x:c r="X16" s="52"/>
      <x:c r="Y16" s="83" t="n">
        <x:f t="shared" si="2">IF(X16&gt;0,X16,W16)</x:f>
        <x:v>0</x:v>
      </x:c>
      <x:c r="Z16" s="83" t="str">
        <x:f t="shared" si="3">IF(B16="","",IF(N16="Time x Count",M16*R16*IF(U16="",1,U16)*Y16,IF(N16="QS Qty x Factor",E16*R16*(1+IF(V16="",0,V16))*Y16,IF(N16="Direct Qty",S16*(1+IF(V16="",0,V16))*Y16,IF(N16="Lump Sum / Quote",S16*Y16,0)))))</x:f>
      </x:c>
      <x:c r="AA16" s="81" t="str">
        <x:f>IFERROR(INDEX('Resource Rate Library'!$N$5:$N$85,MATCH(P16,'Resource Rate Library'!$A$5:$A$85,0)),"")</x:f>
      </x:c>
      <x:c r="AB16" s="53"/>
      <x:c r="AC16" s="59"/>
      <x:c r="AD16" s="81" t="str">
        <x:f>IFERROR(INDEX('Resource Rate Library'!$G$5:$G$85,MATCH(P16,'Resource Rate Library'!$A$5:$A$85,0)),"")</x:f>
      </x:c>
      <x:c r="AE16" s="81" t="str">
        <x:f>IFERROR(INDEX('Resource Rate Library'!$H$5:$H$85,MATCH(P16,'Resource Rate Library'!$A$5:$A$85,0)),"")</x:f>
      </x:c>
      <x:c r="AF16" s="53"/>
      <x:c r="AG16" s="53"/>
      <x:c r="AH16" s="53"/>
      <x:c r="AI16" s="81" t="str">
        <x:f t="shared" si="4">IF(B16="","",IF(AND(P16="",N16&lt;&gt;"Lump Sum / Quote"),"RESOURCE CODE",IF(Y16=0,"RATE MISSING",IF(AND(O16="Plant",AD16="Yes",COUNTIFS($B$7:$B$306,B16,$O$7:$O$306,"Labour",$Q$7:$Q$306,"*Operator*")&gt;0),"OPERATOR DOUBLE-COUNT",IF(AND(O16="Plant",AE16="Yes",COUNTIFS($B$7:$B$306,B16,$Q$7:$Q$306,"*Fuel*")&gt;0),"FUEL DOUBLE-COUNT",IF(AH16&lt;&gt;"Yes","VERIFY","OK"))))))</x:f>
      </x:c>
      <x:c r="AJ16" s="54"/>
      <x:c r="AK16" s="473"/>
      <x:c r="AL16" s="473"/>
      <x:c r="AM16" s="473"/>
      <x:c r="AN16" s="500" t="n">
        <x:f>IF(AND(AK16="Yes",OR(O16="Labour",O16="Plant")),Z16,0)</x:f>
        <x:v>0</x:v>
      </x:c>
    </x:row>
    <x:row r="17" ht="22.049999237060547" customHeight="1">
      <x:c r="A17" s="80" t="str">
        <x:f>IF(B17="","",B17&amp;"-"&amp;TEXT(COUNTIF($B$7:B17,B17),"000"))</x:f>
      </x:c>
      <x:c r="B17" s="53"/>
      <x:c r="C17" s="81" t="str">
        <x:f>IFERROR(INDEX('QS Takeoff'!$A$3:$A$194,MATCH(B17,'QS Takeoff'!$B$3:$B$194,0)),"")</x:f>
      </x:c>
      <x:c r="D17" s="81" t="str">
        <x:f>IFERROR(INDEX('QS Takeoff'!$C$3:$C$194,MATCH(B17,'QS Takeoff'!$B$3:$B$194,0)),"")</x:f>
      </x:c>
      <x:c r="E17" s="81" t="str">
        <x:f>IFERROR(INDEX('QS Takeoff'!$E$3:$E$194,MATCH(B17,'QS Takeoff'!$B$3:$B$194,0)),"")</x:f>
      </x:c>
      <x:c r="F17" s="81" t="str">
        <x:f>IFERROR(INDEX('QS Takeoff'!$D$3:$D$194,MATCH(B17,'QS Takeoff'!$B$3:$B$194,0)),"")</x:f>
      </x:c>
      <x:c r="G17" s="81" t="str">
        <x:f>IFERROR(INDEX('QS Takeoff'!$J$3:$J$194,MATCH(B17,'QS Takeoff'!$B$3:$B$194,0)),"")</x:f>
      </x:c>
      <x:c r="H17" s="53"/>
      <x:c r="I17" s="60"/>
      <x:c r="J17" s="60"/>
      <x:c r="K17" s="82" t="str">
        <x:f t="shared" si="0">IF(OR(B17="",I17="",I17=0),"",E17/I17)</x:f>
      </x:c>
      <x:c r="L17" s="60"/>
      <x:c r="M17" s="82" t="str">
        <x:f t="shared" si="1">IF(L17&gt;0,L17,K17)</x:f>
      </x:c>
      <x:c r="N17" s="53"/>
      <x:c r="O17" s="53"/>
      <x:c r="P17" s="53"/>
      <x:c r="Q17" s="81" t="str">
        <x:f>IFERROR(INDEX('Resource Rate Library'!$C$5:$C$85,MATCH(P17,'Resource Rate Library'!$A$5:$A$85,0)),"")</x:f>
      </x:c>
      <x:c r="R17" s="53"/>
      <x:c r="S17" s="53"/>
      <x:c r="T17" s="81" t="str">
        <x:f>IFERROR(INDEX('Resource Rate Library'!$E$5:$E$85,MATCH(P17,'Resource Rate Library'!$A$5:$A$85,0)),"")</x:f>
      </x:c>
      <x:c r="U17" s="62"/>
      <x:c r="V17" s="62"/>
      <x:c r="W17" s="83" t="n">
        <x:f>IFERROR(INDEX('Resource Rate Library'!$I$5:$I$85,MATCH(P17,'Resource Rate Library'!$A$5:$A$85,0)),0)</x:f>
        <x:v>0</x:v>
      </x:c>
      <x:c r="X17" s="52"/>
      <x:c r="Y17" s="83" t="n">
        <x:f t="shared" si="2">IF(X17&gt;0,X17,W17)</x:f>
        <x:v>0</x:v>
      </x:c>
      <x:c r="Z17" s="83" t="str">
        <x:f t="shared" si="3">IF(B17="","",IF(N17="Time x Count",M17*R17*IF(U17="",1,U17)*Y17,IF(N17="QS Qty x Factor",E17*R17*(1+IF(V17="",0,V17))*Y17,IF(N17="Direct Qty",S17*(1+IF(V17="",0,V17))*Y17,IF(N17="Lump Sum / Quote",S17*Y17,0)))))</x:f>
      </x:c>
      <x:c r="AA17" s="81" t="str">
        <x:f>IFERROR(INDEX('Resource Rate Library'!$N$5:$N$85,MATCH(P17,'Resource Rate Library'!$A$5:$A$85,0)),"")</x:f>
      </x:c>
      <x:c r="AB17" s="53"/>
      <x:c r="AC17" s="59"/>
      <x:c r="AD17" s="81" t="str">
        <x:f>IFERROR(INDEX('Resource Rate Library'!$G$5:$G$85,MATCH(P17,'Resource Rate Library'!$A$5:$A$85,0)),"")</x:f>
      </x:c>
      <x:c r="AE17" s="81" t="str">
        <x:f>IFERROR(INDEX('Resource Rate Library'!$H$5:$H$85,MATCH(P17,'Resource Rate Library'!$A$5:$A$85,0)),"")</x:f>
      </x:c>
      <x:c r="AF17" s="53"/>
      <x:c r="AG17" s="53"/>
      <x:c r="AH17" s="53"/>
      <x:c r="AI17" s="81" t="str">
        <x:f t="shared" si="4">IF(B17="","",IF(AND(P17="",N17&lt;&gt;"Lump Sum / Quote"),"RESOURCE CODE",IF(Y17=0,"RATE MISSING",IF(AND(O17="Plant",AD17="Yes",COUNTIFS($B$7:$B$306,B17,$O$7:$O$306,"Labour",$Q$7:$Q$306,"*Operator*")&gt;0),"OPERATOR DOUBLE-COUNT",IF(AND(O17="Plant",AE17="Yes",COUNTIFS($B$7:$B$306,B17,$Q$7:$Q$306,"*Fuel*")&gt;0),"FUEL DOUBLE-COUNT",IF(AH17&lt;&gt;"Yes","VERIFY","OK"))))))</x:f>
      </x:c>
      <x:c r="AJ17" s="54"/>
      <x:c r="AK17" s="473"/>
      <x:c r="AL17" s="473"/>
      <x:c r="AM17" s="473"/>
      <x:c r="AN17" s="500" t="n">
        <x:f>IF(AND(AK17="Yes",OR(O17="Labour",O17="Plant")),Z17,0)</x:f>
        <x:v>0</x:v>
      </x:c>
    </x:row>
    <x:row r="18" ht="22.049999237060547" customHeight="1">
      <x:c r="A18" s="80" t="str">
        <x:f>IF(B18="","",B18&amp;"-"&amp;TEXT(COUNTIF($B$7:B18,B18),"000"))</x:f>
      </x:c>
      <x:c r="B18" s="53"/>
      <x:c r="C18" s="81" t="str">
        <x:f>IFERROR(INDEX('QS Takeoff'!$A$3:$A$194,MATCH(B18,'QS Takeoff'!$B$3:$B$194,0)),"")</x:f>
      </x:c>
      <x:c r="D18" s="81" t="str">
        <x:f>IFERROR(INDEX('QS Takeoff'!$C$3:$C$194,MATCH(B18,'QS Takeoff'!$B$3:$B$194,0)),"")</x:f>
      </x:c>
      <x:c r="E18" s="81" t="str">
        <x:f>IFERROR(INDEX('QS Takeoff'!$E$3:$E$194,MATCH(B18,'QS Takeoff'!$B$3:$B$194,0)),"")</x:f>
      </x:c>
      <x:c r="F18" s="81" t="str">
        <x:f>IFERROR(INDEX('QS Takeoff'!$D$3:$D$194,MATCH(B18,'QS Takeoff'!$B$3:$B$194,0)),"")</x:f>
      </x:c>
      <x:c r="G18" s="81" t="str">
        <x:f>IFERROR(INDEX('QS Takeoff'!$J$3:$J$194,MATCH(B18,'QS Takeoff'!$B$3:$B$194,0)),"")</x:f>
      </x:c>
      <x:c r="H18" s="53"/>
      <x:c r="I18" s="60"/>
      <x:c r="J18" s="60"/>
      <x:c r="K18" s="82" t="str">
        <x:f t="shared" si="0">IF(OR(B18="",I18="",I18=0),"",E18/I18)</x:f>
      </x:c>
      <x:c r="L18" s="60"/>
      <x:c r="M18" s="82" t="str">
        <x:f t="shared" si="1">IF(L18&gt;0,L18,K18)</x:f>
      </x:c>
      <x:c r="N18" s="53"/>
      <x:c r="O18" s="53"/>
      <x:c r="P18" s="53"/>
      <x:c r="Q18" s="81" t="str">
        <x:f>IFERROR(INDEX('Resource Rate Library'!$C$5:$C$85,MATCH(P18,'Resource Rate Library'!$A$5:$A$85,0)),"")</x:f>
      </x:c>
      <x:c r="R18" s="53"/>
      <x:c r="S18" s="53"/>
      <x:c r="T18" s="81" t="str">
        <x:f>IFERROR(INDEX('Resource Rate Library'!$E$5:$E$85,MATCH(P18,'Resource Rate Library'!$A$5:$A$85,0)),"")</x:f>
      </x:c>
      <x:c r="U18" s="62"/>
      <x:c r="V18" s="62"/>
      <x:c r="W18" s="83" t="n">
        <x:f>IFERROR(INDEX('Resource Rate Library'!$I$5:$I$85,MATCH(P18,'Resource Rate Library'!$A$5:$A$85,0)),0)</x:f>
        <x:v>0</x:v>
      </x:c>
      <x:c r="X18" s="52"/>
      <x:c r="Y18" s="83" t="n">
        <x:f t="shared" si="2">IF(X18&gt;0,X18,W18)</x:f>
        <x:v>0</x:v>
      </x:c>
      <x:c r="Z18" s="83" t="str">
        <x:f t="shared" si="3">IF(B18="","",IF(N18="Time x Count",M18*R18*IF(U18="",1,U18)*Y18,IF(N18="QS Qty x Factor",E18*R18*(1+IF(V18="",0,V18))*Y18,IF(N18="Direct Qty",S18*(1+IF(V18="",0,V18))*Y18,IF(N18="Lump Sum / Quote",S18*Y18,0)))))</x:f>
      </x:c>
      <x:c r="AA18" s="81" t="str">
        <x:f>IFERROR(INDEX('Resource Rate Library'!$N$5:$N$85,MATCH(P18,'Resource Rate Library'!$A$5:$A$85,0)),"")</x:f>
      </x:c>
      <x:c r="AB18" s="53"/>
      <x:c r="AC18" s="59"/>
      <x:c r="AD18" s="81" t="str">
        <x:f>IFERROR(INDEX('Resource Rate Library'!$G$5:$G$85,MATCH(P18,'Resource Rate Library'!$A$5:$A$85,0)),"")</x:f>
      </x:c>
      <x:c r="AE18" s="81" t="str">
        <x:f>IFERROR(INDEX('Resource Rate Library'!$H$5:$H$85,MATCH(P18,'Resource Rate Library'!$A$5:$A$85,0)),"")</x:f>
      </x:c>
      <x:c r="AF18" s="53"/>
      <x:c r="AG18" s="53"/>
      <x:c r="AH18" s="53"/>
      <x:c r="AI18" s="81" t="str">
        <x:f t="shared" si="4">IF(B18="","",IF(AND(P18="",N18&lt;&gt;"Lump Sum / Quote"),"RESOURCE CODE",IF(Y18=0,"RATE MISSING",IF(AND(O18="Plant",AD18="Yes",COUNTIFS($B$7:$B$306,B18,$O$7:$O$306,"Labour",$Q$7:$Q$306,"*Operator*")&gt;0),"OPERATOR DOUBLE-COUNT",IF(AND(O18="Plant",AE18="Yes",COUNTIFS($B$7:$B$306,B18,$Q$7:$Q$306,"*Fuel*")&gt;0),"FUEL DOUBLE-COUNT",IF(AH18&lt;&gt;"Yes","VERIFY","OK"))))))</x:f>
      </x:c>
      <x:c r="AJ18" s="54"/>
      <x:c r="AK18" s="473"/>
      <x:c r="AL18" s="473"/>
      <x:c r="AM18" s="473"/>
      <x:c r="AN18" s="500" t="n">
        <x:f>IF(AND(AK18="Yes",OR(O18="Labour",O18="Plant")),Z18,0)</x:f>
        <x:v>0</x:v>
      </x:c>
    </x:row>
    <x:row r="19" ht="22.049999237060547" customHeight="1">
      <x:c r="A19" s="80" t="str">
        <x:f>IF(B19="","",B19&amp;"-"&amp;TEXT(COUNTIF($B$7:B19,B19),"000"))</x:f>
      </x:c>
      <x:c r="B19" s="53"/>
      <x:c r="C19" s="81" t="str">
        <x:f>IFERROR(INDEX('QS Takeoff'!$A$3:$A$194,MATCH(B19,'QS Takeoff'!$B$3:$B$194,0)),"")</x:f>
      </x:c>
      <x:c r="D19" s="81" t="str">
        <x:f>IFERROR(INDEX('QS Takeoff'!$C$3:$C$194,MATCH(B19,'QS Takeoff'!$B$3:$B$194,0)),"")</x:f>
      </x:c>
      <x:c r="E19" s="81" t="str">
        <x:f>IFERROR(INDEX('QS Takeoff'!$E$3:$E$194,MATCH(B19,'QS Takeoff'!$B$3:$B$194,0)),"")</x:f>
      </x:c>
      <x:c r="F19" s="81" t="str">
        <x:f>IFERROR(INDEX('QS Takeoff'!$D$3:$D$194,MATCH(B19,'QS Takeoff'!$B$3:$B$194,0)),"")</x:f>
      </x:c>
      <x:c r="G19" s="81" t="str">
        <x:f>IFERROR(INDEX('QS Takeoff'!$J$3:$J$194,MATCH(B19,'QS Takeoff'!$B$3:$B$194,0)),"")</x:f>
      </x:c>
      <x:c r="H19" s="53"/>
      <x:c r="I19" s="60"/>
      <x:c r="J19" s="60"/>
      <x:c r="K19" s="82" t="str">
        <x:f t="shared" si="0">IF(OR(B19="",I19="",I19=0),"",E19/I19)</x:f>
      </x:c>
      <x:c r="L19" s="60"/>
      <x:c r="M19" s="82" t="str">
        <x:f t="shared" si="1">IF(L19&gt;0,L19,K19)</x:f>
      </x:c>
      <x:c r="N19" s="53"/>
      <x:c r="O19" s="53"/>
      <x:c r="P19" s="53"/>
      <x:c r="Q19" s="81" t="str">
        <x:f>IFERROR(INDEX('Resource Rate Library'!$C$5:$C$85,MATCH(P19,'Resource Rate Library'!$A$5:$A$85,0)),"")</x:f>
      </x:c>
      <x:c r="R19" s="53"/>
      <x:c r="S19" s="53"/>
      <x:c r="T19" s="81" t="str">
        <x:f>IFERROR(INDEX('Resource Rate Library'!$E$5:$E$85,MATCH(P19,'Resource Rate Library'!$A$5:$A$85,0)),"")</x:f>
      </x:c>
      <x:c r="U19" s="62"/>
      <x:c r="V19" s="62"/>
      <x:c r="W19" s="83" t="n">
        <x:f>IFERROR(INDEX('Resource Rate Library'!$I$5:$I$85,MATCH(P19,'Resource Rate Library'!$A$5:$A$85,0)),0)</x:f>
        <x:v>0</x:v>
      </x:c>
      <x:c r="X19" s="52"/>
      <x:c r="Y19" s="83" t="n">
        <x:f t="shared" si="2">IF(X19&gt;0,X19,W19)</x:f>
        <x:v>0</x:v>
      </x:c>
      <x:c r="Z19" s="83" t="str">
        <x:f t="shared" si="3">IF(B19="","",IF(N19="Time x Count",M19*R19*IF(U19="",1,U19)*Y19,IF(N19="QS Qty x Factor",E19*R19*(1+IF(V19="",0,V19))*Y19,IF(N19="Direct Qty",S19*(1+IF(V19="",0,V19))*Y19,IF(N19="Lump Sum / Quote",S19*Y19,0)))))</x:f>
      </x:c>
      <x:c r="AA19" s="81" t="str">
        <x:f>IFERROR(INDEX('Resource Rate Library'!$N$5:$N$85,MATCH(P19,'Resource Rate Library'!$A$5:$A$85,0)),"")</x:f>
      </x:c>
      <x:c r="AB19" s="53"/>
      <x:c r="AC19" s="59"/>
      <x:c r="AD19" s="81" t="str">
        <x:f>IFERROR(INDEX('Resource Rate Library'!$G$5:$G$85,MATCH(P19,'Resource Rate Library'!$A$5:$A$85,0)),"")</x:f>
      </x:c>
      <x:c r="AE19" s="81" t="str">
        <x:f>IFERROR(INDEX('Resource Rate Library'!$H$5:$H$85,MATCH(P19,'Resource Rate Library'!$A$5:$A$85,0)),"")</x:f>
      </x:c>
      <x:c r="AF19" s="53"/>
      <x:c r="AG19" s="53"/>
      <x:c r="AH19" s="53"/>
      <x:c r="AI19" s="81" t="str">
        <x:f t="shared" si="4">IF(B19="","",IF(AND(P19="",N19&lt;&gt;"Lump Sum / Quote"),"RESOURCE CODE",IF(Y19=0,"RATE MISSING",IF(AND(O19="Plant",AD19="Yes",COUNTIFS($B$7:$B$306,B19,$O$7:$O$306,"Labour",$Q$7:$Q$306,"*Operator*")&gt;0),"OPERATOR DOUBLE-COUNT",IF(AND(O19="Plant",AE19="Yes",COUNTIFS($B$7:$B$306,B19,$Q$7:$Q$306,"*Fuel*")&gt;0),"FUEL DOUBLE-COUNT",IF(AH19&lt;&gt;"Yes","VERIFY","OK"))))))</x:f>
      </x:c>
      <x:c r="AJ19" s="54"/>
      <x:c r="AK19" s="473"/>
      <x:c r="AL19" s="473"/>
      <x:c r="AM19" s="473"/>
      <x:c r="AN19" s="500" t="n">
        <x:f>IF(AND(AK19="Yes",OR(O19="Labour",O19="Plant")),Z19,0)</x:f>
        <x:v>0</x:v>
      </x:c>
    </x:row>
    <x:row r="20" ht="22.049999237060547" customHeight="1">
      <x:c r="A20" s="80" t="str">
        <x:f>IF(B20="","",B20&amp;"-"&amp;TEXT(COUNTIF($B$7:B20,B20),"000"))</x:f>
      </x:c>
      <x:c r="B20" s="53"/>
      <x:c r="C20" s="81" t="str">
        <x:f>IFERROR(INDEX('QS Takeoff'!$A$3:$A$194,MATCH(B20,'QS Takeoff'!$B$3:$B$194,0)),"")</x:f>
      </x:c>
      <x:c r="D20" s="81" t="str">
        <x:f>IFERROR(INDEX('QS Takeoff'!$C$3:$C$194,MATCH(B20,'QS Takeoff'!$B$3:$B$194,0)),"")</x:f>
      </x:c>
      <x:c r="E20" s="81" t="str">
        <x:f>IFERROR(INDEX('QS Takeoff'!$E$3:$E$194,MATCH(B20,'QS Takeoff'!$B$3:$B$194,0)),"")</x:f>
      </x:c>
      <x:c r="F20" s="81" t="str">
        <x:f>IFERROR(INDEX('QS Takeoff'!$D$3:$D$194,MATCH(B20,'QS Takeoff'!$B$3:$B$194,0)),"")</x:f>
      </x:c>
      <x:c r="G20" s="81" t="str">
        <x:f>IFERROR(INDEX('QS Takeoff'!$J$3:$J$194,MATCH(B20,'QS Takeoff'!$B$3:$B$194,0)),"")</x:f>
      </x:c>
      <x:c r="H20" s="53"/>
      <x:c r="I20" s="60"/>
      <x:c r="J20" s="60"/>
      <x:c r="K20" s="82" t="str">
        <x:f t="shared" si="0">IF(OR(B20="",I20="",I20=0),"",E20/I20)</x:f>
      </x:c>
      <x:c r="L20" s="60"/>
      <x:c r="M20" s="82" t="str">
        <x:f t="shared" si="1">IF(L20&gt;0,L20,K20)</x:f>
      </x:c>
      <x:c r="N20" s="53"/>
      <x:c r="O20" s="53"/>
      <x:c r="P20" s="53"/>
      <x:c r="Q20" s="81" t="str">
        <x:f>IFERROR(INDEX('Resource Rate Library'!$C$5:$C$85,MATCH(P20,'Resource Rate Library'!$A$5:$A$85,0)),"")</x:f>
      </x:c>
      <x:c r="R20" s="53"/>
      <x:c r="S20" s="53"/>
      <x:c r="T20" s="81" t="str">
        <x:f>IFERROR(INDEX('Resource Rate Library'!$E$5:$E$85,MATCH(P20,'Resource Rate Library'!$A$5:$A$85,0)),"")</x:f>
      </x:c>
      <x:c r="U20" s="62"/>
      <x:c r="V20" s="62"/>
      <x:c r="W20" s="83" t="n">
        <x:f>IFERROR(INDEX('Resource Rate Library'!$I$5:$I$85,MATCH(P20,'Resource Rate Library'!$A$5:$A$85,0)),0)</x:f>
        <x:v>0</x:v>
      </x:c>
      <x:c r="X20" s="52"/>
      <x:c r="Y20" s="83" t="n">
        <x:f t="shared" si="2">IF(X20&gt;0,X20,W20)</x:f>
        <x:v>0</x:v>
      </x:c>
      <x:c r="Z20" s="83" t="str">
        <x:f t="shared" si="3">IF(B20="","",IF(N20="Time x Count",M20*R20*IF(U20="",1,U20)*Y20,IF(N20="QS Qty x Factor",E20*R20*(1+IF(V20="",0,V20))*Y20,IF(N20="Direct Qty",S20*(1+IF(V20="",0,V20))*Y20,IF(N20="Lump Sum / Quote",S20*Y20,0)))))</x:f>
      </x:c>
      <x:c r="AA20" s="81" t="str">
        <x:f>IFERROR(INDEX('Resource Rate Library'!$N$5:$N$85,MATCH(P20,'Resource Rate Library'!$A$5:$A$85,0)),"")</x:f>
      </x:c>
      <x:c r="AB20" s="53"/>
      <x:c r="AC20" s="59"/>
      <x:c r="AD20" s="81" t="str">
        <x:f>IFERROR(INDEX('Resource Rate Library'!$G$5:$G$85,MATCH(P20,'Resource Rate Library'!$A$5:$A$85,0)),"")</x:f>
      </x:c>
      <x:c r="AE20" s="81" t="str">
        <x:f>IFERROR(INDEX('Resource Rate Library'!$H$5:$H$85,MATCH(P20,'Resource Rate Library'!$A$5:$A$85,0)),"")</x:f>
      </x:c>
      <x:c r="AF20" s="53"/>
      <x:c r="AG20" s="53"/>
      <x:c r="AH20" s="53"/>
      <x:c r="AI20" s="81" t="str">
        <x:f t="shared" si="4">IF(B20="","",IF(AND(P20="",N20&lt;&gt;"Lump Sum / Quote"),"RESOURCE CODE",IF(Y20=0,"RATE MISSING",IF(AND(O20="Plant",AD20="Yes",COUNTIFS($B$7:$B$306,B20,$O$7:$O$306,"Labour",$Q$7:$Q$306,"*Operator*")&gt;0),"OPERATOR DOUBLE-COUNT",IF(AND(O20="Plant",AE20="Yes",COUNTIFS($B$7:$B$306,B20,$Q$7:$Q$306,"*Fuel*")&gt;0),"FUEL DOUBLE-COUNT",IF(AH20&lt;&gt;"Yes","VERIFY","OK"))))))</x:f>
      </x:c>
      <x:c r="AJ20" s="54"/>
      <x:c r="AK20" s="473"/>
      <x:c r="AL20" s="473"/>
      <x:c r="AM20" s="473"/>
      <x:c r="AN20" s="500" t="n">
        <x:f>IF(AND(AK20="Yes",OR(O20="Labour",O20="Plant")),Z20,0)</x:f>
        <x:v>0</x:v>
      </x:c>
    </x:row>
    <x:row r="21" ht="22.049999237060547" customHeight="1">
      <x:c r="A21" s="80" t="str">
        <x:f>IF(B21="","",B21&amp;"-"&amp;TEXT(COUNTIF($B$7:B21,B21),"000"))</x:f>
      </x:c>
      <x:c r="B21" s="53"/>
      <x:c r="C21" s="81" t="str">
        <x:f>IFERROR(INDEX('QS Takeoff'!$A$3:$A$194,MATCH(B21,'QS Takeoff'!$B$3:$B$194,0)),"")</x:f>
      </x:c>
      <x:c r="D21" s="81" t="str">
        <x:f>IFERROR(INDEX('QS Takeoff'!$C$3:$C$194,MATCH(B21,'QS Takeoff'!$B$3:$B$194,0)),"")</x:f>
      </x:c>
      <x:c r="E21" s="81" t="str">
        <x:f>IFERROR(INDEX('QS Takeoff'!$E$3:$E$194,MATCH(B21,'QS Takeoff'!$B$3:$B$194,0)),"")</x:f>
      </x:c>
      <x:c r="F21" s="81" t="str">
        <x:f>IFERROR(INDEX('QS Takeoff'!$D$3:$D$194,MATCH(B21,'QS Takeoff'!$B$3:$B$194,0)),"")</x:f>
      </x:c>
      <x:c r="G21" s="81" t="str">
        <x:f>IFERROR(INDEX('QS Takeoff'!$J$3:$J$194,MATCH(B21,'QS Takeoff'!$B$3:$B$194,0)),"")</x:f>
      </x:c>
      <x:c r="H21" s="53"/>
      <x:c r="I21" s="60"/>
      <x:c r="J21" s="60"/>
      <x:c r="K21" s="82" t="str">
        <x:f t="shared" si="0">IF(OR(B21="",I21="",I21=0),"",E21/I21)</x:f>
      </x:c>
      <x:c r="L21" s="60"/>
      <x:c r="M21" s="82" t="str">
        <x:f t="shared" si="1">IF(L21&gt;0,L21,K21)</x:f>
      </x:c>
      <x:c r="N21" s="53"/>
      <x:c r="O21" s="53"/>
      <x:c r="P21" s="53"/>
      <x:c r="Q21" s="81" t="str">
        <x:f>IFERROR(INDEX('Resource Rate Library'!$C$5:$C$85,MATCH(P21,'Resource Rate Library'!$A$5:$A$85,0)),"")</x:f>
      </x:c>
      <x:c r="R21" s="53"/>
      <x:c r="S21" s="53"/>
      <x:c r="T21" s="81" t="str">
        <x:f>IFERROR(INDEX('Resource Rate Library'!$E$5:$E$85,MATCH(P21,'Resource Rate Library'!$A$5:$A$85,0)),"")</x:f>
      </x:c>
      <x:c r="U21" s="62"/>
      <x:c r="V21" s="62"/>
      <x:c r="W21" s="83" t="n">
        <x:f>IFERROR(INDEX('Resource Rate Library'!$I$5:$I$85,MATCH(P21,'Resource Rate Library'!$A$5:$A$85,0)),0)</x:f>
        <x:v>0</x:v>
      </x:c>
      <x:c r="X21" s="52"/>
      <x:c r="Y21" s="83" t="n">
        <x:f t="shared" si="2">IF(X21&gt;0,X21,W21)</x:f>
        <x:v>0</x:v>
      </x:c>
      <x:c r="Z21" s="83" t="str">
        <x:f t="shared" si="3">IF(B21="","",IF(N21="Time x Count",M21*R21*IF(U21="",1,U21)*Y21,IF(N21="QS Qty x Factor",E21*R21*(1+IF(V21="",0,V21))*Y21,IF(N21="Direct Qty",S21*(1+IF(V21="",0,V21))*Y21,IF(N21="Lump Sum / Quote",S21*Y21,0)))))</x:f>
      </x:c>
      <x:c r="AA21" s="81" t="str">
        <x:f>IFERROR(INDEX('Resource Rate Library'!$N$5:$N$85,MATCH(P21,'Resource Rate Library'!$A$5:$A$85,0)),"")</x:f>
      </x:c>
      <x:c r="AB21" s="53"/>
      <x:c r="AC21" s="59"/>
      <x:c r="AD21" s="81" t="str">
        <x:f>IFERROR(INDEX('Resource Rate Library'!$G$5:$G$85,MATCH(P21,'Resource Rate Library'!$A$5:$A$85,0)),"")</x:f>
      </x:c>
      <x:c r="AE21" s="81" t="str">
        <x:f>IFERROR(INDEX('Resource Rate Library'!$H$5:$H$85,MATCH(P21,'Resource Rate Library'!$A$5:$A$85,0)),"")</x:f>
      </x:c>
      <x:c r="AF21" s="53"/>
      <x:c r="AG21" s="53"/>
      <x:c r="AH21" s="53"/>
      <x:c r="AI21" s="81" t="str">
        <x:f t="shared" si="4">IF(B21="","",IF(AND(P21="",N21&lt;&gt;"Lump Sum / Quote"),"RESOURCE CODE",IF(Y21=0,"RATE MISSING",IF(AND(O21="Plant",AD21="Yes",COUNTIFS($B$7:$B$306,B21,$O$7:$O$306,"Labour",$Q$7:$Q$306,"*Operator*")&gt;0),"OPERATOR DOUBLE-COUNT",IF(AND(O21="Plant",AE21="Yes",COUNTIFS($B$7:$B$306,B21,$Q$7:$Q$306,"*Fuel*")&gt;0),"FUEL DOUBLE-COUNT",IF(AH21&lt;&gt;"Yes","VERIFY","OK"))))))</x:f>
      </x:c>
      <x:c r="AJ21" s="54"/>
      <x:c r="AK21" s="473"/>
      <x:c r="AL21" s="473"/>
      <x:c r="AM21" s="473"/>
      <x:c r="AN21" s="500" t="n">
        <x:f>IF(AND(AK21="Yes",OR(O21="Labour",O21="Plant")),Z21,0)</x:f>
        <x:v>0</x:v>
      </x:c>
    </x:row>
    <x:row r="22" ht="22.049999237060547" customHeight="1">
      <x:c r="A22" s="80" t="str">
        <x:f>IF(B22="","",B22&amp;"-"&amp;TEXT(COUNTIF($B$7:B22,B22),"000"))</x:f>
      </x:c>
      <x:c r="B22" s="53"/>
      <x:c r="C22" s="81" t="str">
        <x:f>IFERROR(INDEX('QS Takeoff'!$A$3:$A$194,MATCH(B22,'QS Takeoff'!$B$3:$B$194,0)),"")</x:f>
      </x:c>
      <x:c r="D22" s="81" t="str">
        <x:f>IFERROR(INDEX('QS Takeoff'!$C$3:$C$194,MATCH(B22,'QS Takeoff'!$B$3:$B$194,0)),"")</x:f>
      </x:c>
      <x:c r="E22" s="81" t="str">
        <x:f>IFERROR(INDEX('QS Takeoff'!$E$3:$E$194,MATCH(B22,'QS Takeoff'!$B$3:$B$194,0)),"")</x:f>
      </x:c>
      <x:c r="F22" s="81" t="str">
        <x:f>IFERROR(INDEX('QS Takeoff'!$D$3:$D$194,MATCH(B22,'QS Takeoff'!$B$3:$B$194,0)),"")</x:f>
      </x:c>
      <x:c r="G22" s="81" t="str">
        <x:f>IFERROR(INDEX('QS Takeoff'!$J$3:$J$194,MATCH(B22,'QS Takeoff'!$B$3:$B$194,0)),"")</x:f>
      </x:c>
      <x:c r="H22" s="53"/>
      <x:c r="I22" s="60"/>
      <x:c r="J22" s="60"/>
      <x:c r="K22" s="82" t="str">
        <x:f t="shared" si="0">IF(OR(B22="",I22="",I22=0),"",E22/I22)</x:f>
      </x:c>
      <x:c r="L22" s="60"/>
      <x:c r="M22" s="82" t="str">
        <x:f t="shared" si="1">IF(L22&gt;0,L22,K22)</x:f>
      </x:c>
      <x:c r="N22" s="53"/>
      <x:c r="O22" s="53"/>
      <x:c r="P22" s="53"/>
      <x:c r="Q22" s="81" t="str">
        <x:f>IFERROR(INDEX('Resource Rate Library'!$C$5:$C$85,MATCH(P22,'Resource Rate Library'!$A$5:$A$85,0)),"")</x:f>
      </x:c>
      <x:c r="R22" s="53"/>
      <x:c r="S22" s="53"/>
      <x:c r="T22" s="81" t="str">
        <x:f>IFERROR(INDEX('Resource Rate Library'!$E$5:$E$85,MATCH(P22,'Resource Rate Library'!$A$5:$A$85,0)),"")</x:f>
      </x:c>
      <x:c r="U22" s="62"/>
      <x:c r="V22" s="62"/>
      <x:c r="W22" s="83" t="n">
        <x:f>IFERROR(INDEX('Resource Rate Library'!$I$5:$I$85,MATCH(P22,'Resource Rate Library'!$A$5:$A$85,0)),0)</x:f>
        <x:v>0</x:v>
      </x:c>
      <x:c r="X22" s="52"/>
      <x:c r="Y22" s="83" t="n">
        <x:f t="shared" si="2">IF(X22&gt;0,X22,W22)</x:f>
        <x:v>0</x:v>
      </x:c>
      <x:c r="Z22" s="83" t="str">
        <x:f t="shared" si="3">IF(B22="","",IF(N22="Time x Count",M22*R22*IF(U22="",1,U22)*Y22,IF(N22="QS Qty x Factor",E22*R22*(1+IF(V22="",0,V22))*Y22,IF(N22="Direct Qty",S22*(1+IF(V22="",0,V22))*Y22,IF(N22="Lump Sum / Quote",S22*Y22,0)))))</x:f>
      </x:c>
      <x:c r="AA22" s="81" t="str">
        <x:f>IFERROR(INDEX('Resource Rate Library'!$N$5:$N$85,MATCH(P22,'Resource Rate Library'!$A$5:$A$85,0)),"")</x:f>
      </x:c>
      <x:c r="AB22" s="53"/>
      <x:c r="AC22" s="59"/>
      <x:c r="AD22" s="81" t="str">
        <x:f>IFERROR(INDEX('Resource Rate Library'!$G$5:$G$85,MATCH(P22,'Resource Rate Library'!$A$5:$A$85,0)),"")</x:f>
      </x:c>
      <x:c r="AE22" s="81" t="str">
        <x:f>IFERROR(INDEX('Resource Rate Library'!$H$5:$H$85,MATCH(P22,'Resource Rate Library'!$A$5:$A$85,0)),"")</x:f>
      </x:c>
      <x:c r="AF22" s="53"/>
      <x:c r="AG22" s="53"/>
      <x:c r="AH22" s="53"/>
      <x:c r="AI22" s="81" t="str">
        <x:f t="shared" si="4">IF(B22="","",IF(AND(P22="",N22&lt;&gt;"Lump Sum / Quote"),"RESOURCE CODE",IF(Y22=0,"RATE MISSING",IF(AND(O22="Plant",AD22="Yes",COUNTIFS($B$7:$B$306,B22,$O$7:$O$306,"Labour",$Q$7:$Q$306,"*Operator*")&gt;0),"OPERATOR DOUBLE-COUNT",IF(AND(O22="Plant",AE22="Yes",COUNTIFS($B$7:$B$306,B22,$Q$7:$Q$306,"*Fuel*")&gt;0),"FUEL DOUBLE-COUNT",IF(AH22&lt;&gt;"Yes","VERIFY","OK"))))))</x:f>
      </x:c>
      <x:c r="AJ22" s="54"/>
      <x:c r="AK22" s="473"/>
      <x:c r="AL22" s="473"/>
      <x:c r="AM22" s="473"/>
      <x:c r="AN22" s="500" t="n">
        <x:f>IF(AND(AK22="Yes",OR(O22="Labour",O22="Plant")),Z22,0)</x:f>
        <x:v>0</x:v>
      </x:c>
    </x:row>
    <x:row r="23" ht="22.049999237060547" customHeight="1">
      <x:c r="A23" s="80" t="str">
        <x:f>IF(B23="","",B23&amp;"-"&amp;TEXT(COUNTIF($B$7:B23,B23),"000"))</x:f>
      </x:c>
      <x:c r="B23" s="53"/>
      <x:c r="C23" s="81" t="str">
        <x:f>IFERROR(INDEX('QS Takeoff'!$A$3:$A$194,MATCH(B23,'QS Takeoff'!$B$3:$B$194,0)),"")</x:f>
      </x:c>
      <x:c r="D23" s="81" t="str">
        <x:f>IFERROR(INDEX('QS Takeoff'!$C$3:$C$194,MATCH(B23,'QS Takeoff'!$B$3:$B$194,0)),"")</x:f>
      </x:c>
      <x:c r="E23" s="81" t="str">
        <x:f>IFERROR(INDEX('QS Takeoff'!$E$3:$E$194,MATCH(B23,'QS Takeoff'!$B$3:$B$194,0)),"")</x:f>
      </x:c>
      <x:c r="F23" s="81" t="str">
        <x:f>IFERROR(INDEX('QS Takeoff'!$D$3:$D$194,MATCH(B23,'QS Takeoff'!$B$3:$B$194,0)),"")</x:f>
      </x:c>
      <x:c r="G23" s="81" t="str">
        <x:f>IFERROR(INDEX('QS Takeoff'!$J$3:$J$194,MATCH(B23,'QS Takeoff'!$B$3:$B$194,0)),"")</x:f>
      </x:c>
      <x:c r="H23" s="53"/>
      <x:c r="I23" s="60"/>
      <x:c r="J23" s="60"/>
      <x:c r="K23" s="82" t="str">
        <x:f t="shared" si="0">IF(OR(B23="",I23="",I23=0),"",E23/I23)</x:f>
      </x:c>
      <x:c r="L23" s="60"/>
      <x:c r="M23" s="82" t="str">
        <x:f t="shared" si="1">IF(L23&gt;0,L23,K23)</x:f>
      </x:c>
      <x:c r="N23" s="53"/>
      <x:c r="O23" s="53"/>
      <x:c r="P23" s="53"/>
      <x:c r="Q23" s="81" t="str">
        <x:f>IFERROR(INDEX('Resource Rate Library'!$C$5:$C$85,MATCH(P23,'Resource Rate Library'!$A$5:$A$85,0)),"")</x:f>
      </x:c>
      <x:c r="R23" s="53"/>
      <x:c r="S23" s="53"/>
      <x:c r="T23" s="81" t="str">
        <x:f>IFERROR(INDEX('Resource Rate Library'!$E$5:$E$85,MATCH(P23,'Resource Rate Library'!$A$5:$A$85,0)),"")</x:f>
      </x:c>
      <x:c r="U23" s="62"/>
      <x:c r="V23" s="62"/>
      <x:c r="W23" s="83" t="n">
        <x:f>IFERROR(INDEX('Resource Rate Library'!$I$5:$I$85,MATCH(P23,'Resource Rate Library'!$A$5:$A$85,0)),0)</x:f>
        <x:v>0</x:v>
      </x:c>
      <x:c r="X23" s="52"/>
      <x:c r="Y23" s="83" t="n">
        <x:f t="shared" si="2">IF(X23&gt;0,X23,W23)</x:f>
        <x:v>0</x:v>
      </x:c>
      <x:c r="Z23" s="83" t="str">
        <x:f t="shared" si="3">IF(B23="","",IF(N23="Time x Count",M23*R23*IF(U23="",1,U23)*Y23,IF(N23="QS Qty x Factor",E23*R23*(1+IF(V23="",0,V23))*Y23,IF(N23="Direct Qty",S23*(1+IF(V23="",0,V23))*Y23,IF(N23="Lump Sum / Quote",S23*Y23,0)))))</x:f>
      </x:c>
      <x:c r="AA23" s="81" t="str">
        <x:f>IFERROR(INDEX('Resource Rate Library'!$N$5:$N$85,MATCH(P23,'Resource Rate Library'!$A$5:$A$85,0)),"")</x:f>
      </x:c>
      <x:c r="AB23" s="53"/>
      <x:c r="AC23" s="59"/>
      <x:c r="AD23" s="81" t="str">
        <x:f>IFERROR(INDEX('Resource Rate Library'!$G$5:$G$85,MATCH(P23,'Resource Rate Library'!$A$5:$A$85,0)),"")</x:f>
      </x:c>
      <x:c r="AE23" s="81" t="str">
        <x:f>IFERROR(INDEX('Resource Rate Library'!$H$5:$H$85,MATCH(P23,'Resource Rate Library'!$A$5:$A$85,0)),"")</x:f>
      </x:c>
      <x:c r="AF23" s="53"/>
      <x:c r="AG23" s="53"/>
      <x:c r="AH23" s="53"/>
      <x:c r="AI23" s="81" t="str">
        <x:f t="shared" si="4">IF(B23="","",IF(AND(P23="",N23&lt;&gt;"Lump Sum / Quote"),"RESOURCE CODE",IF(Y23=0,"RATE MISSING",IF(AND(O23="Plant",AD23="Yes",COUNTIFS($B$7:$B$306,B23,$O$7:$O$306,"Labour",$Q$7:$Q$306,"*Operator*")&gt;0),"OPERATOR DOUBLE-COUNT",IF(AND(O23="Plant",AE23="Yes",COUNTIFS($B$7:$B$306,B23,$Q$7:$Q$306,"*Fuel*")&gt;0),"FUEL DOUBLE-COUNT",IF(AH23&lt;&gt;"Yes","VERIFY","OK"))))))</x:f>
      </x:c>
      <x:c r="AJ23" s="54"/>
      <x:c r="AK23" s="473"/>
      <x:c r="AL23" s="473"/>
      <x:c r="AM23" s="473"/>
      <x:c r="AN23" s="500" t="n">
        <x:f>IF(AND(AK23="Yes",OR(O23="Labour",O23="Plant")),Z23,0)</x:f>
        <x:v>0</x:v>
      </x:c>
    </x:row>
    <x:row r="24" ht="22.049999237060547" customHeight="1">
      <x:c r="A24" s="80" t="str">
        <x:f>IF(B24="","",B24&amp;"-"&amp;TEXT(COUNTIF($B$7:B24,B24),"000"))</x:f>
      </x:c>
      <x:c r="B24" s="53"/>
      <x:c r="C24" s="81" t="str">
        <x:f>IFERROR(INDEX('QS Takeoff'!$A$3:$A$194,MATCH(B24,'QS Takeoff'!$B$3:$B$194,0)),"")</x:f>
      </x:c>
      <x:c r="D24" s="81" t="str">
        <x:f>IFERROR(INDEX('QS Takeoff'!$C$3:$C$194,MATCH(B24,'QS Takeoff'!$B$3:$B$194,0)),"")</x:f>
      </x:c>
      <x:c r="E24" s="81" t="str">
        <x:f>IFERROR(INDEX('QS Takeoff'!$E$3:$E$194,MATCH(B24,'QS Takeoff'!$B$3:$B$194,0)),"")</x:f>
      </x:c>
      <x:c r="F24" s="81" t="str">
        <x:f>IFERROR(INDEX('QS Takeoff'!$D$3:$D$194,MATCH(B24,'QS Takeoff'!$B$3:$B$194,0)),"")</x:f>
      </x:c>
      <x:c r="G24" s="81" t="str">
        <x:f>IFERROR(INDEX('QS Takeoff'!$J$3:$J$194,MATCH(B24,'QS Takeoff'!$B$3:$B$194,0)),"")</x:f>
      </x:c>
      <x:c r="H24" s="53"/>
      <x:c r="I24" s="60"/>
      <x:c r="J24" s="60"/>
      <x:c r="K24" s="82" t="str">
        <x:f t="shared" si="0">IF(OR(B24="",I24="",I24=0),"",E24/I24)</x:f>
      </x:c>
      <x:c r="L24" s="60"/>
      <x:c r="M24" s="82" t="str">
        <x:f t="shared" si="1">IF(L24&gt;0,L24,K24)</x:f>
      </x:c>
      <x:c r="N24" s="53"/>
      <x:c r="O24" s="53"/>
      <x:c r="P24" s="53"/>
      <x:c r="Q24" s="81" t="str">
        <x:f>IFERROR(INDEX('Resource Rate Library'!$C$5:$C$85,MATCH(P24,'Resource Rate Library'!$A$5:$A$85,0)),"")</x:f>
      </x:c>
      <x:c r="R24" s="53"/>
      <x:c r="S24" s="53"/>
      <x:c r="T24" s="81" t="str">
        <x:f>IFERROR(INDEX('Resource Rate Library'!$E$5:$E$85,MATCH(P24,'Resource Rate Library'!$A$5:$A$85,0)),"")</x:f>
      </x:c>
      <x:c r="U24" s="62"/>
      <x:c r="V24" s="62"/>
      <x:c r="W24" s="83" t="n">
        <x:f>IFERROR(INDEX('Resource Rate Library'!$I$5:$I$85,MATCH(P24,'Resource Rate Library'!$A$5:$A$85,0)),0)</x:f>
        <x:v>0</x:v>
      </x:c>
      <x:c r="X24" s="52"/>
      <x:c r="Y24" s="83" t="n">
        <x:f t="shared" si="2">IF(X24&gt;0,X24,W24)</x:f>
        <x:v>0</x:v>
      </x:c>
      <x:c r="Z24" s="83" t="str">
        <x:f t="shared" si="3">IF(B24="","",IF(N24="Time x Count",M24*R24*IF(U24="",1,U24)*Y24,IF(N24="QS Qty x Factor",E24*R24*(1+IF(V24="",0,V24))*Y24,IF(N24="Direct Qty",S24*(1+IF(V24="",0,V24))*Y24,IF(N24="Lump Sum / Quote",S24*Y24,0)))))</x:f>
      </x:c>
      <x:c r="AA24" s="81" t="str">
        <x:f>IFERROR(INDEX('Resource Rate Library'!$N$5:$N$85,MATCH(P24,'Resource Rate Library'!$A$5:$A$85,0)),"")</x:f>
      </x:c>
      <x:c r="AB24" s="53"/>
      <x:c r="AC24" s="59"/>
      <x:c r="AD24" s="81" t="str">
        <x:f>IFERROR(INDEX('Resource Rate Library'!$G$5:$G$85,MATCH(P24,'Resource Rate Library'!$A$5:$A$85,0)),"")</x:f>
      </x:c>
      <x:c r="AE24" s="81" t="str">
        <x:f>IFERROR(INDEX('Resource Rate Library'!$H$5:$H$85,MATCH(P24,'Resource Rate Library'!$A$5:$A$85,0)),"")</x:f>
      </x:c>
      <x:c r="AF24" s="53"/>
      <x:c r="AG24" s="53"/>
      <x:c r="AH24" s="53"/>
      <x:c r="AI24" s="81" t="str">
        <x:f t="shared" si="4">IF(B24="","",IF(AND(P24="",N24&lt;&gt;"Lump Sum / Quote"),"RESOURCE CODE",IF(Y24=0,"RATE MISSING",IF(AND(O24="Plant",AD24="Yes",COUNTIFS($B$7:$B$306,B24,$O$7:$O$306,"Labour",$Q$7:$Q$306,"*Operator*")&gt;0),"OPERATOR DOUBLE-COUNT",IF(AND(O24="Plant",AE24="Yes",COUNTIFS($B$7:$B$306,B24,$Q$7:$Q$306,"*Fuel*")&gt;0),"FUEL DOUBLE-COUNT",IF(AH24&lt;&gt;"Yes","VERIFY","OK"))))))</x:f>
      </x:c>
      <x:c r="AJ24" s="54"/>
      <x:c r="AK24" s="473"/>
      <x:c r="AL24" s="473"/>
      <x:c r="AM24" s="473"/>
      <x:c r="AN24" s="500" t="n">
        <x:f>IF(AND(AK24="Yes",OR(O24="Labour",O24="Plant")),Z24,0)</x:f>
        <x:v>0</x:v>
      </x:c>
    </x:row>
    <x:row r="25" ht="22.049999237060547" customHeight="1">
      <x:c r="A25" s="80" t="str">
        <x:f>IF(B25="","",B25&amp;"-"&amp;TEXT(COUNTIF($B$7:B25,B25),"000"))</x:f>
      </x:c>
      <x:c r="B25" s="53"/>
      <x:c r="C25" s="81" t="str">
        <x:f>IFERROR(INDEX('QS Takeoff'!$A$3:$A$194,MATCH(B25,'QS Takeoff'!$B$3:$B$194,0)),"")</x:f>
      </x:c>
      <x:c r="D25" s="81" t="str">
        <x:f>IFERROR(INDEX('QS Takeoff'!$C$3:$C$194,MATCH(B25,'QS Takeoff'!$B$3:$B$194,0)),"")</x:f>
      </x:c>
      <x:c r="E25" s="81" t="str">
        <x:f>IFERROR(INDEX('QS Takeoff'!$E$3:$E$194,MATCH(B25,'QS Takeoff'!$B$3:$B$194,0)),"")</x:f>
      </x:c>
      <x:c r="F25" s="81" t="str">
        <x:f>IFERROR(INDEX('QS Takeoff'!$D$3:$D$194,MATCH(B25,'QS Takeoff'!$B$3:$B$194,0)),"")</x:f>
      </x:c>
      <x:c r="G25" s="81" t="str">
        <x:f>IFERROR(INDEX('QS Takeoff'!$J$3:$J$194,MATCH(B25,'QS Takeoff'!$B$3:$B$194,0)),"")</x:f>
      </x:c>
      <x:c r="H25" s="53"/>
      <x:c r="I25" s="60"/>
      <x:c r="J25" s="60"/>
      <x:c r="K25" s="82" t="str">
        <x:f t="shared" si="0">IF(OR(B25="",I25="",I25=0),"",E25/I25)</x:f>
      </x:c>
      <x:c r="L25" s="60"/>
      <x:c r="M25" s="82" t="str">
        <x:f t="shared" si="1">IF(L25&gt;0,L25,K25)</x:f>
      </x:c>
      <x:c r="N25" s="53"/>
      <x:c r="O25" s="53"/>
      <x:c r="P25" s="53"/>
      <x:c r="Q25" s="81" t="str">
        <x:f>IFERROR(INDEX('Resource Rate Library'!$C$5:$C$85,MATCH(P25,'Resource Rate Library'!$A$5:$A$85,0)),"")</x:f>
      </x:c>
      <x:c r="R25" s="53"/>
      <x:c r="S25" s="53"/>
      <x:c r="T25" s="81" t="str">
        <x:f>IFERROR(INDEX('Resource Rate Library'!$E$5:$E$85,MATCH(P25,'Resource Rate Library'!$A$5:$A$85,0)),"")</x:f>
      </x:c>
      <x:c r="U25" s="62"/>
      <x:c r="V25" s="62"/>
      <x:c r="W25" s="83" t="n">
        <x:f>IFERROR(INDEX('Resource Rate Library'!$I$5:$I$85,MATCH(P25,'Resource Rate Library'!$A$5:$A$85,0)),0)</x:f>
        <x:v>0</x:v>
      </x:c>
      <x:c r="X25" s="52"/>
      <x:c r="Y25" s="83" t="n">
        <x:f t="shared" si="2">IF(X25&gt;0,X25,W25)</x:f>
        <x:v>0</x:v>
      </x:c>
      <x:c r="Z25" s="83" t="str">
        <x:f t="shared" si="3">IF(B25="","",IF(N25="Time x Count",M25*R25*IF(U25="",1,U25)*Y25,IF(N25="QS Qty x Factor",E25*R25*(1+IF(V25="",0,V25))*Y25,IF(N25="Direct Qty",S25*(1+IF(V25="",0,V25))*Y25,IF(N25="Lump Sum / Quote",S25*Y25,0)))))</x:f>
      </x:c>
      <x:c r="AA25" s="81" t="str">
        <x:f>IFERROR(INDEX('Resource Rate Library'!$N$5:$N$85,MATCH(P25,'Resource Rate Library'!$A$5:$A$85,0)),"")</x:f>
      </x:c>
      <x:c r="AB25" s="53"/>
      <x:c r="AC25" s="59"/>
      <x:c r="AD25" s="81" t="str">
        <x:f>IFERROR(INDEX('Resource Rate Library'!$G$5:$G$85,MATCH(P25,'Resource Rate Library'!$A$5:$A$85,0)),"")</x:f>
      </x:c>
      <x:c r="AE25" s="81" t="str">
        <x:f>IFERROR(INDEX('Resource Rate Library'!$H$5:$H$85,MATCH(P25,'Resource Rate Library'!$A$5:$A$85,0)),"")</x:f>
      </x:c>
      <x:c r="AF25" s="53"/>
      <x:c r="AG25" s="53"/>
      <x:c r="AH25" s="53"/>
      <x:c r="AI25" s="81" t="str">
        <x:f t="shared" si="4">IF(B25="","",IF(AND(P25="",N25&lt;&gt;"Lump Sum / Quote"),"RESOURCE CODE",IF(Y25=0,"RATE MISSING",IF(AND(O25="Plant",AD25="Yes",COUNTIFS($B$7:$B$306,B25,$O$7:$O$306,"Labour",$Q$7:$Q$306,"*Operator*")&gt;0),"OPERATOR DOUBLE-COUNT",IF(AND(O25="Plant",AE25="Yes",COUNTIFS($B$7:$B$306,B25,$Q$7:$Q$306,"*Fuel*")&gt;0),"FUEL DOUBLE-COUNT",IF(AH25&lt;&gt;"Yes","VERIFY","OK"))))))</x:f>
      </x:c>
      <x:c r="AJ25" s="54"/>
      <x:c r="AK25" s="473"/>
      <x:c r="AL25" s="473"/>
      <x:c r="AM25" s="473"/>
      <x:c r="AN25" s="500" t="n">
        <x:f>IF(AND(AK25="Yes",OR(O25="Labour",O25="Plant")),Z25,0)</x:f>
        <x:v>0</x:v>
      </x:c>
    </x:row>
    <x:row r="26" ht="22.049999237060547" customHeight="1">
      <x:c r="A26" s="80" t="str">
        <x:f>IF(B26="","",B26&amp;"-"&amp;TEXT(COUNTIF($B$7:B26,B26),"000"))</x:f>
      </x:c>
      <x:c r="B26" s="53"/>
      <x:c r="C26" s="81" t="str">
        <x:f>IFERROR(INDEX('QS Takeoff'!$A$3:$A$194,MATCH(B26,'QS Takeoff'!$B$3:$B$194,0)),"")</x:f>
      </x:c>
      <x:c r="D26" s="81" t="str">
        <x:f>IFERROR(INDEX('QS Takeoff'!$C$3:$C$194,MATCH(B26,'QS Takeoff'!$B$3:$B$194,0)),"")</x:f>
      </x:c>
      <x:c r="E26" s="81" t="str">
        <x:f>IFERROR(INDEX('QS Takeoff'!$E$3:$E$194,MATCH(B26,'QS Takeoff'!$B$3:$B$194,0)),"")</x:f>
      </x:c>
      <x:c r="F26" s="81" t="str">
        <x:f>IFERROR(INDEX('QS Takeoff'!$D$3:$D$194,MATCH(B26,'QS Takeoff'!$B$3:$B$194,0)),"")</x:f>
      </x:c>
      <x:c r="G26" s="81" t="str">
        <x:f>IFERROR(INDEX('QS Takeoff'!$J$3:$J$194,MATCH(B26,'QS Takeoff'!$B$3:$B$194,0)),"")</x:f>
      </x:c>
      <x:c r="H26" s="53"/>
      <x:c r="I26" s="60"/>
      <x:c r="J26" s="60"/>
      <x:c r="K26" s="82" t="str">
        <x:f t="shared" si="0">IF(OR(B26="",I26="",I26=0),"",E26/I26)</x:f>
      </x:c>
      <x:c r="L26" s="60"/>
      <x:c r="M26" s="82" t="str">
        <x:f t="shared" si="1">IF(L26&gt;0,L26,K26)</x:f>
      </x:c>
      <x:c r="N26" s="53"/>
      <x:c r="O26" s="53"/>
      <x:c r="P26" s="53"/>
      <x:c r="Q26" s="81" t="str">
        <x:f>IFERROR(INDEX('Resource Rate Library'!$C$5:$C$85,MATCH(P26,'Resource Rate Library'!$A$5:$A$85,0)),"")</x:f>
      </x:c>
      <x:c r="R26" s="53"/>
      <x:c r="S26" s="53"/>
      <x:c r="T26" s="81" t="str">
        <x:f>IFERROR(INDEX('Resource Rate Library'!$E$5:$E$85,MATCH(P26,'Resource Rate Library'!$A$5:$A$85,0)),"")</x:f>
      </x:c>
      <x:c r="U26" s="62"/>
      <x:c r="V26" s="62"/>
      <x:c r="W26" s="83" t="n">
        <x:f>IFERROR(INDEX('Resource Rate Library'!$I$5:$I$85,MATCH(P26,'Resource Rate Library'!$A$5:$A$85,0)),0)</x:f>
        <x:v>0</x:v>
      </x:c>
      <x:c r="X26" s="52"/>
      <x:c r="Y26" s="83" t="n">
        <x:f t="shared" si="2">IF(X26&gt;0,X26,W26)</x:f>
        <x:v>0</x:v>
      </x:c>
      <x:c r="Z26" s="83" t="str">
        <x:f t="shared" si="3">IF(B26="","",IF(N26="Time x Count",M26*R26*IF(U26="",1,U26)*Y26,IF(N26="QS Qty x Factor",E26*R26*(1+IF(V26="",0,V26))*Y26,IF(N26="Direct Qty",S26*(1+IF(V26="",0,V26))*Y26,IF(N26="Lump Sum / Quote",S26*Y26,0)))))</x:f>
      </x:c>
      <x:c r="AA26" s="81" t="str">
        <x:f>IFERROR(INDEX('Resource Rate Library'!$N$5:$N$85,MATCH(P26,'Resource Rate Library'!$A$5:$A$85,0)),"")</x:f>
      </x:c>
      <x:c r="AB26" s="53"/>
      <x:c r="AC26" s="59"/>
      <x:c r="AD26" s="81" t="str">
        <x:f>IFERROR(INDEX('Resource Rate Library'!$G$5:$G$85,MATCH(P26,'Resource Rate Library'!$A$5:$A$85,0)),"")</x:f>
      </x:c>
      <x:c r="AE26" s="81" t="str">
        <x:f>IFERROR(INDEX('Resource Rate Library'!$H$5:$H$85,MATCH(P26,'Resource Rate Library'!$A$5:$A$85,0)),"")</x:f>
      </x:c>
      <x:c r="AF26" s="53"/>
      <x:c r="AG26" s="53"/>
      <x:c r="AH26" s="53"/>
      <x:c r="AI26" s="81" t="str">
        <x:f t="shared" si="4">IF(B26="","",IF(AND(P26="",N26&lt;&gt;"Lump Sum / Quote"),"RESOURCE CODE",IF(Y26=0,"RATE MISSING",IF(AND(O26="Plant",AD26="Yes",COUNTIFS($B$7:$B$306,B26,$O$7:$O$306,"Labour",$Q$7:$Q$306,"*Operator*")&gt;0),"OPERATOR DOUBLE-COUNT",IF(AND(O26="Plant",AE26="Yes",COUNTIFS($B$7:$B$306,B26,$Q$7:$Q$306,"*Fuel*")&gt;0),"FUEL DOUBLE-COUNT",IF(AH26&lt;&gt;"Yes","VERIFY","OK"))))))</x:f>
      </x:c>
      <x:c r="AJ26" s="54"/>
      <x:c r="AK26" s="473"/>
      <x:c r="AL26" s="473"/>
      <x:c r="AM26" s="473"/>
      <x:c r="AN26" s="500" t="n">
        <x:f>IF(AND(AK26="Yes",OR(O26="Labour",O26="Plant")),Z26,0)</x:f>
        <x:v>0</x:v>
      </x:c>
    </x:row>
    <x:row r="27" ht="22.049999237060547" customHeight="1">
      <x:c r="A27" s="80" t="str">
        <x:f>IF(B27="","",B27&amp;"-"&amp;TEXT(COUNTIF($B$7:B27,B27),"000"))</x:f>
      </x:c>
      <x:c r="B27" s="53"/>
      <x:c r="C27" s="81" t="str">
        <x:f>IFERROR(INDEX('QS Takeoff'!$A$3:$A$194,MATCH(B27,'QS Takeoff'!$B$3:$B$194,0)),"")</x:f>
      </x:c>
      <x:c r="D27" s="81" t="str">
        <x:f>IFERROR(INDEX('QS Takeoff'!$C$3:$C$194,MATCH(B27,'QS Takeoff'!$B$3:$B$194,0)),"")</x:f>
      </x:c>
      <x:c r="E27" s="81" t="str">
        <x:f>IFERROR(INDEX('QS Takeoff'!$E$3:$E$194,MATCH(B27,'QS Takeoff'!$B$3:$B$194,0)),"")</x:f>
      </x:c>
      <x:c r="F27" s="81" t="str">
        <x:f>IFERROR(INDEX('QS Takeoff'!$D$3:$D$194,MATCH(B27,'QS Takeoff'!$B$3:$B$194,0)),"")</x:f>
      </x:c>
      <x:c r="G27" s="81" t="str">
        <x:f>IFERROR(INDEX('QS Takeoff'!$J$3:$J$194,MATCH(B27,'QS Takeoff'!$B$3:$B$194,0)),"")</x:f>
      </x:c>
      <x:c r="H27" s="53"/>
      <x:c r="I27" s="60"/>
      <x:c r="J27" s="60"/>
      <x:c r="K27" s="82" t="str">
        <x:f t="shared" si="0">IF(OR(B27="",I27="",I27=0),"",E27/I27)</x:f>
      </x:c>
      <x:c r="L27" s="60"/>
      <x:c r="M27" s="82" t="str">
        <x:f t="shared" si="1">IF(L27&gt;0,L27,K27)</x:f>
      </x:c>
      <x:c r="N27" s="53"/>
      <x:c r="O27" s="53"/>
      <x:c r="P27" s="53"/>
      <x:c r="Q27" s="81" t="str">
        <x:f>IFERROR(INDEX('Resource Rate Library'!$C$5:$C$85,MATCH(P27,'Resource Rate Library'!$A$5:$A$85,0)),"")</x:f>
      </x:c>
      <x:c r="R27" s="53"/>
      <x:c r="S27" s="53"/>
      <x:c r="T27" s="81" t="str">
        <x:f>IFERROR(INDEX('Resource Rate Library'!$E$5:$E$85,MATCH(P27,'Resource Rate Library'!$A$5:$A$85,0)),"")</x:f>
      </x:c>
      <x:c r="U27" s="62"/>
      <x:c r="V27" s="62"/>
      <x:c r="W27" s="83" t="n">
        <x:f>IFERROR(INDEX('Resource Rate Library'!$I$5:$I$85,MATCH(P27,'Resource Rate Library'!$A$5:$A$85,0)),0)</x:f>
        <x:v>0</x:v>
      </x:c>
      <x:c r="X27" s="52"/>
      <x:c r="Y27" s="83" t="n">
        <x:f t="shared" si="2">IF(X27&gt;0,X27,W27)</x:f>
        <x:v>0</x:v>
      </x:c>
      <x:c r="Z27" s="83" t="str">
        <x:f t="shared" si="3">IF(B27="","",IF(N27="Time x Count",M27*R27*IF(U27="",1,U27)*Y27,IF(N27="QS Qty x Factor",E27*R27*(1+IF(V27="",0,V27))*Y27,IF(N27="Direct Qty",S27*(1+IF(V27="",0,V27))*Y27,IF(N27="Lump Sum / Quote",S27*Y27,0)))))</x:f>
      </x:c>
      <x:c r="AA27" s="81" t="str">
        <x:f>IFERROR(INDEX('Resource Rate Library'!$N$5:$N$85,MATCH(P27,'Resource Rate Library'!$A$5:$A$85,0)),"")</x:f>
      </x:c>
      <x:c r="AB27" s="53"/>
      <x:c r="AC27" s="59"/>
      <x:c r="AD27" s="81" t="str">
        <x:f>IFERROR(INDEX('Resource Rate Library'!$G$5:$G$85,MATCH(P27,'Resource Rate Library'!$A$5:$A$85,0)),"")</x:f>
      </x:c>
      <x:c r="AE27" s="81" t="str">
        <x:f>IFERROR(INDEX('Resource Rate Library'!$H$5:$H$85,MATCH(P27,'Resource Rate Library'!$A$5:$A$85,0)),"")</x:f>
      </x:c>
      <x:c r="AF27" s="53"/>
      <x:c r="AG27" s="53"/>
      <x:c r="AH27" s="53"/>
      <x:c r="AI27" s="81" t="str">
        <x:f t="shared" si="4">IF(B27="","",IF(AND(P27="",N27&lt;&gt;"Lump Sum / Quote"),"RESOURCE CODE",IF(Y27=0,"RATE MISSING",IF(AND(O27="Plant",AD27="Yes",COUNTIFS($B$7:$B$306,B27,$O$7:$O$306,"Labour",$Q$7:$Q$306,"*Operator*")&gt;0),"OPERATOR DOUBLE-COUNT",IF(AND(O27="Plant",AE27="Yes",COUNTIFS($B$7:$B$306,B27,$Q$7:$Q$306,"*Fuel*")&gt;0),"FUEL DOUBLE-COUNT",IF(AH27&lt;&gt;"Yes","VERIFY","OK"))))))</x:f>
      </x:c>
      <x:c r="AJ27" s="54"/>
      <x:c r="AK27" s="473"/>
      <x:c r="AL27" s="473"/>
      <x:c r="AM27" s="473"/>
      <x:c r="AN27" s="500" t="n">
        <x:f>IF(AND(AK27="Yes",OR(O27="Labour",O27="Plant")),Z27,0)</x:f>
        <x:v>0</x:v>
      </x:c>
    </x:row>
    <x:row r="28" ht="22.049999237060547" customHeight="1">
      <x:c r="A28" s="80" t="str">
        <x:f>IF(B28="","",B28&amp;"-"&amp;TEXT(COUNTIF($B$7:B28,B28),"000"))</x:f>
      </x:c>
      <x:c r="B28" s="53"/>
      <x:c r="C28" s="81" t="str">
        <x:f>IFERROR(INDEX('QS Takeoff'!$A$3:$A$194,MATCH(B28,'QS Takeoff'!$B$3:$B$194,0)),"")</x:f>
      </x:c>
      <x:c r="D28" s="81" t="str">
        <x:f>IFERROR(INDEX('QS Takeoff'!$C$3:$C$194,MATCH(B28,'QS Takeoff'!$B$3:$B$194,0)),"")</x:f>
      </x:c>
      <x:c r="E28" s="81" t="str">
        <x:f>IFERROR(INDEX('QS Takeoff'!$E$3:$E$194,MATCH(B28,'QS Takeoff'!$B$3:$B$194,0)),"")</x:f>
      </x:c>
      <x:c r="F28" s="81" t="str">
        <x:f>IFERROR(INDEX('QS Takeoff'!$D$3:$D$194,MATCH(B28,'QS Takeoff'!$B$3:$B$194,0)),"")</x:f>
      </x:c>
      <x:c r="G28" s="81" t="str">
        <x:f>IFERROR(INDEX('QS Takeoff'!$J$3:$J$194,MATCH(B28,'QS Takeoff'!$B$3:$B$194,0)),"")</x:f>
      </x:c>
      <x:c r="H28" s="53"/>
      <x:c r="I28" s="60"/>
      <x:c r="J28" s="60"/>
      <x:c r="K28" s="82" t="str">
        <x:f t="shared" si="0">IF(OR(B28="",I28="",I28=0),"",E28/I28)</x:f>
      </x:c>
      <x:c r="L28" s="60"/>
      <x:c r="M28" s="82" t="str">
        <x:f t="shared" si="1">IF(L28&gt;0,L28,K28)</x:f>
      </x:c>
      <x:c r="N28" s="53"/>
      <x:c r="O28" s="53"/>
      <x:c r="P28" s="53"/>
      <x:c r="Q28" s="81" t="str">
        <x:f>IFERROR(INDEX('Resource Rate Library'!$C$5:$C$85,MATCH(P28,'Resource Rate Library'!$A$5:$A$85,0)),"")</x:f>
      </x:c>
      <x:c r="R28" s="53"/>
      <x:c r="S28" s="53"/>
      <x:c r="T28" s="81" t="str">
        <x:f>IFERROR(INDEX('Resource Rate Library'!$E$5:$E$85,MATCH(P28,'Resource Rate Library'!$A$5:$A$85,0)),"")</x:f>
      </x:c>
      <x:c r="U28" s="62"/>
      <x:c r="V28" s="62"/>
      <x:c r="W28" s="83" t="n">
        <x:f>IFERROR(INDEX('Resource Rate Library'!$I$5:$I$85,MATCH(P28,'Resource Rate Library'!$A$5:$A$85,0)),0)</x:f>
        <x:v>0</x:v>
      </x:c>
      <x:c r="X28" s="52"/>
      <x:c r="Y28" s="83" t="n">
        <x:f t="shared" si="2">IF(X28&gt;0,X28,W28)</x:f>
        <x:v>0</x:v>
      </x:c>
      <x:c r="Z28" s="83" t="str">
        <x:f t="shared" si="3">IF(B28="","",IF(N28="Time x Count",M28*R28*IF(U28="",1,U28)*Y28,IF(N28="QS Qty x Factor",E28*R28*(1+IF(V28="",0,V28))*Y28,IF(N28="Direct Qty",S28*(1+IF(V28="",0,V28))*Y28,IF(N28="Lump Sum / Quote",S28*Y28,0)))))</x:f>
      </x:c>
      <x:c r="AA28" s="81" t="str">
        <x:f>IFERROR(INDEX('Resource Rate Library'!$N$5:$N$85,MATCH(P28,'Resource Rate Library'!$A$5:$A$85,0)),"")</x:f>
      </x:c>
      <x:c r="AB28" s="53"/>
      <x:c r="AC28" s="59"/>
      <x:c r="AD28" s="81" t="str">
        <x:f>IFERROR(INDEX('Resource Rate Library'!$G$5:$G$85,MATCH(P28,'Resource Rate Library'!$A$5:$A$85,0)),"")</x:f>
      </x:c>
      <x:c r="AE28" s="81" t="str">
        <x:f>IFERROR(INDEX('Resource Rate Library'!$H$5:$H$85,MATCH(P28,'Resource Rate Library'!$A$5:$A$85,0)),"")</x:f>
      </x:c>
      <x:c r="AF28" s="53"/>
      <x:c r="AG28" s="53"/>
      <x:c r="AH28" s="53"/>
      <x:c r="AI28" s="81" t="str">
        <x:f>IF(B28="","",IF(AND(P28="",N28&lt;&gt;"Lump Sum / Quote"),"RESOURCE CODE",IF(Y28=0,"RATE MISSING",IF(AND(O28="Plant",AD28="Yes",COUNTIFS($B$7:$B$306,B28,$O$7:$O$306,"Labour",$Q$7:$Q$306,"*Operator*")&gt;0),"OPERATOR DOUBLE-COUNT",IF(AND(O28="Plant",AE28="Yes",COUNTIFS($B$7:$B$306,B28,$Q$7:$Q$306,"*Fuel*")&gt;0),"FUEL DOUBLE-COUNT",IF(AH28&lt;&gt;"Yes","VERIFY","OK"))))))</x:f>
      </x:c>
      <x:c r="AJ28" s="54"/>
      <x:c r="AK28" s="473"/>
      <x:c r="AL28" s="473"/>
      <x:c r="AM28" s="473"/>
      <x:c r="AN28" s="500" t="n">
        <x:f>IF(AND(AK28="Yes",OR(O28="Labour",O28="Plant")),Z28,0)</x:f>
        <x:v>0</x:v>
      </x:c>
    </x:row>
    <x:row r="29" ht="22.049999237060547" customHeight="1">
      <x:c r="A29" s="80" t="str">
        <x:f>IF(B29="","",B29&amp;"-"&amp;TEXT(COUNTIF($B$7:B29,B29),"000"))</x:f>
      </x:c>
      <x:c r="B29" s="53"/>
      <x:c r="C29" s="81" t="str">
        <x:f>IFERROR(INDEX('QS Takeoff'!$A$3:$A$194,MATCH(B29,'QS Takeoff'!$B$3:$B$194,0)),"")</x:f>
      </x:c>
      <x:c r="D29" s="81" t="str">
        <x:f>IFERROR(INDEX('QS Takeoff'!$C$3:$C$194,MATCH(B29,'QS Takeoff'!$B$3:$B$194,0)),"")</x:f>
      </x:c>
      <x:c r="E29" s="81" t="str">
        <x:f>IFERROR(INDEX('QS Takeoff'!$E$3:$E$194,MATCH(B29,'QS Takeoff'!$B$3:$B$194,0)),"")</x:f>
      </x:c>
      <x:c r="F29" s="81" t="str">
        <x:f>IFERROR(INDEX('QS Takeoff'!$D$3:$D$194,MATCH(B29,'QS Takeoff'!$B$3:$B$194,0)),"")</x:f>
      </x:c>
      <x:c r="G29" s="81" t="str">
        <x:f>IFERROR(INDEX('QS Takeoff'!$J$3:$J$194,MATCH(B29,'QS Takeoff'!$B$3:$B$194,0)),"")</x:f>
      </x:c>
      <x:c r="H29" s="53"/>
      <x:c r="I29" s="60"/>
      <x:c r="J29" s="60"/>
      <x:c r="K29" s="82" t="str">
        <x:f t="shared" si="0">IF(OR(B29="",I29="",I29=0),"",E29/I29)</x:f>
      </x:c>
      <x:c r="L29" s="60"/>
      <x:c r="M29" s="82" t="str">
        <x:f t="shared" si="1">IF(L29&gt;0,L29,K29)</x:f>
      </x:c>
      <x:c r="N29" s="53"/>
      <x:c r="O29" s="53"/>
      <x:c r="P29" s="53"/>
      <x:c r="Q29" s="81" t="str">
        <x:f>IFERROR(INDEX('Resource Rate Library'!$C$5:$C$85,MATCH(P29,'Resource Rate Library'!$A$5:$A$85,0)),"")</x:f>
      </x:c>
      <x:c r="R29" s="53"/>
      <x:c r="S29" s="53"/>
      <x:c r="T29" s="81" t="str">
        <x:f>IFERROR(INDEX('Resource Rate Library'!$E$5:$E$85,MATCH(P29,'Resource Rate Library'!$A$5:$A$85,0)),"")</x:f>
      </x:c>
      <x:c r="U29" s="62"/>
      <x:c r="V29" s="62"/>
      <x:c r="W29" s="83" t="n">
        <x:f>IFERROR(INDEX('Resource Rate Library'!$I$5:$I$85,MATCH(P29,'Resource Rate Library'!$A$5:$A$85,0)),0)</x:f>
        <x:v>0</x:v>
      </x:c>
      <x:c r="X29" s="52"/>
      <x:c r="Y29" s="83" t="n">
        <x:f t="shared" si="2">IF(X29&gt;0,X29,W29)</x:f>
        <x:v>0</x:v>
      </x:c>
      <x:c r="Z29" s="83" t="str">
        <x:f t="shared" si="3">IF(B29="","",IF(N29="Time x Count",M29*R29*IF(U29="",1,U29)*Y29,IF(N29="QS Qty x Factor",E29*R29*(1+IF(V29="",0,V29))*Y29,IF(N29="Direct Qty",S29*(1+IF(V29="",0,V29))*Y29,IF(N29="Lump Sum / Quote",S29*Y29,0)))))</x:f>
      </x:c>
      <x:c r="AA29" s="81" t="str">
        <x:f>IFERROR(INDEX('Resource Rate Library'!$N$5:$N$85,MATCH(P29,'Resource Rate Library'!$A$5:$A$85,0)),"")</x:f>
      </x:c>
      <x:c r="AB29" s="53"/>
      <x:c r="AC29" s="59"/>
      <x:c r="AD29" s="81" t="str">
        <x:f>IFERROR(INDEX('Resource Rate Library'!$G$5:$G$85,MATCH(P29,'Resource Rate Library'!$A$5:$A$85,0)),"")</x:f>
      </x:c>
      <x:c r="AE29" s="81" t="str">
        <x:f>IFERROR(INDEX('Resource Rate Library'!$H$5:$H$85,MATCH(P29,'Resource Rate Library'!$A$5:$A$85,0)),"")</x:f>
      </x:c>
      <x:c r="AF29" s="53"/>
      <x:c r="AG29" s="53"/>
      <x:c r="AH29" s="53"/>
      <x:c r="AI29" s="81" t="str">
        <x:f>IF(B29="","",IF(AND(P29="",N29&lt;&gt;"Lump Sum / Quote"),"RESOURCE CODE",IF(Y29=0,"RATE MISSING",IF(AND(O29="Plant",AD29="Yes",COUNTIFS($B$7:$B$306,B29,$O$7:$O$306,"Labour",$Q$7:$Q$306,"*Operator*")&gt;0),"OPERATOR DOUBLE-COUNT",IF(AND(O29="Plant",AE29="Yes",COUNTIFS($B$7:$B$306,B29,$Q$7:$Q$306,"*Fuel*")&gt;0),"FUEL DOUBLE-COUNT",IF(AH29&lt;&gt;"Yes","VERIFY","OK"))))))</x:f>
      </x:c>
      <x:c r="AJ29" s="54"/>
      <x:c r="AK29" s="473"/>
      <x:c r="AL29" s="473"/>
      <x:c r="AM29" s="473"/>
      <x:c r="AN29" s="500" t="n">
        <x:f>IF(AND(AK29="Yes",OR(O29="Labour",O29="Plant")),Z29,0)</x:f>
        <x:v>0</x:v>
      </x:c>
    </x:row>
    <x:row r="30" ht="22.049999237060547" customHeight="1">
      <x:c r="A30" s="80" t="str">
        <x:f>IF(B30="","",B30&amp;"-"&amp;TEXT(COUNTIF($B$7:B30,B30),"000"))</x:f>
      </x:c>
      <x:c r="B30" s="53"/>
      <x:c r="C30" s="81" t="str">
        <x:f>IFERROR(INDEX('QS Takeoff'!$A$3:$A$194,MATCH(B30,'QS Takeoff'!$B$3:$B$194,0)),"")</x:f>
      </x:c>
      <x:c r="D30" s="81" t="str">
        <x:f>IFERROR(INDEX('QS Takeoff'!$C$3:$C$194,MATCH(B30,'QS Takeoff'!$B$3:$B$194,0)),"")</x:f>
      </x:c>
      <x:c r="E30" s="81" t="str">
        <x:f>IFERROR(INDEX('QS Takeoff'!$E$3:$E$194,MATCH(B30,'QS Takeoff'!$B$3:$B$194,0)),"")</x:f>
      </x:c>
      <x:c r="F30" s="81" t="str">
        <x:f>IFERROR(INDEX('QS Takeoff'!$D$3:$D$194,MATCH(B30,'QS Takeoff'!$B$3:$B$194,0)),"")</x:f>
      </x:c>
      <x:c r="G30" s="81" t="str">
        <x:f>IFERROR(INDEX('QS Takeoff'!$J$3:$J$194,MATCH(B30,'QS Takeoff'!$B$3:$B$194,0)),"")</x:f>
      </x:c>
      <x:c r="H30" s="53"/>
      <x:c r="I30" s="60"/>
      <x:c r="J30" s="60"/>
      <x:c r="K30" s="82" t="str">
        <x:f t="shared" si="0">IF(OR(B30="",I30="",I30=0),"",E30/I30)</x:f>
      </x:c>
      <x:c r="L30" s="60"/>
      <x:c r="M30" s="82" t="str">
        <x:f t="shared" si="1">IF(L30&gt;0,L30,K30)</x:f>
      </x:c>
      <x:c r="N30" s="53"/>
      <x:c r="O30" s="53"/>
      <x:c r="P30" s="53"/>
      <x:c r="Q30" s="81" t="str">
        <x:f>IFERROR(INDEX('Resource Rate Library'!$C$5:$C$85,MATCH(P30,'Resource Rate Library'!$A$5:$A$85,0)),"")</x:f>
      </x:c>
      <x:c r="R30" s="53"/>
      <x:c r="S30" s="53"/>
      <x:c r="T30" s="81" t="str">
        <x:f>IFERROR(INDEX('Resource Rate Library'!$E$5:$E$85,MATCH(P30,'Resource Rate Library'!$A$5:$A$85,0)),"")</x:f>
      </x:c>
      <x:c r="U30" s="62"/>
      <x:c r="V30" s="62"/>
      <x:c r="W30" s="83" t="n">
        <x:f>IFERROR(INDEX('Resource Rate Library'!$I$5:$I$85,MATCH(P30,'Resource Rate Library'!$A$5:$A$85,0)),0)</x:f>
        <x:v>0</x:v>
      </x:c>
      <x:c r="X30" s="52"/>
      <x:c r="Y30" s="83" t="n">
        <x:f t="shared" si="2">IF(X30&gt;0,X30,W30)</x:f>
        <x:v>0</x:v>
      </x:c>
      <x:c r="Z30" s="83" t="str">
        <x:f t="shared" si="3">IF(B30="","",IF(N30="Time x Count",M30*R30*IF(U30="",1,U30)*Y30,IF(N30="QS Qty x Factor",E30*R30*(1+IF(V30="",0,V30))*Y30,IF(N30="Direct Qty",S30*(1+IF(V30="",0,V30))*Y30,IF(N30="Lump Sum / Quote",S30*Y30,0)))))</x:f>
      </x:c>
      <x:c r="AA30" s="81" t="str">
        <x:f>IFERROR(INDEX('Resource Rate Library'!$N$5:$N$85,MATCH(P30,'Resource Rate Library'!$A$5:$A$85,0)),"")</x:f>
      </x:c>
      <x:c r="AB30" s="53"/>
      <x:c r="AC30" s="59"/>
      <x:c r="AD30" s="81" t="str">
        <x:f>IFERROR(INDEX('Resource Rate Library'!$G$5:$G$85,MATCH(P30,'Resource Rate Library'!$A$5:$A$85,0)),"")</x:f>
      </x:c>
      <x:c r="AE30" s="81" t="str">
        <x:f>IFERROR(INDEX('Resource Rate Library'!$H$5:$H$85,MATCH(P30,'Resource Rate Library'!$A$5:$A$85,0)),"")</x:f>
      </x:c>
      <x:c r="AF30" s="53"/>
      <x:c r="AG30" s="53"/>
      <x:c r="AH30" s="53"/>
      <x:c r="AI30" s="81" t="str">
        <x:f>IF(B30="","",IF(AND(P30="",N30&lt;&gt;"Lump Sum / Quote"),"RESOURCE CODE",IF(Y30=0,"RATE MISSING",IF(AND(O30="Plant",AD30="Yes",COUNTIFS($B$7:$B$306,B30,$O$7:$O$306,"Labour",$Q$7:$Q$306,"*Operator*")&gt;0),"OPERATOR DOUBLE-COUNT",IF(AND(O30="Plant",AE30="Yes",COUNTIFS($B$7:$B$306,B30,$Q$7:$Q$306,"*Fuel*")&gt;0),"FUEL DOUBLE-COUNT",IF(AH30&lt;&gt;"Yes","VERIFY","OK"))))))</x:f>
      </x:c>
      <x:c r="AJ30" s="54"/>
      <x:c r="AK30" s="473"/>
      <x:c r="AL30" s="473"/>
      <x:c r="AM30" s="473"/>
      <x:c r="AN30" s="500" t="n">
        <x:f>IF(AND(AK30="Yes",OR(O30="Labour",O30="Plant")),Z30,0)</x:f>
        <x:v>0</x:v>
      </x:c>
    </x:row>
    <x:row r="31" ht="22.049999237060547" customHeight="1">
      <x:c r="A31" s="80" t="str">
        <x:f>IF(B31="","",B31&amp;"-"&amp;TEXT(COUNTIF($B$7:B31,B31),"000"))</x:f>
      </x:c>
      <x:c r="B31" s="53"/>
      <x:c r="C31" s="81" t="str">
        <x:f>IFERROR(INDEX('QS Takeoff'!$A$3:$A$194,MATCH(B31,'QS Takeoff'!$B$3:$B$194,0)),"")</x:f>
      </x:c>
      <x:c r="D31" s="81" t="str">
        <x:f>IFERROR(INDEX('QS Takeoff'!$C$3:$C$194,MATCH(B31,'QS Takeoff'!$B$3:$B$194,0)),"")</x:f>
      </x:c>
      <x:c r="E31" s="81" t="str">
        <x:f>IFERROR(INDEX('QS Takeoff'!$E$3:$E$194,MATCH(B31,'QS Takeoff'!$B$3:$B$194,0)),"")</x:f>
      </x:c>
      <x:c r="F31" s="81" t="str">
        <x:f>IFERROR(INDEX('QS Takeoff'!$D$3:$D$194,MATCH(B31,'QS Takeoff'!$B$3:$B$194,0)),"")</x:f>
      </x:c>
      <x:c r="G31" s="81" t="str">
        <x:f>IFERROR(INDEX('QS Takeoff'!$J$3:$J$194,MATCH(B31,'QS Takeoff'!$B$3:$B$194,0)),"")</x:f>
      </x:c>
      <x:c r="H31" s="53"/>
      <x:c r="I31" s="60"/>
      <x:c r="J31" s="60"/>
      <x:c r="K31" s="82" t="str">
        <x:f t="shared" si="0">IF(OR(B31="",I31="",I31=0),"",E31/I31)</x:f>
      </x:c>
      <x:c r="L31" s="60"/>
      <x:c r="M31" s="82" t="str">
        <x:f t="shared" si="1">IF(L31&gt;0,L31,K31)</x:f>
      </x:c>
      <x:c r="N31" s="53"/>
      <x:c r="O31" s="53"/>
      <x:c r="P31" s="53"/>
      <x:c r="Q31" s="81" t="str">
        <x:f>IFERROR(INDEX('Resource Rate Library'!$C$5:$C$85,MATCH(P31,'Resource Rate Library'!$A$5:$A$85,0)),"")</x:f>
      </x:c>
      <x:c r="R31" s="53"/>
      <x:c r="S31" s="53"/>
      <x:c r="T31" s="81" t="str">
        <x:f>IFERROR(INDEX('Resource Rate Library'!$E$5:$E$85,MATCH(P31,'Resource Rate Library'!$A$5:$A$85,0)),"")</x:f>
      </x:c>
      <x:c r="U31" s="62"/>
      <x:c r="V31" s="62"/>
      <x:c r="W31" s="83" t="n">
        <x:f>IFERROR(INDEX('Resource Rate Library'!$I$5:$I$85,MATCH(P31,'Resource Rate Library'!$A$5:$A$85,0)),0)</x:f>
        <x:v>0</x:v>
      </x:c>
      <x:c r="X31" s="52"/>
      <x:c r="Y31" s="83" t="n">
        <x:f t="shared" si="2">IF(X31&gt;0,X31,W31)</x:f>
        <x:v>0</x:v>
      </x:c>
      <x:c r="Z31" s="83" t="str">
        <x:f t="shared" si="3">IF(B31="","",IF(N31="Time x Count",M31*R31*IF(U31="",1,U31)*Y31,IF(N31="QS Qty x Factor",E31*R31*(1+IF(V31="",0,V31))*Y31,IF(N31="Direct Qty",S31*(1+IF(V31="",0,V31))*Y31,IF(N31="Lump Sum / Quote",S31*Y31,0)))))</x:f>
      </x:c>
      <x:c r="AA31" s="81" t="str">
        <x:f>IFERROR(INDEX('Resource Rate Library'!$N$5:$N$85,MATCH(P31,'Resource Rate Library'!$A$5:$A$85,0)),"")</x:f>
      </x:c>
      <x:c r="AB31" s="53"/>
      <x:c r="AC31" s="59"/>
      <x:c r="AD31" s="81" t="str">
        <x:f>IFERROR(INDEX('Resource Rate Library'!$G$5:$G$85,MATCH(P31,'Resource Rate Library'!$A$5:$A$85,0)),"")</x:f>
      </x:c>
      <x:c r="AE31" s="81" t="str">
        <x:f>IFERROR(INDEX('Resource Rate Library'!$H$5:$H$85,MATCH(P31,'Resource Rate Library'!$A$5:$A$85,0)),"")</x:f>
      </x:c>
      <x:c r="AF31" s="53"/>
      <x:c r="AG31" s="53"/>
      <x:c r="AH31" s="53"/>
      <x:c r="AI31" s="81" t="str">
        <x:f>IF(B31="","",IF(AND(P31="",N31&lt;&gt;"Lump Sum / Quote"),"RESOURCE CODE",IF(Y31=0,"RATE MISSING",IF(AND(O31="Plant",AD31="Yes",COUNTIFS($B$7:$B$306,B31,$O$7:$O$306,"Labour",$Q$7:$Q$306,"*Operator*")&gt;0),"OPERATOR DOUBLE-COUNT",IF(AND(O31="Plant",AE31="Yes",COUNTIFS($B$7:$B$306,B31,$Q$7:$Q$306,"*Fuel*")&gt;0),"FUEL DOUBLE-COUNT",IF(AH31&lt;&gt;"Yes","VERIFY","OK"))))))</x:f>
      </x:c>
      <x:c r="AJ31" s="54"/>
      <x:c r="AK31" s="473"/>
      <x:c r="AL31" s="473"/>
      <x:c r="AM31" s="473"/>
      <x:c r="AN31" s="500" t="n">
        <x:f>IF(AND(AK31="Yes",OR(O31="Labour",O31="Plant")),Z31,0)</x:f>
        <x:v>0</x:v>
      </x:c>
    </x:row>
    <x:row r="32" ht="22.049999237060547" customHeight="1">
      <x:c r="A32" s="80" t="str">
        <x:f>IF(B32="","",B32&amp;"-"&amp;TEXT(COUNTIF($B$7:B32,B32),"000"))</x:f>
      </x:c>
      <x:c r="B32" s="53"/>
      <x:c r="C32" s="81" t="str">
        <x:f>IFERROR(INDEX('QS Takeoff'!$A$3:$A$194,MATCH(B32,'QS Takeoff'!$B$3:$B$194,0)),"")</x:f>
      </x:c>
      <x:c r="D32" s="81" t="str">
        <x:f>IFERROR(INDEX('QS Takeoff'!$C$3:$C$194,MATCH(B32,'QS Takeoff'!$B$3:$B$194,0)),"")</x:f>
      </x:c>
      <x:c r="E32" s="81" t="str">
        <x:f>IFERROR(INDEX('QS Takeoff'!$E$3:$E$194,MATCH(B32,'QS Takeoff'!$B$3:$B$194,0)),"")</x:f>
      </x:c>
      <x:c r="F32" s="81" t="str">
        <x:f>IFERROR(INDEX('QS Takeoff'!$D$3:$D$194,MATCH(B32,'QS Takeoff'!$B$3:$B$194,0)),"")</x:f>
      </x:c>
      <x:c r="G32" s="81" t="str">
        <x:f>IFERROR(INDEX('QS Takeoff'!$J$3:$J$194,MATCH(B32,'QS Takeoff'!$B$3:$B$194,0)),"")</x:f>
      </x:c>
      <x:c r="H32" s="53"/>
      <x:c r="I32" s="60"/>
      <x:c r="J32" s="60"/>
      <x:c r="K32" s="82" t="str">
        <x:f t="shared" si="0">IF(OR(B32="",I32="",I32=0),"",E32/I32)</x:f>
      </x:c>
      <x:c r="L32" s="60"/>
      <x:c r="M32" s="82" t="str">
        <x:f t="shared" si="1">IF(L32&gt;0,L32,K32)</x:f>
      </x:c>
      <x:c r="N32" s="53"/>
      <x:c r="O32" s="53"/>
      <x:c r="P32" s="53"/>
      <x:c r="Q32" s="81" t="str">
        <x:f>IFERROR(INDEX('Resource Rate Library'!$C$5:$C$85,MATCH(P32,'Resource Rate Library'!$A$5:$A$85,0)),"")</x:f>
      </x:c>
      <x:c r="R32" s="53"/>
      <x:c r="S32" s="53"/>
      <x:c r="T32" s="81" t="str">
        <x:f>IFERROR(INDEX('Resource Rate Library'!$E$5:$E$85,MATCH(P32,'Resource Rate Library'!$A$5:$A$85,0)),"")</x:f>
      </x:c>
      <x:c r="U32" s="62"/>
      <x:c r="V32" s="62"/>
      <x:c r="W32" s="83" t="n">
        <x:f>IFERROR(INDEX('Resource Rate Library'!$I$5:$I$85,MATCH(P32,'Resource Rate Library'!$A$5:$A$85,0)),0)</x:f>
        <x:v>0</x:v>
      </x:c>
      <x:c r="X32" s="52"/>
      <x:c r="Y32" s="83" t="n">
        <x:f t="shared" si="2">IF(X32&gt;0,X32,W32)</x:f>
        <x:v>0</x:v>
      </x:c>
      <x:c r="Z32" s="83" t="str">
        <x:f t="shared" si="3">IF(B32="","",IF(N32="Time x Count",M32*R32*IF(U32="",1,U32)*Y32,IF(N32="QS Qty x Factor",E32*R32*(1+IF(V32="",0,V32))*Y32,IF(N32="Direct Qty",S32*(1+IF(V32="",0,V32))*Y32,IF(N32="Lump Sum / Quote",S32*Y32,0)))))</x:f>
      </x:c>
      <x:c r="AA32" s="81" t="str">
        <x:f>IFERROR(INDEX('Resource Rate Library'!$N$5:$N$85,MATCH(P32,'Resource Rate Library'!$A$5:$A$85,0)),"")</x:f>
      </x:c>
      <x:c r="AB32" s="53"/>
      <x:c r="AC32" s="59"/>
      <x:c r="AD32" s="81" t="str">
        <x:f>IFERROR(INDEX('Resource Rate Library'!$G$5:$G$85,MATCH(P32,'Resource Rate Library'!$A$5:$A$85,0)),"")</x:f>
      </x:c>
      <x:c r="AE32" s="81" t="str">
        <x:f>IFERROR(INDEX('Resource Rate Library'!$H$5:$H$85,MATCH(P32,'Resource Rate Library'!$A$5:$A$85,0)),"")</x:f>
      </x:c>
      <x:c r="AF32" s="53"/>
      <x:c r="AG32" s="53"/>
      <x:c r="AH32" s="53"/>
      <x:c r="AI32" s="81" t="str">
        <x:f>IF(B32="","",IF(AND(P32="",N32&lt;&gt;"Lump Sum / Quote"),"RESOURCE CODE",IF(Y32=0,"RATE MISSING",IF(AND(O32="Plant",AD32="Yes",COUNTIFS($B$7:$B$306,B32,$O$7:$O$306,"Labour",$Q$7:$Q$306,"*Operator*")&gt;0),"OPERATOR DOUBLE-COUNT",IF(AND(O32="Plant",AE32="Yes",COUNTIFS($B$7:$B$306,B32,$Q$7:$Q$306,"*Fuel*")&gt;0),"FUEL DOUBLE-COUNT",IF(AH32&lt;&gt;"Yes","VERIFY","OK"))))))</x:f>
      </x:c>
      <x:c r="AJ32" s="54"/>
      <x:c r="AK32" s="473"/>
      <x:c r="AL32" s="473"/>
      <x:c r="AM32" s="473"/>
      <x:c r="AN32" s="500" t="n">
        <x:f>IF(AND(AK32="Yes",OR(O32="Labour",O32="Plant")),Z32,0)</x:f>
        <x:v>0</x:v>
      </x:c>
    </x:row>
    <x:row r="33" ht="22.049999237060547" customHeight="1">
      <x:c r="A33" s="80" t="str">
        <x:f>IF(B33="","",B33&amp;"-"&amp;TEXT(COUNTIF($B$7:B33,B33),"000"))</x:f>
      </x:c>
      <x:c r="B33" s="53"/>
      <x:c r="C33" s="81" t="str">
        <x:f>IFERROR(INDEX('QS Takeoff'!$A$3:$A$194,MATCH(B33,'QS Takeoff'!$B$3:$B$194,0)),"")</x:f>
      </x:c>
      <x:c r="D33" s="81" t="str">
        <x:f>IFERROR(INDEX('QS Takeoff'!$C$3:$C$194,MATCH(B33,'QS Takeoff'!$B$3:$B$194,0)),"")</x:f>
      </x:c>
      <x:c r="E33" s="81" t="str">
        <x:f>IFERROR(INDEX('QS Takeoff'!$E$3:$E$194,MATCH(B33,'QS Takeoff'!$B$3:$B$194,0)),"")</x:f>
      </x:c>
      <x:c r="F33" s="81" t="str">
        <x:f>IFERROR(INDEX('QS Takeoff'!$D$3:$D$194,MATCH(B33,'QS Takeoff'!$B$3:$B$194,0)),"")</x:f>
      </x:c>
      <x:c r="G33" s="81" t="str">
        <x:f>IFERROR(INDEX('QS Takeoff'!$J$3:$J$194,MATCH(B33,'QS Takeoff'!$B$3:$B$194,0)),"")</x:f>
      </x:c>
      <x:c r="H33" s="53"/>
      <x:c r="I33" s="60"/>
      <x:c r="J33" s="60"/>
      <x:c r="K33" s="82" t="str">
        <x:f t="shared" si="0">IF(OR(B33="",I33="",I33=0),"",E33/I33)</x:f>
      </x:c>
      <x:c r="L33" s="60"/>
      <x:c r="M33" s="82" t="str">
        <x:f t="shared" si="1">IF(L33&gt;0,L33,K33)</x:f>
      </x:c>
      <x:c r="N33" s="53"/>
      <x:c r="O33" s="53"/>
      <x:c r="P33" s="53"/>
      <x:c r="Q33" s="81" t="str">
        <x:f>IFERROR(INDEX('Resource Rate Library'!$C$5:$C$85,MATCH(P33,'Resource Rate Library'!$A$5:$A$85,0)),"")</x:f>
      </x:c>
      <x:c r="R33" s="53"/>
      <x:c r="S33" s="53"/>
      <x:c r="T33" s="81" t="str">
        <x:f>IFERROR(INDEX('Resource Rate Library'!$E$5:$E$85,MATCH(P33,'Resource Rate Library'!$A$5:$A$85,0)),"")</x:f>
      </x:c>
      <x:c r="U33" s="62"/>
      <x:c r="V33" s="62"/>
      <x:c r="W33" s="83" t="n">
        <x:f>IFERROR(INDEX('Resource Rate Library'!$I$5:$I$85,MATCH(P33,'Resource Rate Library'!$A$5:$A$85,0)),0)</x:f>
        <x:v>0</x:v>
      </x:c>
      <x:c r="X33" s="52"/>
      <x:c r="Y33" s="83" t="n">
        <x:f t="shared" si="2">IF(X33&gt;0,X33,W33)</x:f>
        <x:v>0</x:v>
      </x:c>
      <x:c r="Z33" s="83" t="str">
        <x:f t="shared" si="3">IF(B33="","",IF(N33="Time x Count",M33*R33*IF(U33="",1,U33)*Y33,IF(N33="QS Qty x Factor",E33*R33*(1+IF(V33="",0,V33))*Y33,IF(N33="Direct Qty",S33*(1+IF(V33="",0,V33))*Y33,IF(N33="Lump Sum / Quote",S33*Y33,0)))))</x:f>
      </x:c>
      <x:c r="AA33" s="81" t="str">
        <x:f>IFERROR(INDEX('Resource Rate Library'!$N$5:$N$85,MATCH(P33,'Resource Rate Library'!$A$5:$A$85,0)),"")</x:f>
      </x:c>
      <x:c r="AB33" s="53"/>
      <x:c r="AC33" s="59"/>
      <x:c r="AD33" s="81" t="str">
        <x:f>IFERROR(INDEX('Resource Rate Library'!$G$5:$G$85,MATCH(P33,'Resource Rate Library'!$A$5:$A$85,0)),"")</x:f>
      </x:c>
      <x:c r="AE33" s="81" t="str">
        <x:f>IFERROR(INDEX('Resource Rate Library'!$H$5:$H$85,MATCH(P33,'Resource Rate Library'!$A$5:$A$85,0)),"")</x:f>
      </x:c>
      <x:c r="AF33" s="53"/>
      <x:c r="AG33" s="53"/>
      <x:c r="AH33" s="53"/>
      <x:c r="AI33" s="81" t="str">
        <x:f>IF(B33="","",IF(AND(P33="",N33&lt;&gt;"Lump Sum / Quote"),"RESOURCE CODE",IF(Y33=0,"RATE MISSING",IF(AND(O33="Plant",AD33="Yes",COUNTIFS($B$7:$B$306,B33,$O$7:$O$306,"Labour",$Q$7:$Q$306,"*Operator*")&gt;0),"OPERATOR DOUBLE-COUNT",IF(AND(O33="Plant",AE33="Yes",COUNTIFS($B$7:$B$306,B33,$Q$7:$Q$306,"*Fuel*")&gt;0),"FUEL DOUBLE-COUNT",IF(AH33&lt;&gt;"Yes","VERIFY","OK"))))))</x:f>
      </x:c>
      <x:c r="AJ33" s="54"/>
      <x:c r="AK33" s="473"/>
      <x:c r="AL33" s="473"/>
      <x:c r="AM33" s="473"/>
      <x:c r="AN33" s="500" t="n">
        <x:f>IF(AND(AK33="Yes",OR(O33="Labour",O33="Plant")),Z33,0)</x:f>
        <x:v>0</x:v>
      </x:c>
    </x:row>
    <x:row r="34" ht="22.049999237060547" customHeight="1">
      <x:c r="A34" s="80" t="str">
        <x:f>IF(B34="","",B34&amp;"-"&amp;TEXT(COUNTIF($B$7:B34,B34),"000"))</x:f>
      </x:c>
      <x:c r="B34" s="53"/>
      <x:c r="C34" s="81" t="str">
        <x:f>IFERROR(INDEX('QS Takeoff'!$A$3:$A$194,MATCH(B34,'QS Takeoff'!$B$3:$B$194,0)),"")</x:f>
      </x:c>
      <x:c r="D34" s="81" t="str">
        <x:f>IFERROR(INDEX('QS Takeoff'!$C$3:$C$194,MATCH(B34,'QS Takeoff'!$B$3:$B$194,0)),"")</x:f>
      </x:c>
      <x:c r="E34" s="81" t="str">
        <x:f>IFERROR(INDEX('QS Takeoff'!$E$3:$E$194,MATCH(B34,'QS Takeoff'!$B$3:$B$194,0)),"")</x:f>
      </x:c>
      <x:c r="F34" s="81" t="str">
        <x:f>IFERROR(INDEX('QS Takeoff'!$D$3:$D$194,MATCH(B34,'QS Takeoff'!$B$3:$B$194,0)),"")</x:f>
      </x:c>
      <x:c r="G34" s="81" t="str">
        <x:f>IFERROR(INDEX('QS Takeoff'!$J$3:$J$194,MATCH(B34,'QS Takeoff'!$B$3:$B$194,0)),"")</x:f>
      </x:c>
      <x:c r="H34" s="53"/>
      <x:c r="I34" s="60"/>
      <x:c r="J34" s="60"/>
      <x:c r="K34" s="82" t="str">
        <x:f t="shared" si="0">IF(OR(B34="",I34="",I34=0),"",E34/I34)</x:f>
      </x:c>
      <x:c r="L34" s="60"/>
      <x:c r="M34" s="82" t="str">
        <x:f t="shared" si="1">IF(L34&gt;0,L34,K34)</x:f>
      </x:c>
      <x:c r="N34" s="53"/>
      <x:c r="O34" s="53"/>
      <x:c r="P34" s="53"/>
      <x:c r="Q34" s="81" t="str">
        <x:f>IFERROR(INDEX('Resource Rate Library'!$C$5:$C$85,MATCH(P34,'Resource Rate Library'!$A$5:$A$85,0)),"")</x:f>
      </x:c>
      <x:c r="R34" s="53"/>
      <x:c r="S34" s="53"/>
      <x:c r="T34" s="81" t="str">
        <x:f>IFERROR(INDEX('Resource Rate Library'!$E$5:$E$85,MATCH(P34,'Resource Rate Library'!$A$5:$A$85,0)),"")</x:f>
      </x:c>
      <x:c r="U34" s="62"/>
      <x:c r="V34" s="62"/>
      <x:c r="W34" s="83" t="n">
        <x:f>IFERROR(INDEX('Resource Rate Library'!$I$5:$I$85,MATCH(P34,'Resource Rate Library'!$A$5:$A$85,0)),0)</x:f>
        <x:v>0</x:v>
      </x:c>
      <x:c r="X34" s="52"/>
      <x:c r="Y34" s="83" t="n">
        <x:f t="shared" si="2">IF(X34&gt;0,X34,W34)</x:f>
        <x:v>0</x:v>
      </x:c>
      <x:c r="Z34" s="83" t="str">
        <x:f t="shared" si="3">IF(B34="","",IF(N34="Time x Count",M34*R34*IF(U34="",1,U34)*Y34,IF(N34="QS Qty x Factor",E34*R34*(1+IF(V34="",0,V34))*Y34,IF(N34="Direct Qty",S34*(1+IF(V34="",0,V34))*Y34,IF(N34="Lump Sum / Quote",S34*Y34,0)))))</x:f>
      </x:c>
      <x:c r="AA34" s="81" t="str">
        <x:f>IFERROR(INDEX('Resource Rate Library'!$N$5:$N$85,MATCH(P34,'Resource Rate Library'!$A$5:$A$85,0)),"")</x:f>
      </x:c>
      <x:c r="AB34" s="53"/>
      <x:c r="AC34" s="59"/>
      <x:c r="AD34" s="81" t="str">
        <x:f>IFERROR(INDEX('Resource Rate Library'!$G$5:$G$85,MATCH(P34,'Resource Rate Library'!$A$5:$A$85,0)),"")</x:f>
      </x:c>
      <x:c r="AE34" s="81" t="str">
        <x:f>IFERROR(INDEX('Resource Rate Library'!$H$5:$H$85,MATCH(P34,'Resource Rate Library'!$A$5:$A$85,0)),"")</x:f>
      </x:c>
      <x:c r="AF34" s="53"/>
      <x:c r="AG34" s="53"/>
      <x:c r="AH34" s="53"/>
      <x:c r="AI34" s="81" t="str">
        <x:f>IF(B34="","",IF(AND(P34="",N34&lt;&gt;"Lump Sum / Quote"),"RESOURCE CODE",IF(Y34=0,"RATE MISSING",IF(AND(O34="Plant",AD34="Yes",COUNTIFS($B$7:$B$306,B34,$O$7:$O$306,"Labour",$Q$7:$Q$306,"*Operator*")&gt;0),"OPERATOR DOUBLE-COUNT",IF(AND(O34="Plant",AE34="Yes",COUNTIFS($B$7:$B$306,B34,$Q$7:$Q$306,"*Fuel*")&gt;0),"FUEL DOUBLE-COUNT",IF(AH34&lt;&gt;"Yes","VERIFY","OK"))))))</x:f>
      </x:c>
      <x:c r="AJ34" s="54"/>
      <x:c r="AK34" s="473"/>
      <x:c r="AL34" s="473"/>
      <x:c r="AM34" s="473"/>
      <x:c r="AN34" s="500" t="n">
        <x:f>IF(AND(AK34="Yes",OR(O34="Labour",O34="Plant")),Z34,0)</x:f>
        <x:v>0</x:v>
      </x:c>
    </x:row>
    <x:row r="35" ht="22.049999237060547" customHeight="1">
      <x:c r="A35" s="80" t="str">
        <x:f>IF(B35="","",B35&amp;"-"&amp;TEXT(COUNTIF($B$7:B35,B35),"000"))</x:f>
      </x:c>
      <x:c r="B35" s="53"/>
      <x:c r="C35" s="81" t="str">
        <x:f>IFERROR(INDEX('QS Takeoff'!$A$3:$A$194,MATCH(B35,'QS Takeoff'!$B$3:$B$194,0)),"")</x:f>
      </x:c>
      <x:c r="D35" s="81" t="str">
        <x:f>IFERROR(INDEX('QS Takeoff'!$C$3:$C$194,MATCH(B35,'QS Takeoff'!$B$3:$B$194,0)),"")</x:f>
      </x:c>
      <x:c r="E35" s="81" t="str">
        <x:f>IFERROR(INDEX('QS Takeoff'!$E$3:$E$194,MATCH(B35,'QS Takeoff'!$B$3:$B$194,0)),"")</x:f>
      </x:c>
      <x:c r="F35" s="81" t="str">
        <x:f>IFERROR(INDEX('QS Takeoff'!$D$3:$D$194,MATCH(B35,'QS Takeoff'!$B$3:$B$194,0)),"")</x:f>
      </x:c>
      <x:c r="G35" s="81" t="str">
        <x:f>IFERROR(INDEX('QS Takeoff'!$J$3:$J$194,MATCH(B35,'QS Takeoff'!$B$3:$B$194,0)),"")</x:f>
      </x:c>
      <x:c r="H35" s="53"/>
      <x:c r="I35" s="60"/>
      <x:c r="J35" s="60"/>
      <x:c r="K35" s="82" t="str">
        <x:f t="shared" si="0">IF(OR(B35="",I35="",I35=0),"",E35/I35)</x:f>
      </x:c>
      <x:c r="L35" s="60"/>
      <x:c r="M35" s="82" t="str">
        <x:f t="shared" si="1">IF(L35&gt;0,L35,K35)</x:f>
      </x:c>
      <x:c r="N35" s="53"/>
      <x:c r="O35" s="53"/>
      <x:c r="P35" s="53"/>
      <x:c r="Q35" s="81" t="str">
        <x:f>IFERROR(INDEX('Resource Rate Library'!$C$5:$C$85,MATCH(P35,'Resource Rate Library'!$A$5:$A$85,0)),"")</x:f>
      </x:c>
      <x:c r="R35" s="53"/>
      <x:c r="S35" s="53"/>
      <x:c r="T35" s="81" t="str">
        <x:f>IFERROR(INDEX('Resource Rate Library'!$E$5:$E$85,MATCH(P35,'Resource Rate Library'!$A$5:$A$85,0)),"")</x:f>
      </x:c>
      <x:c r="U35" s="62"/>
      <x:c r="V35" s="62"/>
      <x:c r="W35" s="83" t="n">
        <x:f>IFERROR(INDEX('Resource Rate Library'!$I$5:$I$85,MATCH(P35,'Resource Rate Library'!$A$5:$A$85,0)),0)</x:f>
        <x:v>0</x:v>
      </x:c>
      <x:c r="X35" s="52"/>
      <x:c r="Y35" s="83" t="n">
        <x:f t="shared" si="2">IF(X35&gt;0,X35,W35)</x:f>
        <x:v>0</x:v>
      </x:c>
      <x:c r="Z35" s="83" t="str">
        <x:f t="shared" si="3">IF(B35="","",IF(N35="Time x Count",M35*R35*IF(U35="",1,U35)*Y35,IF(N35="QS Qty x Factor",E35*R35*(1+IF(V35="",0,V35))*Y35,IF(N35="Direct Qty",S35*(1+IF(V35="",0,V35))*Y35,IF(N35="Lump Sum / Quote",S35*Y35,0)))))</x:f>
      </x:c>
      <x:c r="AA35" s="81" t="str">
        <x:f>IFERROR(INDEX('Resource Rate Library'!$N$5:$N$85,MATCH(P35,'Resource Rate Library'!$A$5:$A$85,0)),"")</x:f>
      </x:c>
      <x:c r="AB35" s="53"/>
      <x:c r="AC35" s="59"/>
      <x:c r="AD35" s="81" t="str">
        <x:f>IFERROR(INDEX('Resource Rate Library'!$G$5:$G$85,MATCH(P35,'Resource Rate Library'!$A$5:$A$85,0)),"")</x:f>
      </x:c>
      <x:c r="AE35" s="81" t="str">
        <x:f>IFERROR(INDEX('Resource Rate Library'!$H$5:$H$85,MATCH(P35,'Resource Rate Library'!$A$5:$A$85,0)),"")</x:f>
      </x:c>
      <x:c r="AF35" s="53"/>
      <x:c r="AG35" s="53"/>
      <x:c r="AH35" s="53"/>
      <x:c r="AI35" s="81" t="str">
        <x:f>IF(B35="","",IF(AND(P35="",N35&lt;&gt;"Lump Sum / Quote"),"RESOURCE CODE",IF(Y35=0,"RATE MISSING",IF(AND(O35="Plant",AD35="Yes",COUNTIFS($B$7:$B$306,B35,$O$7:$O$306,"Labour",$Q$7:$Q$306,"*Operator*")&gt;0),"OPERATOR DOUBLE-COUNT",IF(AND(O35="Plant",AE35="Yes",COUNTIFS($B$7:$B$306,B35,$Q$7:$Q$306,"*Fuel*")&gt;0),"FUEL DOUBLE-COUNT",IF(AH35&lt;&gt;"Yes","VERIFY","OK"))))))</x:f>
      </x:c>
      <x:c r="AJ35" s="54"/>
      <x:c r="AK35" s="473"/>
      <x:c r="AL35" s="473"/>
      <x:c r="AM35" s="473"/>
      <x:c r="AN35" s="500" t="n">
        <x:f>IF(AND(AK35="Yes",OR(O35="Labour",O35="Plant")),Z35,0)</x:f>
        <x:v>0</x:v>
      </x:c>
    </x:row>
    <x:row r="36" ht="22.049999237060547" customHeight="1">
      <x:c r="A36" s="80" t="str">
        <x:f>IF(B36="","",B36&amp;"-"&amp;TEXT(COUNTIF($B$7:B36,B36),"000"))</x:f>
      </x:c>
      <x:c r="B36" s="53"/>
      <x:c r="C36" s="81" t="str">
        <x:f>IFERROR(INDEX('QS Takeoff'!$A$3:$A$194,MATCH(B36,'QS Takeoff'!$B$3:$B$194,0)),"")</x:f>
      </x:c>
      <x:c r="D36" s="81" t="str">
        <x:f>IFERROR(INDEX('QS Takeoff'!$C$3:$C$194,MATCH(B36,'QS Takeoff'!$B$3:$B$194,0)),"")</x:f>
      </x:c>
      <x:c r="E36" s="81" t="str">
        <x:f>IFERROR(INDEX('QS Takeoff'!$E$3:$E$194,MATCH(B36,'QS Takeoff'!$B$3:$B$194,0)),"")</x:f>
      </x:c>
      <x:c r="F36" s="81" t="str">
        <x:f>IFERROR(INDEX('QS Takeoff'!$D$3:$D$194,MATCH(B36,'QS Takeoff'!$B$3:$B$194,0)),"")</x:f>
      </x:c>
      <x:c r="G36" s="81" t="str">
        <x:f>IFERROR(INDEX('QS Takeoff'!$J$3:$J$194,MATCH(B36,'QS Takeoff'!$B$3:$B$194,0)),"")</x:f>
      </x:c>
      <x:c r="H36" s="53"/>
      <x:c r="I36" s="60"/>
      <x:c r="J36" s="60"/>
      <x:c r="K36" s="82" t="str">
        <x:f t="shared" si="0">IF(OR(B36="",I36="",I36=0),"",E36/I36)</x:f>
      </x:c>
      <x:c r="L36" s="60"/>
      <x:c r="M36" s="82" t="str">
        <x:f t="shared" si="1">IF(L36&gt;0,L36,K36)</x:f>
      </x:c>
      <x:c r="N36" s="53"/>
      <x:c r="O36" s="53"/>
      <x:c r="P36" s="53"/>
      <x:c r="Q36" s="81" t="str">
        <x:f>IFERROR(INDEX('Resource Rate Library'!$C$5:$C$85,MATCH(P36,'Resource Rate Library'!$A$5:$A$85,0)),"")</x:f>
      </x:c>
      <x:c r="R36" s="53"/>
      <x:c r="S36" s="53"/>
      <x:c r="T36" s="81" t="str">
        <x:f>IFERROR(INDEX('Resource Rate Library'!$E$5:$E$85,MATCH(P36,'Resource Rate Library'!$A$5:$A$85,0)),"")</x:f>
      </x:c>
      <x:c r="U36" s="62"/>
      <x:c r="V36" s="62"/>
      <x:c r="W36" s="83" t="n">
        <x:f>IFERROR(INDEX('Resource Rate Library'!$I$5:$I$85,MATCH(P36,'Resource Rate Library'!$A$5:$A$85,0)),0)</x:f>
        <x:v>0</x:v>
      </x:c>
      <x:c r="X36" s="52"/>
      <x:c r="Y36" s="83" t="n">
        <x:f t="shared" si="2">IF(X36&gt;0,X36,W36)</x:f>
        <x:v>0</x:v>
      </x:c>
      <x:c r="Z36" s="83" t="str">
        <x:f t="shared" si="3">IF(B36="","",IF(N36="Time x Count",M36*R36*IF(U36="",1,U36)*Y36,IF(N36="QS Qty x Factor",E36*R36*(1+IF(V36="",0,V36))*Y36,IF(N36="Direct Qty",S36*(1+IF(V36="",0,V36))*Y36,IF(N36="Lump Sum / Quote",S36*Y36,0)))))</x:f>
      </x:c>
      <x:c r="AA36" s="81" t="str">
        <x:f>IFERROR(INDEX('Resource Rate Library'!$N$5:$N$85,MATCH(P36,'Resource Rate Library'!$A$5:$A$85,0)),"")</x:f>
      </x:c>
      <x:c r="AB36" s="53"/>
      <x:c r="AC36" s="59"/>
      <x:c r="AD36" s="81" t="str">
        <x:f>IFERROR(INDEX('Resource Rate Library'!$G$5:$G$85,MATCH(P36,'Resource Rate Library'!$A$5:$A$85,0)),"")</x:f>
      </x:c>
      <x:c r="AE36" s="81" t="str">
        <x:f>IFERROR(INDEX('Resource Rate Library'!$H$5:$H$85,MATCH(P36,'Resource Rate Library'!$A$5:$A$85,0)),"")</x:f>
      </x:c>
      <x:c r="AF36" s="53"/>
      <x:c r="AG36" s="53"/>
      <x:c r="AH36" s="53"/>
      <x:c r="AI36" s="81" t="str">
        <x:f>IF(B36="","",IF(AND(P36="",N36&lt;&gt;"Lump Sum / Quote"),"RESOURCE CODE",IF(Y36=0,"RATE MISSING",IF(AND(O36="Plant",AD36="Yes",COUNTIFS($B$7:$B$306,B36,$O$7:$O$306,"Labour",$Q$7:$Q$306,"*Operator*")&gt;0),"OPERATOR DOUBLE-COUNT",IF(AND(O36="Plant",AE36="Yes",COUNTIFS($B$7:$B$306,B36,$Q$7:$Q$306,"*Fuel*")&gt;0),"FUEL DOUBLE-COUNT",IF(AH36&lt;&gt;"Yes","VERIFY","OK"))))))</x:f>
      </x:c>
      <x:c r="AJ36" s="54"/>
      <x:c r="AK36" s="473"/>
      <x:c r="AL36" s="473"/>
      <x:c r="AM36" s="473"/>
      <x:c r="AN36" s="500" t="n">
        <x:f>IF(AND(AK36="Yes",OR(O36="Labour",O36="Plant")),Z36,0)</x:f>
        <x:v>0</x:v>
      </x:c>
    </x:row>
    <x:row r="37" ht="22.049999237060547" customHeight="1">
      <x:c r="A37" s="80" t="str">
        <x:f>IF(B37="","",B37&amp;"-"&amp;TEXT(COUNTIF($B$7:B37,B37),"000"))</x:f>
      </x:c>
      <x:c r="B37" s="53"/>
      <x:c r="C37" s="81" t="str">
        <x:f>IFERROR(INDEX('QS Takeoff'!$A$3:$A$194,MATCH(B37,'QS Takeoff'!$B$3:$B$194,0)),"")</x:f>
      </x:c>
      <x:c r="D37" s="81" t="str">
        <x:f>IFERROR(INDEX('QS Takeoff'!$C$3:$C$194,MATCH(B37,'QS Takeoff'!$B$3:$B$194,0)),"")</x:f>
      </x:c>
      <x:c r="E37" s="81" t="str">
        <x:f>IFERROR(INDEX('QS Takeoff'!$E$3:$E$194,MATCH(B37,'QS Takeoff'!$B$3:$B$194,0)),"")</x:f>
      </x:c>
      <x:c r="F37" s="81" t="str">
        <x:f>IFERROR(INDEX('QS Takeoff'!$D$3:$D$194,MATCH(B37,'QS Takeoff'!$B$3:$B$194,0)),"")</x:f>
      </x:c>
      <x:c r="G37" s="81" t="str">
        <x:f>IFERROR(INDEX('QS Takeoff'!$J$3:$J$194,MATCH(B37,'QS Takeoff'!$B$3:$B$194,0)),"")</x:f>
      </x:c>
      <x:c r="H37" s="53"/>
      <x:c r="I37" s="60"/>
      <x:c r="J37" s="60"/>
      <x:c r="K37" s="82" t="str">
        <x:f t="shared" si="0">IF(OR(B37="",I37="",I37=0),"",E37/I37)</x:f>
      </x:c>
      <x:c r="L37" s="60"/>
      <x:c r="M37" s="82" t="str">
        <x:f t="shared" si="1">IF(L37&gt;0,L37,K37)</x:f>
      </x:c>
      <x:c r="N37" s="53"/>
      <x:c r="O37" s="53"/>
      <x:c r="P37" s="53"/>
      <x:c r="Q37" s="81" t="str">
        <x:f>IFERROR(INDEX('Resource Rate Library'!$C$5:$C$85,MATCH(P37,'Resource Rate Library'!$A$5:$A$85,0)),"")</x:f>
      </x:c>
      <x:c r="R37" s="53"/>
      <x:c r="S37" s="53"/>
      <x:c r="T37" s="81" t="str">
        <x:f>IFERROR(INDEX('Resource Rate Library'!$E$5:$E$85,MATCH(P37,'Resource Rate Library'!$A$5:$A$85,0)),"")</x:f>
      </x:c>
      <x:c r="U37" s="62"/>
      <x:c r="V37" s="62"/>
      <x:c r="W37" s="83" t="n">
        <x:f>IFERROR(INDEX('Resource Rate Library'!$I$5:$I$85,MATCH(P37,'Resource Rate Library'!$A$5:$A$85,0)),0)</x:f>
        <x:v>0</x:v>
      </x:c>
      <x:c r="X37" s="52"/>
      <x:c r="Y37" s="83" t="n">
        <x:f t="shared" si="2">IF(X37&gt;0,X37,W37)</x:f>
        <x:v>0</x:v>
      </x:c>
      <x:c r="Z37" s="83" t="str">
        <x:f t="shared" si="3">IF(B37="","",IF(N37="Time x Count",M37*R37*IF(U37="",1,U37)*Y37,IF(N37="QS Qty x Factor",E37*R37*(1+IF(V37="",0,V37))*Y37,IF(N37="Direct Qty",S37*(1+IF(V37="",0,V37))*Y37,IF(N37="Lump Sum / Quote",S37*Y37,0)))))</x:f>
      </x:c>
      <x:c r="AA37" s="81" t="str">
        <x:f>IFERROR(INDEX('Resource Rate Library'!$N$5:$N$85,MATCH(P37,'Resource Rate Library'!$A$5:$A$85,0)),"")</x:f>
      </x:c>
      <x:c r="AB37" s="53"/>
      <x:c r="AC37" s="59"/>
      <x:c r="AD37" s="81" t="str">
        <x:f>IFERROR(INDEX('Resource Rate Library'!$G$5:$G$85,MATCH(P37,'Resource Rate Library'!$A$5:$A$85,0)),"")</x:f>
      </x:c>
      <x:c r="AE37" s="81" t="str">
        <x:f>IFERROR(INDEX('Resource Rate Library'!$H$5:$H$85,MATCH(P37,'Resource Rate Library'!$A$5:$A$85,0)),"")</x:f>
      </x:c>
      <x:c r="AF37" s="53"/>
      <x:c r="AG37" s="53"/>
      <x:c r="AH37" s="53"/>
      <x:c r="AI37" s="81" t="str">
        <x:f>IF(B37="","",IF(AND(P37="",N37&lt;&gt;"Lump Sum / Quote"),"RESOURCE CODE",IF(Y37=0,"RATE MISSING",IF(AND(O37="Plant",AD37="Yes",COUNTIFS($B$7:$B$306,B37,$O$7:$O$306,"Labour",$Q$7:$Q$306,"*Operator*")&gt;0),"OPERATOR DOUBLE-COUNT",IF(AND(O37="Plant",AE37="Yes",COUNTIFS($B$7:$B$306,B37,$Q$7:$Q$306,"*Fuel*")&gt;0),"FUEL DOUBLE-COUNT",IF(AH37&lt;&gt;"Yes","VERIFY","OK"))))))</x:f>
      </x:c>
      <x:c r="AJ37" s="54"/>
      <x:c r="AK37" s="473"/>
      <x:c r="AL37" s="473"/>
      <x:c r="AM37" s="473"/>
      <x:c r="AN37" s="500" t="n">
        <x:f>IF(AND(AK37="Yes",OR(O37="Labour",O37="Plant")),Z37,0)</x:f>
        <x:v>0</x:v>
      </x:c>
    </x:row>
    <x:row r="38" ht="22.049999237060547" customHeight="1">
      <x:c r="A38" s="80" t="str">
        <x:f>IF(B38="","",B38&amp;"-"&amp;TEXT(COUNTIF($B$7:B38,B38),"000"))</x:f>
      </x:c>
      <x:c r="B38" s="53"/>
      <x:c r="C38" s="81" t="str">
        <x:f>IFERROR(INDEX('QS Takeoff'!$A$3:$A$194,MATCH(B38,'QS Takeoff'!$B$3:$B$194,0)),"")</x:f>
      </x:c>
      <x:c r="D38" s="81" t="str">
        <x:f>IFERROR(INDEX('QS Takeoff'!$C$3:$C$194,MATCH(B38,'QS Takeoff'!$B$3:$B$194,0)),"")</x:f>
      </x:c>
      <x:c r="E38" s="81" t="str">
        <x:f>IFERROR(INDEX('QS Takeoff'!$E$3:$E$194,MATCH(B38,'QS Takeoff'!$B$3:$B$194,0)),"")</x:f>
      </x:c>
      <x:c r="F38" s="81" t="str">
        <x:f>IFERROR(INDEX('QS Takeoff'!$D$3:$D$194,MATCH(B38,'QS Takeoff'!$B$3:$B$194,0)),"")</x:f>
      </x:c>
      <x:c r="G38" s="81" t="str">
        <x:f>IFERROR(INDEX('QS Takeoff'!$J$3:$J$194,MATCH(B38,'QS Takeoff'!$B$3:$B$194,0)),"")</x:f>
      </x:c>
      <x:c r="H38" s="53"/>
      <x:c r="I38" s="60"/>
      <x:c r="J38" s="60"/>
      <x:c r="K38" s="82" t="str">
        <x:f t="shared" si="0">IF(OR(B38="",I38="",I38=0),"",E38/I38)</x:f>
      </x:c>
      <x:c r="L38" s="60"/>
      <x:c r="M38" s="82" t="str">
        <x:f t="shared" si="1">IF(L38&gt;0,L38,K38)</x:f>
      </x:c>
      <x:c r="N38" s="53"/>
      <x:c r="O38" s="53"/>
      <x:c r="P38" s="53"/>
      <x:c r="Q38" s="81" t="str">
        <x:f>IFERROR(INDEX('Resource Rate Library'!$C$5:$C$85,MATCH(P38,'Resource Rate Library'!$A$5:$A$85,0)),"")</x:f>
      </x:c>
      <x:c r="R38" s="53"/>
      <x:c r="S38" s="53"/>
      <x:c r="T38" s="81" t="str">
        <x:f>IFERROR(INDEX('Resource Rate Library'!$E$5:$E$85,MATCH(P38,'Resource Rate Library'!$A$5:$A$85,0)),"")</x:f>
      </x:c>
      <x:c r="U38" s="62"/>
      <x:c r="V38" s="62"/>
      <x:c r="W38" s="83" t="n">
        <x:f>IFERROR(INDEX('Resource Rate Library'!$I$5:$I$85,MATCH(P38,'Resource Rate Library'!$A$5:$A$85,0)),0)</x:f>
        <x:v>0</x:v>
      </x:c>
      <x:c r="X38" s="52"/>
      <x:c r="Y38" s="83" t="n">
        <x:f t="shared" si="2">IF(X38&gt;0,X38,W38)</x:f>
        <x:v>0</x:v>
      </x:c>
      <x:c r="Z38" s="83" t="str">
        <x:f t="shared" si="3">IF(B38="","",IF(N38="Time x Count",M38*R38*IF(U38="",1,U38)*Y38,IF(N38="QS Qty x Factor",E38*R38*(1+IF(V38="",0,V38))*Y38,IF(N38="Direct Qty",S38*(1+IF(V38="",0,V38))*Y38,IF(N38="Lump Sum / Quote",S38*Y38,0)))))</x:f>
      </x:c>
      <x:c r="AA38" s="81" t="str">
        <x:f>IFERROR(INDEX('Resource Rate Library'!$N$5:$N$85,MATCH(P38,'Resource Rate Library'!$A$5:$A$85,0)),"")</x:f>
      </x:c>
      <x:c r="AB38" s="53"/>
      <x:c r="AC38" s="59"/>
      <x:c r="AD38" s="81" t="str">
        <x:f>IFERROR(INDEX('Resource Rate Library'!$G$5:$G$85,MATCH(P38,'Resource Rate Library'!$A$5:$A$85,0)),"")</x:f>
      </x:c>
      <x:c r="AE38" s="81" t="str">
        <x:f>IFERROR(INDEX('Resource Rate Library'!$H$5:$H$85,MATCH(P38,'Resource Rate Library'!$A$5:$A$85,0)),"")</x:f>
      </x:c>
      <x:c r="AF38" s="53"/>
      <x:c r="AG38" s="53"/>
      <x:c r="AH38" s="53"/>
      <x:c r="AI38" s="81" t="str">
        <x:f>IF(B38="","",IF(AND(P38="",N38&lt;&gt;"Lump Sum / Quote"),"RESOURCE CODE",IF(Y38=0,"RATE MISSING",IF(AND(O38="Plant",AD38="Yes",COUNTIFS($B$7:$B$306,B38,$O$7:$O$306,"Labour",$Q$7:$Q$306,"*Operator*")&gt;0),"OPERATOR DOUBLE-COUNT",IF(AND(O38="Plant",AE38="Yes",COUNTIFS($B$7:$B$306,B38,$Q$7:$Q$306,"*Fuel*")&gt;0),"FUEL DOUBLE-COUNT",IF(AH38&lt;&gt;"Yes","VERIFY","OK"))))))</x:f>
      </x:c>
      <x:c r="AJ38" s="54"/>
      <x:c r="AK38" s="473"/>
      <x:c r="AL38" s="473"/>
      <x:c r="AM38" s="473"/>
      <x:c r="AN38" s="500" t="n">
        <x:f>IF(AND(AK38="Yes",OR(O38="Labour",O38="Plant")),Z38,0)</x:f>
        <x:v>0</x:v>
      </x:c>
    </x:row>
    <x:row r="39" ht="22.049999237060547" customHeight="1">
      <x:c r="A39" s="80" t="str">
        <x:f>IF(B39="","",B39&amp;"-"&amp;TEXT(COUNTIF($B$7:B39,B39),"000"))</x:f>
      </x:c>
      <x:c r="B39" s="53"/>
      <x:c r="C39" s="81" t="str">
        <x:f>IFERROR(INDEX('QS Takeoff'!$A$3:$A$194,MATCH(B39,'QS Takeoff'!$B$3:$B$194,0)),"")</x:f>
      </x:c>
      <x:c r="D39" s="81" t="str">
        <x:f>IFERROR(INDEX('QS Takeoff'!$C$3:$C$194,MATCH(B39,'QS Takeoff'!$B$3:$B$194,0)),"")</x:f>
      </x:c>
      <x:c r="E39" s="81" t="str">
        <x:f>IFERROR(INDEX('QS Takeoff'!$E$3:$E$194,MATCH(B39,'QS Takeoff'!$B$3:$B$194,0)),"")</x:f>
      </x:c>
      <x:c r="F39" s="81" t="str">
        <x:f>IFERROR(INDEX('QS Takeoff'!$D$3:$D$194,MATCH(B39,'QS Takeoff'!$B$3:$B$194,0)),"")</x:f>
      </x:c>
      <x:c r="G39" s="81" t="str">
        <x:f>IFERROR(INDEX('QS Takeoff'!$J$3:$J$194,MATCH(B39,'QS Takeoff'!$B$3:$B$194,0)),"")</x:f>
      </x:c>
      <x:c r="H39" s="53"/>
      <x:c r="I39" s="60"/>
      <x:c r="J39" s="60"/>
      <x:c r="K39" s="82" t="str">
        <x:f t="shared" si="0">IF(OR(B39="",I39="",I39=0),"",E39/I39)</x:f>
      </x:c>
      <x:c r="L39" s="60"/>
      <x:c r="M39" s="82" t="str">
        <x:f t="shared" si="1">IF(L39&gt;0,L39,K39)</x:f>
      </x:c>
      <x:c r="N39" s="53"/>
      <x:c r="O39" s="53"/>
      <x:c r="P39" s="53"/>
      <x:c r="Q39" s="81" t="str">
        <x:f>IFERROR(INDEX('Resource Rate Library'!$C$5:$C$85,MATCH(P39,'Resource Rate Library'!$A$5:$A$85,0)),"")</x:f>
      </x:c>
      <x:c r="R39" s="53"/>
      <x:c r="S39" s="53"/>
      <x:c r="T39" s="81" t="str">
        <x:f>IFERROR(INDEX('Resource Rate Library'!$E$5:$E$85,MATCH(P39,'Resource Rate Library'!$A$5:$A$85,0)),"")</x:f>
      </x:c>
      <x:c r="U39" s="62"/>
      <x:c r="V39" s="62"/>
      <x:c r="W39" s="83" t="n">
        <x:f>IFERROR(INDEX('Resource Rate Library'!$I$5:$I$85,MATCH(P39,'Resource Rate Library'!$A$5:$A$85,0)),0)</x:f>
        <x:v>0</x:v>
      </x:c>
      <x:c r="X39" s="52"/>
      <x:c r="Y39" s="83" t="n">
        <x:f t="shared" si="2">IF(X39&gt;0,X39,W39)</x:f>
        <x:v>0</x:v>
      </x:c>
      <x:c r="Z39" s="83" t="str">
        <x:f t="shared" si="3">IF(B39="","",IF(N39="Time x Count",M39*R39*IF(U39="",1,U39)*Y39,IF(N39="QS Qty x Factor",E39*R39*(1+IF(V39="",0,V39))*Y39,IF(N39="Direct Qty",S39*(1+IF(V39="",0,V39))*Y39,IF(N39="Lump Sum / Quote",S39*Y39,0)))))</x:f>
      </x:c>
      <x:c r="AA39" s="81" t="str">
        <x:f>IFERROR(INDEX('Resource Rate Library'!$N$5:$N$85,MATCH(P39,'Resource Rate Library'!$A$5:$A$85,0)),"")</x:f>
      </x:c>
      <x:c r="AB39" s="53"/>
      <x:c r="AC39" s="59"/>
      <x:c r="AD39" s="81" t="str">
        <x:f>IFERROR(INDEX('Resource Rate Library'!$G$5:$G$85,MATCH(P39,'Resource Rate Library'!$A$5:$A$85,0)),"")</x:f>
      </x:c>
      <x:c r="AE39" s="81" t="str">
        <x:f>IFERROR(INDEX('Resource Rate Library'!$H$5:$H$85,MATCH(P39,'Resource Rate Library'!$A$5:$A$85,0)),"")</x:f>
      </x:c>
      <x:c r="AF39" s="53"/>
      <x:c r="AG39" s="53"/>
      <x:c r="AH39" s="53"/>
      <x:c r="AI39" s="81" t="str">
        <x:f>IF(B39="","",IF(AND(P39="",N39&lt;&gt;"Lump Sum / Quote"),"RESOURCE CODE",IF(Y39=0,"RATE MISSING",IF(AND(O39="Plant",AD39="Yes",COUNTIFS($B$7:$B$306,B39,$O$7:$O$306,"Labour",$Q$7:$Q$306,"*Operator*")&gt;0),"OPERATOR DOUBLE-COUNT",IF(AND(O39="Plant",AE39="Yes",COUNTIFS($B$7:$B$306,B39,$Q$7:$Q$306,"*Fuel*")&gt;0),"FUEL DOUBLE-COUNT",IF(AH39&lt;&gt;"Yes","VERIFY","OK"))))))</x:f>
      </x:c>
      <x:c r="AJ39" s="54"/>
      <x:c r="AK39" s="473"/>
      <x:c r="AL39" s="473"/>
      <x:c r="AM39" s="473"/>
      <x:c r="AN39" s="500" t="n">
        <x:f>IF(AND(AK39="Yes",OR(O39="Labour",O39="Plant")),Z39,0)</x:f>
        <x:v>0</x:v>
      </x:c>
    </x:row>
    <x:row r="40" ht="22.049999237060547" customHeight="1">
      <x:c r="A40" s="80" t="str">
        <x:f>IF(B40="","",B40&amp;"-"&amp;TEXT(COUNTIF($B$7:B40,B40),"000"))</x:f>
      </x:c>
      <x:c r="B40" s="53"/>
      <x:c r="C40" s="81" t="str">
        <x:f>IFERROR(INDEX('QS Takeoff'!$A$3:$A$194,MATCH(B40,'QS Takeoff'!$B$3:$B$194,0)),"")</x:f>
      </x:c>
      <x:c r="D40" s="81" t="str">
        <x:f>IFERROR(INDEX('QS Takeoff'!$C$3:$C$194,MATCH(B40,'QS Takeoff'!$B$3:$B$194,0)),"")</x:f>
      </x:c>
      <x:c r="E40" s="81" t="str">
        <x:f>IFERROR(INDEX('QS Takeoff'!$E$3:$E$194,MATCH(B40,'QS Takeoff'!$B$3:$B$194,0)),"")</x:f>
      </x:c>
      <x:c r="F40" s="81" t="str">
        <x:f>IFERROR(INDEX('QS Takeoff'!$D$3:$D$194,MATCH(B40,'QS Takeoff'!$B$3:$B$194,0)),"")</x:f>
      </x:c>
      <x:c r="G40" s="81" t="str">
        <x:f>IFERROR(INDEX('QS Takeoff'!$J$3:$J$194,MATCH(B40,'QS Takeoff'!$B$3:$B$194,0)),"")</x:f>
      </x:c>
      <x:c r="H40" s="53"/>
      <x:c r="I40" s="60"/>
      <x:c r="J40" s="60"/>
      <x:c r="K40" s="82" t="str">
        <x:f t="shared" si="0">IF(OR(B40="",I40="",I40=0),"",E40/I40)</x:f>
      </x:c>
      <x:c r="L40" s="60"/>
      <x:c r="M40" s="82" t="str">
        <x:f t="shared" si="1">IF(L40&gt;0,L40,K40)</x:f>
      </x:c>
      <x:c r="N40" s="53"/>
      <x:c r="O40" s="53"/>
      <x:c r="P40" s="53"/>
      <x:c r="Q40" s="81" t="str">
        <x:f>IFERROR(INDEX('Resource Rate Library'!$C$5:$C$85,MATCH(P40,'Resource Rate Library'!$A$5:$A$85,0)),"")</x:f>
      </x:c>
      <x:c r="R40" s="53"/>
      <x:c r="S40" s="53"/>
      <x:c r="T40" s="81" t="str">
        <x:f>IFERROR(INDEX('Resource Rate Library'!$E$5:$E$85,MATCH(P40,'Resource Rate Library'!$A$5:$A$85,0)),"")</x:f>
      </x:c>
      <x:c r="U40" s="62"/>
      <x:c r="V40" s="62"/>
      <x:c r="W40" s="83" t="n">
        <x:f>IFERROR(INDEX('Resource Rate Library'!$I$5:$I$85,MATCH(P40,'Resource Rate Library'!$A$5:$A$85,0)),0)</x:f>
        <x:v>0</x:v>
      </x:c>
      <x:c r="X40" s="52"/>
      <x:c r="Y40" s="83" t="n">
        <x:f t="shared" si="2">IF(X40&gt;0,X40,W40)</x:f>
        <x:v>0</x:v>
      </x:c>
      <x:c r="Z40" s="83" t="str">
        <x:f t="shared" si="3">IF(B40="","",IF(N40="Time x Count",M40*R40*IF(U40="",1,U40)*Y40,IF(N40="QS Qty x Factor",E40*R40*(1+IF(V40="",0,V40))*Y40,IF(N40="Direct Qty",S40*(1+IF(V40="",0,V40))*Y40,IF(N40="Lump Sum / Quote",S40*Y40,0)))))</x:f>
      </x:c>
      <x:c r="AA40" s="81" t="str">
        <x:f>IFERROR(INDEX('Resource Rate Library'!$N$5:$N$85,MATCH(P40,'Resource Rate Library'!$A$5:$A$85,0)),"")</x:f>
      </x:c>
      <x:c r="AB40" s="53"/>
      <x:c r="AC40" s="59"/>
      <x:c r="AD40" s="81" t="str">
        <x:f>IFERROR(INDEX('Resource Rate Library'!$G$5:$G$85,MATCH(P40,'Resource Rate Library'!$A$5:$A$85,0)),"")</x:f>
      </x:c>
      <x:c r="AE40" s="81" t="str">
        <x:f>IFERROR(INDEX('Resource Rate Library'!$H$5:$H$85,MATCH(P40,'Resource Rate Library'!$A$5:$A$85,0)),"")</x:f>
      </x:c>
      <x:c r="AF40" s="53"/>
      <x:c r="AG40" s="53"/>
      <x:c r="AH40" s="53"/>
      <x:c r="AI40" s="81" t="str">
        <x:f>IF(B40="","",IF(AND(P40="",N40&lt;&gt;"Lump Sum / Quote"),"RESOURCE CODE",IF(Y40=0,"RATE MISSING",IF(AND(O40="Plant",AD40="Yes",COUNTIFS($B$7:$B$306,B40,$O$7:$O$306,"Labour",$Q$7:$Q$306,"*Operator*")&gt;0),"OPERATOR DOUBLE-COUNT",IF(AND(O40="Plant",AE40="Yes",COUNTIFS($B$7:$B$306,B40,$Q$7:$Q$306,"*Fuel*")&gt;0),"FUEL DOUBLE-COUNT",IF(AH40&lt;&gt;"Yes","VERIFY","OK"))))))</x:f>
      </x:c>
      <x:c r="AJ40" s="54"/>
      <x:c r="AK40" s="473"/>
      <x:c r="AL40" s="473"/>
      <x:c r="AM40" s="473"/>
      <x:c r="AN40" s="500" t="n">
        <x:f>IF(AND(AK40="Yes",OR(O40="Labour",O40="Plant")),Z40,0)</x:f>
        <x:v>0</x:v>
      </x:c>
    </x:row>
    <x:row r="41" ht="22.049999237060547" customHeight="1">
      <x:c r="A41" s="80" t="str">
        <x:f>IF(B41="","",B41&amp;"-"&amp;TEXT(COUNTIF($B$7:B41,B41),"000"))</x:f>
      </x:c>
      <x:c r="B41" s="53"/>
      <x:c r="C41" s="81" t="str">
        <x:f>IFERROR(INDEX('QS Takeoff'!$A$3:$A$194,MATCH(B41,'QS Takeoff'!$B$3:$B$194,0)),"")</x:f>
      </x:c>
      <x:c r="D41" s="81" t="str">
        <x:f>IFERROR(INDEX('QS Takeoff'!$C$3:$C$194,MATCH(B41,'QS Takeoff'!$B$3:$B$194,0)),"")</x:f>
      </x:c>
      <x:c r="E41" s="81" t="str">
        <x:f>IFERROR(INDEX('QS Takeoff'!$E$3:$E$194,MATCH(B41,'QS Takeoff'!$B$3:$B$194,0)),"")</x:f>
      </x:c>
      <x:c r="F41" s="81" t="str">
        <x:f>IFERROR(INDEX('QS Takeoff'!$D$3:$D$194,MATCH(B41,'QS Takeoff'!$B$3:$B$194,0)),"")</x:f>
      </x:c>
      <x:c r="G41" s="81" t="str">
        <x:f>IFERROR(INDEX('QS Takeoff'!$J$3:$J$194,MATCH(B41,'QS Takeoff'!$B$3:$B$194,0)),"")</x:f>
      </x:c>
      <x:c r="H41" s="53"/>
      <x:c r="I41" s="60"/>
      <x:c r="J41" s="60"/>
      <x:c r="K41" s="82" t="str">
        <x:f t="shared" si="0">IF(OR(B41="",I41="",I41=0),"",E41/I41)</x:f>
      </x:c>
      <x:c r="L41" s="60"/>
      <x:c r="M41" s="82" t="str">
        <x:f t="shared" si="1">IF(L41&gt;0,L41,K41)</x:f>
      </x:c>
      <x:c r="N41" s="53"/>
      <x:c r="O41" s="53"/>
      <x:c r="P41" s="53"/>
      <x:c r="Q41" s="81" t="str">
        <x:f>IFERROR(INDEX('Resource Rate Library'!$C$5:$C$85,MATCH(P41,'Resource Rate Library'!$A$5:$A$85,0)),"")</x:f>
      </x:c>
      <x:c r="R41" s="53"/>
      <x:c r="S41" s="53"/>
      <x:c r="T41" s="81" t="str">
        <x:f>IFERROR(INDEX('Resource Rate Library'!$E$5:$E$85,MATCH(P41,'Resource Rate Library'!$A$5:$A$85,0)),"")</x:f>
      </x:c>
      <x:c r="U41" s="62"/>
      <x:c r="V41" s="62"/>
      <x:c r="W41" s="83" t="n">
        <x:f>IFERROR(INDEX('Resource Rate Library'!$I$5:$I$85,MATCH(P41,'Resource Rate Library'!$A$5:$A$85,0)),0)</x:f>
        <x:v>0</x:v>
      </x:c>
      <x:c r="X41" s="52"/>
      <x:c r="Y41" s="83" t="n">
        <x:f t="shared" si="2">IF(X41&gt;0,X41,W41)</x:f>
        <x:v>0</x:v>
      </x:c>
      <x:c r="Z41" s="83" t="str">
        <x:f t="shared" si="3">IF(B41="","",IF(N41="Time x Count",M41*R41*IF(U41="",1,U41)*Y41,IF(N41="QS Qty x Factor",E41*R41*(1+IF(V41="",0,V41))*Y41,IF(N41="Direct Qty",S41*(1+IF(V41="",0,V41))*Y41,IF(N41="Lump Sum / Quote",S41*Y41,0)))))</x:f>
      </x:c>
      <x:c r="AA41" s="81" t="str">
        <x:f>IFERROR(INDEX('Resource Rate Library'!$N$5:$N$85,MATCH(P41,'Resource Rate Library'!$A$5:$A$85,0)),"")</x:f>
      </x:c>
      <x:c r="AB41" s="53"/>
      <x:c r="AC41" s="59"/>
      <x:c r="AD41" s="81" t="str">
        <x:f>IFERROR(INDEX('Resource Rate Library'!$G$5:$G$85,MATCH(P41,'Resource Rate Library'!$A$5:$A$85,0)),"")</x:f>
      </x:c>
      <x:c r="AE41" s="81" t="str">
        <x:f>IFERROR(INDEX('Resource Rate Library'!$H$5:$H$85,MATCH(P41,'Resource Rate Library'!$A$5:$A$85,0)),"")</x:f>
      </x:c>
      <x:c r="AF41" s="53"/>
      <x:c r="AG41" s="53"/>
      <x:c r="AH41" s="53"/>
      <x:c r="AI41" s="81" t="str">
        <x:f>IF(B41="","",IF(AND(P41="",N41&lt;&gt;"Lump Sum / Quote"),"RESOURCE CODE",IF(Y41=0,"RATE MISSING",IF(AND(O41="Plant",AD41="Yes",COUNTIFS($B$7:$B$306,B41,$O$7:$O$306,"Labour",$Q$7:$Q$306,"*Operator*")&gt;0),"OPERATOR DOUBLE-COUNT",IF(AND(O41="Plant",AE41="Yes",COUNTIFS($B$7:$B$306,B41,$Q$7:$Q$306,"*Fuel*")&gt;0),"FUEL DOUBLE-COUNT",IF(AH41&lt;&gt;"Yes","VERIFY","OK"))))))</x:f>
      </x:c>
      <x:c r="AJ41" s="54"/>
      <x:c r="AK41" s="473"/>
      <x:c r="AL41" s="473"/>
      <x:c r="AM41" s="473"/>
      <x:c r="AN41" s="500" t="n">
        <x:f>IF(AND(AK41="Yes",OR(O41="Labour",O41="Plant")),Z41,0)</x:f>
        <x:v>0</x:v>
      </x:c>
    </x:row>
    <x:row r="42" ht="22.049999237060547" customHeight="1">
      <x:c r="A42" s="80" t="str">
        <x:f>IF(B42="","",B42&amp;"-"&amp;TEXT(COUNTIF($B$7:B42,B42),"000"))</x:f>
      </x:c>
      <x:c r="B42" s="53"/>
      <x:c r="C42" s="81" t="str">
        <x:f>IFERROR(INDEX('QS Takeoff'!$A$3:$A$194,MATCH(B42,'QS Takeoff'!$B$3:$B$194,0)),"")</x:f>
      </x:c>
      <x:c r="D42" s="81" t="str">
        <x:f>IFERROR(INDEX('QS Takeoff'!$C$3:$C$194,MATCH(B42,'QS Takeoff'!$B$3:$B$194,0)),"")</x:f>
      </x:c>
      <x:c r="E42" s="81" t="str">
        <x:f>IFERROR(INDEX('QS Takeoff'!$E$3:$E$194,MATCH(B42,'QS Takeoff'!$B$3:$B$194,0)),"")</x:f>
      </x:c>
      <x:c r="F42" s="81" t="str">
        <x:f>IFERROR(INDEX('QS Takeoff'!$D$3:$D$194,MATCH(B42,'QS Takeoff'!$B$3:$B$194,0)),"")</x:f>
      </x:c>
      <x:c r="G42" s="81" t="str">
        <x:f>IFERROR(INDEX('QS Takeoff'!$J$3:$J$194,MATCH(B42,'QS Takeoff'!$B$3:$B$194,0)),"")</x:f>
      </x:c>
      <x:c r="H42" s="53"/>
      <x:c r="I42" s="60"/>
      <x:c r="J42" s="60"/>
      <x:c r="K42" s="82" t="str">
        <x:f t="shared" si="0">IF(OR(B42="",I42="",I42=0),"",E42/I42)</x:f>
      </x:c>
      <x:c r="L42" s="60"/>
      <x:c r="M42" s="82" t="str">
        <x:f t="shared" si="1">IF(L42&gt;0,L42,K42)</x:f>
      </x:c>
      <x:c r="N42" s="53"/>
      <x:c r="O42" s="53"/>
      <x:c r="P42" s="53"/>
      <x:c r="Q42" s="81" t="str">
        <x:f>IFERROR(INDEX('Resource Rate Library'!$C$5:$C$85,MATCH(P42,'Resource Rate Library'!$A$5:$A$85,0)),"")</x:f>
      </x:c>
      <x:c r="R42" s="53"/>
      <x:c r="S42" s="53"/>
      <x:c r="T42" s="81" t="str">
        <x:f>IFERROR(INDEX('Resource Rate Library'!$E$5:$E$85,MATCH(P42,'Resource Rate Library'!$A$5:$A$85,0)),"")</x:f>
      </x:c>
      <x:c r="U42" s="62"/>
      <x:c r="V42" s="62"/>
      <x:c r="W42" s="83" t="n">
        <x:f>IFERROR(INDEX('Resource Rate Library'!$I$5:$I$85,MATCH(P42,'Resource Rate Library'!$A$5:$A$85,0)),0)</x:f>
        <x:v>0</x:v>
      </x:c>
      <x:c r="X42" s="52"/>
      <x:c r="Y42" s="83" t="n">
        <x:f t="shared" si="2">IF(X42&gt;0,X42,W42)</x:f>
        <x:v>0</x:v>
      </x:c>
      <x:c r="Z42" s="83" t="str">
        <x:f t="shared" si="3">IF(B42="","",IF(N42="Time x Count",M42*R42*IF(U42="",1,U42)*Y42,IF(N42="QS Qty x Factor",E42*R42*(1+IF(V42="",0,V42))*Y42,IF(N42="Direct Qty",S42*(1+IF(V42="",0,V42))*Y42,IF(N42="Lump Sum / Quote",S42*Y42,0)))))</x:f>
      </x:c>
      <x:c r="AA42" s="81" t="str">
        <x:f>IFERROR(INDEX('Resource Rate Library'!$N$5:$N$85,MATCH(P42,'Resource Rate Library'!$A$5:$A$85,0)),"")</x:f>
      </x:c>
      <x:c r="AB42" s="53"/>
      <x:c r="AC42" s="59"/>
      <x:c r="AD42" s="81" t="str">
        <x:f>IFERROR(INDEX('Resource Rate Library'!$G$5:$G$85,MATCH(P42,'Resource Rate Library'!$A$5:$A$85,0)),"")</x:f>
      </x:c>
      <x:c r="AE42" s="81" t="str">
        <x:f>IFERROR(INDEX('Resource Rate Library'!$H$5:$H$85,MATCH(P42,'Resource Rate Library'!$A$5:$A$85,0)),"")</x:f>
      </x:c>
      <x:c r="AF42" s="53"/>
      <x:c r="AG42" s="53"/>
      <x:c r="AH42" s="53"/>
      <x:c r="AI42" s="81" t="str">
        <x:f>IF(B42="","",IF(AND(P42="",N42&lt;&gt;"Lump Sum / Quote"),"RESOURCE CODE",IF(Y42=0,"RATE MISSING",IF(AND(O42="Plant",AD42="Yes",COUNTIFS($B$7:$B$306,B42,$O$7:$O$306,"Labour",$Q$7:$Q$306,"*Operator*")&gt;0),"OPERATOR DOUBLE-COUNT",IF(AND(O42="Plant",AE42="Yes",COUNTIFS($B$7:$B$306,B42,$Q$7:$Q$306,"*Fuel*")&gt;0),"FUEL DOUBLE-COUNT",IF(AH42&lt;&gt;"Yes","VERIFY","OK"))))))</x:f>
      </x:c>
      <x:c r="AJ42" s="54"/>
      <x:c r="AK42" s="473"/>
      <x:c r="AL42" s="473"/>
      <x:c r="AM42" s="473"/>
      <x:c r="AN42" s="500" t="n">
        <x:f>IF(AND(AK42="Yes",OR(O42="Labour",O42="Plant")),Z42,0)</x:f>
        <x:v>0</x:v>
      </x:c>
    </x:row>
    <x:row r="43" ht="22.049999237060547" customHeight="1">
      <x:c r="A43" s="80" t="str">
        <x:f>IF(B43="","",B43&amp;"-"&amp;TEXT(COUNTIF($B$7:B43,B43),"000"))</x:f>
      </x:c>
      <x:c r="B43" s="53"/>
      <x:c r="C43" s="81" t="str">
        <x:f>IFERROR(INDEX('QS Takeoff'!$A$3:$A$194,MATCH(B43,'QS Takeoff'!$B$3:$B$194,0)),"")</x:f>
      </x:c>
      <x:c r="D43" s="81" t="str">
        <x:f>IFERROR(INDEX('QS Takeoff'!$C$3:$C$194,MATCH(B43,'QS Takeoff'!$B$3:$B$194,0)),"")</x:f>
      </x:c>
      <x:c r="E43" s="81" t="str">
        <x:f>IFERROR(INDEX('QS Takeoff'!$E$3:$E$194,MATCH(B43,'QS Takeoff'!$B$3:$B$194,0)),"")</x:f>
      </x:c>
      <x:c r="F43" s="81" t="str">
        <x:f>IFERROR(INDEX('QS Takeoff'!$D$3:$D$194,MATCH(B43,'QS Takeoff'!$B$3:$B$194,0)),"")</x:f>
      </x:c>
      <x:c r="G43" s="81" t="str">
        <x:f>IFERROR(INDEX('QS Takeoff'!$J$3:$J$194,MATCH(B43,'QS Takeoff'!$B$3:$B$194,0)),"")</x:f>
      </x:c>
      <x:c r="H43" s="53"/>
      <x:c r="I43" s="60"/>
      <x:c r="J43" s="60"/>
      <x:c r="K43" s="82" t="str">
        <x:f t="shared" si="0">IF(OR(B43="",I43="",I43=0),"",E43/I43)</x:f>
      </x:c>
      <x:c r="L43" s="60"/>
      <x:c r="M43" s="82" t="str">
        <x:f t="shared" si="1">IF(L43&gt;0,L43,K43)</x:f>
      </x:c>
      <x:c r="N43" s="53"/>
      <x:c r="O43" s="53"/>
      <x:c r="P43" s="53"/>
      <x:c r="Q43" s="81" t="str">
        <x:f>IFERROR(INDEX('Resource Rate Library'!$C$5:$C$85,MATCH(P43,'Resource Rate Library'!$A$5:$A$85,0)),"")</x:f>
      </x:c>
      <x:c r="R43" s="53"/>
      <x:c r="S43" s="53"/>
      <x:c r="T43" s="81" t="str">
        <x:f>IFERROR(INDEX('Resource Rate Library'!$E$5:$E$85,MATCH(P43,'Resource Rate Library'!$A$5:$A$85,0)),"")</x:f>
      </x:c>
      <x:c r="U43" s="62"/>
      <x:c r="V43" s="62"/>
      <x:c r="W43" s="83" t="n">
        <x:f>IFERROR(INDEX('Resource Rate Library'!$I$5:$I$85,MATCH(P43,'Resource Rate Library'!$A$5:$A$85,0)),0)</x:f>
        <x:v>0</x:v>
      </x:c>
      <x:c r="X43" s="52"/>
      <x:c r="Y43" s="83" t="n">
        <x:f t="shared" si="2">IF(X43&gt;0,X43,W43)</x:f>
        <x:v>0</x:v>
      </x:c>
      <x:c r="Z43" s="83" t="str">
        <x:f t="shared" si="3">IF(B43="","",IF(N43="Time x Count",M43*R43*IF(U43="",1,U43)*Y43,IF(N43="QS Qty x Factor",E43*R43*(1+IF(V43="",0,V43))*Y43,IF(N43="Direct Qty",S43*(1+IF(V43="",0,V43))*Y43,IF(N43="Lump Sum / Quote",S43*Y43,0)))))</x:f>
      </x:c>
      <x:c r="AA43" s="81" t="str">
        <x:f>IFERROR(INDEX('Resource Rate Library'!$N$5:$N$85,MATCH(P43,'Resource Rate Library'!$A$5:$A$85,0)),"")</x:f>
      </x:c>
      <x:c r="AB43" s="53"/>
      <x:c r="AC43" s="59"/>
      <x:c r="AD43" s="81" t="str">
        <x:f>IFERROR(INDEX('Resource Rate Library'!$G$5:$G$85,MATCH(P43,'Resource Rate Library'!$A$5:$A$85,0)),"")</x:f>
      </x:c>
      <x:c r="AE43" s="81" t="str">
        <x:f>IFERROR(INDEX('Resource Rate Library'!$H$5:$H$85,MATCH(P43,'Resource Rate Library'!$A$5:$A$85,0)),"")</x:f>
      </x:c>
      <x:c r="AF43" s="53"/>
      <x:c r="AG43" s="53"/>
      <x:c r="AH43" s="53"/>
      <x:c r="AI43" s="81" t="str">
        <x:f>IF(B43="","",IF(AND(P43="",N43&lt;&gt;"Lump Sum / Quote"),"RESOURCE CODE",IF(Y43=0,"RATE MISSING",IF(AND(O43="Plant",AD43="Yes",COUNTIFS($B$7:$B$306,B43,$O$7:$O$306,"Labour",$Q$7:$Q$306,"*Operator*")&gt;0),"OPERATOR DOUBLE-COUNT",IF(AND(O43="Plant",AE43="Yes",COUNTIFS($B$7:$B$306,B43,$Q$7:$Q$306,"*Fuel*")&gt;0),"FUEL DOUBLE-COUNT",IF(AH43&lt;&gt;"Yes","VERIFY","OK"))))))</x:f>
      </x:c>
      <x:c r="AJ43" s="54"/>
      <x:c r="AK43" s="473"/>
      <x:c r="AL43" s="473"/>
      <x:c r="AM43" s="473"/>
      <x:c r="AN43" s="500" t="n">
        <x:f>IF(AND(AK43="Yes",OR(O43="Labour",O43="Plant")),Z43,0)</x:f>
        <x:v>0</x:v>
      </x:c>
    </x:row>
    <x:row r="44" ht="22.049999237060547" customHeight="1">
      <x:c r="A44" s="80" t="str">
        <x:f>IF(B44="","",B44&amp;"-"&amp;TEXT(COUNTIF($B$7:B44,B44),"000"))</x:f>
      </x:c>
      <x:c r="B44" s="53"/>
      <x:c r="C44" s="81" t="str">
        <x:f>IFERROR(INDEX('QS Takeoff'!$A$3:$A$194,MATCH(B44,'QS Takeoff'!$B$3:$B$194,0)),"")</x:f>
      </x:c>
      <x:c r="D44" s="81" t="str">
        <x:f>IFERROR(INDEX('QS Takeoff'!$C$3:$C$194,MATCH(B44,'QS Takeoff'!$B$3:$B$194,0)),"")</x:f>
      </x:c>
      <x:c r="E44" s="81" t="str">
        <x:f>IFERROR(INDEX('QS Takeoff'!$E$3:$E$194,MATCH(B44,'QS Takeoff'!$B$3:$B$194,0)),"")</x:f>
      </x:c>
      <x:c r="F44" s="81" t="str">
        <x:f>IFERROR(INDEX('QS Takeoff'!$D$3:$D$194,MATCH(B44,'QS Takeoff'!$B$3:$B$194,0)),"")</x:f>
      </x:c>
      <x:c r="G44" s="81" t="str">
        <x:f>IFERROR(INDEX('QS Takeoff'!$J$3:$J$194,MATCH(B44,'QS Takeoff'!$B$3:$B$194,0)),"")</x:f>
      </x:c>
      <x:c r="H44" s="53"/>
      <x:c r="I44" s="60"/>
      <x:c r="J44" s="60"/>
      <x:c r="K44" s="82" t="str">
        <x:f t="shared" si="0">IF(OR(B44="",I44="",I44=0),"",E44/I44)</x:f>
      </x:c>
      <x:c r="L44" s="60"/>
      <x:c r="M44" s="82" t="str">
        <x:f t="shared" si="1">IF(L44&gt;0,L44,K44)</x:f>
      </x:c>
      <x:c r="N44" s="53"/>
      <x:c r="O44" s="53"/>
      <x:c r="P44" s="53"/>
      <x:c r="Q44" s="81" t="str">
        <x:f>IFERROR(INDEX('Resource Rate Library'!$C$5:$C$85,MATCH(P44,'Resource Rate Library'!$A$5:$A$85,0)),"")</x:f>
      </x:c>
      <x:c r="R44" s="53"/>
      <x:c r="S44" s="53"/>
      <x:c r="T44" s="81" t="str">
        <x:f>IFERROR(INDEX('Resource Rate Library'!$E$5:$E$85,MATCH(P44,'Resource Rate Library'!$A$5:$A$85,0)),"")</x:f>
      </x:c>
      <x:c r="U44" s="62"/>
      <x:c r="V44" s="62"/>
      <x:c r="W44" s="83" t="n">
        <x:f>IFERROR(INDEX('Resource Rate Library'!$I$5:$I$85,MATCH(P44,'Resource Rate Library'!$A$5:$A$85,0)),0)</x:f>
        <x:v>0</x:v>
      </x:c>
      <x:c r="X44" s="52"/>
      <x:c r="Y44" s="83" t="n">
        <x:f t="shared" si="2">IF(X44&gt;0,X44,W44)</x:f>
        <x:v>0</x:v>
      </x:c>
      <x:c r="Z44" s="83" t="str">
        <x:f t="shared" si="3">IF(B44="","",IF(N44="Time x Count",M44*R44*IF(U44="",1,U44)*Y44,IF(N44="QS Qty x Factor",E44*R44*(1+IF(V44="",0,V44))*Y44,IF(N44="Direct Qty",S44*(1+IF(V44="",0,V44))*Y44,IF(N44="Lump Sum / Quote",S44*Y44,0)))))</x:f>
      </x:c>
      <x:c r="AA44" s="81" t="str">
        <x:f>IFERROR(INDEX('Resource Rate Library'!$N$5:$N$85,MATCH(P44,'Resource Rate Library'!$A$5:$A$85,0)),"")</x:f>
      </x:c>
      <x:c r="AB44" s="53"/>
      <x:c r="AC44" s="59"/>
      <x:c r="AD44" s="81" t="str">
        <x:f>IFERROR(INDEX('Resource Rate Library'!$G$5:$G$85,MATCH(P44,'Resource Rate Library'!$A$5:$A$85,0)),"")</x:f>
      </x:c>
      <x:c r="AE44" s="81" t="str">
        <x:f>IFERROR(INDEX('Resource Rate Library'!$H$5:$H$85,MATCH(P44,'Resource Rate Library'!$A$5:$A$85,0)),"")</x:f>
      </x:c>
      <x:c r="AF44" s="53"/>
      <x:c r="AG44" s="53"/>
      <x:c r="AH44" s="53"/>
      <x:c r="AI44" s="81" t="str">
        <x:f>IF(B44="","",IF(AND(P44="",N44&lt;&gt;"Lump Sum / Quote"),"RESOURCE CODE",IF(Y44=0,"RATE MISSING",IF(AND(O44="Plant",AD44="Yes",COUNTIFS($B$7:$B$306,B44,$O$7:$O$306,"Labour",$Q$7:$Q$306,"*Operator*")&gt;0),"OPERATOR DOUBLE-COUNT",IF(AND(O44="Plant",AE44="Yes",COUNTIFS($B$7:$B$306,B44,$Q$7:$Q$306,"*Fuel*")&gt;0),"FUEL DOUBLE-COUNT",IF(AH44&lt;&gt;"Yes","VERIFY","OK"))))))</x:f>
      </x:c>
      <x:c r="AJ44" s="54"/>
      <x:c r="AK44" s="473"/>
      <x:c r="AL44" s="473"/>
      <x:c r="AM44" s="473"/>
      <x:c r="AN44" s="500" t="n">
        <x:f>IF(AND(AK44="Yes",OR(O44="Labour",O44="Plant")),Z44,0)</x:f>
        <x:v>0</x:v>
      </x:c>
    </x:row>
    <x:row r="45" ht="22.049999237060547" customHeight="1">
      <x:c r="A45" s="80" t="str">
        <x:f>IF(B45="","",B45&amp;"-"&amp;TEXT(COUNTIF($B$7:B45,B45),"000"))</x:f>
      </x:c>
      <x:c r="B45" s="53"/>
      <x:c r="C45" s="81" t="str">
        <x:f>IFERROR(INDEX('QS Takeoff'!$A$3:$A$194,MATCH(B45,'QS Takeoff'!$B$3:$B$194,0)),"")</x:f>
      </x:c>
      <x:c r="D45" s="81" t="str">
        <x:f>IFERROR(INDEX('QS Takeoff'!$C$3:$C$194,MATCH(B45,'QS Takeoff'!$B$3:$B$194,0)),"")</x:f>
      </x:c>
      <x:c r="E45" s="81" t="str">
        <x:f>IFERROR(INDEX('QS Takeoff'!$E$3:$E$194,MATCH(B45,'QS Takeoff'!$B$3:$B$194,0)),"")</x:f>
      </x:c>
      <x:c r="F45" s="81" t="str">
        <x:f>IFERROR(INDEX('QS Takeoff'!$D$3:$D$194,MATCH(B45,'QS Takeoff'!$B$3:$B$194,0)),"")</x:f>
      </x:c>
      <x:c r="G45" s="81" t="str">
        <x:f>IFERROR(INDEX('QS Takeoff'!$J$3:$J$194,MATCH(B45,'QS Takeoff'!$B$3:$B$194,0)),"")</x:f>
      </x:c>
      <x:c r="H45" s="53"/>
      <x:c r="I45" s="60"/>
      <x:c r="J45" s="60"/>
      <x:c r="K45" s="82" t="str">
        <x:f t="shared" si="0">IF(OR(B45="",I45="",I45=0),"",E45/I45)</x:f>
      </x:c>
      <x:c r="L45" s="60"/>
      <x:c r="M45" s="82" t="str">
        <x:f t="shared" si="1">IF(L45&gt;0,L45,K45)</x:f>
      </x:c>
      <x:c r="N45" s="53"/>
      <x:c r="O45" s="53"/>
      <x:c r="P45" s="53"/>
      <x:c r="Q45" s="81" t="str">
        <x:f>IFERROR(INDEX('Resource Rate Library'!$C$5:$C$85,MATCH(P45,'Resource Rate Library'!$A$5:$A$85,0)),"")</x:f>
      </x:c>
      <x:c r="R45" s="53"/>
      <x:c r="S45" s="53"/>
      <x:c r="T45" s="81" t="str">
        <x:f>IFERROR(INDEX('Resource Rate Library'!$E$5:$E$85,MATCH(P45,'Resource Rate Library'!$A$5:$A$85,0)),"")</x:f>
      </x:c>
      <x:c r="U45" s="62"/>
      <x:c r="V45" s="62"/>
      <x:c r="W45" s="83" t="n">
        <x:f>IFERROR(INDEX('Resource Rate Library'!$I$5:$I$85,MATCH(P45,'Resource Rate Library'!$A$5:$A$85,0)),0)</x:f>
        <x:v>0</x:v>
      </x:c>
      <x:c r="X45" s="52"/>
      <x:c r="Y45" s="83" t="n">
        <x:f t="shared" si="2">IF(X45&gt;0,X45,W45)</x:f>
        <x:v>0</x:v>
      </x:c>
      <x:c r="Z45" s="83" t="str">
        <x:f t="shared" si="3">IF(B45="","",IF(N45="Time x Count",M45*R45*IF(U45="",1,U45)*Y45,IF(N45="QS Qty x Factor",E45*R45*(1+IF(V45="",0,V45))*Y45,IF(N45="Direct Qty",S45*(1+IF(V45="",0,V45))*Y45,IF(N45="Lump Sum / Quote",S45*Y45,0)))))</x:f>
      </x:c>
      <x:c r="AA45" s="81" t="str">
        <x:f>IFERROR(INDEX('Resource Rate Library'!$N$5:$N$85,MATCH(P45,'Resource Rate Library'!$A$5:$A$85,0)),"")</x:f>
      </x:c>
      <x:c r="AB45" s="53"/>
      <x:c r="AC45" s="59"/>
      <x:c r="AD45" s="81" t="str">
        <x:f>IFERROR(INDEX('Resource Rate Library'!$G$5:$G$85,MATCH(P45,'Resource Rate Library'!$A$5:$A$85,0)),"")</x:f>
      </x:c>
      <x:c r="AE45" s="81" t="str">
        <x:f>IFERROR(INDEX('Resource Rate Library'!$H$5:$H$85,MATCH(P45,'Resource Rate Library'!$A$5:$A$85,0)),"")</x:f>
      </x:c>
      <x:c r="AF45" s="53"/>
      <x:c r="AG45" s="53"/>
      <x:c r="AH45" s="53"/>
      <x:c r="AI45" s="81" t="str">
        <x:f>IF(B45="","",IF(AND(P45="",N45&lt;&gt;"Lump Sum / Quote"),"RESOURCE CODE",IF(Y45=0,"RATE MISSING",IF(AND(O45="Plant",AD45="Yes",COUNTIFS($B$7:$B$306,B45,$O$7:$O$306,"Labour",$Q$7:$Q$306,"*Operator*")&gt;0),"OPERATOR DOUBLE-COUNT",IF(AND(O45="Plant",AE45="Yes",COUNTIFS($B$7:$B$306,B45,$Q$7:$Q$306,"*Fuel*")&gt;0),"FUEL DOUBLE-COUNT",IF(AH45&lt;&gt;"Yes","VERIFY","OK"))))))</x:f>
      </x:c>
      <x:c r="AJ45" s="54"/>
      <x:c r="AK45" s="473"/>
      <x:c r="AL45" s="473"/>
      <x:c r="AM45" s="473"/>
      <x:c r="AN45" s="500" t="n">
        <x:f>IF(AND(AK45="Yes",OR(O45="Labour",O45="Plant")),Z45,0)</x:f>
        <x:v>0</x:v>
      </x:c>
    </x:row>
    <x:row r="46" ht="22.049999237060547" customHeight="1">
      <x:c r="A46" s="80" t="str">
        <x:f>IF(B46="","",B46&amp;"-"&amp;TEXT(COUNTIF($B$7:B46,B46),"000"))</x:f>
      </x:c>
      <x:c r="B46" s="53"/>
      <x:c r="C46" s="81" t="str">
        <x:f>IFERROR(INDEX('QS Takeoff'!$A$3:$A$194,MATCH(B46,'QS Takeoff'!$B$3:$B$194,0)),"")</x:f>
      </x:c>
      <x:c r="D46" s="81" t="str">
        <x:f>IFERROR(INDEX('QS Takeoff'!$C$3:$C$194,MATCH(B46,'QS Takeoff'!$B$3:$B$194,0)),"")</x:f>
      </x:c>
      <x:c r="E46" s="81" t="str">
        <x:f>IFERROR(INDEX('QS Takeoff'!$E$3:$E$194,MATCH(B46,'QS Takeoff'!$B$3:$B$194,0)),"")</x:f>
      </x:c>
      <x:c r="F46" s="81" t="str">
        <x:f>IFERROR(INDEX('QS Takeoff'!$D$3:$D$194,MATCH(B46,'QS Takeoff'!$B$3:$B$194,0)),"")</x:f>
      </x:c>
      <x:c r="G46" s="81" t="str">
        <x:f>IFERROR(INDEX('QS Takeoff'!$J$3:$J$194,MATCH(B46,'QS Takeoff'!$B$3:$B$194,0)),"")</x:f>
      </x:c>
      <x:c r="H46" s="53"/>
      <x:c r="I46" s="60"/>
      <x:c r="J46" s="60"/>
      <x:c r="K46" s="82" t="str">
        <x:f t="shared" si="0">IF(OR(B46="",I46="",I46=0),"",E46/I46)</x:f>
      </x:c>
      <x:c r="L46" s="60"/>
      <x:c r="M46" s="82" t="str">
        <x:f t="shared" si="1">IF(L46&gt;0,L46,K46)</x:f>
      </x:c>
      <x:c r="N46" s="53"/>
      <x:c r="O46" s="53"/>
      <x:c r="P46" s="53"/>
      <x:c r="Q46" s="81" t="str">
        <x:f>IFERROR(INDEX('Resource Rate Library'!$C$5:$C$85,MATCH(P46,'Resource Rate Library'!$A$5:$A$85,0)),"")</x:f>
      </x:c>
      <x:c r="R46" s="53"/>
      <x:c r="S46" s="53"/>
      <x:c r="T46" s="81" t="str">
        <x:f>IFERROR(INDEX('Resource Rate Library'!$E$5:$E$85,MATCH(P46,'Resource Rate Library'!$A$5:$A$85,0)),"")</x:f>
      </x:c>
      <x:c r="U46" s="62"/>
      <x:c r="V46" s="62"/>
      <x:c r="W46" s="83" t="n">
        <x:f>IFERROR(INDEX('Resource Rate Library'!$I$5:$I$85,MATCH(P46,'Resource Rate Library'!$A$5:$A$85,0)),0)</x:f>
        <x:v>0</x:v>
      </x:c>
      <x:c r="X46" s="52"/>
      <x:c r="Y46" s="83" t="n">
        <x:f t="shared" si="2">IF(X46&gt;0,X46,W46)</x:f>
        <x:v>0</x:v>
      </x:c>
      <x:c r="Z46" s="83" t="str">
        <x:f t="shared" si="3">IF(B46="","",IF(N46="Time x Count",M46*R46*IF(U46="",1,U46)*Y46,IF(N46="QS Qty x Factor",E46*R46*(1+IF(V46="",0,V46))*Y46,IF(N46="Direct Qty",S46*(1+IF(V46="",0,V46))*Y46,IF(N46="Lump Sum / Quote",S46*Y46,0)))))</x:f>
      </x:c>
      <x:c r="AA46" s="81" t="str">
        <x:f>IFERROR(INDEX('Resource Rate Library'!$N$5:$N$85,MATCH(P46,'Resource Rate Library'!$A$5:$A$85,0)),"")</x:f>
      </x:c>
      <x:c r="AB46" s="53"/>
      <x:c r="AC46" s="59"/>
      <x:c r="AD46" s="81" t="str">
        <x:f>IFERROR(INDEX('Resource Rate Library'!$G$5:$G$85,MATCH(P46,'Resource Rate Library'!$A$5:$A$85,0)),"")</x:f>
      </x:c>
      <x:c r="AE46" s="81" t="str">
        <x:f>IFERROR(INDEX('Resource Rate Library'!$H$5:$H$85,MATCH(P46,'Resource Rate Library'!$A$5:$A$85,0)),"")</x:f>
      </x:c>
      <x:c r="AF46" s="53"/>
      <x:c r="AG46" s="53"/>
      <x:c r="AH46" s="53"/>
      <x:c r="AI46" s="81" t="str">
        <x:f>IF(B46="","",IF(AND(P46="",N46&lt;&gt;"Lump Sum / Quote"),"RESOURCE CODE",IF(Y46=0,"RATE MISSING",IF(AND(O46="Plant",AD46="Yes",COUNTIFS($B$7:$B$306,B46,$O$7:$O$306,"Labour",$Q$7:$Q$306,"*Operator*")&gt;0),"OPERATOR DOUBLE-COUNT",IF(AND(O46="Plant",AE46="Yes",COUNTIFS($B$7:$B$306,B46,$Q$7:$Q$306,"*Fuel*")&gt;0),"FUEL DOUBLE-COUNT",IF(AH46&lt;&gt;"Yes","VERIFY","OK"))))))</x:f>
      </x:c>
      <x:c r="AJ46" s="54"/>
      <x:c r="AK46" s="473"/>
      <x:c r="AL46" s="473"/>
      <x:c r="AM46" s="473"/>
      <x:c r="AN46" s="500" t="n">
        <x:f>IF(AND(AK46="Yes",OR(O46="Labour",O46="Plant")),Z46,0)</x:f>
        <x:v>0</x:v>
      </x:c>
    </x:row>
    <x:row r="47" ht="22.049999237060547" customHeight="1">
      <x:c r="A47" s="80" t="str">
        <x:f>IF(B47="","",B47&amp;"-"&amp;TEXT(COUNTIF($B$7:B47,B47),"000"))</x:f>
      </x:c>
      <x:c r="B47" s="53"/>
      <x:c r="C47" s="81" t="str">
        <x:f>IFERROR(INDEX('QS Takeoff'!$A$3:$A$194,MATCH(B47,'QS Takeoff'!$B$3:$B$194,0)),"")</x:f>
      </x:c>
      <x:c r="D47" s="81" t="str">
        <x:f>IFERROR(INDEX('QS Takeoff'!$C$3:$C$194,MATCH(B47,'QS Takeoff'!$B$3:$B$194,0)),"")</x:f>
      </x:c>
      <x:c r="E47" s="81" t="str">
        <x:f>IFERROR(INDEX('QS Takeoff'!$E$3:$E$194,MATCH(B47,'QS Takeoff'!$B$3:$B$194,0)),"")</x:f>
      </x:c>
      <x:c r="F47" s="81" t="str">
        <x:f>IFERROR(INDEX('QS Takeoff'!$D$3:$D$194,MATCH(B47,'QS Takeoff'!$B$3:$B$194,0)),"")</x:f>
      </x:c>
      <x:c r="G47" s="81" t="str">
        <x:f>IFERROR(INDEX('QS Takeoff'!$J$3:$J$194,MATCH(B47,'QS Takeoff'!$B$3:$B$194,0)),"")</x:f>
      </x:c>
      <x:c r="H47" s="53"/>
      <x:c r="I47" s="60"/>
      <x:c r="J47" s="60"/>
      <x:c r="K47" s="82" t="str">
        <x:f t="shared" si="0">IF(OR(B47="",I47="",I47=0),"",E47/I47)</x:f>
      </x:c>
      <x:c r="L47" s="60"/>
      <x:c r="M47" s="82" t="str">
        <x:f t="shared" si="1">IF(L47&gt;0,L47,K47)</x:f>
      </x:c>
      <x:c r="N47" s="53"/>
      <x:c r="O47" s="53"/>
      <x:c r="P47" s="53"/>
      <x:c r="Q47" s="81" t="str">
        <x:f>IFERROR(INDEX('Resource Rate Library'!$C$5:$C$85,MATCH(P47,'Resource Rate Library'!$A$5:$A$85,0)),"")</x:f>
      </x:c>
      <x:c r="R47" s="53"/>
      <x:c r="S47" s="53"/>
      <x:c r="T47" s="81" t="str">
        <x:f>IFERROR(INDEX('Resource Rate Library'!$E$5:$E$85,MATCH(P47,'Resource Rate Library'!$A$5:$A$85,0)),"")</x:f>
      </x:c>
      <x:c r="U47" s="62"/>
      <x:c r="V47" s="62"/>
      <x:c r="W47" s="83" t="n">
        <x:f>IFERROR(INDEX('Resource Rate Library'!$I$5:$I$85,MATCH(P47,'Resource Rate Library'!$A$5:$A$85,0)),0)</x:f>
        <x:v>0</x:v>
      </x:c>
      <x:c r="X47" s="52"/>
      <x:c r="Y47" s="83" t="n">
        <x:f t="shared" si="2">IF(X47&gt;0,X47,W47)</x:f>
        <x:v>0</x:v>
      </x:c>
      <x:c r="Z47" s="83" t="str">
        <x:f t="shared" si="3">IF(B47="","",IF(N47="Time x Count",M47*R47*IF(U47="",1,U47)*Y47,IF(N47="QS Qty x Factor",E47*R47*(1+IF(V47="",0,V47))*Y47,IF(N47="Direct Qty",S47*(1+IF(V47="",0,V47))*Y47,IF(N47="Lump Sum / Quote",S47*Y47,0)))))</x:f>
      </x:c>
      <x:c r="AA47" s="81" t="str">
        <x:f>IFERROR(INDEX('Resource Rate Library'!$N$5:$N$85,MATCH(P47,'Resource Rate Library'!$A$5:$A$85,0)),"")</x:f>
      </x:c>
      <x:c r="AB47" s="53"/>
      <x:c r="AC47" s="59"/>
      <x:c r="AD47" s="81" t="str">
        <x:f>IFERROR(INDEX('Resource Rate Library'!$G$5:$G$85,MATCH(P47,'Resource Rate Library'!$A$5:$A$85,0)),"")</x:f>
      </x:c>
      <x:c r="AE47" s="81" t="str">
        <x:f>IFERROR(INDEX('Resource Rate Library'!$H$5:$H$85,MATCH(P47,'Resource Rate Library'!$A$5:$A$85,0)),"")</x:f>
      </x:c>
      <x:c r="AF47" s="53"/>
      <x:c r="AG47" s="53"/>
      <x:c r="AH47" s="53"/>
      <x:c r="AI47" s="81" t="str">
        <x:f>IF(B47="","",IF(AND(P47="",N47&lt;&gt;"Lump Sum / Quote"),"RESOURCE CODE",IF(Y47=0,"RATE MISSING",IF(AND(O47="Plant",AD47="Yes",COUNTIFS($B$7:$B$306,B47,$O$7:$O$306,"Labour",$Q$7:$Q$306,"*Operator*")&gt;0),"OPERATOR DOUBLE-COUNT",IF(AND(O47="Plant",AE47="Yes",COUNTIFS($B$7:$B$306,B47,$Q$7:$Q$306,"*Fuel*")&gt;0),"FUEL DOUBLE-COUNT",IF(AH47&lt;&gt;"Yes","VERIFY","OK"))))))</x:f>
      </x:c>
      <x:c r="AJ47" s="54"/>
      <x:c r="AK47" s="473"/>
      <x:c r="AL47" s="473"/>
      <x:c r="AM47" s="473"/>
      <x:c r="AN47" s="500" t="n">
        <x:f>IF(AND(AK47="Yes",OR(O47="Labour",O47="Plant")),Z47,0)</x:f>
        <x:v>0</x:v>
      </x:c>
    </x:row>
    <x:row r="48" ht="22.049999237060547" customHeight="1">
      <x:c r="A48" s="80" t="str">
        <x:f>IF(B48="","",B48&amp;"-"&amp;TEXT(COUNTIF($B$7:B48,B48),"000"))</x:f>
      </x:c>
      <x:c r="B48" s="53"/>
      <x:c r="C48" s="81" t="str">
        <x:f>IFERROR(INDEX('QS Takeoff'!$A$3:$A$194,MATCH(B48,'QS Takeoff'!$B$3:$B$194,0)),"")</x:f>
      </x:c>
      <x:c r="D48" s="81" t="str">
        <x:f>IFERROR(INDEX('QS Takeoff'!$C$3:$C$194,MATCH(B48,'QS Takeoff'!$B$3:$B$194,0)),"")</x:f>
      </x:c>
      <x:c r="E48" s="81" t="str">
        <x:f>IFERROR(INDEX('QS Takeoff'!$E$3:$E$194,MATCH(B48,'QS Takeoff'!$B$3:$B$194,0)),"")</x:f>
      </x:c>
      <x:c r="F48" s="81" t="str">
        <x:f>IFERROR(INDEX('QS Takeoff'!$D$3:$D$194,MATCH(B48,'QS Takeoff'!$B$3:$B$194,0)),"")</x:f>
      </x:c>
      <x:c r="G48" s="81" t="str">
        <x:f>IFERROR(INDEX('QS Takeoff'!$J$3:$J$194,MATCH(B48,'QS Takeoff'!$B$3:$B$194,0)),"")</x:f>
      </x:c>
      <x:c r="H48" s="53"/>
      <x:c r="I48" s="60"/>
      <x:c r="J48" s="60"/>
      <x:c r="K48" s="82" t="str">
        <x:f t="shared" si="0">IF(OR(B48="",I48="",I48=0),"",E48/I48)</x:f>
      </x:c>
      <x:c r="L48" s="60"/>
      <x:c r="M48" s="82" t="str">
        <x:f t="shared" si="1">IF(L48&gt;0,L48,K48)</x:f>
      </x:c>
      <x:c r="N48" s="53"/>
      <x:c r="O48" s="53"/>
      <x:c r="P48" s="53"/>
      <x:c r="Q48" s="81" t="str">
        <x:f>IFERROR(INDEX('Resource Rate Library'!$C$5:$C$85,MATCH(P48,'Resource Rate Library'!$A$5:$A$85,0)),"")</x:f>
      </x:c>
      <x:c r="R48" s="53"/>
      <x:c r="S48" s="53"/>
      <x:c r="T48" s="81" t="str">
        <x:f>IFERROR(INDEX('Resource Rate Library'!$E$5:$E$85,MATCH(P48,'Resource Rate Library'!$A$5:$A$85,0)),"")</x:f>
      </x:c>
      <x:c r="U48" s="62"/>
      <x:c r="V48" s="62"/>
      <x:c r="W48" s="83" t="n">
        <x:f>IFERROR(INDEX('Resource Rate Library'!$I$5:$I$85,MATCH(P48,'Resource Rate Library'!$A$5:$A$85,0)),0)</x:f>
        <x:v>0</x:v>
      </x:c>
      <x:c r="X48" s="52"/>
      <x:c r="Y48" s="83" t="n">
        <x:f t="shared" si="2">IF(X48&gt;0,X48,W48)</x:f>
        <x:v>0</x:v>
      </x:c>
      <x:c r="Z48" s="83" t="str">
        <x:f t="shared" si="3">IF(B48="","",IF(N48="Time x Count",M48*R48*IF(U48="",1,U48)*Y48,IF(N48="QS Qty x Factor",E48*R48*(1+IF(V48="",0,V48))*Y48,IF(N48="Direct Qty",S48*(1+IF(V48="",0,V48))*Y48,IF(N48="Lump Sum / Quote",S48*Y48,0)))))</x:f>
      </x:c>
      <x:c r="AA48" s="81" t="str">
        <x:f>IFERROR(INDEX('Resource Rate Library'!$N$5:$N$85,MATCH(P48,'Resource Rate Library'!$A$5:$A$85,0)),"")</x:f>
      </x:c>
      <x:c r="AB48" s="53"/>
      <x:c r="AC48" s="59"/>
      <x:c r="AD48" s="81" t="str">
        <x:f>IFERROR(INDEX('Resource Rate Library'!$G$5:$G$85,MATCH(P48,'Resource Rate Library'!$A$5:$A$85,0)),"")</x:f>
      </x:c>
      <x:c r="AE48" s="81" t="str">
        <x:f>IFERROR(INDEX('Resource Rate Library'!$H$5:$H$85,MATCH(P48,'Resource Rate Library'!$A$5:$A$85,0)),"")</x:f>
      </x:c>
      <x:c r="AF48" s="53"/>
      <x:c r="AG48" s="53"/>
      <x:c r="AH48" s="53"/>
      <x:c r="AI48" s="81" t="str">
        <x:f>IF(B48="","",IF(AND(P48="",N48&lt;&gt;"Lump Sum / Quote"),"RESOURCE CODE",IF(Y48=0,"RATE MISSING",IF(AND(O48="Plant",AD48="Yes",COUNTIFS($B$7:$B$306,B48,$O$7:$O$306,"Labour",$Q$7:$Q$306,"*Operator*")&gt;0),"OPERATOR DOUBLE-COUNT",IF(AND(O48="Plant",AE48="Yes",COUNTIFS($B$7:$B$306,B48,$Q$7:$Q$306,"*Fuel*")&gt;0),"FUEL DOUBLE-COUNT",IF(AH48&lt;&gt;"Yes","VERIFY","OK"))))))</x:f>
      </x:c>
      <x:c r="AJ48" s="54"/>
      <x:c r="AK48" s="473"/>
      <x:c r="AL48" s="473"/>
      <x:c r="AM48" s="473"/>
      <x:c r="AN48" s="500" t="n">
        <x:f>IF(AND(AK48="Yes",OR(O48="Labour",O48="Plant")),Z48,0)</x:f>
        <x:v>0</x:v>
      </x:c>
    </x:row>
    <x:row r="49" ht="22.049999237060547" customHeight="1">
      <x:c r="A49" s="80" t="str">
        <x:f>IF(B49="","",B49&amp;"-"&amp;TEXT(COUNTIF($B$7:B49,B49),"000"))</x:f>
      </x:c>
      <x:c r="B49" s="53"/>
      <x:c r="C49" s="81" t="str">
        <x:f>IFERROR(INDEX('QS Takeoff'!$A$3:$A$194,MATCH(B49,'QS Takeoff'!$B$3:$B$194,0)),"")</x:f>
      </x:c>
      <x:c r="D49" s="81" t="str">
        <x:f>IFERROR(INDEX('QS Takeoff'!$C$3:$C$194,MATCH(B49,'QS Takeoff'!$B$3:$B$194,0)),"")</x:f>
      </x:c>
      <x:c r="E49" s="81" t="str">
        <x:f>IFERROR(INDEX('QS Takeoff'!$E$3:$E$194,MATCH(B49,'QS Takeoff'!$B$3:$B$194,0)),"")</x:f>
      </x:c>
      <x:c r="F49" s="81" t="str">
        <x:f>IFERROR(INDEX('QS Takeoff'!$D$3:$D$194,MATCH(B49,'QS Takeoff'!$B$3:$B$194,0)),"")</x:f>
      </x:c>
      <x:c r="G49" s="81" t="str">
        <x:f>IFERROR(INDEX('QS Takeoff'!$J$3:$J$194,MATCH(B49,'QS Takeoff'!$B$3:$B$194,0)),"")</x:f>
      </x:c>
      <x:c r="H49" s="53"/>
      <x:c r="I49" s="60"/>
      <x:c r="J49" s="60"/>
      <x:c r="K49" s="82" t="str">
        <x:f t="shared" si="0">IF(OR(B49="",I49="",I49=0),"",E49/I49)</x:f>
      </x:c>
      <x:c r="L49" s="60"/>
      <x:c r="M49" s="82" t="str">
        <x:f t="shared" si="1">IF(L49&gt;0,L49,K49)</x:f>
      </x:c>
      <x:c r="N49" s="53"/>
      <x:c r="O49" s="53"/>
      <x:c r="P49" s="53"/>
      <x:c r="Q49" s="81" t="str">
        <x:f>IFERROR(INDEX('Resource Rate Library'!$C$5:$C$85,MATCH(P49,'Resource Rate Library'!$A$5:$A$85,0)),"")</x:f>
      </x:c>
      <x:c r="R49" s="53"/>
      <x:c r="S49" s="53"/>
      <x:c r="T49" s="81" t="str">
        <x:f>IFERROR(INDEX('Resource Rate Library'!$E$5:$E$85,MATCH(P49,'Resource Rate Library'!$A$5:$A$85,0)),"")</x:f>
      </x:c>
      <x:c r="U49" s="62"/>
      <x:c r="V49" s="62"/>
      <x:c r="W49" s="83" t="n">
        <x:f>IFERROR(INDEX('Resource Rate Library'!$I$5:$I$85,MATCH(P49,'Resource Rate Library'!$A$5:$A$85,0)),0)</x:f>
        <x:v>0</x:v>
      </x:c>
      <x:c r="X49" s="52"/>
      <x:c r="Y49" s="83" t="n">
        <x:f t="shared" si="2">IF(X49&gt;0,X49,W49)</x:f>
        <x:v>0</x:v>
      </x:c>
      <x:c r="Z49" s="83" t="str">
        <x:f t="shared" si="3">IF(B49="","",IF(N49="Time x Count",M49*R49*IF(U49="",1,U49)*Y49,IF(N49="QS Qty x Factor",E49*R49*(1+IF(V49="",0,V49))*Y49,IF(N49="Direct Qty",S49*(1+IF(V49="",0,V49))*Y49,IF(N49="Lump Sum / Quote",S49*Y49,0)))))</x:f>
      </x:c>
      <x:c r="AA49" s="81" t="str">
        <x:f>IFERROR(INDEX('Resource Rate Library'!$N$5:$N$85,MATCH(P49,'Resource Rate Library'!$A$5:$A$85,0)),"")</x:f>
      </x:c>
      <x:c r="AB49" s="53"/>
      <x:c r="AC49" s="59"/>
      <x:c r="AD49" s="81" t="str">
        <x:f>IFERROR(INDEX('Resource Rate Library'!$G$5:$G$85,MATCH(P49,'Resource Rate Library'!$A$5:$A$85,0)),"")</x:f>
      </x:c>
      <x:c r="AE49" s="81" t="str">
        <x:f>IFERROR(INDEX('Resource Rate Library'!$H$5:$H$85,MATCH(P49,'Resource Rate Library'!$A$5:$A$85,0)),"")</x:f>
      </x:c>
      <x:c r="AF49" s="53"/>
      <x:c r="AG49" s="53"/>
      <x:c r="AH49" s="53"/>
      <x:c r="AI49" s="81" t="str">
        <x:f>IF(B49="","",IF(AND(P49="",N49&lt;&gt;"Lump Sum / Quote"),"RESOURCE CODE",IF(Y49=0,"RATE MISSING",IF(AND(O49="Plant",AD49="Yes",COUNTIFS($B$7:$B$306,B49,$O$7:$O$306,"Labour",$Q$7:$Q$306,"*Operator*")&gt;0),"OPERATOR DOUBLE-COUNT",IF(AND(O49="Plant",AE49="Yes",COUNTIFS($B$7:$B$306,B49,$Q$7:$Q$306,"*Fuel*")&gt;0),"FUEL DOUBLE-COUNT",IF(AH49&lt;&gt;"Yes","VERIFY","OK"))))))</x:f>
      </x:c>
      <x:c r="AJ49" s="54"/>
      <x:c r="AK49" s="473"/>
      <x:c r="AL49" s="473"/>
      <x:c r="AM49" s="473"/>
      <x:c r="AN49" s="500" t="n">
        <x:f>IF(AND(AK49="Yes",OR(O49="Labour",O49="Plant")),Z49,0)</x:f>
        <x:v>0</x:v>
      </x:c>
    </x:row>
    <x:row r="50" ht="22.049999237060547" customHeight="1">
      <x:c r="A50" s="80" t="str">
        <x:f>IF(B50="","",B50&amp;"-"&amp;TEXT(COUNTIF($B$7:B50,B50),"000"))</x:f>
      </x:c>
      <x:c r="B50" s="53"/>
      <x:c r="C50" s="81" t="str">
        <x:f>IFERROR(INDEX('QS Takeoff'!$A$3:$A$194,MATCH(B50,'QS Takeoff'!$B$3:$B$194,0)),"")</x:f>
      </x:c>
      <x:c r="D50" s="81" t="str">
        <x:f>IFERROR(INDEX('QS Takeoff'!$C$3:$C$194,MATCH(B50,'QS Takeoff'!$B$3:$B$194,0)),"")</x:f>
      </x:c>
      <x:c r="E50" s="81" t="str">
        <x:f>IFERROR(INDEX('QS Takeoff'!$E$3:$E$194,MATCH(B50,'QS Takeoff'!$B$3:$B$194,0)),"")</x:f>
      </x:c>
      <x:c r="F50" s="81" t="str">
        <x:f>IFERROR(INDEX('QS Takeoff'!$D$3:$D$194,MATCH(B50,'QS Takeoff'!$B$3:$B$194,0)),"")</x:f>
      </x:c>
      <x:c r="G50" s="81" t="str">
        <x:f>IFERROR(INDEX('QS Takeoff'!$J$3:$J$194,MATCH(B50,'QS Takeoff'!$B$3:$B$194,0)),"")</x:f>
      </x:c>
      <x:c r="H50" s="53"/>
      <x:c r="I50" s="60"/>
      <x:c r="J50" s="60"/>
      <x:c r="K50" s="82" t="str">
        <x:f t="shared" si="0">IF(OR(B50="",I50="",I50=0),"",E50/I50)</x:f>
      </x:c>
      <x:c r="L50" s="60"/>
      <x:c r="M50" s="82" t="str">
        <x:f t="shared" si="1">IF(L50&gt;0,L50,K50)</x:f>
      </x:c>
      <x:c r="N50" s="53"/>
      <x:c r="O50" s="53"/>
      <x:c r="P50" s="53"/>
      <x:c r="Q50" s="81" t="str">
        <x:f>IFERROR(INDEX('Resource Rate Library'!$C$5:$C$85,MATCH(P50,'Resource Rate Library'!$A$5:$A$85,0)),"")</x:f>
      </x:c>
      <x:c r="R50" s="53"/>
      <x:c r="S50" s="53"/>
      <x:c r="T50" s="81" t="str">
        <x:f>IFERROR(INDEX('Resource Rate Library'!$E$5:$E$85,MATCH(P50,'Resource Rate Library'!$A$5:$A$85,0)),"")</x:f>
      </x:c>
      <x:c r="U50" s="62"/>
      <x:c r="V50" s="62"/>
      <x:c r="W50" s="83" t="n">
        <x:f>IFERROR(INDEX('Resource Rate Library'!$I$5:$I$85,MATCH(P50,'Resource Rate Library'!$A$5:$A$85,0)),0)</x:f>
        <x:v>0</x:v>
      </x:c>
      <x:c r="X50" s="52"/>
      <x:c r="Y50" s="83" t="n">
        <x:f t="shared" si="2">IF(X50&gt;0,X50,W50)</x:f>
        <x:v>0</x:v>
      </x:c>
      <x:c r="Z50" s="83" t="str">
        <x:f t="shared" si="3">IF(B50="","",IF(N50="Time x Count",M50*R50*IF(U50="",1,U50)*Y50,IF(N50="QS Qty x Factor",E50*R50*(1+IF(V50="",0,V50))*Y50,IF(N50="Direct Qty",S50*(1+IF(V50="",0,V50))*Y50,IF(N50="Lump Sum / Quote",S50*Y50,0)))))</x:f>
      </x:c>
      <x:c r="AA50" s="81" t="str">
        <x:f>IFERROR(INDEX('Resource Rate Library'!$N$5:$N$85,MATCH(P50,'Resource Rate Library'!$A$5:$A$85,0)),"")</x:f>
      </x:c>
      <x:c r="AB50" s="53"/>
      <x:c r="AC50" s="59"/>
      <x:c r="AD50" s="81" t="str">
        <x:f>IFERROR(INDEX('Resource Rate Library'!$G$5:$G$85,MATCH(P50,'Resource Rate Library'!$A$5:$A$85,0)),"")</x:f>
      </x:c>
      <x:c r="AE50" s="81" t="str">
        <x:f>IFERROR(INDEX('Resource Rate Library'!$H$5:$H$85,MATCH(P50,'Resource Rate Library'!$A$5:$A$85,0)),"")</x:f>
      </x:c>
      <x:c r="AF50" s="53"/>
      <x:c r="AG50" s="53"/>
      <x:c r="AH50" s="53"/>
      <x:c r="AI50" s="81" t="str">
        <x:f>IF(B50="","",IF(AND(P50="",N50&lt;&gt;"Lump Sum / Quote"),"RESOURCE CODE",IF(Y50=0,"RATE MISSING",IF(AND(O50="Plant",AD50="Yes",COUNTIFS($B$7:$B$306,B50,$O$7:$O$306,"Labour",$Q$7:$Q$306,"*Operator*")&gt;0),"OPERATOR DOUBLE-COUNT",IF(AND(O50="Plant",AE50="Yes",COUNTIFS($B$7:$B$306,B50,$Q$7:$Q$306,"*Fuel*")&gt;0),"FUEL DOUBLE-COUNT",IF(AH50&lt;&gt;"Yes","VERIFY","OK"))))))</x:f>
      </x:c>
      <x:c r="AJ50" s="54"/>
      <x:c r="AK50" s="473"/>
      <x:c r="AL50" s="473"/>
      <x:c r="AM50" s="473"/>
      <x:c r="AN50" s="500" t="n">
        <x:f>IF(AND(AK50="Yes",OR(O50="Labour",O50="Plant")),Z50,0)</x:f>
        <x:v>0</x:v>
      </x:c>
    </x:row>
    <x:row r="51" ht="22.049999237060547" customHeight="1">
      <x:c r="A51" s="80" t="str">
        <x:f>IF(B51="","",B51&amp;"-"&amp;TEXT(COUNTIF($B$7:B51,B51),"000"))</x:f>
      </x:c>
      <x:c r="B51" s="53"/>
      <x:c r="C51" s="81" t="str">
        <x:f>IFERROR(INDEX('QS Takeoff'!$A$3:$A$194,MATCH(B51,'QS Takeoff'!$B$3:$B$194,0)),"")</x:f>
      </x:c>
      <x:c r="D51" s="81" t="str">
        <x:f>IFERROR(INDEX('QS Takeoff'!$C$3:$C$194,MATCH(B51,'QS Takeoff'!$B$3:$B$194,0)),"")</x:f>
      </x:c>
      <x:c r="E51" s="81" t="str">
        <x:f>IFERROR(INDEX('QS Takeoff'!$E$3:$E$194,MATCH(B51,'QS Takeoff'!$B$3:$B$194,0)),"")</x:f>
      </x:c>
      <x:c r="F51" s="81" t="str">
        <x:f>IFERROR(INDEX('QS Takeoff'!$D$3:$D$194,MATCH(B51,'QS Takeoff'!$B$3:$B$194,0)),"")</x:f>
      </x:c>
      <x:c r="G51" s="81" t="str">
        <x:f>IFERROR(INDEX('QS Takeoff'!$J$3:$J$194,MATCH(B51,'QS Takeoff'!$B$3:$B$194,0)),"")</x:f>
      </x:c>
      <x:c r="H51" s="53"/>
      <x:c r="I51" s="60"/>
      <x:c r="J51" s="60"/>
      <x:c r="K51" s="82" t="str">
        <x:f t="shared" si="0">IF(OR(B51="",I51="",I51=0),"",E51/I51)</x:f>
      </x:c>
      <x:c r="L51" s="60"/>
      <x:c r="M51" s="82" t="str">
        <x:f t="shared" si="1">IF(L51&gt;0,L51,K51)</x:f>
      </x:c>
      <x:c r="N51" s="53"/>
      <x:c r="O51" s="53"/>
      <x:c r="P51" s="53"/>
      <x:c r="Q51" s="81" t="str">
        <x:f>IFERROR(INDEX('Resource Rate Library'!$C$5:$C$85,MATCH(P51,'Resource Rate Library'!$A$5:$A$85,0)),"")</x:f>
      </x:c>
      <x:c r="R51" s="53"/>
      <x:c r="S51" s="53"/>
      <x:c r="T51" s="81" t="str">
        <x:f>IFERROR(INDEX('Resource Rate Library'!$E$5:$E$85,MATCH(P51,'Resource Rate Library'!$A$5:$A$85,0)),"")</x:f>
      </x:c>
      <x:c r="U51" s="62"/>
      <x:c r="V51" s="62"/>
      <x:c r="W51" s="83" t="n">
        <x:f>IFERROR(INDEX('Resource Rate Library'!$I$5:$I$85,MATCH(P51,'Resource Rate Library'!$A$5:$A$85,0)),0)</x:f>
        <x:v>0</x:v>
      </x:c>
      <x:c r="X51" s="52"/>
      <x:c r="Y51" s="83" t="n">
        <x:f t="shared" si="2">IF(X51&gt;0,X51,W51)</x:f>
        <x:v>0</x:v>
      </x:c>
      <x:c r="Z51" s="83" t="str">
        <x:f t="shared" si="3">IF(B51="","",IF(N51="Time x Count",M51*R51*IF(U51="",1,U51)*Y51,IF(N51="QS Qty x Factor",E51*R51*(1+IF(V51="",0,V51))*Y51,IF(N51="Direct Qty",S51*(1+IF(V51="",0,V51))*Y51,IF(N51="Lump Sum / Quote",S51*Y51,0)))))</x:f>
      </x:c>
      <x:c r="AA51" s="81" t="str">
        <x:f>IFERROR(INDEX('Resource Rate Library'!$N$5:$N$85,MATCH(P51,'Resource Rate Library'!$A$5:$A$85,0)),"")</x:f>
      </x:c>
      <x:c r="AB51" s="53"/>
      <x:c r="AC51" s="59"/>
      <x:c r="AD51" s="81" t="str">
        <x:f>IFERROR(INDEX('Resource Rate Library'!$G$5:$G$85,MATCH(P51,'Resource Rate Library'!$A$5:$A$85,0)),"")</x:f>
      </x:c>
      <x:c r="AE51" s="81" t="str">
        <x:f>IFERROR(INDEX('Resource Rate Library'!$H$5:$H$85,MATCH(P51,'Resource Rate Library'!$A$5:$A$85,0)),"")</x:f>
      </x:c>
      <x:c r="AF51" s="53"/>
      <x:c r="AG51" s="53"/>
      <x:c r="AH51" s="53"/>
      <x:c r="AI51" s="81" t="str">
        <x:f>IF(B51="","",IF(AND(P51="",N51&lt;&gt;"Lump Sum / Quote"),"RESOURCE CODE",IF(Y51=0,"RATE MISSING",IF(AND(O51="Plant",AD51="Yes",COUNTIFS($B$7:$B$306,B51,$O$7:$O$306,"Labour",$Q$7:$Q$306,"*Operator*")&gt;0),"OPERATOR DOUBLE-COUNT",IF(AND(O51="Plant",AE51="Yes",COUNTIFS($B$7:$B$306,B51,$Q$7:$Q$306,"*Fuel*")&gt;0),"FUEL DOUBLE-COUNT",IF(AH51&lt;&gt;"Yes","VERIFY","OK"))))))</x:f>
      </x:c>
      <x:c r="AJ51" s="54"/>
      <x:c r="AK51" s="473"/>
      <x:c r="AL51" s="473"/>
      <x:c r="AM51" s="473"/>
      <x:c r="AN51" s="500" t="n">
        <x:f>IF(AND(AK51="Yes",OR(O51="Labour",O51="Plant")),Z51,0)</x:f>
        <x:v>0</x:v>
      </x:c>
    </x:row>
    <x:row r="52" ht="22.049999237060547" customHeight="1">
      <x:c r="A52" s="80" t="str">
        <x:f>IF(B52="","",B52&amp;"-"&amp;TEXT(COUNTIF($B$7:B52,B52),"000"))</x:f>
      </x:c>
      <x:c r="B52" s="53"/>
      <x:c r="C52" s="81" t="str">
        <x:f>IFERROR(INDEX('QS Takeoff'!$A$3:$A$194,MATCH(B52,'QS Takeoff'!$B$3:$B$194,0)),"")</x:f>
      </x:c>
      <x:c r="D52" s="81" t="str">
        <x:f>IFERROR(INDEX('QS Takeoff'!$C$3:$C$194,MATCH(B52,'QS Takeoff'!$B$3:$B$194,0)),"")</x:f>
      </x:c>
      <x:c r="E52" s="81" t="str">
        <x:f>IFERROR(INDEX('QS Takeoff'!$E$3:$E$194,MATCH(B52,'QS Takeoff'!$B$3:$B$194,0)),"")</x:f>
      </x:c>
      <x:c r="F52" s="81" t="str">
        <x:f>IFERROR(INDEX('QS Takeoff'!$D$3:$D$194,MATCH(B52,'QS Takeoff'!$B$3:$B$194,0)),"")</x:f>
      </x:c>
      <x:c r="G52" s="81" t="str">
        <x:f>IFERROR(INDEX('QS Takeoff'!$J$3:$J$194,MATCH(B52,'QS Takeoff'!$B$3:$B$194,0)),"")</x:f>
      </x:c>
      <x:c r="H52" s="53"/>
      <x:c r="I52" s="60"/>
      <x:c r="J52" s="60"/>
      <x:c r="K52" s="82" t="str">
        <x:f t="shared" si="0">IF(OR(B52="",I52="",I52=0),"",E52/I52)</x:f>
      </x:c>
      <x:c r="L52" s="60"/>
      <x:c r="M52" s="82" t="str">
        <x:f t="shared" si="1">IF(L52&gt;0,L52,K52)</x:f>
      </x:c>
      <x:c r="N52" s="53"/>
      <x:c r="O52" s="53"/>
      <x:c r="P52" s="53"/>
      <x:c r="Q52" s="81" t="str">
        <x:f>IFERROR(INDEX('Resource Rate Library'!$C$5:$C$85,MATCH(P52,'Resource Rate Library'!$A$5:$A$85,0)),"")</x:f>
      </x:c>
      <x:c r="R52" s="53"/>
      <x:c r="S52" s="53"/>
      <x:c r="T52" s="81" t="str">
        <x:f>IFERROR(INDEX('Resource Rate Library'!$E$5:$E$85,MATCH(P52,'Resource Rate Library'!$A$5:$A$85,0)),"")</x:f>
      </x:c>
      <x:c r="U52" s="62"/>
      <x:c r="V52" s="62"/>
      <x:c r="W52" s="83" t="n">
        <x:f>IFERROR(INDEX('Resource Rate Library'!$I$5:$I$85,MATCH(P52,'Resource Rate Library'!$A$5:$A$85,0)),0)</x:f>
        <x:v>0</x:v>
      </x:c>
      <x:c r="X52" s="52"/>
      <x:c r="Y52" s="83" t="n">
        <x:f t="shared" si="2">IF(X52&gt;0,X52,W52)</x:f>
        <x:v>0</x:v>
      </x:c>
      <x:c r="Z52" s="83" t="str">
        <x:f t="shared" si="3">IF(B52="","",IF(N52="Time x Count",M52*R52*IF(U52="",1,U52)*Y52,IF(N52="QS Qty x Factor",E52*R52*(1+IF(V52="",0,V52))*Y52,IF(N52="Direct Qty",S52*(1+IF(V52="",0,V52))*Y52,IF(N52="Lump Sum / Quote",S52*Y52,0)))))</x:f>
      </x:c>
      <x:c r="AA52" s="81" t="str">
        <x:f>IFERROR(INDEX('Resource Rate Library'!$N$5:$N$85,MATCH(P52,'Resource Rate Library'!$A$5:$A$85,0)),"")</x:f>
      </x:c>
      <x:c r="AB52" s="53"/>
      <x:c r="AC52" s="59"/>
      <x:c r="AD52" s="81" t="str">
        <x:f>IFERROR(INDEX('Resource Rate Library'!$G$5:$G$85,MATCH(P52,'Resource Rate Library'!$A$5:$A$85,0)),"")</x:f>
      </x:c>
      <x:c r="AE52" s="81" t="str">
        <x:f>IFERROR(INDEX('Resource Rate Library'!$H$5:$H$85,MATCH(P52,'Resource Rate Library'!$A$5:$A$85,0)),"")</x:f>
      </x:c>
      <x:c r="AF52" s="53"/>
      <x:c r="AG52" s="53"/>
      <x:c r="AH52" s="53"/>
      <x:c r="AI52" s="81" t="str">
        <x:f>IF(B52="","",IF(AND(P52="",N52&lt;&gt;"Lump Sum / Quote"),"RESOURCE CODE",IF(Y52=0,"RATE MISSING",IF(AND(O52="Plant",AD52="Yes",COUNTIFS($B$7:$B$306,B52,$O$7:$O$306,"Labour",$Q$7:$Q$306,"*Operator*")&gt;0),"OPERATOR DOUBLE-COUNT",IF(AND(O52="Plant",AE52="Yes",COUNTIFS($B$7:$B$306,B52,$Q$7:$Q$306,"*Fuel*")&gt;0),"FUEL DOUBLE-COUNT",IF(AH52&lt;&gt;"Yes","VERIFY","OK"))))))</x:f>
      </x:c>
      <x:c r="AJ52" s="54"/>
      <x:c r="AK52" s="473"/>
      <x:c r="AL52" s="473"/>
      <x:c r="AM52" s="473"/>
      <x:c r="AN52" s="500" t="n">
        <x:f>IF(AND(AK52="Yes",OR(O52="Labour",O52="Plant")),Z52,0)</x:f>
        <x:v>0</x:v>
      </x:c>
    </x:row>
    <x:row r="53" ht="22.049999237060547" customHeight="1">
      <x:c r="A53" s="80" t="str">
        <x:f>IF(B53="","",B53&amp;"-"&amp;TEXT(COUNTIF($B$7:B53,B53),"000"))</x:f>
      </x:c>
      <x:c r="B53" s="53"/>
      <x:c r="C53" s="81" t="str">
        <x:f>IFERROR(INDEX('QS Takeoff'!$A$3:$A$194,MATCH(B53,'QS Takeoff'!$B$3:$B$194,0)),"")</x:f>
      </x:c>
      <x:c r="D53" s="81" t="str">
        <x:f>IFERROR(INDEX('QS Takeoff'!$C$3:$C$194,MATCH(B53,'QS Takeoff'!$B$3:$B$194,0)),"")</x:f>
      </x:c>
      <x:c r="E53" s="81" t="str">
        <x:f>IFERROR(INDEX('QS Takeoff'!$E$3:$E$194,MATCH(B53,'QS Takeoff'!$B$3:$B$194,0)),"")</x:f>
      </x:c>
      <x:c r="F53" s="81" t="str">
        <x:f>IFERROR(INDEX('QS Takeoff'!$D$3:$D$194,MATCH(B53,'QS Takeoff'!$B$3:$B$194,0)),"")</x:f>
      </x:c>
      <x:c r="G53" s="81" t="str">
        <x:f>IFERROR(INDEX('QS Takeoff'!$J$3:$J$194,MATCH(B53,'QS Takeoff'!$B$3:$B$194,0)),"")</x:f>
      </x:c>
      <x:c r="H53" s="53"/>
      <x:c r="I53" s="60"/>
      <x:c r="J53" s="60"/>
      <x:c r="K53" s="82" t="str">
        <x:f t="shared" si="0">IF(OR(B53="",I53="",I53=0),"",E53/I53)</x:f>
      </x:c>
      <x:c r="L53" s="60"/>
      <x:c r="M53" s="82" t="str">
        <x:f t="shared" si="1">IF(L53&gt;0,L53,K53)</x:f>
      </x:c>
      <x:c r="N53" s="53"/>
      <x:c r="O53" s="53"/>
      <x:c r="P53" s="53"/>
      <x:c r="Q53" s="81" t="str">
        <x:f>IFERROR(INDEX('Resource Rate Library'!$C$5:$C$85,MATCH(P53,'Resource Rate Library'!$A$5:$A$85,0)),"")</x:f>
      </x:c>
      <x:c r="R53" s="53"/>
      <x:c r="S53" s="53"/>
      <x:c r="T53" s="81" t="str">
        <x:f>IFERROR(INDEX('Resource Rate Library'!$E$5:$E$85,MATCH(P53,'Resource Rate Library'!$A$5:$A$85,0)),"")</x:f>
      </x:c>
      <x:c r="U53" s="62"/>
      <x:c r="V53" s="62"/>
      <x:c r="W53" s="83" t="n">
        <x:f>IFERROR(INDEX('Resource Rate Library'!$I$5:$I$85,MATCH(P53,'Resource Rate Library'!$A$5:$A$85,0)),0)</x:f>
        <x:v>0</x:v>
      </x:c>
      <x:c r="X53" s="52"/>
      <x:c r="Y53" s="83" t="n">
        <x:f t="shared" si="2">IF(X53&gt;0,X53,W53)</x:f>
        <x:v>0</x:v>
      </x:c>
      <x:c r="Z53" s="83" t="str">
        <x:f t="shared" si="3">IF(B53="","",IF(N53="Time x Count",M53*R53*IF(U53="",1,U53)*Y53,IF(N53="QS Qty x Factor",E53*R53*(1+IF(V53="",0,V53))*Y53,IF(N53="Direct Qty",S53*(1+IF(V53="",0,V53))*Y53,IF(N53="Lump Sum / Quote",S53*Y53,0)))))</x:f>
      </x:c>
      <x:c r="AA53" s="81" t="str">
        <x:f>IFERROR(INDEX('Resource Rate Library'!$N$5:$N$85,MATCH(P53,'Resource Rate Library'!$A$5:$A$85,0)),"")</x:f>
      </x:c>
      <x:c r="AB53" s="53"/>
      <x:c r="AC53" s="59"/>
      <x:c r="AD53" s="81" t="str">
        <x:f>IFERROR(INDEX('Resource Rate Library'!$G$5:$G$85,MATCH(P53,'Resource Rate Library'!$A$5:$A$85,0)),"")</x:f>
      </x:c>
      <x:c r="AE53" s="81" t="str">
        <x:f>IFERROR(INDEX('Resource Rate Library'!$H$5:$H$85,MATCH(P53,'Resource Rate Library'!$A$5:$A$85,0)),"")</x:f>
      </x:c>
      <x:c r="AF53" s="53"/>
      <x:c r="AG53" s="53"/>
      <x:c r="AH53" s="53"/>
      <x:c r="AI53" s="81" t="str">
        <x:f>IF(B53="","",IF(AND(P53="",N53&lt;&gt;"Lump Sum / Quote"),"RESOURCE CODE",IF(Y53=0,"RATE MISSING",IF(AND(O53="Plant",AD53="Yes",COUNTIFS($B$7:$B$306,B53,$O$7:$O$306,"Labour",$Q$7:$Q$306,"*Operator*")&gt;0),"OPERATOR DOUBLE-COUNT",IF(AND(O53="Plant",AE53="Yes",COUNTIFS($B$7:$B$306,B53,$Q$7:$Q$306,"*Fuel*")&gt;0),"FUEL DOUBLE-COUNT",IF(AH53&lt;&gt;"Yes","VERIFY","OK"))))))</x:f>
      </x:c>
      <x:c r="AJ53" s="54"/>
      <x:c r="AK53" s="473"/>
      <x:c r="AL53" s="473"/>
      <x:c r="AM53" s="473"/>
      <x:c r="AN53" s="500" t="n">
        <x:f>IF(AND(AK53="Yes",OR(O53="Labour",O53="Plant")),Z53,0)</x:f>
        <x:v>0</x:v>
      </x:c>
    </x:row>
    <x:row r="54" ht="22.049999237060547" customHeight="1">
      <x:c r="A54" s="80" t="str">
        <x:f>IF(B54="","",B54&amp;"-"&amp;TEXT(COUNTIF($B$7:B54,B54),"000"))</x:f>
      </x:c>
      <x:c r="B54" s="53"/>
      <x:c r="C54" s="81" t="str">
        <x:f>IFERROR(INDEX('QS Takeoff'!$A$3:$A$194,MATCH(B54,'QS Takeoff'!$B$3:$B$194,0)),"")</x:f>
      </x:c>
      <x:c r="D54" s="81" t="str">
        <x:f>IFERROR(INDEX('QS Takeoff'!$C$3:$C$194,MATCH(B54,'QS Takeoff'!$B$3:$B$194,0)),"")</x:f>
      </x:c>
      <x:c r="E54" s="81" t="str">
        <x:f>IFERROR(INDEX('QS Takeoff'!$E$3:$E$194,MATCH(B54,'QS Takeoff'!$B$3:$B$194,0)),"")</x:f>
      </x:c>
      <x:c r="F54" s="81" t="str">
        <x:f>IFERROR(INDEX('QS Takeoff'!$D$3:$D$194,MATCH(B54,'QS Takeoff'!$B$3:$B$194,0)),"")</x:f>
      </x:c>
      <x:c r="G54" s="81" t="str">
        <x:f>IFERROR(INDEX('QS Takeoff'!$J$3:$J$194,MATCH(B54,'QS Takeoff'!$B$3:$B$194,0)),"")</x:f>
      </x:c>
      <x:c r="H54" s="53"/>
      <x:c r="I54" s="60"/>
      <x:c r="J54" s="60"/>
      <x:c r="K54" s="82" t="str">
        <x:f t="shared" si="0">IF(OR(B54="",I54="",I54=0),"",E54/I54)</x:f>
      </x:c>
      <x:c r="L54" s="60"/>
      <x:c r="M54" s="82" t="str">
        <x:f t="shared" si="1">IF(L54&gt;0,L54,K54)</x:f>
      </x:c>
      <x:c r="N54" s="53"/>
      <x:c r="O54" s="53"/>
      <x:c r="P54" s="53"/>
      <x:c r="Q54" s="81" t="str">
        <x:f>IFERROR(INDEX('Resource Rate Library'!$C$5:$C$85,MATCH(P54,'Resource Rate Library'!$A$5:$A$85,0)),"")</x:f>
      </x:c>
      <x:c r="R54" s="53"/>
      <x:c r="S54" s="53"/>
      <x:c r="T54" s="81" t="str">
        <x:f>IFERROR(INDEX('Resource Rate Library'!$E$5:$E$85,MATCH(P54,'Resource Rate Library'!$A$5:$A$85,0)),"")</x:f>
      </x:c>
      <x:c r="U54" s="62"/>
      <x:c r="V54" s="62"/>
      <x:c r="W54" s="83" t="n">
        <x:f>IFERROR(INDEX('Resource Rate Library'!$I$5:$I$85,MATCH(P54,'Resource Rate Library'!$A$5:$A$85,0)),0)</x:f>
        <x:v>0</x:v>
      </x:c>
      <x:c r="X54" s="52"/>
      <x:c r="Y54" s="83" t="n">
        <x:f t="shared" si="2">IF(X54&gt;0,X54,W54)</x:f>
        <x:v>0</x:v>
      </x:c>
      <x:c r="Z54" s="83" t="str">
        <x:f t="shared" si="3">IF(B54="","",IF(N54="Time x Count",M54*R54*IF(U54="",1,U54)*Y54,IF(N54="QS Qty x Factor",E54*R54*(1+IF(V54="",0,V54))*Y54,IF(N54="Direct Qty",S54*(1+IF(V54="",0,V54))*Y54,IF(N54="Lump Sum / Quote",S54*Y54,0)))))</x:f>
      </x:c>
      <x:c r="AA54" s="81" t="str">
        <x:f>IFERROR(INDEX('Resource Rate Library'!$N$5:$N$85,MATCH(P54,'Resource Rate Library'!$A$5:$A$85,0)),"")</x:f>
      </x:c>
      <x:c r="AB54" s="53"/>
      <x:c r="AC54" s="59"/>
      <x:c r="AD54" s="81" t="str">
        <x:f>IFERROR(INDEX('Resource Rate Library'!$G$5:$G$85,MATCH(P54,'Resource Rate Library'!$A$5:$A$85,0)),"")</x:f>
      </x:c>
      <x:c r="AE54" s="81" t="str">
        <x:f>IFERROR(INDEX('Resource Rate Library'!$H$5:$H$85,MATCH(P54,'Resource Rate Library'!$A$5:$A$85,0)),"")</x:f>
      </x:c>
      <x:c r="AF54" s="53"/>
      <x:c r="AG54" s="53"/>
      <x:c r="AH54" s="53"/>
      <x:c r="AI54" s="81" t="str">
        <x:f>IF(B54="","",IF(AND(P54="",N54&lt;&gt;"Lump Sum / Quote"),"RESOURCE CODE",IF(Y54=0,"RATE MISSING",IF(AND(O54="Plant",AD54="Yes",COUNTIFS($B$7:$B$306,B54,$O$7:$O$306,"Labour",$Q$7:$Q$306,"*Operator*")&gt;0),"OPERATOR DOUBLE-COUNT",IF(AND(O54="Plant",AE54="Yes",COUNTIFS($B$7:$B$306,B54,$Q$7:$Q$306,"*Fuel*")&gt;0),"FUEL DOUBLE-COUNT",IF(AH54&lt;&gt;"Yes","VERIFY","OK"))))))</x:f>
      </x:c>
      <x:c r="AJ54" s="54"/>
      <x:c r="AK54" s="473"/>
      <x:c r="AL54" s="473"/>
      <x:c r="AM54" s="473"/>
      <x:c r="AN54" s="500" t="n">
        <x:f>IF(AND(AK54="Yes",OR(O54="Labour",O54="Plant")),Z54,0)</x:f>
        <x:v>0</x:v>
      </x:c>
    </x:row>
    <x:row r="55" ht="22.049999237060547" customHeight="1">
      <x:c r="A55" s="80" t="str">
        <x:f>IF(B55="","",B55&amp;"-"&amp;TEXT(COUNTIF($B$7:B55,B55),"000"))</x:f>
      </x:c>
      <x:c r="B55" s="53"/>
      <x:c r="C55" s="81" t="str">
        <x:f>IFERROR(INDEX('QS Takeoff'!$A$3:$A$194,MATCH(B55,'QS Takeoff'!$B$3:$B$194,0)),"")</x:f>
      </x:c>
      <x:c r="D55" s="81" t="str">
        <x:f>IFERROR(INDEX('QS Takeoff'!$C$3:$C$194,MATCH(B55,'QS Takeoff'!$B$3:$B$194,0)),"")</x:f>
      </x:c>
      <x:c r="E55" s="81" t="str">
        <x:f>IFERROR(INDEX('QS Takeoff'!$E$3:$E$194,MATCH(B55,'QS Takeoff'!$B$3:$B$194,0)),"")</x:f>
      </x:c>
      <x:c r="F55" s="81" t="str">
        <x:f>IFERROR(INDEX('QS Takeoff'!$D$3:$D$194,MATCH(B55,'QS Takeoff'!$B$3:$B$194,0)),"")</x:f>
      </x:c>
      <x:c r="G55" s="81" t="str">
        <x:f>IFERROR(INDEX('QS Takeoff'!$J$3:$J$194,MATCH(B55,'QS Takeoff'!$B$3:$B$194,0)),"")</x:f>
      </x:c>
      <x:c r="H55" s="53"/>
      <x:c r="I55" s="60"/>
      <x:c r="J55" s="60"/>
      <x:c r="K55" s="82" t="str">
        <x:f t="shared" si="0">IF(OR(B55="",I55="",I55=0),"",E55/I55)</x:f>
      </x:c>
      <x:c r="L55" s="60"/>
      <x:c r="M55" s="82" t="str">
        <x:f t="shared" si="1">IF(L55&gt;0,L55,K55)</x:f>
      </x:c>
      <x:c r="N55" s="53"/>
      <x:c r="O55" s="53"/>
      <x:c r="P55" s="53"/>
      <x:c r="Q55" s="81" t="str">
        <x:f>IFERROR(INDEX('Resource Rate Library'!$C$5:$C$85,MATCH(P55,'Resource Rate Library'!$A$5:$A$85,0)),"")</x:f>
      </x:c>
      <x:c r="R55" s="53"/>
      <x:c r="S55" s="53"/>
      <x:c r="T55" s="81" t="str">
        <x:f>IFERROR(INDEX('Resource Rate Library'!$E$5:$E$85,MATCH(P55,'Resource Rate Library'!$A$5:$A$85,0)),"")</x:f>
      </x:c>
      <x:c r="U55" s="62"/>
      <x:c r="V55" s="62"/>
      <x:c r="W55" s="83" t="n">
        <x:f>IFERROR(INDEX('Resource Rate Library'!$I$5:$I$85,MATCH(P55,'Resource Rate Library'!$A$5:$A$85,0)),0)</x:f>
        <x:v>0</x:v>
      </x:c>
      <x:c r="X55" s="52"/>
      <x:c r="Y55" s="83" t="n">
        <x:f t="shared" si="2">IF(X55&gt;0,X55,W55)</x:f>
        <x:v>0</x:v>
      </x:c>
      <x:c r="Z55" s="83" t="str">
        <x:f t="shared" si="3">IF(B55="","",IF(N55="Time x Count",M55*R55*IF(U55="",1,U55)*Y55,IF(N55="QS Qty x Factor",E55*R55*(1+IF(V55="",0,V55))*Y55,IF(N55="Direct Qty",S55*(1+IF(V55="",0,V55))*Y55,IF(N55="Lump Sum / Quote",S55*Y55,0)))))</x:f>
      </x:c>
      <x:c r="AA55" s="81" t="str">
        <x:f>IFERROR(INDEX('Resource Rate Library'!$N$5:$N$85,MATCH(P55,'Resource Rate Library'!$A$5:$A$85,0)),"")</x:f>
      </x:c>
      <x:c r="AB55" s="53"/>
      <x:c r="AC55" s="59"/>
      <x:c r="AD55" s="81" t="str">
        <x:f>IFERROR(INDEX('Resource Rate Library'!$G$5:$G$85,MATCH(P55,'Resource Rate Library'!$A$5:$A$85,0)),"")</x:f>
      </x:c>
      <x:c r="AE55" s="81" t="str">
        <x:f>IFERROR(INDEX('Resource Rate Library'!$H$5:$H$85,MATCH(P55,'Resource Rate Library'!$A$5:$A$85,0)),"")</x:f>
      </x:c>
      <x:c r="AF55" s="53"/>
      <x:c r="AG55" s="53"/>
      <x:c r="AH55" s="53"/>
      <x:c r="AI55" s="81" t="str">
        <x:f>IF(B55="","",IF(AND(P55="",N55&lt;&gt;"Lump Sum / Quote"),"RESOURCE CODE",IF(Y55=0,"RATE MISSING",IF(AND(O55="Plant",AD55="Yes",COUNTIFS($B$7:$B$306,B55,$O$7:$O$306,"Labour",$Q$7:$Q$306,"*Operator*")&gt;0),"OPERATOR DOUBLE-COUNT",IF(AND(O55="Plant",AE55="Yes",COUNTIFS($B$7:$B$306,B55,$Q$7:$Q$306,"*Fuel*")&gt;0),"FUEL DOUBLE-COUNT",IF(AH55&lt;&gt;"Yes","VERIFY","OK"))))))</x:f>
      </x:c>
      <x:c r="AJ55" s="54"/>
      <x:c r="AK55" s="473"/>
      <x:c r="AL55" s="473"/>
      <x:c r="AM55" s="473"/>
      <x:c r="AN55" s="500" t="n">
        <x:f>IF(AND(AK55="Yes",OR(O55="Labour",O55="Plant")),Z55,0)</x:f>
        <x:v>0</x:v>
      </x:c>
    </x:row>
    <x:row r="56" ht="22.049999237060547" customHeight="1">
      <x:c r="A56" s="80" t="str">
        <x:f>IF(B56="","",B56&amp;"-"&amp;TEXT(COUNTIF($B$7:B56,B56),"000"))</x:f>
      </x:c>
      <x:c r="B56" s="53"/>
      <x:c r="C56" s="81" t="str">
        <x:f>IFERROR(INDEX('QS Takeoff'!$A$3:$A$194,MATCH(B56,'QS Takeoff'!$B$3:$B$194,0)),"")</x:f>
      </x:c>
      <x:c r="D56" s="81" t="str">
        <x:f>IFERROR(INDEX('QS Takeoff'!$C$3:$C$194,MATCH(B56,'QS Takeoff'!$B$3:$B$194,0)),"")</x:f>
      </x:c>
      <x:c r="E56" s="81" t="str">
        <x:f>IFERROR(INDEX('QS Takeoff'!$E$3:$E$194,MATCH(B56,'QS Takeoff'!$B$3:$B$194,0)),"")</x:f>
      </x:c>
      <x:c r="F56" s="81" t="str">
        <x:f>IFERROR(INDEX('QS Takeoff'!$D$3:$D$194,MATCH(B56,'QS Takeoff'!$B$3:$B$194,0)),"")</x:f>
      </x:c>
      <x:c r="G56" s="81" t="str">
        <x:f>IFERROR(INDEX('QS Takeoff'!$J$3:$J$194,MATCH(B56,'QS Takeoff'!$B$3:$B$194,0)),"")</x:f>
      </x:c>
      <x:c r="H56" s="53"/>
      <x:c r="I56" s="60"/>
      <x:c r="J56" s="60"/>
      <x:c r="K56" s="82" t="str">
        <x:f t="shared" si="0">IF(OR(B56="",I56="",I56=0),"",E56/I56)</x:f>
      </x:c>
      <x:c r="L56" s="60"/>
      <x:c r="M56" s="82" t="str">
        <x:f t="shared" si="1">IF(L56&gt;0,L56,K56)</x:f>
      </x:c>
      <x:c r="N56" s="53"/>
      <x:c r="O56" s="53"/>
      <x:c r="P56" s="53"/>
      <x:c r="Q56" s="81" t="str">
        <x:f>IFERROR(INDEX('Resource Rate Library'!$C$5:$C$85,MATCH(P56,'Resource Rate Library'!$A$5:$A$85,0)),"")</x:f>
      </x:c>
      <x:c r="R56" s="53"/>
      <x:c r="S56" s="53"/>
      <x:c r="T56" s="81" t="str">
        <x:f>IFERROR(INDEX('Resource Rate Library'!$E$5:$E$85,MATCH(P56,'Resource Rate Library'!$A$5:$A$85,0)),"")</x:f>
      </x:c>
      <x:c r="U56" s="62"/>
      <x:c r="V56" s="62"/>
      <x:c r="W56" s="83" t="n">
        <x:f>IFERROR(INDEX('Resource Rate Library'!$I$5:$I$85,MATCH(P56,'Resource Rate Library'!$A$5:$A$85,0)),0)</x:f>
        <x:v>0</x:v>
      </x:c>
      <x:c r="X56" s="52"/>
      <x:c r="Y56" s="83" t="n">
        <x:f t="shared" si="2">IF(X56&gt;0,X56,W56)</x:f>
        <x:v>0</x:v>
      </x:c>
      <x:c r="Z56" s="83" t="str">
        <x:f t="shared" si="3">IF(B56="","",IF(N56="Time x Count",M56*R56*IF(U56="",1,U56)*Y56,IF(N56="QS Qty x Factor",E56*R56*(1+IF(V56="",0,V56))*Y56,IF(N56="Direct Qty",S56*(1+IF(V56="",0,V56))*Y56,IF(N56="Lump Sum / Quote",S56*Y56,0)))))</x:f>
      </x:c>
      <x:c r="AA56" s="81" t="str">
        <x:f>IFERROR(INDEX('Resource Rate Library'!$N$5:$N$85,MATCH(P56,'Resource Rate Library'!$A$5:$A$85,0)),"")</x:f>
      </x:c>
      <x:c r="AB56" s="53"/>
      <x:c r="AC56" s="59"/>
      <x:c r="AD56" s="81" t="str">
        <x:f>IFERROR(INDEX('Resource Rate Library'!$G$5:$G$85,MATCH(P56,'Resource Rate Library'!$A$5:$A$85,0)),"")</x:f>
      </x:c>
      <x:c r="AE56" s="81" t="str">
        <x:f>IFERROR(INDEX('Resource Rate Library'!$H$5:$H$85,MATCH(P56,'Resource Rate Library'!$A$5:$A$85,0)),"")</x:f>
      </x:c>
      <x:c r="AF56" s="53"/>
      <x:c r="AG56" s="53"/>
      <x:c r="AH56" s="53"/>
      <x:c r="AI56" s="81" t="str">
        <x:f>IF(B56="","",IF(AND(P56="",N56&lt;&gt;"Lump Sum / Quote"),"RESOURCE CODE",IF(Y56=0,"RATE MISSING",IF(AND(O56="Plant",AD56="Yes",COUNTIFS($B$7:$B$306,B56,$O$7:$O$306,"Labour",$Q$7:$Q$306,"*Operator*")&gt;0),"OPERATOR DOUBLE-COUNT",IF(AND(O56="Plant",AE56="Yes",COUNTIFS($B$7:$B$306,B56,$Q$7:$Q$306,"*Fuel*")&gt;0),"FUEL DOUBLE-COUNT",IF(AH56&lt;&gt;"Yes","VERIFY","OK"))))))</x:f>
      </x:c>
      <x:c r="AJ56" s="54"/>
      <x:c r="AK56" s="473"/>
      <x:c r="AL56" s="473"/>
      <x:c r="AM56" s="473"/>
      <x:c r="AN56" s="500" t="n">
        <x:f>IF(AND(AK56="Yes",OR(O56="Labour",O56="Plant")),Z56,0)</x:f>
        <x:v>0</x:v>
      </x:c>
    </x:row>
    <x:row r="57" ht="22.049999237060547" customHeight="1">
      <x:c r="A57" s="80" t="str">
        <x:f>IF(B57="","",B57&amp;"-"&amp;TEXT(COUNTIF($B$7:B57,B57),"000"))</x:f>
      </x:c>
      <x:c r="B57" s="53"/>
      <x:c r="C57" s="81" t="str">
        <x:f>IFERROR(INDEX('QS Takeoff'!$A$3:$A$194,MATCH(B57,'QS Takeoff'!$B$3:$B$194,0)),"")</x:f>
      </x:c>
      <x:c r="D57" s="81" t="str">
        <x:f>IFERROR(INDEX('QS Takeoff'!$C$3:$C$194,MATCH(B57,'QS Takeoff'!$B$3:$B$194,0)),"")</x:f>
      </x:c>
      <x:c r="E57" s="81" t="str">
        <x:f>IFERROR(INDEX('QS Takeoff'!$E$3:$E$194,MATCH(B57,'QS Takeoff'!$B$3:$B$194,0)),"")</x:f>
      </x:c>
      <x:c r="F57" s="81" t="str">
        <x:f>IFERROR(INDEX('QS Takeoff'!$D$3:$D$194,MATCH(B57,'QS Takeoff'!$B$3:$B$194,0)),"")</x:f>
      </x:c>
      <x:c r="G57" s="81" t="str">
        <x:f>IFERROR(INDEX('QS Takeoff'!$J$3:$J$194,MATCH(B57,'QS Takeoff'!$B$3:$B$194,0)),"")</x:f>
      </x:c>
      <x:c r="H57" s="53"/>
      <x:c r="I57" s="60"/>
      <x:c r="J57" s="60"/>
      <x:c r="K57" s="82" t="str">
        <x:f t="shared" si="0">IF(OR(B57="",I57="",I57=0),"",E57/I57)</x:f>
      </x:c>
      <x:c r="L57" s="60"/>
      <x:c r="M57" s="82" t="str">
        <x:f t="shared" si="1">IF(L57&gt;0,L57,K57)</x:f>
      </x:c>
      <x:c r="N57" s="53"/>
      <x:c r="O57" s="53"/>
      <x:c r="P57" s="53"/>
      <x:c r="Q57" s="81" t="str">
        <x:f>IFERROR(INDEX('Resource Rate Library'!$C$5:$C$85,MATCH(P57,'Resource Rate Library'!$A$5:$A$85,0)),"")</x:f>
      </x:c>
      <x:c r="R57" s="53"/>
      <x:c r="S57" s="53"/>
      <x:c r="T57" s="81" t="str">
        <x:f>IFERROR(INDEX('Resource Rate Library'!$E$5:$E$85,MATCH(P57,'Resource Rate Library'!$A$5:$A$85,0)),"")</x:f>
      </x:c>
      <x:c r="U57" s="62"/>
      <x:c r="V57" s="62"/>
      <x:c r="W57" s="83" t="n">
        <x:f>IFERROR(INDEX('Resource Rate Library'!$I$5:$I$85,MATCH(P57,'Resource Rate Library'!$A$5:$A$85,0)),0)</x:f>
        <x:v>0</x:v>
      </x:c>
      <x:c r="X57" s="52"/>
      <x:c r="Y57" s="83" t="n">
        <x:f t="shared" si="2">IF(X57&gt;0,X57,W57)</x:f>
        <x:v>0</x:v>
      </x:c>
      <x:c r="Z57" s="83" t="str">
        <x:f t="shared" si="3">IF(B57="","",IF(N57="Time x Count",M57*R57*IF(U57="",1,U57)*Y57,IF(N57="QS Qty x Factor",E57*R57*(1+IF(V57="",0,V57))*Y57,IF(N57="Direct Qty",S57*(1+IF(V57="",0,V57))*Y57,IF(N57="Lump Sum / Quote",S57*Y57,0)))))</x:f>
      </x:c>
      <x:c r="AA57" s="81" t="str">
        <x:f>IFERROR(INDEX('Resource Rate Library'!$N$5:$N$85,MATCH(P57,'Resource Rate Library'!$A$5:$A$85,0)),"")</x:f>
      </x:c>
      <x:c r="AB57" s="53"/>
      <x:c r="AC57" s="59"/>
      <x:c r="AD57" s="81" t="str">
        <x:f>IFERROR(INDEX('Resource Rate Library'!$G$5:$G$85,MATCH(P57,'Resource Rate Library'!$A$5:$A$85,0)),"")</x:f>
      </x:c>
      <x:c r="AE57" s="81" t="str">
        <x:f>IFERROR(INDEX('Resource Rate Library'!$H$5:$H$85,MATCH(P57,'Resource Rate Library'!$A$5:$A$85,0)),"")</x:f>
      </x:c>
      <x:c r="AF57" s="53"/>
      <x:c r="AG57" s="53"/>
      <x:c r="AH57" s="53"/>
      <x:c r="AI57" s="81" t="str">
        <x:f>IF(B57="","",IF(AND(P57="",N57&lt;&gt;"Lump Sum / Quote"),"RESOURCE CODE",IF(Y57=0,"RATE MISSING",IF(AND(O57="Plant",AD57="Yes",COUNTIFS($B$7:$B$306,B57,$O$7:$O$306,"Labour",$Q$7:$Q$306,"*Operator*")&gt;0),"OPERATOR DOUBLE-COUNT",IF(AND(O57="Plant",AE57="Yes",COUNTIFS($B$7:$B$306,B57,$Q$7:$Q$306,"*Fuel*")&gt;0),"FUEL DOUBLE-COUNT",IF(AH57&lt;&gt;"Yes","VERIFY","OK"))))))</x:f>
      </x:c>
      <x:c r="AJ57" s="54"/>
      <x:c r="AK57" s="473"/>
      <x:c r="AL57" s="473"/>
      <x:c r="AM57" s="473"/>
      <x:c r="AN57" s="500" t="n">
        <x:f>IF(AND(AK57="Yes",OR(O57="Labour",O57="Plant")),Z57,0)</x:f>
        <x:v>0</x:v>
      </x:c>
    </x:row>
    <x:row r="58" ht="22.049999237060547" customHeight="1">
      <x:c r="A58" s="80" t="str">
        <x:f>IF(B58="","",B58&amp;"-"&amp;TEXT(COUNTIF($B$7:B58,B58),"000"))</x:f>
      </x:c>
      <x:c r="B58" s="53"/>
      <x:c r="C58" s="81" t="str">
        <x:f>IFERROR(INDEX('QS Takeoff'!$A$3:$A$194,MATCH(B58,'QS Takeoff'!$B$3:$B$194,0)),"")</x:f>
      </x:c>
      <x:c r="D58" s="81" t="str">
        <x:f>IFERROR(INDEX('QS Takeoff'!$C$3:$C$194,MATCH(B58,'QS Takeoff'!$B$3:$B$194,0)),"")</x:f>
      </x:c>
      <x:c r="E58" s="81" t="str">
        <x:f>IFERROR(INDEX('QS Takeoff'!$E$3:$E$194,MATCH(B58,'QS Takeoff'!$B$3:$B$194,0)),"")</x:f>
      </x:c>
      <x:c r="F58" s="81" t="str">
        <x:f>IFERROR(INDEX('QS Takeoff'!$D$3:$D$194,MATCH(B58,'QS Takeoff'!$B$3:$B$194,0)),"")</x:f>
      </x:c>
      <x:c r="G58" s="81" t="str">
        <x:f>IFERROR(INDEX('QS Takeoff'!$J$3:$J$194,MATCH(B58,'QS Takeoff'!$B$3:$B$194,0)),"")</x:f>
      </x:c>
      <x:c r="H58" s="53"/>
      <x:c r="I58" s="60"/>
      <x:c r="J58" s="60"/>
      <x:c r="K58" s="82" t="str">
        <x:f t="shared" si="0">IF(OR(B58="",I58="",I58=0),"",E58/I58)</x:f>
      </x:c>
      <x:c r="L58" s="60"/>
      <x:c r="M58" s="82" t="str">
        <x:f t="shared" si="1">IF(L58&gt;0,L58,K58)</x:f>
      </x:c>
      <x:c r="N58" s="53"/>
      <x:c r="O58" s="53"/>
      <x:c r="P58" s="53"/>
      <x:c r="Q58" s="81" t="str">
        <x:f>IFERROR(INDEX('Resource Rate Library'!$C$5:$C$85,MATCH(P58,'Resource Rate Library'!$A$5:$A$85,0)),"")</x:f>
      </x:c>
      <x:c r="R58" s="53"/>
      <x:c r="S58" s="53"/>
      <x:c r="T58" s="81" t="str">
        <x:f>IFERROR(INDEX('Resource Rate Library'!$E$5:$E$85,MATCH(P58,'Resource Rate Library'!$A$5:$A$85,0)),"")</x:f>
      </x:c>
      <x:c r="U58" s="62"/>
      <x:c r="V58" s="62"/>
      <x:c r="W58" s="83" t="n">
        <x:f>IFERROR(INDEX('Resource Rate Library'!$I$5:$I$85,MATCH(P58,'Resource Rate Library'!$A$5:$A$85,0)),0)</x:f>
        <x:v>0</x:v>
      </x:c>
      <x:c r="X58" s="52"/>
      <x:c r="Y58" s="83" t="n">
        <x:f t="shared" si="2">IF(X58&gt;0,X58,W58)</x:f>
        <x:v>0</x:v>
      </x:c>
      <x:c r="Z58" s="83" t="str">
        <x:f t="shared" si="3">IF(B58="","",IF(N58="Time x Count",M58*R58*IF(U58="",1,U58)*Y58,IF(N58="QS Qty x Factor",E58*R58*(1+IF(V58="",0,V58))*Y58,IF(N58="Direct Qty",S58*(1+IF(V58="",0,V58))*Y58,IF(N58="Lump Sum / Quote",S58*Y58,0)))))</x:f>
      </x:c>
      <x:c r="AA58" s="81" t="str">
        <x:f>IFERROR(INDEX('Resource Rate Library'!$N$5:$N$85,MATCH(P58,'Resource Rate Library'!$A$5:$A$85,0)),"")</x:f>
      </x:c>
      <x:c r="AB58" s="53"/>
      <x:c r="AC58" s="59"/>
      <x:c r="AD58" s="81" t="str">
        <x:f>IFERROR(INDEX('Resource Rate Library'!$G$5:$G$85,MATCH(P58,'Resource Rate Library'!$A$5:$A$85,0)),"")</x:f>
      </x:c>
      <x:c r="AE58" s="81" t="str">
        <x:f>IFERROR(INDEX('Resource Rate Library'!$H$5:$H$85,MATCH(P58,'Resource Rate Library'!$A$5:$A$85,0)),"")</x:f>
      </x:c>
      <x:c r="AF58" s="53"/>
      <x:c r="AG58" s="53"/>
      <x:c r="AH58" s="53"/>
      <x:c r="AI58" s="81" t="str">
        <x:f>IF(B58="","",IF(AND(P58="",N58&lt;&gt;"Lump Sum / Quote"),"RESOURCE CODE",IF(Y58=0,"RATE MISSING",IF(AND(O58="Plant",AD58="Yes",COUNTIFS($B$7:$B$306,B58,$O$7:$O$306,"Labour",$Q$7:$Q$306,"*Operator*")&gt;0),"OPERATOR DOUBLE-COUNT",IF(AND(O58="Plant",AE58="Yes",COUNTIFS($B$7:$B$306,B58,$Q$7:$Q$306,"*Fuel*")&gt;0),"FUEL DOUBLE-COUNT",IF(AH58&lt;&gt;"Yes","VERIFY","OK"))))))</x:f>
      </x:c>
      <x:c r="AJ58" s="54"/>
      <x:c r="AK58" s="473"/>
      <x:c r="AL58" s="473"/>
      <x:c r="AM58" s="473"/>
      <x:c r="AN58" s="500" t="n">
        <x:f>IF(AND(AK58="Yes",OR(O58="Labour",O58="Plant")),Z58,0)</x:f>
        <x:v>0</x:v>
      </x:c>
    </x:row>
    <x:row r="59" ht="22.049999237060547" customHeight="1">
      <x:c r="A59" s="80" t="str">
        <x:f>IF(B59="","",B59&amp;"-"&amp;TEXT(COUNTIF($B$7:B59,B59),"000"))</x:f>
      </x:c>
      <x:c r="B59" s="53"/>
      <x:c r="C59" s="81" t="str">
        <x:f>IFERROR(INDEX('QS Takeoff'!$A$3:$A$194,MATCH(B59,'QS Takeoff'!$B$3:$B$194,0)),"")</x:f>
      </x:c>
      <x:c r="D59" s="81" t="str">
        <x:f>IFERROR(INDEX('QS Takeoff'!$C$3:$C$194,MATCH(B59,'QS Takeoff'!$B$3:$B$194,0)),"")</x:f>
      </x:c>
      <x:c r="E59" s="81" t="str">
        <x:f>IFERROR(INDEX('QS Takeoff'!$E$3:$E$194,MATCH(B59,'QS Takeoff'!$B$3:$B$194,0)),"")</x:f>
      </x:c>
      <x:c r="F59" s="81" t="str">
        <x:f>IFERROR(INDEX('QS Takeoff'!$D$3:$D$194,MATCH(B59,'QS Takeoff'!$B$3:$B$194,0)),"")</x:f>
      </x:c>
      <x:c r="G59" s="81" t="str">
        <x:f>IFERROR(INDEX('QS Takeoff'!$J$3:$J$194,MATCH(B59,'QS Takeoff'!$B$3:$B$194,0)),"")</x:f>
      </x:c>
      <x:c r="H59" s="53"/>
      <x:c r="I59" s="60"/>
      <x:c r="J59" s="60"/>
      <x:c r="K59" s="82" t="str">
        <x:f t="shared" si="0">IF(OR(B59="",I59="",I59=0),"",E59/I59)</x:f>
      </x:c>
      <x:c r="L59" s="60"/>
      <x:c r="M59" s="82" t="str">
        <x:f t="shared" si="1">IF(L59&gt;0,L59,K59)</x:f>
      </x:c>
      <x:c r="N59" s="53"/>
      <x:c r="O59" s="53"/>
      <x:c r="P59" s="53"/>
      <x:c r="Q59" s="81" t="str">
        <x:f>IFERROR(INDEX('Resource Rate Library'!$C$5:$C$85,MATCH(P59,'Resource Rate Library'!$A$5:$A$85,0)),"")</x:f>
      </x:c>
      <x:c r="R59" s="53"/>
      <x:c r="S59" s="53"/>
      <x:c r="T59" s="81" t="str">
        <x:f>IFERROR(INDEX('Resource Rate Library'!$E$5:$E$85,MATCH(P59,'Resource Rate Library'!$A$5:$A$85,0)),"")</x:f>
      </x:c>
      <x:c r="U59" s="62"/>
      <x:c r="V59" s="62"/>
      <x:c r="W59" s="83" t="n">
        <x:f>IFERROR(INDEX('Resource Rate Library'!$I$5:$I$85,MATCH(P59,'Resource Rate Library'!$A$5:$A$85,0)),0)</x:f>
        <x:v>0</x:v>
      </x:c>
      <x:c r="X59" s="52"/>
      <x:c r="Y59" s="83" t="n">
        <x:f t="shared" si="2">IF(X59&gt;0,X59,W59)</x:f>
        <x:v>0</x:v>
      </x:c>
      <x:c r="Z59" s="83" t="str">
        <x:f t="shared" si="3">IF(B59="","",IF(N59="Time x Count",M59*R59*IF(U59="",1,U59)*Y59,IF(N59="QS Qty x Factor",E59*R59*(1+IF(V59="",0,V59))*Y59,IF(N59="Direct Qty",S59*(1+IF(V59="",0,V59))*Y59,IF(N59="Lump Sum / Quote",S59*Y59,0)))))</x:f>
      </x:c>
      <x:c r="AA59" s="81" t="str">
        <x:f>IFERROR(INDEX('Resource Rate Library'!$N$5:$N$85,MATCH(P59,'Resource Rate Library'!$A$5:$A$85,0)),"")</x:f>
      </x:c>
      <x:c r="AB59" s="53"/>
      <x:c r="AC59" s="59"/>
      <x:c r="AD59" s="81" t="str">
        <x:f>IFERROR(INDEX('Resource Rate Library'!$G$5:$G$85,MATCH(P59,'Resource Rate Library'!$A$5:$A$85,0)),"")</x:f>
      </x:c>
      <x:c r="AE59" s="81" t="str">
        <x:f>IFERROR(INDEX('Resource Rate Library'!$H$5:$H$85,MATCH(P59,'Resource Rate Library'!$A$5:$A$85,0)),"")</x:f>
      </x:c>
      <x:c r="AF59" s="53"/>
      <x:c r="AG59" s="53"/>
      <x:c r="AH59" s="53"/>
      <x:c r="AI59" s="81" t="str">
        <x:f>IF(B59="","",IF(AND(P59="",N59&lt;&gt;"Lump Sum / Quote"),"RESOURCE CODE",IF(Y59=0,"RATE MISSING",IF(AND(O59="Plant",AD59="Yes",COUNTIFS($B$7:$B$306,B59,$O$7:$O$306,"Labour",$Q$7:$Q$306,"*Operator*")&gt;0),"OPERATOR DOUBLE-COUNT",IF(AND(O59="Plant",AE59="Yes",COUNTIFS($B$7:$B$306,B59,$Q$7:$Q$306,"*Fuel*")&gt;0),"FUEL DOUBLE-COUNT",IF(AH59&lt;&gt;"Yes","VERIFY","OK"))))))</x:f>
      </x:c>
      <x:c r="AJ59" s="54"/>
      <x:c r="AK59" s="473"/>
      <x:c r="AL59" s="473"/>
      <x:c r="AM59" s="473"/>
      <x:c r="AN59" s="500" t="n">
        <x:f>IF(AND(AK59="Yes",OR(O59="Labour",O59="Plant")),Z59,0)</x:f>
        <x:v>0</x:v>
      </x:c>
    </x:row>
    <x:row r="60" ht="22.049999237060547" customHeight="1">
      <x:c r="A60" s="80" t="str">
        <x:f>IF(B60="","",B60&amp;"-"&amp;TEXT(COUNTIF($B$7:B60,B60),"000"))</x:f>
      </x:c>
      <x:c r="B60" s="53"/>
      <x:c r="C60" s="81" t="str">
        <x:f>IFERROR(INDEX('QS Takeoff'!$A$3:$A$194,MATCH(B60,'QS Takeoff'!$B$3:$B$194,0)),"")</x:f>
      </x:c>
      <x:c r="D60" s="81" t="str">
        <x:f>IFERROR(INDEX('QS Takeoff'!$C$3:$C$194,MATCH(B60,'QS Takeoff'!$B$3:$B$194,0)),"")</x:f>
      </x:c>
      <x:c r="E60" s="81" t="str">
        <x:f>IFERROR(INDEX('QS Takeoff'!$E$3:$E$194,MATCH(B60,'QS Takeoff'!$B$3:$B$194,0)),"")</x:f>
      </x:c>
      <x:c r="F60" s="81" t="str">
        <x:f>IFERROR(INDEX('QS Takeoff'!$D$3:$D$194,MATCH(B60,'QS Takeoff'!$B$3:$B$194,0)),"")</x:f>
      </x:c>
      <x:c r="G60" s="81" t="str">
        <x:f>IFERROR(INDEX('QS Takeoff'!$J$3:$J$194,MATCH(B60,'QS Takeoff'!$B$3:$B$194,0)),"")</x:f>
      </x:c>
      <x:c r="H60" s="53"/>
      <x:c r="I60" s="60"/>
      <x:c r="J60" s="60"/>
      <x:c r="K60" s="82" t="str">
        <x:f t="shared" si="0">IF(OR(B60="",I60="",I60=0),"",E60/I60)</x:f>
      </x:c>
      <x:c r="L60" s="60"/>
      <x:c r="M60" s="82" t="str">
        <x:f t="shared" si="1">IF(L60&gt;0,L60,K60)</x:f>
      </x:c>
      <x:c r="N60" s="53"/>
      <x:c r="O60" s="53"/>
      <x:c r="P60" s="53"/>
      <x:c r="Q60" s="81" t="str">
        <x:f>IFERROR(INDEX('Resource Rate Library'!$C$5:$C$85,MATCH(P60,'Resource Rate Library'!$A$5:$A$85,0)),"")</x:f>
      </x:c>
      <x:c r="R60" s="53"/>
      <x:c r="S60" s="53"/>
      <x:c r="T60" s="81" t="str">
        <x:f>IFERROR(INDEX('Resource Rate Library'!$E$5:$E$85,MATCH(P60,'Resource Rate Library'!$A$5:$A$85,0)),"")</x:f>
      </x:c>
      <x:c r="U60" s="62"/>
      <x:c r="V60" s="62"/>
      <x:c r="W60" s="83" t="n">
        <x:f>IFERROR(INDEX('Resource Rate Library'!$I$5:$I$85,MATCH(P60,'Resource Rate Library'!$A$5:$A$85,0)),0)</x:f>
        <x:v>0</x:v>
      </x:c>
      <x:c r="X60" s="52"/>
      <x:c r="Y60" s="83" t="n">
        <x:f t="shared" si="2">IF(X60&gt;0,X60,W60)</x:f>
        <x:v>0</x:v>
      </x:c>
      <x:c r="Z60" s="83" t="str">
        <x:f t="shared" si="3">IF(B60="","",IF(N60="Time x Count",M60*R60*IF(U60="",1,U60)*Y60,IF(N60="QS Qty x Factor",E60*R60*(1+IF(V60="",0,V60))*Y60,IF(N60="Direct Qty",S60*(1+IF(V60="",0,V60))*Y60,IF(N60="Lump Sum / Quote",S60*Y60,0)))))</x:f>
      </x:c>
      <x:c r="AA60" s="81" t="str">
        <x:f>IFERROR(INDEX('Resource Rate Library'!$N$5:$N$85,MATCH(P60,'Resource Rate Library'!$A$5:$A$85,0)),"")</x:f>
      </x:c>
      <x:c r="AB60" s="53"/>
      <x:c r="AC60" s="59"/>
      <x:c r="AD60" s="81" t="str">
        <x:f>IFERROR(INDEX('Resource Rate Library'!$G$5:$G$85,MATCH(P60,'Resource Rate Library'!$A$5:$A$85,0)),"")</x:f>
      </x:c>
      <x:c r="AE60" s="81" t="str">
        <x:f>IFERROR(INDEX('Resource Rate Library'!$H$5:$H$85,MATCH(P60,'Resource Rate Library'!$A$5:$A$85,0)),"")</x:f>
      </x:c>
      <x:c r="AF60" s="53"/>
      <x:c r="AG60" s="53"/>
      <x:c r="AH60" s="53"/>
      <x:c r="AI60" s="81" t="str">
        <x:f>IF(B60="","",IF(AND(P60="",N60&lt;&gt;"Lump Sum / Quote"),"RESOURCE CODE",IF(Y60=0,"RATE MISSING",IF(AND(O60="Plant",AD60="Yes",COUNTIFS($B$7:$B$306,B60,$O$7:$O$306,"Labour",$Q$7:$Q$306,"*Operator*")&gt;0),"OPERATOR DOUBLE-COUNT",IF(AND(O60="Plant",AE60="Yes",COUNTIFS($B$7:$B$306,B60,$Q$7:$Q$306,"*Fuel*")&gt;0),"FUEL DOUBLE-COUNT",IF(AH60&lt;&gt;"Yes","VERIFY","OK"))))))</x:f>
      </x:c>
      <x:c r="AJ60" s="54"/>
      <x:c r="AK60" s="473"/>
      <x:c r="AL60" s="473"/>
      <x:c r="AM60" s="473"/>
      <x:c r="AN60" s="500" t="n">
        <x:f>IF(AND(AK60="Yes",OR(O60="Labour",O60="Plant")),Z60,0)</x:f>
        <x:v>0</x:v>
      </x:c>
    </x:row>
    <x:row r="61" ht="22.049999237060547" customHeight="1">
      <x:c r="A61" s="80" t="str">
        <x:f>IF(B61="","",B61&amp;"-"&amp;TEXT(COUNTIF($B$7:B61,B61),"000"))</x:f>
      </x:c>
      <x:c r="B61" s="53"/>
      <x:c r="C61" s="81" t="str">
        <x:f>IFERROR(INDEX('QS Takeoff'!$A$3:$A$194,MATCH(B61,'QS Takeoff'!$B$3:$B$194,0)),"")</x:f>
      </x:c>
      <x:c r="D61" s="81" t="str">
        <x:f>IFERROR(INDEX('QS Takeoff'!$C$3:$C$194,MATCH(B61,'QS Takeoff'!$B$3:$B$194,0)),"")</x:f>
      </x:c>
      <x:c r="E61" s="81" t="str">
        <x:f>IFERROR(INDEX('QS Takeoff'!$E$3:$E$194,MATCH(B61,'QS Takeoff'!$B$3:$B$194,0)),"")</x:f>
      </x:c>
      <x:c r="F61" s="81" t="str">
        <x:f>IFERROR(INDEX('QS Takeoff'!$D$3:$D$194,MATCH(B61,'QS Takeoff'!$B$3:$B$194,0)),"")</x:f>
      </x:c>
      <x:c r="G61" s="81" t="str">
        <x:f>IFERROR(INDEX('QS Takeoff'!$J$3:$J$194,MATCH(B61,'QS Takeoff'!$B$3:$B$194,0)),"")</x:f>
      </x:c>
      <x:c r="H61" s="53"/>
      <x:c r="I61" s="60"/>
      <x:c r="J61" s="60"/>
      <x:c r="K61" s="82" t="str">
        <x:f t="shared" si="0">IF(OR(B61="",I61="",I61=0),"",E61/I61)</x:f>
      </x:c>
      <x:c r="L61" s="60"/>
      <x:c r="M61" s="82" t="str">
        <x:f t="shared" si="1">IF(L61&gt;0,L61,K61)</x:f>
      </x:c>
      <x:c r="N61" s="53"/>
      <x:c r="O61" s="53"/>
      <x:c r="P61" s="53"/>
      <x:c r="Q61" s="81" t="str">
        <x:f>IFERROR(INDEX('Resource Rate Library'!$C$5:$C$85,MATCH(P61,'Resource Rate Library'!$A$5:$A$85,0)),"")</x:f>
      </x:c>
      <x:c r="R61" s="53"/>
      <x:c r="S61" s="53"/>
      <x:c r="T61" s="81" t="str">
        <x:f>IFERROR(INDEX('Resource Rate Library'!$E$5:$E$85,MATCH(P61,'Resource Rate Library'!$A$5:$A$85,0)),"")</x:f>
      </x:c>
      <x:c r="U61" s="62"/>
      <x:c r="V61" s="62"/>
      <x:c r="W61" s="83" t="n">
        <x:f>IFERROR(INDEX('Resource Rate Library'!$I$5:$I$85,MATCH(P61,'Resource Rate Library'!$A$5:$A$85,0)),0)</x:f>
        <x:v>0</x:v>
      </x:c>
      <x:c r="X61" s="52"/>
      <x:c r="Y61" s="83" t="n">
        <x:f t="shared" si="2">IF(X61&gt;0,X61,W61)</x:f>
        <x:v>0</x:v>
      </x:c>
      <x:c r="Z61" s="83" t="str">
        <x:f t="shared" si="3">IF(B61="","",IF(N61="Time x Count",M61*R61*IF(U61="",1,U61)*Y61,IF(N61="QS Qty x Factor",E61*R61*(1+IF(V61="",0,V61))*Y61,IF(N61="Direct Qty",S61*(1+IF(V61="",0,V61))*Y61,IF(N61="Lump Sum / Quote",S61*Y61,0)))))</x:f>
      </x:c>
      <x:c r="AA61" s="81" t="str">
        <x:f>IFERROR(INDEX('Resource Rate Library'!$N$5:$N$85,MATCH(P61,'Resource Rate Library'!$A$5:$A$85,0)),"")</x:f>
      </x:c>
      <x:c r="AB61" s="53"/>
      <x:c r="AC61" s="59"/>
      <x:c r="AD61" s="81" t="str">
        <x:f>IFERROR(INDEX('Resource Rate Library'!$G$5:$G$85,MATCH(P61,'Resource Rate Library'!$A$5:$A$85,0)),"")</x:f>
      </x:c>
      <x:c r="AE61" s="81" t="str">
        <x:f>IFERROR(INDEX('Resource Rate Library'!$H$5:$H$85,MATCH(P61,'Resource Rate Library'!$A$5:$A$85,0)),"")</x:f>
      </x:c>
      <x:c r="AF61" s="53"/>
      <x:c r="AG61" s="53"/>
      <x:c r="AH61" s="53"/>
      <x:c r="AI61" s="81" t="str">
        <x:f>IF(B61="","",IF(AND(P61="",N61&lt;&gt;"Lump Sum / Quote"),"RESOURCE CODE",IF(Y61=0,"RATE MISSING",IF(AND(O61="Plant",AD61="Yes",COUNTIFS($B$7:$B$306,B61,$O$7:$O$306,"Labour",$Q$7:$Q$306,"*Operator*")&gt;0),"OPERATOR DOUBLE-COUNT",IF(AND(O61="Plant",AE61="Yes",COUNTIFS($B$7:$B$306,B61,$Q$7:$Q$306,"*Fuel*")&gt;0),"FUEL DOUBLE-COUNT",IF(AH61&lt;&gt;"Yes","VERIFY","OK"))))))</x:f>
      </x:c>
      <x:c r="AJ61" s="54"/>
      <x:c r="AK61" s="473"/>
      <x:c r="AL61" s="473"/>
      <x:c r="AM61" s="473"/>
      <x:c r="AN61" s="500" t="n">
        <x:f>IF(AND(AK61="Yes",OR(O61="Labour",O61="Plant")),Z61,0)</x:f>
        <x:v>0</x:v>
      </x:c>
    </x:row>
    <x:row r="62" ht="22.049999237060547" customHeight="1">
      <x:c r="A62" s="80" t="str">
        <x:f>IF(B62="","",B62&amp;"-"&amp;TEXT(COUNTIF($B$7:B62,B62),"000"))</x:f>
      </x:c>
      <x:c r="B62" s="53"/>
      <x:c r="C62" s="81" t="str">
        <x:f>IFERROR(INDEX('QS Takeoff'!$A$3:$A$194,MATCH(B62,'QS Takeoff'!$B$3:$B$194,0)),"")</x:f>
      </x:c>
      <x:c r="D62" s="81" t="str">
        <x:f>IFERROR(INDEX('QS Takeoff'!$C$3:$C$194,MATCH(B62,'QS Takeoff'!$B$3:$B$194,0)),"")</x:f>
      </x:c>
      <x:c r="E62" s="81" t="str">
        <x:f>IFERROR(INDEX('QS Takeoff'!$E$3:$E$194,MATCH(B62,'QS Takeoff'!$B$3:$B$194,0)),"")</x:f>
      </x:c>
      <x:c r="F62" s="81" t="str">
        <x:f>IFERROR(INDEX('QS Takeoff'!$D$3:$D$194,MATCH(B62,'QS Takeoff'!$B$3:$B$194,0)),"")</x:f>
      </x:c>
      <x:c r="G62" s="81" t="str">
        <x:f>IFERROR(INDEX('QS Takeoff'!$J$3:$J$194,MATCH(B62,'QS Takeoff'!$B$3:$B$194,0)),"")</x:f>
      </x:c>
      <x:c r="H62" s="53"/>
      <x:c r="I62" s="60"/>
      <x:c r="J62" s="60"/>
      <x:c r="K62" s="82" t="str">
        <x:f t="shared" si="0">IF(OR(B62="",I62="",I62=0),"",E62/I62)</x:f>
      </x:c>
      <x:c r="L62" s="60"/>
      <x:c r="M62" s="82" t="str">
        <x:f t="shared" si="1">IF(L62&gt;0,L62,K62)</x:f>
      </x:c>
      <x:c r="N62" s="53"/>
      <x:c r="O62" s="53"/>
      <x:c r="P62" s="53"/>
      <x:c r="Q62" s="81" t="str">
        <x:f>IFERROR(INDEX('Resource Rate Library'!$C$5:$C$85,MATCH(P62,'Resource Rate Library'!$A$5:$A$85,0)),"")</x:f>
      </x:c>
      <x:c r="R62" s="53"/>
      <x:c r="S62" s="53"/>
      <x:c r="T62" s="81" t="str">
        <x:f>IFERROR(INDEX('Resource Rate Library'!$E$5:$E$85,MATCH(P62,'Resource Rate Library'!$A$5:$A$85,0)),"")</x:f>
      </x:c>
      <x:c r="U62" s="62"/>
      <x:c r="V62" s="62"/>
      <x:c r="W62" s="83" t="n">
        <x:f>IFERROR(INDEX('Resource Rate Library'!$I$5:$I$85,MATCH(P62,'Resource Rate Library'!$A$5:$A$85,0)),0)</x:f>
        <x:v>0</x:v>
      </x:c>
      <x:c r="X62" s="52"/>
      <x:c r="Y62" s="83" t="n">
        <x:f t="shared" si="2">IF(X62&gt;0,X62,W62)</x:f>
        <x:v>0</x:v>
      </x:c>
      <x:c r="Z62" s="83" t="str">
        <x:f t="shared" si="3">IF(B62="","",IF(N62="Time x Count",M62*R62*IF(U62="",1,U62)*Y62,IF(N62="QS Qty x Factor",E62*R62*(1+IF(V62="",0,V62))*Y62,IF(N62="Direct Qty",S62*(1+IF(V62="",0,V62))*Y62,IF(N62="Lump Sum / Quote",S62*Y62,0)))))</x:f>
      </x:c>
      <x:c r="AA62" s="81" t="str">
        <x:f>IFERROR(INDEX('Resource Rate Library'!$N$5:$N$85,MATCH(P62,'Resource Rate Library'!$A$5:$A$85,0)),"")</x:f>
      </x:c>
      <x:c r="AB62" s="53"/>
      <x:c r="AC62" s="59"/>
      <x:c r="AD62" s="81" t="str">
        <x:f>IFERROR(INDEX('Resource Rate Library'!$G$5:$G$85,MATCH(P62,'Resource Rate Library'!$A$5:$A$85,0)),"")</x:f>
      </x:c>
      <x:c r="AE62" s="81" t="str">
        <x:f>IFERROR(INDEX('Resource Rate Library'!$H$5:$H$85,MATCH(P62,'Resource Rate Library'!$A$5:$A$85,0)),"")</x:f>
      </x:c>
      <x:c r="AF62" s="53"/>
      <x:c r="AG62" s="53"/>
      <x:c r="AH62" s="53"/>
      <x:c r="AI62" s="81" t="str">
        <x:f>IF(B62="","",IF(AND(P62="",N62&lt;&gt;"Lump Sum / Quote"),"RESOURCE CODE",IF(Y62=0,"RATE MISSING",IF(AND(O62="Plant",AD62="Yes",COUNTIFS($B$7:$B$306,B62,$O$7:$O$306,"Labour",$Q$7:$Q$306,"*Operator*")&gt;0),"OPERATOR DOUBLE-COUNT",IF(AND(O62="Plant",AE62="Yes",COUNTIFS($B$7:$B$306,B62,$Q$7:$Q$306,"*Fuel*")&gt;0),"FUEL DOUBLE-COUNT",IF(AH62&lt;&gt;"Yes","VERIFY","OK"))))))</x:f>
      </x:c>
      <x:c r="AJ62" s="54"/>
      <x:c r="AK62" s="473"/>
      <x:c r="AL62" s="473"/>
      <x:c r="AM62" s="473"/>
      <x:c r="AN62" s="500" t="n">
        <x:f>IF(AND(AK62="Yes",OR(O62="Labour",O62="Plant")),Z62,0)</x:f>
        <x:v>0</x:v>
      </x:c>
    </x:row>
    <x:row r="63" ht="22.049999237060547" customHeight="1">
      <x:c r="A63" s="80" t="str">
        <x:f>IF(B63="","",B63&amp;"-"&amp;TEXT(COUNTIF($B$7:B63,B63),"000"))</x:f>
      </x:c>
      <x:c r="B63" s="53"/>
      <x:c r="C63" s="81" t="str">
        <x:f>IFERROR(INDEX('QS Takeoff'!$A$3:$A$194,MATCH(B63,'QS Takeoff'!$B$3:$B$194,0)),"")</x:f>
      </x:c>
      <x:c r="D63" s="81" t="str">
        <x:f>IFERROR(INDEX('QS Takeoff'!$C$3:$C$194,MATCH(B63,'QS Takeoff'!$B$3:$B$194,0)),"")</x:f>
      </x:c>
      <x:c r="E63" s="81" t="str">
        <x:f>IFERROR(INDEX('QS Takeoff'!$E$3:$E$194,MATCH(B63,'QS Takeoff'!$B$3:$B$194,0)),"")</x:f>
      </x:c>
      <x:c r="F63" s="81" t="str">
        <x:f>IFERROR(INDEX('QS Takeoff'!$D$3:$D$194,MATCH(B63,'QS Takeoff'!$B$3:$B$194,0)),"")</x:f>
      </x:c>
      <x:c r="G63" s="81" t="str">
        <x:f>IFERROR(INDEX('QS Takeoff'!$J$3:$J$194,MATCH(B63,'QS Takeoff'!$B$3:$B$194,0)),"")</x:f>
      </x:c>
      <x:c r="H63" s="53"/>
      <x:c r="I63" s="60"/>
      <x:c r="J63" s="60"/>
      <x:c r="K63" s="82" t="str">
        <x:f t="shared" si="0">IF(OR(B63="",I63="",I63=0),"",E63/I63)</x:f>
      </x:c>
      <x:c r="L63" s="60"/>
      <x:c r="M63" s="82" t="str">
        <x:f t="shared" si="1">IF(L63&gt;0,L63,K63)</x:f>
      </x:c>
      <x:c r="N63" s="53"/>
      <x:c r="O63" s="53"/>
      <x:c r="P63" s="53"/>
      <x:c r="Q63" s="81" t="str">
        <x:f>IFERROR(INDEX('Resource Rate Library'!$C$5:$C$85,MATCH(P63,'Resource Rate Library'!$A$5:$A$85,0)),"")</x:f>
      </x:c>
      <x:c r="R63" s="53"/>
      <x:c r="S63" s="53"/>
      <x:c r="T63" s="81" t="str">
        <x:f>IFERROR(INDEX('Resource Rate Library'!$E$5:$E$85,MATCH(P63,'Resource Rate Library'!$A$5:$A$85,0)),"")</x:f>
      </x:c>
      <x:c r="U63" s="62"/>
      <x:c r="V63" s="62"/>
      <x:c r="W63" s="83" t="n">
        <x:f>IFERROR(INDEX('Resource Rate Library'!$I$5:$I$85,MATCH(P63,'Resource Rate Library'!$A$5:$A$85,0)),0)</x:f>
        <x:v>0</x:v>
      </x:c>
      <x:c r="X63" s="52"/>
      <x:c r="Y63" s="83" t="n">
        <x:f t="shared" si="2">IF(X63&gt;0,X63,W63)</x:f>
        <x:v>0</x:v>
      </x:c>
      <x:c r="Z63" s="83" t="str">
        <x:f t="shared" si="3">IF(B63="","",IF(N63="Time x Count",M63*R63*IF(U63="",1,U63)*Y63,IF(N63="QS Qty x Factor",E63*R63*(1+IF(V63="",0,V63))*Y63,IF(N63="Direct Qty",S63*(1+IF(V63="",0,V63))*Y63,IF(N63="Lump Sum / Quote",S63*Y63,0)))))</x:f>
      </x:c>
      <x:c r="AA63" s="81" t="str">
        <x:f>IFERROR(INDEX('Resource Rate Library'!$N$5:$N$85,MATCH(P63,'Resource Rate Library'!$A$5:$A$85,0)),"")</x:f>
      </x:c>
      <x:c r="AB63" s="53"/>
      <x:c r="AC63" s="59"/>
      <x:c r="AD63" s="81" t="str">
        <x:f>IFERROR(INDEX('Resource Rate Library'!$G$5:$G$85,MATCH(P63,'Resource Rate Library'!$A$5:$A$85,0)),"")</x:f>
      </x:c>
      <x:c r="AE63" s="81" t="str">
        <x:f>IFERROR(INDEX('Resource Rate Library'!$H$5:$H$85,MATCH(P63,'Resource Rate Library'!$A$5:$A$85,0)),"")</x:f>
      </x:c>
      <x:c r="AF63" s="53"/>
      <x:c r="AG63" s="53"/>
      <x:c r="AH63" s="53"/>
      <x:c r="AI63" s="81" t="str">
        <x:f>IF(B63="","",IF(AND(P63="",N63&lt;&gt;"Lump Sum / Quote"),"RESOURCE CODE",IF(Y63=0,"RATE MISSING",IF(AND(O63="Plant",AD63="Yes",COUNTIFS($B$7:$B$306,B63,$O$7:$O$306,"Labour",$Q$7:$Q$306,"*Operator*")&gt;0),"OPERATOR DOUBLE-COUNT",IF(AND(O63="Plant",AE63="Yes",COUNTIFS($B$7:$B$306,B63,$Q$7:$Q$306,"*Fuel*")&gt;0),"FUEL DOUBLE-COUNT",IF(AH63&lt;&gt;"Yes","VERIFY","OK"))))))</x:f>
      </x:c>
      <x:c r="AJ63" s="54"/>
      <x:c r="AK63" s="473"/>
      <x:c r="AL63" s="473"/>
      <x:c r="AM63" s="473"/>
      <x:c r="AN63" s="500" t="n">
        <x:f>IF(AND(AK63="Yes",OR(O63="Labour",O63="Plant")),Z63,0)</x:f>
        <x:v>0</x:v>
      </x:c>
    </x:row>
    <x:row r="64" ht="22.049999237060547" customHeight="1">
      <x:c r="A64" s="80" t="str">
        <x:f>IF(B64="","",B64&amp;"-"&amp;TEXT(COUNTIF($B$7:B64,B64),"000"))</x:f>
      </x:c>
      <x:c r="B64" s="53"/>
      <x:c r="C64" s="81" t="str">
        <x:f>IFERROR(INDEX('QS Takeoff'!$A$3:$A$194,MATCH(B64,'QS Takeoff'!$B$3:$B$194,0)),"")</x:f>
      </x:c>
      <x:c r="D64" s="81" t="str">
        <x:f>IFERROR(INDEX('QS Takeoff'!$C$3:$C$194,MATCH(B64,'QS Takeoff'!$B$3:$B$194,0)),"")</x:f>
      </x:c>
      <x:c r="E64" s="81" t="str">
        <x:f>IFERROR(INDEX('QS Takeoff'!$E$3:$E$194,MATCH(B64,'QS Takeoff'!$B$3:$B$194,0)),"")</x:f>
      </x:c>
      <x:c r="F64" s="81" t="str">
        <x:f>IFERROR(INDEX('QS Takeoff'!$D$3:$D$194,MATCH(B64,'QS Takeoff'!$B$3:$B$194,0)),"")</x:f>
      </x:c>
      <x:c r="G64" s="81" t="str">
        <x:f>IFERROR(INDEX('QS Takeoff'!$J$3:$J$194,MATCH(B64,'QS Takeoff'!$B$3:$B$194,0)),"")</x:f>
      </x:c>
      <x:c r="H64" s="53"/>
      <x:c r="I64" s="60"/>
      <x:c r="J64" s="60"/>
      <x:c r="K64" s="82" t="str">
        <x:f t="shared" si="0">IF(OR(B64="",I64="",I64=0),"",E64/I64)</x:f>
      </x:c>
      <x:c r="L64" s="60"/>
      <x:c r="M64" s="82" t="str">
        <x:f t="shared" si="1">IF(L64&gt;0,L64,K64)</x:f>
      </x:c>
      <x:c r="N64" s="53"/>
      <x:c r="O64" s="53"/>
      <x:c r="P64" s="53"/>
      <x:c r="Q64" s="81" t="str">
        <x:f>IFERROR(INDEX('Resource Rate Library'!$C$5:$C$85,MATCH(P64,'Resource Rate Library'!$A$5:$A$85,0)),"")</x:f>
      </x:c>
      <x:c r="R64" s="53"/>
      <x:c r="S64" s="53"/>
      <x:c r="T64" s="81" t="str">
        <x:f>IFERROR(INDEX('Resource Rate Library'!$E$5:$E$85,MATCH(P64,'Resource Rate Library'!$A$5:$A$85,0)),"")</x:f>
      </x:c>
      <x:c r="U64" s="62"/>
      <x:c r="V64" s="62"/>
      <x:c r="W64" s="83" t="n">
        <x:f>IFERROR(INDEX('Resource Rate Library'!$I$5:$I$85,MATCH(P64,'Resource Rate Library'!$A$5:$A$85,0)),0)</x:f>
        <x:v>0</x:v>
      </x:c>
      <x:c r="X64" s="52"/>
      <x:c r="Y64" s="83" t="n">
        <x:f t="shared" si="2">IF(X64&gt;0,X64,W64)</x:f>
        <x:v>0</x:v>
      </x:c>
      <x:c r="Z64" s="83" t="str">
        <x:f t="shared" si="3">IF(B64="","",IF(N64="Time x Count",M64*R64*IF(U64="",1,U64)*Y64,IF(N64="QS Qty x Factor",E64*R64*(1+IF(V64="",0,V64))*Y64,IF(N64="Direct Qty",S64*(1+IF(V64="",0,V64))*Y64,IF(N64="Lump Sum / Quote",S64*Y64,0)))))</x:f>
      </x:c>
      <x:c r="AA64" s="81" t="str">
        <x:f>IFERROR(INDEX('Resource Rate Library'!$N$5:$N$85,MATCH(P64,'Resource Rate Library'!$A$5:$A$85,0)),"")</x:f>
      </x:c>
      <x:c r="AB64" s="53"/>
      <x:c r="AC64" s="59"/>
      <x:c r="AD64" s="81" t="str">
        <x:f>IFERROR(INDEX('Resource Rate Library'!$G$5:$G$85,MATCH(P64,'Resource Rate Library'!$A$5:$A$85,0)),"")</x:f>
      </x:c>
      <x:c r="AE64" s="81" t="str">
        <x:f>IFERROR(INDEX('Resource Rate Library'!$H$5:$H$85,MATCH(P64,'Resource Rate Library'!$A$5:$A$85,0)),"")</x:f>
      </x:c>
      <x:c r="AF64" s="53"/>
      <x:c r="AG64" s="53"/>
      <x:c r="AH64" s="53"/>
      <x:c r="AI64" s="81" t="str">
        <x:f>IF(B64="","",IF(AND(P64="",N64&lt;&gt;"Lump Sum / Quote"),"RESOURCE CODE",IF(Y64=0,"RATE MISSING",IF(AND(O64="Plant",AD64="Yes",COUNTIFS($B$7:$B$306,B64,$O$7:$O$306,"Labour",$Q$7:$Q$306,"*Operator*")&gt;0),"OPERATOR DOUBLE-COUNT",IF(AND(O64="Plant",AE64="Yes",COUNTIFS($B$7:$B$306,B64,$Q$7:$Q$306,"*Fuel*")&gt;0),"FUEL DOUBLE-COUNT",IF(AH64&lt;&gt;"Yes","VERIFY","OK"))))))</x:f>
      </x:c>
      <x:c r="AJ64" s="54"/>
      <x:c r="AK64" s="473"/>
      <x:c r="AL64" s="473"/>
      <x:c r="AM64" s="473"/>
      <x:c r="AN64" s="500" t="n">
        <x:f>IF(AND(AK64="Yes",OR(O64="Labour",O64="Plant")),Z64,0)</x:f>
        <x:v>0</x:v>
      </x:c>
    </x:row>
    <x:row r="65" ht="22.049999237060547" customHeight="1">
      <x:c r="A65" s="80" t="str">
        <x:f>IF(B65="","",B65&amp;"-"&amp;TEXT(COUNTIF($B$7:B65,B65),"000"))</x:f>
      </x:c>
      <x:c r="B65" s="53"/>
      <x:c r="C65" s="81" t="str">
        <x:f>IFERROR(INDEX('QS Takeoff'!$A$3:$A$194,MATCH(B65,'QS Takeoff'!$B$3:$B$194,0)),"")</x:f>
      </x:c>
      <x:c r="D65" s="81" t="str">
        <x:f>IFERROR(INDEX('QS Takeoff'!$C$3:$C$194,MATCH(B65,'QS Takeoff'!$B$3:$B$194,0)),"")</x:f>
      </x:c>
      <x:c r="E65" s="81" t="str">
        <x:f>IFERROR(INDEX('QS Takeoff'!$E$3:$E$194,MATCH(B65,'QS Takeoff'!$B$3:$B$194,0)),"")</x:f>
      </x:c>
      <x:c r="F65" s="81" t="str">
        <x:f>IFERROR(INDEX('QS Takeoff'!$D$3:$D$194,MATCH(B65,'QS Takeoff'!$B$3:$B$194,0)),"")</x:f>
      </x:c>
      <x:c r="G65" s="81" t="str">
        <x:f>IFERROR(INDEX('QS Takeoff'!$J$3:$J$194,MATCH(B65,'QS Takeoff'!$B$3:$B$194,0)),"")</x:f>
      </x:c>
      <x:c r="H65" s="53"/>
      <x:c r="I65" s="60"/>
      <x:c r="J65" s="60"/>
      <x:c r="K65" s="82" t="str">
        <x:f t="shared" si="0">IF(OR(B65="",I65="",I65=0),"",E65/I65)</x:f>
      </x:c>
      <x:c r="L65" s="60"/>
      <x:c r="M65" s="82" t="str">
        <x:f t="shared" si="1">IF(L65&gt;0,L65,K65)</x:f>
      </x:c>
      <x:c r="N65" s="53"/>
      <x:c r="O65" s="53"/>
      <x:c r="P65" s="53"/>
      <x:c r="Q65" s="81" t="str">
        <x:f>IFERROR(INDEX('Resource Rate Library'!$C$5:$C$85,MATCH(P65,'Resource Rate Library'!$A$5:$A$85,0)),"")</x:f>
      </x:c>
      <x:c r="R65" s="53"/>
      <x:c r="S65" s="53"/>
      <x:c r="T65" s="81" t="str">
        <x:f>IFERROR(INDEX('Resource Rate Library'!$E$5:$E$85,MATCH(P65,'Resource Rate Library'!$A$5:$A$85,0)),"")</x:f>
      </x:c>
      <x:c r="U65" s="62"/>
      <x:c r="V65" s="62"/>
      <x:c r="W65" s="83" t="n">
        <x:f>IFERROR(INDEX('Resource Rate Library'!$I$5:$I$85,MATCH(P65,'Resource Rate Library'!$A$5:$A$85,0)),0)</x:f>
        <x:v>0</x:v>
      </x:c>
      <x:c r="X65" s="52"/>
      <x:c r="Y65" s="83" t="n">
        <x:f t="shared" si="2">IF(X65&gt;0,X65,W65)</x:f>
        <x:v>0</x:v>
      </x:c>
      <x:c r="Z65" s="83" t="str">
        <x:f t="shared" si="3">IF(B65="","",IF(N65="Time x Count",M65*R65*IF(U65="",1,U65)*Y65,IF(N65="QS Qty x Factor",E65*R65*(1+IF(V65="",0,V65))*Y65,IF(N65="Direct Qty",S65*(1+IF(V65="",0,V65))*Y65,IF(N65="Lump Sum / Quote",S65*Y65,0)))))</x:f>
      </x:c>
      <x:c r="AA65" s="81" t="str">
        <x:f>IFERROR(INDEX('Resource Rate Library'!$N$5:$N$85,MATCH(P65,'Resource Rate Library'!$A$5:$A$85,0)),"")</x:f>
      </x:c>
      <x:c r="AB65" s="53"/>
      <x:c r="AC65" s="59"/>
      <x:c r="AD65" s="81" t="str">
        <x:f>IFERROR(INDEX('Resource Rate Library'!$G$5:$G$85,MATCH(P65,'Resource Rate Library'!$A$5:$A$85,0)),"")</x:f>
      </x:c>
      <x:c r="AE65" s="81" t="str">
        <x:f>IFERROR(INDEX('Resource Rate Library'!$H$5:$H$85,MATCH(P65,'Resource Rate Library'!$A$5:$A$85,0)),"")</x:f>
      </x:c>
      <x:c r="AF65" s="53"/>
      <x:c r="AG65" s="53"/>
      <x:c r="AH65" s="53"/>
      <x:c r="AI65" s="81" t="str">
        <x:f>IF(B65="","",IF(AND(P65="",N65&lt;&gt;"Lump Sum / Quote"),"RESOURCE CODE",IF(Y65=0,"RATE MISSING",IF(AND(O65="Plant",AD65="Yes",COUNTIFS($B$7:$B$306,B65,$O$7:$O$306,"Labour",$Q$7:$Q$306,"*Operator*")&gt;0),"OPERATOR DOUBLE-COUNT",IF(AND(O65="Plant",AE65="Yes",COUNTIFS($B$7:$B$306,B65,$Q$7:$Q$306,"*Fuel*")&gt;0),"FUEL DOUBLE-COUNT",IF(AH65&lt;&gt;"Yes","VERIFY","OK"))))))</x:f>
      </x:c>
      <x:c r="AJ65" s="54"/>
      <x:c r="AK65" s="473"/>
      <x:c r="AL65" s="473"/>
      <x:c r="AM65" s="473"/>
      <x:c r="AN65" s="500" t="n">
        <x:f>IF(AND(AK65="Yes",OR(O65="Labour",O65="Plant")),Z65,0)</x:f>
        <x:v>0</x:v>
      </x:c>
    </x:row>
    <x:row r="66" ht="22.049999237060547" customHeight="1">
      <x:c r="A66" s="80" t="str">
        <x:f>IF(B66="","",B66&amp;"-"&amp;TEXT(COUNTIF($B$7:B66,B66),"000"))</x:f>
      </x:c>
      <x:c r="B66" s="53"/>
      <x:c r="C66" s="81" t="str">
        <x:f>IFERROR(INDEX('QS Takeoff'!$A$3:$A$194,MATCH(B66,'QS Takeoff'!$B$3:$B$194,0)),"")</x:f>
      </x:c>
      <x:c r="D66" s="81" t="str">
        <x:f>IFERROR(INDEX('QS Takeoff'!$C$3:$C$194,MATCH(B66,'QS Takeoff'!$B$3:$B$194,0)),"")</x:f>
      </x:c>
      <x:c r="E66" s="81" t="str">
        <x:f>IFERROR(INDEX('QS Takeoff'!$E$3:$E$194,MATCH(B66,'QS Takeoff'!$B$3:$B$194,0)),"")</x:f>
      </x:c>
      <x:c r="F66" s="81" t="str">
        <x:f>IFERROR(INDEX('QS Takeoff'!$D$3:$D$194,MATCH(B66,'QS Takeoff'!$B$3:$B$194,0)),"")</x:f>
      </x:c>
      <x:c r="G66" s="81" t="str">
        <x:f>IFERROR(INDEX('QS Takeoff'!$J$3:$J$194,MATCH(B66,'QS Takeoff'!$B$3:$B$194,0)),"")</x:f>
      </x:c>
      <x:c r="H66" s="53"/>
      <x:c r="I66" s="60"/>
      <x:c r="J66" s="60"/>
      <x:c r="K66" s="82" t="str">
        <x:f t="shared" si="0">IF(OR(B66="",I66="",I66=0),"",E66/I66)</x:f>
      </x:c>
      <x:c r="L66" s="60"/>
      <x:c r="M66" s="82" t="str">
        <x:f t="shared" si="1">IF(L66&gt;0,L66,K66)</x:f>
      </x:c>
      <x:c r="N66" s="53"/>
      <x:c r="O66" s="53"/>
      <x:c r="P66" s="53"/>
      <x:c r="Q66" s="81" t="str">
        <x:f>IFERROR(INDEX('Resource Rate Library'!$C$5:$C$85,MATCH(P66,'Resource Rate Library'!$A$5:$A$85,0)),"")</x:f>
      </x:c>
      <x:c r="R66" s="53"/>
      <x:c r="S66" s="53"/>
      <x:c r="T66" s="81" t="str">
        <x:f>IFERROR(INDEX('Resource Rate Library'!$E$5:$E$85,MATCH(P66,'Resource Rate Library'!$A$5:$A$85,0)),"")</x:f>
      </x:c>
      <x:c r="U66" s="62"/>
      <x:c r="V66" s="62"/>
      <x:c r="W66" s="83" t="n">
        <x:f>IFERROR(INDEX('Resource Rate Library'!$I$5:$I$85,MATCH(P66,'Resource Rate Library'!$A$5:$A$85,0)),0)</x:f>
        <x:v>0</x:v>
      </x:c>
      <x:c r="X66" s="52"/>
      <x:c r="Y66" s="83" t="n">
        <x:f t="shared" si="2">IF(X66&gt;0,X66,W66)</x:f>
        <x:v>0</x:v>
      </x:c>
      <x:c r="Z66" s="83" t="str">
        <x:f t="shared" si="3">IF(B66="","",IF(N66="Time x Count",M66*R66*IF(U66="",1,U66)*Y66,IF(N66="QS Qty x Factor",E66*R66*(1+IF(V66="",0,V66))*Y66,IF(N66="Direct Qty",S66*(1+IF(V66="",0,V66))*Y66,IF(N66="Lump Sum / Quote",S66*Y66,0)))))</x:f>
      </x:c>
      <x:c r="AA66" s="81" t="str">
        <x:f>IFERROR(INDEX('Resource Rate Library'!$N$5:$N$85,MATCH(P66,'Resource Rate Library'!$A$5:$A$85,0)),"")</x:f>
      </x:c>
      <x:c r="AB66" s="53"/>
      <x:c r="AC66" s="59"/>
      <x:c r="AD66" s="81" t="str">
        <x:f>IFERROR(INDEX('Resource Rate Library'!$G$5:$G$85,MATCH(P66,'Resource Rate Library'!$A$5:$A$85,0)),"")</x:f>
      </x:c>
      <x:c r="AE66" s="81" t="str">
        <x:f>IFERROR(INDEX('Resource Rate Library'!$H$5:$H$85,MATCH(P66,'Resource Rate Library'!$A$5:$A$85,0)),"")</x:f>
      </x:c>
      <x:c r="AF66" s="53"/>
      <x:c r="AG66" s="53"/>
      <x:c r="AH66" s="53"/>
      <x:c r="AI66" s="81" t="str">
        <x:f t="shared" ref="AI66:AI97" si="5">IF(B66="","",IF(AND(P66="",N66&lt;&gt;"Lump Sum / Quote"),"RESOURCE CODE",IF(Y66=0,"RATE MISSING",IF(AND(O66="Plant",AD66="Yes",COUNTIFS($B$7:$B$306,B66,$O$7:$O$306,"Labour",$Q$7:$Q$306,"*Operator*")&gt;0),"OPERATOR DOUBLE-COUNT",IF(AND(O66="Plant",AE66="Yes",COUNTIFS($B$7:$B$306,B66,$Q$7:$Q$306,"*Fuel*")&gt;0),"FUEL DOUBLE-COUNT",IF(AH66&lt;&gt;"Yes","VERIFY","OK"))))))</x:f>
      </x:c>
      <x:c r="AJ66" s="54"/>
      <x:c r="AK66" s="473"/>
      <x:c r="AL66" s="473"/>
      <x:c r="AM66" s="473"/>
      <x:c r="AN66" s="500" t="n">
        <x:f>IF(AND(AK66="Yes",OR(O66="Labour",O66="Plant")),Z66,0)</x:f>
        <x:v>0</x:v>
      </x:c>
    </x:row>
    <x:row r="67" ht="22.049999237060547" customHeight="1">
      <x:c r="A67" s="80" t="str">
        <x:f>IF(B67="","",B67&amp;"-"&amp;TEXT(COUNTIF($B$7:B67,B67),"000"))</x:f>
      </x:c>
      <x:c r="B67" s="53"/>
      <x:c r="C67" s="81" t="str">
        <x:f>IFERROR(INDEX('QS Takeoff'!$A$3:$A$194,MATCH(B67,'QS Takeoff'!$B$3:$B$194,0)),"")</x:f>
      </x:c>
      <x:c r="D67" s="81" t="str">
        <x:f>IFERROR(INDEX('QS Takeoff'!$C$3:$C$194,MATCH(B67,'QS Takeoff'!$B$3:$B$194,0)),"")</x:f>
      </x:c>
      <x:c r="E67" s="81" t="str">
        <x:f>IFERROR(INDEX('QS Takeoff'!$E$3:$E$194,MATCH(B67,'QS Takeoff'!$B$3:$B$194,0)),"")</x:f>
      </x:c>
      <x:c r="F67" s="81" t="str">
        <x:f>IFERROR(INDEX('QS Takeoff'!$D$3:$D$194,MATCH(B67,'QS Takeoff'!$B$3:$B$194,0)),"")</x:f>
      </x:c>
      <x:c r="G67" s="81" t="str">
        <x:f>IFERROR(INDEX('QS Takeoff'!$J$3:$J$194,MATCH(B67,'QS Takeoff'!$B$3:$B$194,0)),"")</x:f>
      </x:c>
      <x:c r="H67" s="53"/>
      <x:c r="I67" s="60"/>
      <x:c r="J67" s="60"/>
      <x:c r="K67" s="82" t="str">
        <x:f t="shared" si="0">IF(OR(B67="",I67="",I67=0),"",E67/I67)</x:f>
      </x:c>
      <x:c r="L67" s="60"/>
      <x:c r="M67" s="82" t="str">
        <x:f t="shared" si="1">IF(L67&gt;0,L67,K67)</x:f>
      </x:c>
      <x:c r="N67" s="53"/>
      <x:c r="O67" s="53"/>
      <x:c r="P67" s="53"/>
      <x:c r="Q67" s="81" t="str">
        <x:f>IFERROR(INDEX('Resource Rate Library'!$C$5:$C$85,MATCH(P67,'Resource Rate Library'!$A$5:$A$85,0)),"")</x:f>
      </x:c>
      <x:c r="R67" s="53"/>
      <x:c r="S67" s="53"/>
      <x:c r="T67" s="81" t="str">
        <x:f>IFERROR(INDEX('Resource Rate Library'!$E$5:$E$85,MATCH(P67,'Resource Rate Library'!$A$5:$A$85,0)),"")</x:f>
      </x:c>
      <x:c r="U67" s="62"/>
      <x:c r="V67" s="62"/>
      <x:c r="W67" s="83" t="n">
        <x:f>IFERROR(INDEX('Resource Rate Library'!$I$5:$I$85,MATCH(P67,'Resource Rate Library'!$A$5:$A$85,0)),0)</x:f>
        <x:v>0</x:v>
      </x:c>
      <x:c r="X67" s="52"/>
      <x:c r="Y67" s="83" t="n">
        <x:f t="shared" si="2">IF(X67&gt;0,X67,W67)</x:f>
        <x:v>0</x:v>
      </x:c>
      <x:c r="Z67" s="83" t="str">
        <x:f t="shared" si="3">IF(B67="","",IF(N67="Time x Count",M67*R67*IF(U67="",1,U67)*Y67,IF(N67="QS Qty x Factor",E67*R67*(1+IF(V67="",0,V67))*Y67,IF(N67="Direct Qty",S67*(1+IF(V67="",0,V67))*Y67,IF(N67="Lump Sum / Quote",S67*Y67,0)))))</x:f>
      </x:c>
      <x:c r="AA67" s="81" t="str">
        <x:f>IFERROR(INDEX('Resource Rate Library'!$N$5:$N$85,MATCH(P67,'Resource Rate Library'!$A$5:$A$85,0)),"")</x:f>
      </x:c>
      <x:c r="AB67" s="53"/>
      <x:c r="AC67" s="59"/>
      <x:c r="AD67" s="81" t="str">
        <x:f>IFERROR(INDEX('Resource Rate Library'!$G$5:$G$85,MATCH(P67,'Resource Rate Library'!$A$5:$A$85,0)),"")</x:f>
      </x:c>
      <x:c r="AE67" s="81" t="str">
        <x:f>IFERROR(INDEX('Resource Rate Library'!$H$5:$H$85,MATCH(P67,'Resource Rate Library'!$A$5:$A$85,0)),"")</x:f>
      </x:c>
      <x:c r="AF67" s="53"/>
      <x:c r="AG67" s="53"/>
      <x:c r="AH67" s="53"/>
      <x:c r="AI67" s="81" t="str">
        <x:f t="shared" si="5">IF(B67="","",IF(AND(P67="",N67&lt;&gt;"Lump Sum / Quote"),"RESOURCE CODE",IF(Y67=0,"RATE MISSING",IF(AND(O67="Plant",AD67="Yes",COUNTIFS($B$7:$B$306,B67,$O$7:$O$306,"Labour",$Q$7:$Q$306,"*Operator*")&gt;0),"OPERATOR DOUBLE-COUNT",IF(AND(O67="Plant",AE67="Yes",COUNTIFS($B$7:$B$306,B67,$Q$7:$Q$306,"*Fuel*")&gt;0),"FUEL DOUBLE-COUNT",IF(AH67&lt;&gt;"Yes","VERIFY","OK"))))))</x:f>
      </x:c>
      <x:c r="AJ67" s="54"/>
      <x:c r="AK67" s="473"/>
      <x:c r="AL67" s="473"/>
      <x:c r="AM67" s="473"/>
      <x:c r="AN67" s="500" t="n">
        <x:f>IF(AND(AK67="Yes",OR(O67="Labour",O67="Plant")),Z67,0)</x:f>
        <x:v>0</x:v>
      </x:c>
    </x:row>
    <x:row r="68" ht="22.049999237060547" customHeight="1">
      <x:c r="A68" s="80" t="str">
        <x:f>IF(B68="","",B68&amp;"-"&amp;TEXT(COUNTIF($B$7:B68,B68),"000"))</x:f>
      </x:c>
      <x:c r="B68" s="53"/>
      <x:c r="C68" s="81" t="str">
        <x:f>IFERROR(INDEX('QS Takeoff'!$A$3:$A$194,MATCH(B68,'QS Takeoff'!$B$3:$B$194,0)),"")</x:f>
      </x:c>
      <x:c r="D68" s="81" t="str">
        <x:f>IFERROR(INDEX('QS Takeoff'!$C$3:$C$194,MATCH(B68,'QS Takeoff'!$B$3:$B$194,0)),"")</x:f>
      </x:c>
      <x:c r="E68" s="81" t="str">
        <x:f>IFERROR(INDEX('QS Takeoff'!$E$3:$E$194,MATCH(B68,'QS Takeoff'!$B$3:$B$194,0)),"")</x:f>
      </x:c>
      <x:c r="F68" s="81" t="str">
        <x:f>IFERROR(INDEX('QS Takeoff'!$D$3:$D$194,MATCH(B68,'QS Takeoff'!$B$3:$B$194,0)),"")</x:f>
      </x:c>
      <x:c r="G68" s="81" t="str">
        <x:f>IFERROR(INDEX('QS Takeoff'!$J$3:$J$194,MATCH(B68,'QS Takeoff'!$B$3:$B$194,0)),"")</x:f>
      </x:c>
      <x:c r="H68" s="53"/>
      <x:c r="I68" s="60"/>
      <x:c r="J68" s="60"/>
      <x:c r="K68" s="82" t="str">
        <x:f t="shared" si="0">IF(OR(B68="",I68="",I68=0),"",E68/I68)</x:f>
      </x:c>
      <x:c r="L68" s="60"/>
      <x:c r="M68" s="82" t="str">
        <x:f t="shared" si="1">IF(L68&gt;0,L68,K68)</x:f>
      </x:c>
      <x:c r="N68" s="53"/>
      <x:c r="O68" s="53"/>
      <x:c r="P68" s="53"/>
      <x:c r="Q68" s="81" t="str">
        <x:f>IFERROR(INDEX('Resource Rate Library'!$C$5:$C$85,MATCH(P68,'Resource Rate Library'!$A$5:$A$85,0)),"")</x:f>
      </x:c>
      <x:c r="R68" s="53"/>
      <x:c r="S68" s="53"/>
      <x:c r="T68" s="81" t="str">
        <x:f>IFERROR(INDEX('Resource Rate Library'!$E$5:$E$85,MATCH(P68,'Resource Rate Library'!$A$5:$A$85,0)),"")</x:f>
      </x:c>
      <x:c r="U68" s="62"/>
      <x:c r="V68" s="62"/>
      <x:c r="W68" s="83" t="n">
        <x:f>IFERROR(INDEX('Resource Rate Library'!$I$5:$I$85,MATCH(P68,'Resource Rate Library'!$A$5:$A$85,0)),0)</x:f>
        <x:v>0</x:v>
      </x:c>
      <x:c r="X68" s="52"/>
      <x:c r="Y68" s="83" t="n">
        <x:f t="shared" si="2">IF(X68&gt;0,X68,W68)</x:f>
        <x:v>0</x:v>
      </x:c>
      <x:c r="Z68" s="83" t="str">
        <x:f t="shared" si="3">IF(B68="","",IF(N68="Time x Count",M68*R68*IF(U68="",1,U68)*Y68,IF(N68="QS Qty x Factor",E68*R68*(1+IF(V68="",0,V68))*Y68,IF(N68="Direct Qty",S68*(1+IF(V68="",0,V68))*Y68,IF(N68="Lump Sum / Quote",S68*Y68,0)))))</x:f>
      </x:c>
      <x:c r="AA68" s="81" t="str">
        <x:f>IFERROR(INDEX('Resource Rate Library'!$N$5:$N$85,MATCH(P68,'Resource Rate Library'!$A$5:$A$85,0)),"")</x:f>
      </x:c>
      <x:c r="AB68" s="53"/>
      <x:c r="AC68" s="59"/>
      <x:c r="AD68" s="81" t="str">
        <x:f>IFERROR(INDEX('Resource Rate Library'!$G$5:$G$85,MATCH(P68,'Resource Rate Library'!$A$5:$A$85,0)),"")</x:f>
      </x:c>
      <x:c r="AE68" s="81" t="str">
        <x:f>IFERROR(INDEX('Resource Rate Library'!$H$5:$H$85,MATCH(P68,'Resource Rate Library'!$A$5:$A$85,0)),"")</x:f>
      </x:c>
      <x:c r="AF68" s="53"/>
      <x:c r="AG68" s="53"/>
      <x:c r="AH68" s="53"/>
      <x:c r="AI68" s="81" t="str">
        <x:f t="shared" si="5">IF(B68="","",IF(AND(P68="",N68&lt;&gt;"Lump Sum / Quote"),"RESOURCE CODE",IF(Y68=0,"RATE MISSING",IF(AND(O68="Plant",AD68="Yes",COUNTIFS($B$7:$B$306,B68,$O$7:$O$306,"Labour",$Q$7:$Q$306,"*Operator*")&gt;0),"OPERATOR DOUBLE-COUNT",IF(AND(O68="Plant",AE68="Yes",COUNTIFS($B$7:$B$306,B68,$Q$7:$Q$306,"*Fuel*")&gt;0),"FUEL DOUBLE-COUNT",IF(AH68&lt;&gt;"Yes","VERIFY","OK"))))))</x:f>
      </x:c>
      <x:c r="AJ68" s="54"/>
      <x:c r="AK68" s="473"/>
      <x:c r="AL68" s="473"/>
      <x:c r="AM68" s="473"/>
      <x:c r="AN68" s="500" t="n">
        <x:f>IF(AND(AK68="Yes",OR(O68="Labour",O68="Plant")),Z68,0)</x:f>
        <x:v>0</x:v>
      </x:c>
    </x:row>
    <x:row r="69" ht="22.049999237060547" customHeight="1">
      <x:c r="A69" s="80" t="str">
        <x:f>IF(B69="","",B69&amp;"-"&amp;TEXT(COUNTIF($B$7:B69,B69),"000"))</x:f>
      </x:c>
      <x:c r="B69" s="53"/>
      <x:c r="C69" s="81" t="str">
        <x:f>IFERROR(INDEX('QS Takeoff'!$A$3:$A$194,MATCH(B69,'QS Takeoff'!$B$3:$B$194,0)),"")</x:f>
      </x:c>
      <x:c r="D69" s="81" t="str">
        <x:f>IFERROR(INDEX('QS Takeoff'!$C$3:$C$194,MATCH(B69,'QS Takeoff'!$B$3:$B$194,0)),"")</x:f>
      </x:c>
      <x:c r="E69" s="81" t="str">
        <x:f>IFERROR(INDEX('QS Takeoff'!$E$3:$E$194,MATCH(B69,'QS Takeoff'!$B$3:$B$194,0)),"")</x:f>
      </x:c>
      <x:c r="F69" s="81" t="str">
        <x:f>IFERROR(INDEX('QS Takeoff'!$D$3:$D$194,MATCH(B69,'QS Takeoff'!$B$3:$B$194,0)),"")</x:f>
      </x:c>
      <x:c r="G69" s="81" t="str">
        <x:f>IFERROR(INDEX('QS Takeoff'!$J$3:$J$194,MATCH(B69,'QS Takeoff'!$B$3:$B$194,0)),"")</x:f>
      </x:c>
      <x:c r="H69" s="53"/>
      <x:c r="I69" s="60"/>
      <x:c r="J69" s="60"/>
      <x:c r="K69" s="82" t="str">
        <x:f t="shared" si="0">IF(OR(B69="",I69="",I69=0),"",E69/I69)</x:f>
      </x:c>
      <x:c r="L69" s="60"/>
      <x:c r="M69" s="82" t="str">
        <x:f t="shared" si="1">IF(L69&gt;0,L69,K69)</x:f>
      </x:c>
      <x:c r="N69" s="53"/>
      <x:c r="O69" s="53"/>
      <x:c r="P69" s="53"/>
      <x:c r="Q69" s="81" t="str">
        <x:f>IFERROR(INDEX('Resource Rate Library'!$C$5:$C$85,MATCH(P69,'Resource Rate Library'!$A$5:$A$85,0)),"")</x:f>
      </x:c>
      <x:c r="R69" s="53"/>
      <x:c r="S69" s="53"/>
      <x:c r="T69" s="81" t="str">
        <x:f>IFERROR(INDEX('Resource Rate Library'!$E$5:$E$85,MATCH(P69,'Resource Rate Library'!$A$5:$A$85,0)),"")</x:f>
      </x:c>
      <x:c r="U69" s="62"/>
      <x:c r="V69" s="62"/>
      <x:c r="W69" s="83" t="n">
        <x:f>IFERROR(INDEX('Resource Rate Library'!$I$5:$I$85,MATCH(P69,'Resource Rate Library'!$A$5:$A$85,0)),0)</x:f>
        <x:v>0</x:v>
      </x:c>
      <x:c r="X69" s="52"/>
      <x:c r="Y69" s="83" t="n">
        <x:f t="shared" si="2">IF(X69&gt;0,X69,W69)</x:f>
        <x:v>0</x:v>
      </x:c>
      <x:c r="Z69" s="83" t="str">
        <x:f t="shared" si="3">IF(B69="","",IF(N69="Time x Count",M69*R69*IF(U69="",1,U69)*Y69,IF(N69="QS Qty x Factor",E69*R69*(1+IF(V69="",0,V69))*Y69,IF(N69="Direct Qty",S69*(1+IF(V69="",0,V69))*Y69,IF(N69="Lump Sum / Quote",S69*Y69,0)))))</x:f>
      </x:c>
      <x:c r="AA69" s="81" t="str">
        <x:f>IFERROR(INDEX('Resource Rate Library'!$N$5:$N$85,MATCH(P69,'Resource Rate Library'!$A$5:$A$85,0)),"")</x:f>
      </x:c>
      <x:c r="AB69" s="53"/>
      <x:c r="AC69" s="59"/>
      <x:c r="AD69" s="81" t="str">
        <x:f>IFERROR(INDEX('Resource Rate Library'!$G$5:$G$85,MATCH(P69,'Resource Rate Library'!$A$5:$A$85,0)),"")</x:f>
      </x:c>
      <x:c r="AE69" s="81" t="str">
        <x:f>IFERROR(INDEX('Resource Rate Library'!$H$5:$H$85,MATCH(P69,'Resource Rate Library'!$A$5:$A$85,0)),"")</x:f>
      </x:c>
      <x:c r="AF69" s="53"/>
      <x:c r="AG69" s="53"/>
      <x:c r="AH69" s="53"/>
      <x:c r="AI69" s="81" t="str">
        <x:f t="shared" si="5">IF(B69="","",IF(AND(P69="",N69&lt;&gt;"Lump Sum / Quote"),"RESOURCE CODE",IF(Y69=0,"RATE MISSING",IF(AND(O69="Plant",AD69="Yes",COUNTIFS($B$7:$B$306,B69,$O$7:$O$306,"Labour",$Q$7:$Q$306,"*Operator*")&gt;0),"OPERATOR DOUBLE-COUNT",IF(AND(O69="Plant",AE69="Yes",COUNTIFS($B$7:$B$306,B69,$Q$7:$Q$306,"*Fuel*")&gt;0),"FUEL DOUBLE-COUNT",IF(AH69&lt;&gt;"Yes","VERIFY","OK"))))))</x:f>
      </x:c>
      <x:c r="AJ69" s="54"/>
      <x:c r="AK69" s="473"/>
      <x:c r="AL69" s="473"/>
      <x:c r="AM69" s="473"/>
      <x:c r="AN69" s="500" t="n">
        <x:f>IF(AND(AK69="Yes",OR(O69="Labour",O69="Plant")),Z69,0)</x:f>
        <x:v>0</x:v>
      </x:c>
    </x:row>
    <x:row r="70" ht="22.049999237060547" customHeight="1">
      <x:c r="A70" s="80" t="str">
        <x:f>IF(B70="","",B70&amp;"-"&amp;TEXT(COUNTIF($B$7:B70,B70),"000"))</x:f>
      </x:c>
      <x:c r="B70" s="53"/>
      <x:c r="C70" s="81" t="str">
        <x:f>IFERROR(INDEX('QS Takeoff'!$A$3:$A$194,MATCH(B70,'QS Takeoff'!$B$3:$B$194,0)),"")</x:f>
      </x:c>
      <x:c r="D70" s="81" t="str">
        <x:f>IFERROR(INDEX('QS Takeoff'!$C$3:$C$194,MATCH(B70,'QS Takeoff'!$B$3:$B$194,0)),"")</x:f>
      </x:c>
      <x:c r="E70" s="81" t="str">
        <x:f>IFERROR(INDEX('QS Takeoff'!$E$3:$E$194,MATCH(B70,'QS Takeoff'!$B$3:$B$194,0)),"")</x:f>
      </x:c>
      <x:c r="F70" s="81" t="str">
        <x:f>IFERROR(INDEX('QS Takeoff'!$D$3:$D$194,MATCH(B70,'QS Takeoff'!$B$3:$B$194,0)),"")</x:f>
      </x:c>
      <x:c r="G70" s="81" t="str">
        <x:f>IFERROR(INDEX('QS Takeoff'!$J$3:$J$194,MATCH(B70,'QS Takeoff'!$B$3:$B$194,0)),"")</x:f>
      </x:c>
      <x:c r="H70" s="53"/>
      <x:c r="I70" s="60"/>
      <x:c r="J70" s="60"/>
      <x:c r="K70" s="82" t="str">
        <x:f t="shared" si="0">IF(OR(B70="",I70="",I70=0),"",E70/I70)</x:f>
      </x:c>
      <x:c r="L70" s="60"/>
      <x:c r="M70" s="82" t="str">
        <x:f t="shared" si="1">IF(L70&gt;0,L70,K70)</x:f>
      </x:c>
      <x:c r="N70" s="53"/>
      <x:c r="O70" s="53"/>
      <x:c r="P70" s="53"/>
      <x:c r="Q70" s="81" t="str">
        <x:f>IFERROR(INDEX('Resource Rate Library'!$C$5:$C$85,MATCH(P70,'Resource Rate Library'!$A$5:$A$85,0)),"")</x:f>
      </x:c>
      <x:c r="R70" s="53"/>
      <x:c r="S70" s="53"/>
      <x:c r="T70" s="81" t="str">
        <x:f>IFERROR(INDEX('Resource Rate Library'!$E$5:$E$85,MATCH(P70,'Resource Rate Library'!$A$5:$A$85,0)),"")</x:f>
      </x:c>
      <x:c r="U70" s="62"/>
      <x:c r="V70" s="62"/>
      <x:c r="W70" s="83" t="n">
        <x:f>IFERROR(INDEX('Resource Rate Library'!$I$5:$I$85,MATCH(P70,'Resource Rate Library'!$A$5:$A$85,0)),0)</x:f>
        <x:v>0</x:v>
      </x:c>
      <x:c r="X70" s="52"/>
      <x:c r="Y70" s="83" t="n">
        <x:f t="shared" si="2">IF(X70&gt;0,X70,W70)</x:f>
        <x:v>0</x:v>
      </x:c>
      <x:c r="Z70" s="83" t="str">
        <x:f t="shared" si="3">IF(B70="","",IF(N70="Time x Count",M70*R70*IF(U70="",1,U70)*Y70,IF(N70="QS Qty x Factor",E70*R70*(1+IF(V70="",0,V70))*Y70,IF(N70="Direct Qty",S70*(1+IF(V70="",0,V70))*Y70,IF(N70="Lump Sum / Quote",S70*Y70,0)))))</x:f>
      </x:c>
      <x:c r="AA70" s="81" t="str">
        <x:f>IFERROR(INDEX('Resource Rate Library'!$N$5:$N$85,MATCH(P70,'Resource Rate Library'!$A$5:$A$85,0)),"")</x:f>
      </x:c>
      <x:c r="AB70" s="53"/>
      <x:c r="AC70" s="59"/>
      <x:c r="AD70" s="81" t="str">
        <x:f>IFERROR(INDEX('Resource Rate Library'!$G$5:$G$85,MATCH(P70,'Resource Rate Library'!$A$5:$A$85,0)),"")</x:f>
      </x:c>
      <x:c r="AE70" s="81" t="str">
        <x:f>IFERROR(INDEX('Resource Rate Library'!$H$5:$H$85,MATCH(P70,'Resource Rate Library'!$A$5:$A$85,0)),"")</x:f>
      </x:c>
      <x:c r="AF70" s="53"/>
      <x:c r="AG70" s="53"/>
      <x:c r="AH70" s="53"/>
      <x:c r="AI70" s="81" t="str">
        <x:f t="shared" si="5">IF(B70="","",IF(AND(P70="",N70&lt;&gt;"Lump Sum / Quote"),"RESOURCE CODE",IF(Y70=0,"RATE MISSING",IF(AND(O70="Plant",AD70="Yes",COUNTIFS($B$7:$B$306,B70,$O$7:$O$306,"Labour",$Q$7:$Q$306,"*Operator*")&gt;0),"OPERATOR DOUBLE-COUNT",IF(AND(O70="Plant",AE70="Yes",COUNTIFS($B$7:$B$306,B70,$Q$7:$Q$306,"*Fuel*")&gt;0),"FUEL DOUBLE-COUNT",IF(AH70&lt;&gt;"Yes","VERIFY","OK"))))))</x:f>
      </x:c>
      <x:c r="AJ70" s="54"/>
      <x:c r="AK70" s="473"/>
      <x:c r="AL70" s="473"/>
      <x:c r="AM70" s="473"/>
      <x:c r="AN70" s="500" t="n">
        <x:f>IF(AND(AK70="Yes",OR(O70="Labour",O70="Plant")),Z70,0)</x:f>
        <x:v>0</x:v>
      </x:c>
    </x:row>
    <x:row r="71" ht="22.049999237060547" customHeight="1">
      <x:c r="A71" s="80" t="str">
        <x:f>IF(B71="","",B71&amp;"-"&amp;TEXT(COUNTIF($B$7:B71,B71),"000"))</x:f>
      </x:c>
      <x:c r="B71" s="53"/>
      <x:c r="C71" s="81" t="str">
        <x:f>IFERROR(INDEX('QS Takeoff'!$A$3:$A$194,MATCH(B71,'QS Takeoff'!$B$3:$B$194,0)),"")</x:f>
      </x:c>
      <x:c r="D71" s="81" t="str">
        <x:f>IFERROR(INDEX('QS Takeoff'!$C$3:$C$194,MATCH(B71,'QS Takeoff'!$B$3:$B$194,0)),"")</x:f>
      </x:c>
      <x:c r="E71" s="81" t="str">
        <x:f>IFERROR(INDEX('QS Takeoff'!$E$3:$E$194,MATCH(B71,'QS Takeoff'!$B$3:$B$194,0)),"")</x:f>
      </x:c>
      <x:c r="F71" s="81" t="str">
        <x:f>IFERROR(INDEX('QS Takeoff'!$D$3:$D$194,MATCH(B71,'QS Takeoff'!$B$3:$B$194,0)),"")</x:f>
      </x:c>
      <x:c r="G71" s="81" t="str">
        <x:f>IFERROR(INDEX('QS Takeoff'!$J$3:$J$194,MATCH(B71,'QS Takeoff'!$B$3:$B$194,0)),"")</x:f>
      </x:c>
      <x:c r="H71" s="53"/>
      <x:c r="I71" s="60"/>
      <x:c r="J71" s="60"/>
      <x:c r="K71" s="82" t="str">
        <x:f t="shared" ref="K71:K134" si="6">IF(OR(B71="",I71="",I71=0),"",E71/I71)</x:f>
      </x:c>
      <x:c r="L71" s="60"/>
      <x:c r="M71" s="82" t="str">
        <x:f t="shared" ref="M71:M134" si="7">IF(L71&gt;0,L71,K71)</x:f>
      </x:c>
      <x:c r="N71" s="53"/>
      <x:c r="O71" s="53"/>
      <x:c r="P71" s="53"/>
      <x:c r="Q71" s="81" t="str">
        <x:f>IFERROR(INDEX('Resource Rate Library'!$C$5:$C$85,MATCH(P71,'Resource Rate Library'!$A$5:$A$85,0)),"")</x:f>
      </x:c>
      <x:c r="R71" s="53"/>
      <x:c r="S71" s="53"/>
      <x:c r="T71" s="81" t="str">
        <x:f>IFERROR(INDEX('Resource Rate Library'!$E$5:$E$85,MATCH(P71,'Resource Rate Library'!$A$5:$A$85,0)),"")</x:f>
      </x:c>
      <x:c r="U71" s="62"/>
      <x:c r="V71" s="62"/>
      <x:c r="W71" s="83" t="n">
        <x:f>IFERROR(INDEX('Resource Rate Library'!$I$5:$I$85,MATCH(P71,'Resource Rate Library'!$A$5:$A$85,0)),0)</x:f>
        <x:v>0</x:v>
      </x:c>
      <x:c r="X71" s="52"/>
      <x:c r="Y71" s="83" t="n">
        <x:f t="shared" ref="Y71:Y134" si="8">IF(X71&gt;0,X71,W71)</x:f>
        <x:v>0</x:v>
      </x:c>
      <x:c r="Z71" s="83" t="str">
        <x:f t="shared" ref="Z71:Z134" si="9">IF(B71="","",IF(N71="Time x Count",M71*R71*IF(U71="",1,U71)*Y71,IF(N71="QS Qty x Factor",E71*R71*(1+IF(V71="",0,V71))*Y71,IF(N71="Direct Qty",S71*(1+IF(V71="",0,V71))*Y71,IF(N71="Lump Sum / Quote",S71*Y71,0)))))</x:f>
      </x:c>
      <x:c r="AA71" s="81" t="str">
        <x:f>IFERROR(INDEX('Resource Rate Library'!$N$5:$N$85,MATCH(P71,'Resource Rate Library'!$A$5:$A$85,0)),"")</x:f>
      </x:c>
      <x:c r="AB71" s="53"/>
      <x:c r="AC71" s="59"/>
      <x:c r="AD71" s="81" t="str">
        <x:f>IFERROR(INDEX('Resource Rate Library'!$G$5:$G$85,MATCH(P71,'Resource Rate Library'!$A$5:$A$85,0)),"")</x:f>
      </x:c>
      <x:c r="AE71" s="81" t="str">
        <x:f>IFERROR(INDEX('Resource Rate Library'!$H$5:$H$85,MATCH(P71,'Resource Rate Library'!$A$5:$A$85,0)),"")</x:f>
      </x:c>
      <x:c r="AF71" s="53"/>
      <x:c r="AG71" s="53"/>
      <x:c r="AH71" s="53"/>
      <x:c r="AI71" s="81" t="str">
        <x:f t="shared" si="5">IF(B71="","",IF(AND(P71="",N71&lt;&gt;"Lump Sum / Quote"),"RESOURCE CODE",IF(Y71=0,"RATE MISSING",IF(AND(O71="Plant",AD71="Yes",COUNTIFS($B$7:$B$306,B71,$O$7:$O$306,"Labour",$Q$7:$Q$306,"*Operator*")&gt;0),"OPERATOR DOUBLE-COUNT",IF(AND(O71="Plant",AE71="Yes",COUNTIFS($B$7:$B$306,B71,$Q$7:$Q$306,"*Fuel*")&gt;0),"FUEL DOUBLE-COUNT",IF(AH71&lt;&gt;"Yes","VERIFY","OK"))))))</x:f>
      </x:c>
      <x:c r="AJ71" s="54"/>
      <x:c r="AK71" s="473"/>
      <x:c r="AL71" s="473"/>
      <x:c r="AM71" s="473"/>
      <x:c r="AN71" s="500" t="n">
        <x:f>IF(AND(AK71="Yes",OR(O71="Labour",O71="Plant")),Z71,0)</x:f>
        <x:v>0</x:v>
      </x:c>
    </x:row>
    <x:row r="72" ht="22.049999237060547" customHeight="1">
      <x:c r="A72" s="80" t="str">
        <x:f>IF(B72="","",B72&amp;"-"&amp;TEXT(COUNTIF($B$7:B72,B72),"000"))</x:f>
      </x:c>
      <x:c r="B72" s="53"/>
      <x:c r="C72" s="81" t="str">
        <x:f>IFERROR(INDEX('QS Takeoff'!$A$3:$A$194,MATCH(B72,'QS Takeoff'!$B$3:$B$194,0)),"")</x:f>
      </x:c>
      <x:c r="D72" s="81" t="str">
        <x:f>IFERROR(INDEX('QS Takeoff'!$C$3:$C$194,MATCH(B72,'QS Takeoff'!$B$3:$B$194,0)),"")</x:f>
      </x:c>
      <x:c r="E72" s="81" t="str">
        <x:f>IFERROR(INDEX('QS Takeoff'!$E$3:$E$194,MATCH(B72,'QS Takeoff'!$B$3:$B$194,0)),"")</x:f>
      </x:c>
      <x:c r="F72" s="81" t="str">
        <x:f>IFERROR(INDEX('QS Takeoff'!$D$3:$D$194,MATCH(B72,'QS Takeoff'!$B$3:$B$194,0)),"")</x:f>
      </x:c>
      <x:c r="G72" s="81" t="str">
        <x:f>IFERROR(INDEX('QS Takeoff'!$J$3:$J$194,MATCH(B72,'QS Takeoff'!$B$3:$B$194,0)),"")</x:f>
      </x:c>
      <x:c r="H72" s="53"/>
      <x:c r="I72" s="60"/>
      <x:c r="J72" s="60"/>
      <x:c r="K72" s="82" t="str">
        <x:f t="shared" si="6">IF(OR(B72="",I72="",I72=0),"",E72/I72)</x:f>
      </x:c>
      <x:c r="L72" s="60"/>
      <x:c r="M72" s="82" t="str">
        <x:f t="shared" si="7">IF(L72&gt;0,L72,K72)</x:f>
      </x:c>
      <x:c r="N72" s="53"/>
      <x:c r="O72" s="53"/>
      <x:c r="P72" s="53"/>
      <x:c r="Q72" s="81" t="str">
        <x:f>IFERROR(INDEX('Resource Rate Library'!$C$5:$C$85,MATCH(P72,'Resource Rate Library'!$A$5:$A$85,0)),"")</x:f>
      </x:c>
      <x:c r="R72" s="53"/>
      <x:c r="S72" s="53"/>
      <x:c r="T72" s="81" t="str">
        <x:f>IFERROR(INDEX('Resource Rate Library'!$E$5:$E$85,MATCH(P72,'Resource Rate Library'!$A$5:$A$85,0)),"")</x:f>
      </x:c>
      <x:c r="U72" s="62"/>
      <x:c r="V72" s="62"/>
      <x:c r="W72" s="83" t="n">
        <x:f>IFERROR(INDEX('Resource Rate Library'!$I$5:$I$85,MATCH(P72,'Resource Rate Library'!$A$5:$A$85,0)),0)</x:f>
        <x:v>0</x:v>
      </x:c>
      <x:c r="X72" s="52"/>
      <x:c r="Y72" s="83" t="n">
        <x:f t="shared" si="8">IF(X72&gt;0,X72,W72)</x:f>
        <x:v>0</x:v>
      </x:c>
      <x:c r="Z72" s="83" t="str">
        <x:f t="shared" si="9">IF(B72="","",IF(N72="Time x Count",M72*R72*IF(U72="",1,U72)*Y72,IF(N72="QS Qty x Factor",E72*R72*(1+IF(V72="",0,V72))*Y72,IF(N72="Direct Qty",S72*(1+IF(V72="",0,V72))*Y72,IF(N72="Lump Sum / Quote",S72*Y72,0)))))</x:f>
      </x:c>
      <x:c r="AA72" s="81" t="str">
        <x:f>IFERROR(INDEX('Resource Rate Library'!$N$5:$N$85,MATCH(P72,'Resource Rate Library'!$A$5:$A$85,0)),"")</x:f>
      </x:c>
      <x:c r="AB72" s="53"/>
      <x:c r="AC72" s="59"/>
      <x:c r="AD72" s="81" t="str">
        <x:f>IFERROR(INDEX('Resource Rate Library'!$G$5:$G$85,MATCH(P72,'Resource Rate Library'!$A$5:$A$85,0)),"")</x:f>
      </x:c>
      <x:c r="AE72" s="81" t="str">
        <x:f>IFERROR(INDEX('Resource Rate Library'!$H$5:$H$85,MATCH(P72,'Resource Rate Library'!$A$5:$A$85,0)),"")</x:f>
      </x:c>
      <x:c r="AF72" s="53"/>
      <x:c r="AG72" s="53"/>
      <x:c r="AH72" s="53"/>
      <x:c r="AI72" s="81" t="str">
        <x:f t="shared" si="5">IF(B72="","",IF(AND(P72="",N72&lt;&gt;"Lump Sum / Quote"),"RESOURCE CODE",IF(Y72=0,"RATE MISSING",IF(AND(O72="Plant",AD72="Yes",COUNTIFS($B$7:$B$306,B72,$O$7:$O$306,"Labour",$Q$7:$Q$306,"*Operator*")&gt;0),"OPERATOR DOUBLE-COUNT",IF(AND(O72="Plant",AE72="Yes",COUNTIFS($B$7:$B$306,B72,$Q$7:$Q$306,"*Fuel*")&gt;0),"FUEL DOUBLE-COUNT",IF(AH72&lt;&gt;"Yes","VERIFY","OK"))))))</x:f>
      </x:c>
      <x:c r="AJ72" s="54"/>
      <x:c r="AK72" s="473"/>
      <x:c r="AL72" s="473"/>
      <x:c r="AM72" s="473"/>
      <x:c r="AN72" s="500" t="n">
        <x:f>IF(AND(AK72="Yes",OR(O72="Labour",O72="Plant")),Z72,0)</x:f>
        <x:v>0</x:v>
      </x:c>
    </x:row>
    <x:row r="73" ht="22.049999237060547" customHeight="1">
      <x:c r="A73" s="80" t="str">
        <x:f>IF(B73="","",B73&amp;"-"&amp;TEXT(COUNTIF($B$7:B73,B73),"000"))</x:f>
      </x:c>
      <x:c r="B73" s="53"/>
      <x:c r="C73" s="81" t="str">
        <x:f>IFERROR(INDEX('QS Takeoff'!$A$3:$A$194,MATCH(B73,'QS Takeoff'!$B$3:$B$194,0)),"")</x:f>
      </x:c>
      <x:c r="D73" s="81" t="str">
        <x:f>IFERROR(INDEX('QS Takeoff'!$C$3:$C$194,MATCH(B73,'QS Takeoff'!$B$3:$B$194,0)),"")</x:f>
      </x:c>
      <x:c r="E73" s="81" t="str">
        <x:f>IFERROR(INDEX('QS Takeoff'!$E$3:$E$194,MATCH(B73,'QS Takeoff'!$B$3:$B$194,0)),"")</x:f>
      </x:c>
      <x:c r="F73" s="81" t="str">
        <x:f>IFERROR(INDEX('QS Takeoff'!$D$3:$D$194,MATCH(B73,'QS Takeoff'!$B$3:$B$194,0)),"")</x:f>
      </x:c>
      <x:c r="G73" s="81" t="str">
        <x:f>IFERROR(INDEX('QS Takeoff'!$J$3:$J$194,MATCH(B73,'QS Takeoff'!$B$3:$B$194,0)),"")</x:f>
      </x:c>
      <x:c r="H73" s="53"/>
      <x:c r="I73" s="60"/>
      <x:c r="J73" s="60"/>
      <x:c r="K73" s="82" t="str">
        <x:f t="shared" si="6">IF(OR(B73="",I73="",I73=0),"",E73/I73)</x:f>
      </x:c>
      <x:c r="L73" s="60"/>
      <x:c r="M73" s="82" t="str">
        <x:f t="shared" si="7">IF(L73&gt;0,L73,K73)</x:f>
      </x:c>
      <x:c r="N73" s="53"/>
      <x:c r="O73" s="53"/>
      <x:c r="P73" s="53"/>
      <x:c r="Q73" s="81" t="str">
        <x:f>IFERROR(INDEX('Resource Rate Library'!$C$5:$C$85,MATCH(P73,'Resource Rate Library'!$A$5:$A$85,0)),"")</x:f>
      </x:c>
      <x:c r="R73" s="53"/>
      <x:c r="S73" s="53"/>
      <x:c r="T73" s="81" t="str">
        <x:f>IFERROR(INDEX('Resource Rate Library'!$E$5:$E$85,MATCH(P73,'Resource Rate Library'!$A$5:$A$85,0)),"")</x:f>
      </x:c>
      <x:c r="U73" s="62"/>
      <x:c r="V73" s="62"/>
      <x:c r="W73" s="83" t="n">
        <x:f>IFERROR(INDEX('Resource Rate Library'!$I$5:$I$85,MATCH(P73,'Resource Rate Library'!$A$5:$A$85,0)),0)</x:f>
        <x:v>0</x:v>
      </x:c>
      <x:c r="X73" s="52"/>
      <x:c r="Y73" s="83" t="n">
        <x:f t="shared" si="8">IF(X73&gt;0,X73,W73)</x:f>
        <x:v>0</x:v>
      </x:c>
      <x:c r="Z73" s="83" t="str">
        <x:f t="shared" si="9">IF(B73="","",IF(N73="Time x Count",M73*R73*IF(U73="",1,U73)*Y73,IF(N73="QS Qty x Factor",E73*R73*(1+IF(V73="",0,V73))*Y73,IF(N73="Direct Qty",S73*(1+IF(V73="",0,V73))*Y73,IF(N73="Lump Sum / Quote",S73*Y73,0)))))</x:f>
      </x:c>
      <x:c r="AA73" s="81" t="str">
        <x:f>IFERROR(INDEX('Resource Rate Library'!$N$5:$N$85,MATCH(P73,'Resource Rate Library'!$A$5:$A$85,0)),"")</x:f>
      </x:c>
      <x:c r="AB73" s="53"/>
      <x:c r="AC73" s="59"/>
      <x:c r="AD73" s="81" t="str">
        <x:f>IFERROR(INDEX('Resource Rate Library'!$G$5:$G$85,MATCH(P73,'Resource Rate Library'!$A$5:$A$85,0)),"")</x:f>
      </x:c>
      <x:c r="AE73" s="81" t="str">
        <x:f>IFERROR(INDEX('Resource Rate Library'!$H$5:$H$85,MATCH(P73,'Resource Rate Library'!$A$5:$A$85,0)),"")</x:f>
      </x:c>
      <x:c r="AF73" s="53"/>
      <x:c r="AG73" s="53"/>
      <x:c r="AH73" s="53"/>
      <x:c r="AI73" s="81" t="str">
        <x:f t="shared" si="5">IF(B73="","",IF(AND(P73="",N73&lt;&gt;"Lump Sum / Quote"),"RESOURCE CODE",IF(Y73=0,"RATE MISSING",IF(AND(O73="Plant",AD73="Yes",COUNTIFS($B$7:$B$306,B73,$O$7:$O$306,"Labour",$Q$7:$Q$306,"*Operator*")&gt;0),"OPERATOR DOUBLE-COUNT",IF(AND(O73="Plant",AE73="Yes",COUNTIFS($B$7:$B$306,B73,$Q$7:$Q$306,"*Fuel*")&gt;0),"FUEL DOUBLE-COUNT",IF(AH73&lt;&gt;"Yes","VERIFY","OK"))))))</x:f>
      </x:c>
      <x:c r="AJ73" s="54"/>
      <x:c r="AK73" s="473"/>
      <x:c r="AL73" s="473"/>
      <x:c r="AM73" s="473"/>
      <x:c r="AN73" s="500" t="n">
        <x:f>IF(AND(AK73="Yes",OR(O73="Labour",O73="Plant")),Z73,0)</x:f>
        <x:v>0</x:v>
      </x:c>
    </x:row>
    <x:row r="74" ht="22.049999237060547" customHeight="1">
      <x:c r="A74" s="80" t="str">
        <x:f>IF(B74="","",B74&amp;"-"&amp;TEXT(COUNTIF($B$7:B74,B74),"000"))</x:f>
      </x:c>
      <x:c r="B74" s="53"/>
      <x:c r="C74" s="81" t="str">
        <x:f>IFERROR(INDEX('QS Takeoff'!$A$3:$A$194,MATCH(B74,'QS Takeoff'!$B$3:$B$194,0)),"")</x:f>
      </x:c>
      <x:c r="D74" s="81" t="str">
        <x:f>IFERROR(INDEX('QS Takeoff'!$C$3:$C$194,MATCH(B74,'QS Takeoff'!$B$3:$B$194,0)),"")</x:f>
      </x:c>
      <x:c r="E74" s="81" t="str">
        <x:f>IFERROR(INDEX('QS Takeoff'!$E$3:$E$194,MATCH(B74,'QS Takeoff'!$B$3:$B$194,0)),"")</x:f>
      </x:c>
      <x:c r="F74" s="81" t="str">
        <x:f>IFERROR(INDEX('QS Takeoff'!$D$3:$D$194,MATCH(B74,'QS Takeoff'!$B$3:$B$194,0)),"")</x:f>
      </x:c>
      <x:c r="G74" s="81" t="str">
        <x:f>IFERROR(INDEX('QS Takeoff'!$J$3:$J$194,MATCH(B74,'QS Takeoff'!$B$3:$B$194,0)),"")</x:f>
      </x:c>
      <x:c r="H74" s="53"/>
      <x:c r="I74" s="60"/>
      <x:c r="J74" s="60"/>
      <x:c r="K74" s="82" t="str">
        <x:f t="shared" si="6">IF(OR(B74="",I74="",I74=0),"",E74/I74)</x:f>
      </x:c>
      <x:c r="L74" s="60"/>
      <x:c r="M74" s="82" t="str">
        <x:f t="shared" si="7">IF(L74&gt;0,L74,K74)</x:f>
      </x:c>
      <x:c r="N74" s="53"/>
      <x:c r="O74" s="53"/>
      <x:c r="P74" s="53"/>
      <x:c r="Q74" s="81" t="str">
        <x:f>IFERROR(INDEX('Resource Rate Library'!$C$5:$C$85,MATCH(P74,'Resource Rate Library'!$A$5:$A$85,0)),"")</x:f>
      </x:c>
      <x:c r="R74" s="53"/>
      <x:c r="S74" s="53"/>
      <x:c r="T74" s="81" t="str">
        <x:f>IFERROR(INDEX('Resource Rate Library'!$E$5:$E$85,MATCH(P74,'Resource Rate Library'!$A$5:$A$85,0)),"")</x:f>
      </x:c>
      <x:c r="U74" s="62"/>
      <x:c r="V74" s="62"/>
      <x:c r="W74" s="83" t="n">
        <x:f>IFERROR(INDEX('Resource Rate Library'!$I$5:$I$85,MATCH(P74,'Resource Rate Library'!$A$5:$A$85,0)),0)</x:f>
        <x:v>0</x:v>
      </x:c>
      <x:c r="X74" s="52"/>
      <x:c r="Y74" s="83" t="n">
        <x:f t="shared" si="8">IF(X74&gt;0,X74,W74)</x:f>
        <x:v>0</x:v>
      </x:c>
      <x:c r="Z74" s="83" t="str">
        <x:f t="shared" si="9">IF(B74="","",IF(N74="Time x Count",M74*R74*IF(U74="",1,U74)*Y74,IF(N74="QS Qty x Factor",E74*R74*(1+IF(V74="",0,V74))*Y74,IF(N74="Direct Qty",S74*(1+IF(V74="",0,V74))*Y74,IF(N74="Lump Sum / Quote",S74*Y74,0)))))</x:f>
      </x:c>
      <x:c r="AA74" s="81" t="str">
        <x:f>IFERROR(INDEX('Resource Rate Library'!$N$5:$N$85,MATCH(P74,'Resource Rate Library'!$A$5:$A$85,0)),"")</x:f>
      </x:c>
      <x:c r="AB74" s="53"/>
      <x:c r="AC74" s="59"/>
      <x:c r="AD74" s="81" t="str">
        <x:f>IFERROR(INDEX('Resource Rate Library'!$G$5:$G$85,MATCH(P74,'Resource Rate Library'!$A$5:$A$85,0)),"")</x:f>
      </x:c>
      <x:c r="AE74" s="81" t="str">
        <x:f>IFERROR(INDEX('Resource Rate Library'!$H$5:$H$85,MATCH(P74,'Resource Rate Library'!$A$5:$A$85,0)),"")</x:f>
      </x:c>
      <x:c r="AF74" s="53"/>
      <x:c r="AG74" s="53"/>
      <x:c r="AH74" s="53"/>
      <x:c r="AI74" s="81" t="str">
        <x:f t="shared" si="5">IF(B74="","",IF(AND(P74="",N74&lt;&gt;"Lump Sum / Quote"),"RESOURCE CODE",IF(Y74=0,"RATE MISSING",IF(AND(O74="Plant",AD74="Yes",COUNTIFS($B$7:$B$306,B74,$O$7:$O$306,"Labour",$Q$7:$Q$306,"*Operator*")&gt;0),"OPERATOR DOUBLE-COUNT",IF(AND(O74="Plant",AE74="Yes",COUNTIFS($B$7:$B$306,B74,$Q$7:$Q$306,"*Fuel*")&gt;0),"FUEL DOUBLE-COUNT",IF(AH74&lt;&gt;"Yes","VERIFY","OK"))))))</x:f>
      </x:c>
      <x:c r="AJ74" s="54"/>
      <x:c r="AK74" s="473"/>
      <x:c r="AL74" s="473"/>
      <x:c r="AM74" s="473"/>
      <x:c r="AN74" s="500" t="n">
        <x:f>IF(AND(AK74="Yes",OR(O74="Labour",O74="Plant")),Z74,0)</x:f>
        <x:v>0</x:v>
      </x:c>
    </x:row>
    <x:row r="75" ht="22.049999237060547" customHeight="1">
      <x:c r="A75" s="80" t="str">
        <x:f>IF(B75="","",B75&amp;"-"&amp;TEXT(COUNTIF($B$7:B75,B75),"000"))</x:f>
      </x:c>
      <x:c r="B75" s="53"/>
      <x:c r="C75" s="81" t="str">
        <x:f>IFERROR(INDEX('QS Takeoff'!$A$3:$A$194,MATCH(B75,'QS Takeoff'!$B$3:$B$194,0)),"")</x:f>
      </x:c>
      <x:c r="D75" s="81" t="str">
        <x:f>IFERROR(INDEX('QS Takeoff'!$C$3:$C$194,MATCH(B75,'QS Takeoff'!$B$3:$B$194,0)),"")</x:f>
      </x:c>
      <x:c r="E75" s="81" t="str">
        <x:f>IFERROR(INDEX('QS Takeoff'!$E$3:$E$194,MATCH(B75,'QS Takeoff'!$B$3:$B$194,0)),"")</x:f>
      </x:c>
      <x:c r="F75" s="81" t="str">
        <x:f>IFERROR(INDEX('QS Takeoff'!$D$3:$D$194,MATCH(B75,'QS Takeoff'!$B$3:$B$194,0)),"")</x:f>
      </x:c>
      <x:c r="G75" s="81" t="str">
        <x:f>IFERROR(INDEX('QS Takeoff'!$J$3:$J$194,MATCH(B75,'QS Takeoff'!$B$3:$B$194,0)),"")</x:f>
      </x:c>
      <x:c r="H75" s="53"/>
      <x:c r="I75" s="60"/>
      <x:c r="J75" s="60"/>
      <x:c r="K75" s="82" t="str">
        <x:f t="shared" si="6">IF(OR(B75="",I75="",I75=0),"",E75/I75)</x:f>
      </x:c>
      <x:c r="L75" s="60"/>
      <x:c r="M75" s="82" t="str">
        <x:f t="shared" si="7">IF(L75&gt;0,L75,K75)</x:f>
      </x:c>
      <x:c r="N75" s="53"/>
      <x:c r="O75" s="53"/>
      <x:c r="P75" s="53"/>
      <x:c r="Q75" s="81" t="str">
        <x:f>IFERROR(INDEX('Resource Rate Library'!$C$5:$C$85,MATCH(P75,'Resource Rate Library'!$A$5:$A$85,0)),"")</x:f>
      </x:c>
      <x:c r="R75" s="53"/>
      <x:c r="S75" s="53"/>
      <x:c r="T75" s="81" t="str">
        <x:f>IFERROR(INDEX('Resource Rate Library'!$E$5:$E$85,MATCH(P75,'Resource Rate Library'!$A$5:$A$85,0)),"")</x:f>
      </x:c>
      <x:c r="U75" s="62"/>
      <x:c r="V75" s="62"/>
      <x:c r="W75" s="83" t="n">
        <x:f>IFERROR(INDEX('Resource Rate Library'!$I$5:$I$85,MATCH(P75,'Resource Rate Library'!$A$5:$A$85,0)),0)</x:f>
        <x:v>0</x:v>
      </x:c>
      <x:c r="X75" s="52"/>
      <x:c r="Y75" s="83" t="n">
        <x:f t="shared" si="8">IF(X75&gt;0,X75,W75)</x:f>
        <x:v>0</x:v>
      </x:c>
      <x:c r="Z75" s="83" t="str">
        <x:f t="shared" si="9">IF(B75="","",IF(N75="Time x Count",M75*R75*IF(U75="",1,U75)*Y75,IF(N75="QS Qty x Factor",E75*R75*(1+IF(V75="",0,V75))*Y75,IF(N75="Direct Qty",S75*(1+IF(V75="",0,V75))*Y75,IF(N75="Lump Sum / Quote",S75*Y75,0)))))</x:f>
      </x:c>
      <x:c r="AA75" s="81" t="str">
        <x:f>IFERROR(INDEX('Resource Rate Library'!$N$5:$N$85,MATCH(P75,'Resource Rate Library'!$A$5:$A$85,0)),"")</x:f>
      </x:c>
      <x:c r="AB75" s="53"/>
      <x:c r="AC75" s="59"/>
      <x:c r="AD75" s="81" t="str">
        <x:f>IFERROR(INDEX('Resource Rate Library'!$G$5:$G$85,MATCH(P75,'Resource Rate Library'!$A$5:$A$85,0)),"")</x:f>
      </x:c>
      <x:c r="AE75" s="81" t="str">
        <x:f>IFERROR(INDEX('Resource Rate Library'!$H$5:$H$85,MATCH(P75,'Resource Rate Library'!$A$5:$A$85,0)),"")</x:f>
      </x:c>
      <x:c r="AF75" s="53"/>
      <x:c r="AG75" s="53"/>
      <x:c r="AH75" s="53"/>
      <x:c r="AI75" s="81" t="str">
        <x:f t="shared" si="5">IF(B75="","",IF(AND(P75="",N75&lt;&gt;"Lump Sum / Quote"),"RESOURCE CODE",IF(Y75=0,"RATE MISSING",IF(AND(O75="Plant",AD75="Yes",COUNTIFS($B$7:$B$306,B75,$O$7:$O$306,"Labour",$Q$7:$Q$306,"*Operator*")&gt;0),"OPERATOR DOUBLE-COUNT",IF(AND(O75="Plant",AE75="Yes",COUNTIFS($B$7:$B$306,B75,$Q$7:$Q$306,"*Fuel*")&gt;0),"FUEL DOUBLE-COUNT",IF(AH75&lt;&gt;"Yes","VERIFY","OK"))))))</x:f>
      </x:c>
      <x:c r="AJ75" s="54"/>
      <x:c r="AK75" s="473"/>
      <x:c r="AL75" s="473"/>
      <x:c r="AM75" s="473"/>
      <x:c r="AN75" s="500" t="n">
        <x:f>IF(AND(AK75="Yes",OR(O75="Labour",O75="Plant")),Z75,0)</x:f>
        <x:v>0</x:v>
      </x:c>
    </x:row>
    <x:row r="76" ht="22.049999237060547" customHeight="1">
      <x:c r="A76" s="80" t="str">
        <x:f>IF(B76="","",B76&amp;"-"&amp;TEXT(COUNTIF($B$7:B76,B76),"000"))</x:f>
      </x:c>
      <x:c r="B76" s="53"/>
      <x:c r="C76" s="81" t="str">
        <x:f>IFERROR(INDEX('QS Takeoff'!$A$3:$A$194,MATCH(B76,'QS Takeoff'!$B$3:$B$194,0)),"")</x:f>
      </x:c>
      <x:c r="D76" s="81" t="str">
        <x:f>IFERROR(INDEX('QS Takeoff'!$C$3:$C$194,MATCH(B76,'QS Takeoff'!$B$3:$B$194,0)),"")</x:f>
      </x:c>
      <x:c r="E76" s="81" t="str">
        <x:f>IFERROR(INDEX('QS Takeoff'!$E$3:$E$194,MATCH(B76,'QS Takeoff'!$B$3:$B$194,0)),"")</x:f>
      </x:c>
      <x:c r="F76" s="81" t="str">
        <x:f>IFERROR(INDEX('QS Takeoff'!$D$3:$D$194,MATCH(B76,'QS Takeoff'!$B$3:$B$194,0)),"")</x:f>
      </x:c>
      <x:c r="G76" s="81" t="str">
        <x:f>IFERROR(INDEX('QS Takeoff'!$J$3:$J$194,MATCH(B76,'QS Takeoff'!$B$3:$B$194,0)),"")</x:f>
      </x:c>
      <x:c r="H76" s="53"/>
      <x:c r="I76" s="60"/>
      <x:c r="J76" s="60"/>
      <x:c r="K76" s="82" t="str">
        <x:f t="shared" si="6">IF(OR(B76="",I76="",I76=0),"",E76/I76)</x:f>
      </x:c>
      <x:c r="L76" s="60"/>
      <x:c r="M76" s="82" t="str">
        <x:f t="shared" si="7">IF(L76&gt;0,L76,K76)</x:f>
      </x:c>
      <x:c r="N76" s="53"/>
      <x:c r="O76" s="53"/>
      <x:c r="P76" s="53"/>
      <x:c r="Q76" s="81" t="str">
        <x:f>IFERROR(INDEX('Resource Rate Library'!$C$5:$C$85,MATCH(P76,'Resource Rate Library'!$A$5:$A$85,0)),"")</x:f>
      </x:c>
      <x:c r="R76" s="53"/>
      <x:c r="S76" s="53"/>
      <x:c r="T76" s="81" t="str">
        <x:f>IFERROR(INDEX('Resource Rate Library'!$E$5:$E$85,MATCH(P76,'Resource Rate Library'!$A$5:$A$85,0)),"")</x:f>
      </x:c>
      <x:c r="U76" s="62"/>
      <x:c r="V76" s="62"/>
      <x:c r="W76" s="83" t="n">
        <x:f>IFERROR(INDEX('Resource Rate Library'!$I$5:$I$85,MATCH(P76,'Resource Rate Library'!$A$5:$A$85,0)),0)</x:f>
        <x:v>0</x:v>
      </x:c>
      <x:c r="X76" s="52"/>
      <x:c r="Y76" s="83" t="n">
        <x:f t="shared" si="8">IF(X76&gt;0,X76,W76)</x:f>
        <x:v>0</x:v>
      </x:c>
      <x:c r="Z76" s="83" t="str">
        <x:f t="shared" si="9">IF(B76="","",IF(N76="Time x Count",M76*R76*IF(U76="",1,U76)*Y76,IF(N76="QS Qty x Factor",E76*R76*(1+IF(V76="",0,V76))*Y76,IF(N76="Direct Qty",S76*(1+IF(V76="",0,V76))*Y76,IF(N76="Lump Sum / Quote",S76*Y76,0)))))</x:f>
      </x:c>
      <x:c r="AA76" s="81" t="str">
        <x:f>IFERROR(INDEX('Resource Rate Library'!$N$5:$N$85,MATCH(P76,'Resource Rate Library'!$A$5:$A$85,0)),"")</x:f>
      </x:c>
      <x:c r="AB76" s="53"/>
      <x:c r="AC76" s="59"/>
      <x:c r="AD76" s="81" t="str">
        <x:f>IFERROR(INDEX('Resource Rate Library'!$G$5:$G$85,MATCH(P76,'Resource Rate Library'!$A$5:$A$85,0)),"")</x:f>
      </x:c>
      <x:c r="AE76" s="81" t="str">
        <x:f>IFERROR(INDEX('Resource Rate Library'!$H$5:$H$85,MATCH(P76,'Resource Rate Library'!$A$5:$A$85,0)),"")</x:f>
      </x:c>
      <x:c r="AF76" s="53"/>
      <x:c r="AG76" s="53"/>
      <x:c r="AH76" s="53"/>
      <x:c r="AI76" s="81" t="str">
        <x:f t="shared" si="5">IF(B76="","",IF(AND(P76="",N76&lt;&gt;"Lump Sum / Quote"),"RESOURCE CODE",IF(Y76=0,"RATE MISSING",IF(AND(O76="Plant",AD76="Yes",COUNTIFS($B$7:$B$306,B76,$O$7:$O$306,"Labour",$Q$7:$Q$306,"*Operator*")&gt;0),"OPERATOR DOUBLE-COUNT",IF(AND(O76="Plant",AE76="Yes",COUNTIFS($B$7:$B$306,B76,$Q$7:$Q$306,"*Fuel*")&gt;0),"FUEL DOUBLE-COUNT",IF(AH76&lt;&gt;"Yes","VERIFY","OK"))))))</x:f>
      </x:c>
      <x:c r="AJ76" s="54"/>
      <x:c r="AK76" s="473"/>
      <x:c r="AL76" s="473"/>
      <x:c r="AM76" s="473"/>
      <x:c r="AN76" s="500" t="n">
        <x:f>IF(AND(AK76="Yes",OR(O76="Labour",O76="Plant")),Z76,0)</x:f>
        <x:v>0</x:v>
      </x:c>
    </x:row>
    <x:row r="77" ht="22.049999237060547" customHeight="1">
      <x:c r="A77" s="80" t="str">
        <x:f>IF(B77="","",B77&amp;"-"&amp;TEXT(COUNTIF($B$7:B77,B77),"000"))</x:f>
      </x:c>
      <x:c r="B77" s="53"/>
      <x:c r="C77" s="81" t="str">
        <x:f>IFERROR(INDEX('QS Takeoff'!$A$3:$A$194,MATCH(B77,'QS Takeoff'!$B$3:$B$194,0)),"")</x:f>
      </x:c>
      <x:c r="D77" s="81" t="str">
        <x:f>IFERROR(INDEX('QS Takeoff'!$C$3:$C$194,MATCH(B77,'QS Takeoff'!$B$3:$B$194,0)),"")</x:f>
      </x:c>
      <x:c r="E77" s="81" t="str">
        <x:f>IFERROR(INDEX('QS Takeoff'!$E$3:$E$194,MATCH(B77,'QS Takeoff'!$B$3:$B$194,0)),"")</x:f>
      </x:c>
      <x:c r="F77" s="81" t="str">
        <x:f>IFERROR(INDEX('QS Takeoff'!$D$3:$D$194,MATCH(B77,'QS Takeoff'!$B$3:$B$194,0)),"")</x:f>
      </x:c>
      <x:c r="G77" s="81" t="str">
        <x:f>IFERROR(INDEX('QS Takeoff'!$J$3:$J$194,MATCH(B77,'QS Takeoff'!$B$3:$B$194,0)),"")</x:f>
      </x:c>
      <x:c r="H77" s="53"/>
      <x:c r="I77" s="60"/>
      <x:c r="J77" s="60"/>
      <x:c r="K77" s="82" t="str">
        <x:f t="shared" si="6">IF(OR(B77="",I77="",I77=0),"",E77/I77)</x:f>
      </x:c>
      <x:c r="L77" s="60"/>
      <x:c r="M77" s="82" t="str">
        <x:f t="shared" si="7">IF(L77&gt;0,L77,K77)</x:f>
      </x:c>
      <x:c r="N77" s="53"/>
      <x:c r="O77" s="53"/>
      <x:c r="P77" s="53"/>
      <x:c r="Q77" s="81" t="str">
        <x:f>IFERROR(INDEX('Resource Rate Library'!$C$5:$C$85,MATCH(P77,'Resource Rate Library'!$A$5:$A$85,0)),"")</x:f>
      </x:c>
      <x:c r="R77" s="53"/>
      <x:c r="S77" s="53"/>
      <x:c r="T77" s="81" t="str">
        <x:f>IFERROR(INDEX('Resource Rate Library'!$E$5:$E$85,MATCH(P77,'Resource Rate Library'!$A$5:$A$85,0)),"")</x:f>
      </x:c>
      <x:c r="U77" s="62"/>
      <x:c r="V77" s="62"/>
      <x:c r="W77" s="83" t="n">
        <x:f>IFERROR(INDEX('Resource Rate Library'!$I$5:$I$85,MATCH(P77,'Resource Rate Library'!$A$5:$A$85,0)),0)</x:f>
        <x:v>0</x:v>
      </x:c>
      <x:c r="X77" s="52"/>
      <x:c r="Y77" s="83" t="n">
        <x:f t="shared" si="8">IF(X77&gt;0,X77,W77)</x:f>
        <x:v>0</x:v>
      </x:c>
      <x:c r="Z77" s="83" t="str">
        <x:f t="shared" si="9">IF(B77="","",IF(N77="Time x Count",M77*R77*IF(U77="",1,U77)*Y77,IF(N77="QS Qty x Factor",E77*R77*(1+IF(V77="",0,V77))*Y77,IF(N77="Direct Qty",S77*(1+IF(V77="",0,V77))*Y77,IF(N77="Lump Sum / Quote",S77*Y77,0)))))</x:f>
      </x:c>
      <x:c r="AA77" s="81" t="str">
        <x:f>IFERROR(INDEX('Resource Rate Library'!$N$5:$N$85,MATCH(P77,'Resource Rate Library'!$A$5:$A$85,0)),"")</x:f>
      </x:c>
      <x:c r="AB77" s="53"/>
      <x:c r="AC77" s="59"/>
      <x:c r="AD77" s="81" t="str">
        <x:f>IFERROR(INDEX('Resource Rate Library'!$G$5:$G$85,MATCH(P77,'Resource Rate Library'!$A$5:$A$85,0)),"")</x:f>
      </x:c>
      <x:c r="AE77" s="81" t="str">
        <x:f>IFERROR(INDEX('Resource Rate Library'!$H$5:$H$85,MATCH(P77,'Resource Rate Library'!$A$5:$A$85,0)),"")</x:f>
      </x:c>
      <x:c r="AF77" s="53"/>
      <x:c r="AG77" s="53"/>
      <x:c r="AH77" s="53"/>
      <x:c r="AI77" s="81" t="str">
        <x:f t="shared" si="5">IF(B77="","",IF(AND(P77="",N77&lt;&gt;"Lump Sum / Quote"),"RESOURCE CODE",IF(Y77=0,"RATE MISSING",IF(AND(O77="Plant",AD77="Yes",COUNTIFS($B$7:$B$306,B77,$O$7:$O$306,"Labour",$Q$7:$Q$306,"*Operator*")&gt;0),"OPERATOR DOUBLE-COUNT",IF(AND(O77="Plant",AE77="Yes",COUNTIFS($B$7:$B$306,B77,$Q$7:$Q$306,"*Fuel*")&gt;0),"FUEL DOUBLE-COUNT",IF(AH77&lt;&gt;"Yes","VERIFY","OK"))))))</x:f>
      </x:c>
      <x:c r="AJ77" s="54"/>
      <x:c r="AK77" s="473"/>
      <x:c r="AL77" s="473"/>
      <x:c r="AM77" s="473"/>
      <x:c r="AN77" s="500" t="n">
        <x:f>IF(AND(AK77="Yes",OR(O77="Labour",O77="Plant")),Z77,0)</x:f>
        <x:v>0</x:v>
      </x:c>
    </x:row>
    <x:row r="78" ht="22.049999237060547" customHeight="1">
      <x:c r="A78" s="80" t="str">
        <x:f>IF(B78="","",B78&amp;"-"&amp;TEXT(COUNTIF($B$7:B78,B78),"000"))</x:f>
      </x:c>
      <x:c r="B78" s="53"/>
      <x:c r="C78" s="81" t="str">
        <x:f>IFERROR(INDEX('QS Takeoff'!$A$3:$A$194,MATCH(B78,'QS Takeoff'!$B$3:$B$194,0)),"")</x:f>
      </x:c>
      <x:c r="D78" s="81" t="str">
        <x:f>IFERROR(INDEX('QS Takeoff'!$C$3:$C$194,MATCH(B78,'QS Takeoff'!$B$3:$B$194,0)),"")</x:f>
      </x:c>
      <x:c r="E78" s="81" t="str">
        <x:f>IFERROR(INDEX('QS Takeoff'!$E$3:$E$194,MATCH(B78,'QS Takeoff'!$B$3:$B$194,0)),"")</x:f>
      </x:c>
      <x:c r="F78" s="81" t="str">
        <x:f>IFERROR(INDEX('QS Takeoff'!$D$3:$D$194,MATCH(B78,'QS Takeoff'!$B$3:$B$194,0)),"")</x:f>
      </x:c>
      <x:c r="G78" s="81" t="str">
        <x:f>IFERROR(INDEX('QS Takeoff'!$J$3:$J$194,MATCH(B78,'QS Takeoff'!$B$3:$B$194,0)),"")</x:f>
      </x:c>
      <x:c r="H78" s="53"/>
      <x:c r="I78" s="60"/>
      <x:c r="J78" s="60"/>
      <x:c r="K78" s="82" t="str">
        <x:f t="shared" si="6">IF(OR(B78="",I78="",I78=0),"",E78/I78)</x:f>
      </x:c>
      <x:c r="L78" s="60"/>
      <x:c r="M78" s="82" t="str">
        <x:f t="shared" si="7">IF(L78&gt;0,L78,K78)</x:f>
      </x:c>
      <x:c r="N78" s="53"/>
      <x:c r="O78" s="53"/>
      <x:c r="P78" s="53"/>
      <x:c r="Q78" s="81" t="str">
        <x:f>IFERROR(INDEX('Resource Rate Library'!$C$5:$C$85,MATCH(P78,'Resource Rate Library'!$A$5:$A$85,0)),"")</x:f>
      </x:c>
      <x:c r="R78" s="53"/>
      <x:c r="S78" s="53"/>
      <x:c r="T78" s="81" t="str">
        <x:f>IFERROR(INDEX('Resource Rate Library'!$E$5:$E$85,MATCH(P78,'Resource Rate Library'!$A$5:$A$85,0)),"")</x:f>
      </x:c>
      <x:c r="U78" s="62"/>
      <x:c r="V78" s="62"/>
      <x:c r="W78" s="83" t="n">
        <x:f>IFERROR(INDEX('Resource Rate Library'!$I$5:$I$85,MATCH(P78,'Resource Rate Library'!$A$5:$A$85,0)),0)</x:f>
        <x:v>0</x:v>
      </x:c>
      <x:c r="X78" s="52"/>
      <x:c r="Y78" s="83" t="n">
        <x:f t="shared" si="8">IF(X78&gt;0,X78,W78)</x:f>
        <x:v>0</x:v>
      </x:c>
      <x:c r="Z78" s="83" t="str">
        <x:f t="shared" si="9">IF(B78="","",IF(N78="Time x Count",M78*R78*IF(U78="",1,U78)*Y78,IF(N78="QS Qty x Factor",E78*R78*(1+IF(V78="",0,V78))*Y78,IF(N78="Direct Qty",S78*(1+IF(V78="",0,V78))*Y78,IF(N78="Lump Sum / Quote",S78*Y78,0)))))</x:f>
      </x:c>
      <x:c r="AA78" s="81" t="str">
        <x:f>IFERROR(INDEX('Resource Rate Library'!$N$5:$N$85,MATCH(P78,'Resource Rate Library'!$A$5:$A$85,0)),"")</x:f>
      </x:c>
      <x:c r="AB78" s="53"/>
      <x:c r="AC78" s="59"/>
      <x:c r="AD78" s="81" t="str">
        <x:f>IFERROR(INDEX('Resource Rate Library'!$G$5:$G$85,MATCH(P78,'Resource Rate Library'!$A$5:$A$85,0)),"")</x:f>
      </x:c>
      <x:c r="AE78" s="81" t="str">
        <x:f>IFERROR(INDEX('Resource Rate Library'!$H$5:$H$85,MATCH(P78,'Resource Rate Library'!$A$5:$A$85,0)),"")</x:f>
      </x:c>
      <x:c r="AF78" s="53"/>
      <x:c r="AG78" s="53"/>
      <x:c r="AH78" s="53"/>
      <x:c r="AI78" s="81" t="str">
        <x:f t="shared" si="5">IF(B78="","",IF(AND(P78="",N78&lt;&gt;"Lump Sum / Quote"),"RESOURCE CODE",IF(Y78=0,"RATE MISSING",IF(AND(O78="Plant",AD78="Yes",COUNTIFS($B$7:$B$306,B78,$O$7:$O$306,"Labour",$Q$7:$Q$306,"*Operator*")&gt;0),"OPERATOR DOUBLE-COUNT",IF(AND(O78="Plant",AE78="Yes",COUNTIFS($B$7:$B$306,B78,$Q$7:$Q$306,"*Fuel*")&gt;0),"FUEL DOUBLE-COUNT",IF(AH78&lt;&gt;"Yes","VERIFY","OK"))))))</x:f>
      </x:c>
      <x:c r="AJ78" s="54"/>
      <x:c r="AK78" s="473"/>
      <x:c r="AL78" s="473"/>
      <x:c r="AM78" s="473"/>
      <x:c r="AN78" s="500" t="n">
        <x:f>IF(AND(AK78="Yes",OR(O78="Labour",O78="Plant")),Z78,0)</x:f>
        <x:v>0</x:v>
      </x:c>
    </x:row>
    <x:row r="79" ht="22.049999237060547" customHeight="1">
      <x:c r="A79" s="80" t="str">
        <x:f>IF(B79="","",B79&amp;"-"&amp;TEXT(COUNTIF($B$7:B79,B79),"000"))</x:f>
      </x:c>
      <x:c r="B79" s="53"/>
      <x:c r="C79" s="81" t="str">
        <x:f>IFERROR(INDEX('QS Takeoff'!$A$3:$A$194,MATCH(B79,'QS Takeoff'!$B$3:$B$194,0)),"")</x:f>
      </x:c>
      <x:c r="D79" s="81" t="str">
        <x:f>IFERROR(INDEX('QS Takeoff'!$C$3:$C$194,MATCH(B79,'QS Takeoff'!$B$3:$B$194,0)),"")</x:f>
      </x:c>
      <x:c r="E79" s="81" t="str">
        <x:f>IFERROR(INDEX('QS Takeoff'!$E$3:$E$194,MATCH(B79,'QS Takeoff'!$B$3:$B$194,0)),"")</x:f>
      </x:c>
      <x:c r="F79" s="81" t="str">
        <x:f>IFERROR(INDEX('QS Takeoff'!$D$3:$D$194,MATCH(B79,'QS Takeoff'!$B$3:$B$194,0)),"")</x:f>
      </x:c>
      <x:c r="G79" s="81" t="str">
        <x:f>IFERROR(INDEX('QS Takeoff'!$J$3:$J$194,MATCH(B79,'QS Takeoff'!$B$3:$B$194,0)),"")</x:f>
      </x:c>
      <x:c r="H79" s="53"/>
      <x:c r="I79" s="60"/>
      <x:c r="J79" s="60"/>
      <x:c r="K79" s="82" t="str">
        <x:f t="shared" si="6">IF(OR(B79="",I79="",I79=0),"",E79/I79)</x:f>
      </x:c>
      <x:c r="L79" s="60"/>
      <x:c r="M79" s="82" t="str">
        <x:f t="shared" si="7">IF(L79&gt;0,L79,K79)</x:f>
      </x:c>
      <x:c r="N79" s="53"/>
      <x:c r="O79" s="53"/>
      <x:c r="P79" s="53"/>
      <x:c r="Q79" s="81" t="str">
        <x:f>IFERROR(INDEX('Resource Rate Library'!$C$5:$C$85,MATCH(P79,'Resource Rate Library'!$A$5:$A$85,0)),"")</x:f>
      </x:c>
      <x:c r="R79" s="53"/>
      <x:c r="S79" s="53"/>
      <x:c r="T79" s="81" t="str">
        <x:f>IFERROR(INDEX('Resource Rate Library'!$E$5:$E$85,MATCH(P79,'Resource Rate Library'!$A$5:$A$85,0)),"")</x:f>
      </x:c>
      <x:c r="U79" s="62"/>
      <x:c r="V79" s="62"/>
      <x:c r="W79" s="83" t="n">
        <x:f>IFERROR(INDEX('Resource Rate Library'!$I$5:$I$85,MATCH(P79,'Resource Rate Library'!$A$5:$A$85,0)),0)</x:f>
        <x:v>0</x:v>
      </x:c>
      <x:c r="X79" s="52"/>
      <x:c r="Y79" s="83" t="n">
        <x:f t="shared" si="8">IF(X79&gt;0,X79,W79)</x:f>
        <x:v>0</x:v>
      </x:c>
      <x:c r="Z79" s="83" t="str">
        <x:f t="shared" si="9">IF(B79="","",IF(N79="Time x Count",M79*R79*IF(U79="",1,U79)*Y79,IF(N79="QS Qty x Factor",E79*R79*(1+IF(V79="",0,V79))*Y79,IF(N79="Direct Qty",S79*(1+IF(V79="",0,V79))*Y79,IF(N79="Lump Sum / Quote",S79*Y79,0)))))</x:f>
      </x:c>
      <x:c r="AA79" s="81" t="str">
        <x:f>IFERROR(INDEX('Resource Rate Library'!$N$5:$N$85,MATCH(P79,'Resource Rate Library'!$A$5:$A$85,0)),"")</x:f>
      </x:c>
      <x:c r="AB79" s="53"/>
      <x:c r="AC79" s="59"/>
      <x:c r="AD79" s="81" t="str">
        <x:f>IFERROR(INDEX('Resource Rate Library'!$G$5:$G$85,MATCH(P79,'Resource Rate Library'!$A$5:$A$85,0)),"")</x:f>
      </x:c>
      <x:c r="AE79" s="81" t="str">
        <x:f>IFERROR(INDEX('Resource Rate Library'!$H$5:$H$85,MATCH(P79,'Resource Rate Library'!$A$5:$A$85,0)),"")</x:f>
      </x:c>
      <x:c r="AF79" s="53"/>
      <x:c r="AG79" s="53"/>
      <x:c r="AH79" s="53"/>
      <x:c r="AI79" s="81" t="str">
        <x:f t="shared" si="5">IF(B79="","",IF(AND(P79="",N79&lt;&gt;"Lump Sum / Quote"),"RESOURCE CODE",IF(Y79=0,"RATE MISSING",IF(AND(O79="Plant",AD79="Yes",COUNTIFS($B$7:$B$306,B79,$O$7:$O$306,"Labour",$Q$7:$Q$306,"*Operator*")&gt;0),"OPERATOR DOUBLE-COUNT",IF(AND(O79="Plant",AE79="Yes",COUNTIFS($B$7:$B$306,B79,$Q$7:$Q$306,"*Fuel*")&gt;0),"FUEL DOUBLE-COUNT",IF(AH79&lt;&gt;"Yes","VERIFY","OK"))))))</x:f>
      </x:c>
      <x:c r="AJ79" s="54"/>
      <x:c r="AK79" s="473"/>
      <x:c r="AL79" s="473"/>
      <x:c r="AM79" s="473"/>
      <x:c r="AN79" s="500" t="n">
        <x:f>IF(AND(AK79="Yes",OR(O79="Labour",O79="Plant")),Z79,0)</x:f>
        <x:v>0</x:v>
      </x:c>
    </x:row>
    <x:row r="80" ht="22.049999237060547" customHeight="1">
      <x:c r="A80" s="80" t="str">
        <x:f>IF(B80="","",B80&amp;"-"&amp;TEXT(COUNTIF($B$7:B80,B80),"000"))</x:f>
      </x:c>
      <x:c r="B80" s="53"/>
      <x:c r="C80" s="81" t="str">
        <x:f>IFERROR(INDEX('QS Takeoff'!$A$3:$A$194,MATCH(B80,'QS Takeoff'!$B$3:$B$194,0)),"")</x:f>
      </x:c>
      <x:c r="D80" s="81" t="str">
        <x:f>IFERROR(INDEX('QS Takeoff'!$C$3:$C$194,MATCH(B80,'QS Takeoff'!$B$3:$B$194,0)),"")</x:f>
      </x:c>
      <x:c r="E80" s="81" t="str">
        <x:f>IFERROR(INDEX('QS Takeoff'!$E$3:$E$194,MATCH(B80,'QS Takeoff'!$B$3:$B$194,0)),"")</x:f>
      </x:c>
      <x:c r="F80" s="81" t="str">
        <x:f>IFERROR(INDEX('QS Takeoff'!$D$3:$D$194,MATCH(B80,'QS Takeoff'!$B$3:$B$194,0)),"")</x:f>
      </x:c>
      <x:c r="G80" s="81" t="str">
        <x:f>IFERROR(INDEX('QS Takeoff'!$J$3:$J$194,MATCH(B80,'QS Takeoff'!$B$3:$B$194,0)),"")</x:f>
      </x:c>
      <x:c r="H80" s="53"/>
      <x:c r="I80" s="60"/>
      <x:c r="J80" s="60"/>
      <x:c r="K80" s="82" t="str">
        <x:f t="shared" si="6">IF(OR(B80="",I80="",I80=0),"",E80/I80)</x:f>
      </x:c>
      <x:c r="L80" s="60"/>
      <x:c r="M80" s="82" t="str">
        <x:f t="shared" si="7">IF(L80&gt;0,L80,K80)</x:f>
      </x:c>
      <x:c r="N80" s="53"/>
      <x:c r="O80" s="53"/>
      <x:c r="P80" s="53"/>
      <x:c r="Q80" s="81" t="str">
        <x:f>IFERROR(INDEX('Resource Rate Library'!$C$5:$C$85,MATCH(P80,'Resource Rate Library'!$A$5:$A$85,0)),"")</x:f>
      </x:c>
      <x:c r="R80" s="53"/>
      <x:c r="S80" s="53"/>
      <x:c r="T80" s="81" t="str">
        <x:f>IFERROR(INDEX('Resource Rate Library'!$E$5:$E$85,MATCH(P80,'Resource Rate Library'!$A$5:$A$85,0)),"")</x:f>
      </x:c>
      <x:c r="U80" s="62"/>
      <x:c r="V80" s="62"/>
      <x:c r="W80" s="83" t="n">
        <x:f>IFERROR(INDEX('Resource Rate Library'!$I$5:$I$85,MATCH(P80,'Resource Rate Library'!$A$5:$A$85,0)),0)</x:f>
        <x:v>0</x:v>
      </x:c>
      <x:c r="X80" s="52"/>
      <x:c r="Y80" s="83" t="n">
        <x:f t="shared" si="8">IF(X80&gt;0,X80,W80)</x:f>
        <x:v>0</x:v>
      </x:c>
      <x:c r="Z80" s="83" t="str">
        <x:f t="shared" si="9">IF(B80="","",IF(N80="Time x Count",M80*R80*IF(U80="",1,U80)*Y80,IF(N80="QS Qty x Factor",E80*R80*(1+IF(V80="",0,V80))*Y80,IF(N80="Direct Qty",S80*(1+IF(V80="",0,V80))*Y80,IF(N80="Lump Sum / Quote",S80*Y80,0)))))</x:f>
      </x:c>
      <x:c r="AA80" s="81" t="str">
        <x:f>IFERROR(INDEX('Resource Rate Library'!$N$5:$N$85,MATCH(P80,'Resource Rate Library'!$A$5:$A$85,0)),"")</x:f>
      </x:c>
      <x:c r="AB80" s="53"/>
      <x:c r="AC80" s="59"/>
      <x:c r="AD80" s="81" t="str">
        <x:f>IFERROR(INDEX('Resource Rate Library'!$G$5:$G$85,MATCH(P80,'Resource Rate Library'!$A$5:$A$85,0)),"")</x:f>
      </x:c>
      <x:c r="AE80" s="81" t="str">
        <x:f>IFERROR(INDEX('Resource Rate Library'!$H$5:$H$85,MATCH(P80,'Resource Rate Library'!$A$5:$A$85,0)),"")</x:f>
      </x:c>
      <x:c r="AF80" s="53"/>
      <x:c r="AG80" s="53"/>
      <x:c r="AH80" s="53"/>
      <x:c r="AI80" s="81" t="str">
        <x:f t="shared" si="5">IF(B80="","",IF(AND(P80="",N80&lt;&gt;"Lump Sum / Quote"),"RESOURCE CODE",IF(Y80=0,"RATE MISSING",IF(AND(O80="Plant",AD80="Yes",COUNTIFS($B$7:$B$306,B80,$O$7:$O$306,"Labour",$Q$7:$Q$306,"*Operator*")&gt;0),"OPERATOR DOUBLE-COUNT",IF(AND(O80="Plant",AE80="Yes",COUNTIFS($B$7:$B$306,B80,$Q$7:$Q$306,"*Fuel*")&gt;0),"FUEL DOUBLE-COUNT",IF(AH80&lt;&gt;"Yes","VERIFY","OK"))))))</x:f>
      </x:c>
      <x:c r="AJ80" s="54"/>
      <x:c r="AK80" s="473"/>
      <x:c r="AL80" s="473"/>
      <x:c r="AM80" s="473"/>
      <x:c r="AN80" s="500" t="n">
        <x:f>IF(AND(AK80="Yes",OR(O80="Labour",O80="Plant")),Z80,0)</x:f>
        <x:v>0</x:v>
      </x:c>
    </x:row>
    <x:row r="81" ht="22.049999237060547" customHeight="1">
      <x:c r="A81" s="80" t="str">
        <x:f>IF(B81="","",B81&amp;"-"&amp;TEXT(COUNTIF($B$7:B81,B81),"000"))</x:f>
      </x:c>
      <x:c r="B81" s="53"/>
      <x:c r="C81" s="81" t="str">
        <x:f>IFERROR(INDEX('QS Takeoff'!$A$3:$A$194,MATCH(B81,'QS Takeoff'!$B$3:$B$194,0)),"")</x:f>
      </x:c>
      <x:c r="D81" s="81" t="str">
        <x:f>IFERROR(INDEX('QS Takeoff'!$C$3:$C$194,MATCH(B81,'QS Takeoff'!$B$3:$B$194,0)),"")</x:f>
      </x:c>
      <x:c r="E81" s="81" t="str">
        <x:f>IFERROR(INDEX('QS Takeoff'!$E$3:$E$194,MATCH(B81,'QS Takeoff'!$B$3:$B$194,0)),"")</x:f>
      </x:c>
      <x:c r="F81" s="81" t="str">
        <x:f>IFERROR(INDEX('QS Takeoff'!$D$3:$D$194,MATCH(B81,'QS Takeoff'!$B$3:$B$194,0)),"")</x:f>
      </x:c>
      <x:c r="G81" s="81" t="str">
        <x:f>IFERROR(INDEX('QS Takeoff'!$J$3:$J$194,MATCH(B81,'QS Takeoff'!$B$3:$B$194,0)),"")</x:f>
      </x:c>
      <x:c r="H81" s="53"/>
      <x:c r="I81" s="60"/>
      <x:c r="J81" s="60"/>
      <x:c r="K81" s="82" t="str">
        <x:f t="shared" si="6">IF(OR(B81="",I81="",I81=0),"",E81/I81)</x:f>
      </x:c>
      <x:c r="L81" s="60"/>
      <x:c r="M81" s="82" t="str">
        <x:f t="shared" si="7">IF(L81&gt;0,L81,K81)</x:f>
      </x:c>
      <x:c r="N81" s="53"/>
      <x:c r="O81" s="53"/>
      <x:c r="P81" s="53"/>
      <x:c r="Q81" s="81" t="str">
        <x:f>IFERROR(INDEX('Resource Rate Library'!$C$5:$C$85,MATCH(P81,'Resource Rate Library'!$A$5:$A$85,0)),"")</x:f>
      </x:c>
      <x:c r="R81" s="53"/>
      <x:c r="S81" s="53"/>
      <x:c r="T81" s="81" t="str">
        <x:f>IFERROR(INDEX('Resource Rate Library'!$E$5:$E$85,MATCH(P81,'Resource Rate Library'!$A$5:$A$85,0)),"")</x:f>
      </x:c>
      <x:c r="U81" s="62"/>
      <x:c r="V81" s="62"/>
      <x:c r="W81" s="83" t="n">
        <x:f>IFERROR(INDEX('Resource Rate Library'!$I$5:$I$85,MATCH(P81,'Resource Rate Library'!$A$5:$A$85,0)),0)</x:f>
        <x:v>0</x:v>
      </x:c>
      <x:c r="X81" s="88"/>
      <x:c r="Y81" s="89" t="n">
        <x:f t="shared" si="8">IF(X81&gt;0,X81,W81)</x:f>
        <x:v>0</x:v>
      </x:c>
      <x:c r="Z81" s="89" t="str">
        <x:f t="shared" si="9">IF(B81="","",IF(N81="Time x Count",M81*R81*IF(U81="",1,U81)*Y81,IF(N81="QS Qty x Factor",E81*R81*(1+IF(V81="",0,V81))*Y81,IF(N81="Direct Qty",S81*(1+IF(V81="",0,V81))*Y81,IF(N81="Lump Sum / Quote",S81*Y81,0)))))</x:f>
      </x:c>
      <x:c r="AA81" s="81" t="str">
        <x:f>IFERROR(INDEX('Resource Rate Library'!$N$5:$N$85,MATCH(P81,'Resource Rate Library'!$A$5:$A$85,0)),"")</x:f>
      </x:c>
      <x:c r="AB81" s="53"/>
      <x:c r="AC81" s="59"/>
      <x:c r="AD81" s="81" t="str">
        <x:f>IFERROR(INDEX('Resource Rate Library'!$G$5:$G$85,MATCH(P81,'Resource Rate Library'!$A$5:$A$85,0)),"")</x:f>
      </x:c>
      <x:c r="AE81" s="81" t="str">
        <x:f>IFERROR(INDEX('Resource Rate Library'!$H$5:$H$85,MATCH(P81,'Resource Rate Library'!$A$5:$A$85,0)),"")</x:f>
      </x:c>
      <x:c r="AF81" s="53"/>
      <x:c r="AG81" s="53"/>
      <x:c r="AH81" s="53"/>
      <x:c r="AI81" s="81" t="str">
        <x:f t="shared" si="5">IF(B81="","",IF(AND(P81="",N81&lt;&gt;"Lump Sum / Quote"),"RESOURCE CODE",IF(Y81=0,"RATE MISSING",IF(AND(O81="Plant",AD81="Yes",COUNTIFS($B$7:$B$306,B81,$O$7:$O$306,"Labour",$Q$7:$Q$306,"*Operator*")&gt;0),"OPERATOR DOUBLE-COUNT",IF(AND(O81="Plant",AE81="Yes",COUNTIFS($B$7:$B$306,B81,$Q$7:$Q$306,"*Fuel*")&gt;0),"FUEL DOUBLE-COUNT",IF(AH81&lt;&gt;"Yes","VERIFY","OK"))))))</x:f>
      </x:c>
      <x:c r="AJ81" s="54"/>
      <x:c r="AK81" s="473"/>
      <x:c r="AL81" s="473"/>
      <x:c r="AM81" s="473"/>
      <x:c r="AN81" s="500" t="n">
        <x:f>IF(AND(AK81="Yes",OR(O81="Labour",O81="Plant")),Z81,0)</x:f>
        <x:v>0</x:v>
      </x:c>
    </x:row>
    <x:row r="82" ht="22.049999237060547" customHeight="1">
      <x:c r="A82" s="80" t="str">
        <x:f>IF(B82="","",B82&amp;"-"&amp;TEXT(COUNTIF($B$7:B82,B82),"000"))</x:f>
      </x:c>
      <x:c r="B82" s="53"/>
      <x:c r="C82" s="81" t="str">
        <x:f>IFERROR(INDEX('QS Takeoff'!$A$3:$A$194,MATCH(B82,'QS Takeoff'!$B$3:$B$194,0)),"")</x:f>
      </x:c>
      <x:c r="D82" s="81" t="str">
        <x:f>IFERROR(INDEX('QS Takeoff'!$C$3:$C$194,MATCH(B82,'QS Takeoff'!$B$3:$B$194,0)),"")</x:f>
      </x:c>
      <x:c r="E82" s="81" t="str">
        <x:f>IFERROR(INDEX('QS Takeoff'!$E$3:$E$194,MATCH(B82,'QS Takeoff'!$B$3:$B$194,0)),"")</x:f>
      </x:c>
      <x:c r="F82" s="81" t="str">
        <x:f>IFERROR(INDEX('QS Takeoff'!$D$3:$D$194,MATCH(B82,'QS Takeoff'!$B$3:$B$194,0)),"")</x:f>
      </x:c>
      <x:c r="G82" s="81" t="str">
        <x:f>IFERROR(INDEX('QS Takeoff'!$J$3:$J$194,MATCH(B82,'QS Takeoff'!$B$3:$B$194,0)),"")</x:f>
      </x:c>
      <x:c r="H82" s="53"/>
      <x:c r="I82" s="60"/>
      <x:c r="J82" s="60"/>
      <x:c r="K82" s="82" t="str">
        <x:f t="shared" si="6">IF(OR(B82="",I82="",I82=0),"",E82/I82)</x:f>
      </x:c>
      <x:c r="L82" s="60"/>
      <x:c r="M82" s="82" t="str">
        <x:f t="shared" si="7">IF(L82&gt;0,L82,K82)</x:f>
      </x:c>
      <x:c r="N82" s="53"/>
      <x:c r="O82" s="53"/>
      <x:c r="P82" s="53"/>
      <x:c r="Q82" s="81" t="str">
        <x:f>IFERROR(INDEX('Resource Rate Library'!$C$5:$C$85,MATCH(P82,'Resource Rate Library'!$A$5:$A$85,0)),"")</x:f>
      </x:c>
      <x:c r="R82" s="53"/>
      <x:c r="S82" s="53"/>
      <x:c r="T82" s="81" t="str">
        <x:f>IFERROR(INDEX('Resource Rate Library'!$E$5:$E$85,MATCH(P82,'Resource Rate Library'!$A$5:$A$85,0)),"")</x:f>
      </x:c>
      <x:c r="U82" s="62"/>
      <x:c r="V82" s="62"/>
      <x:c r="W82" s="83" t="n">
        <x:f>IFERROR(INDEX('Resource Rate Library'!$I$5:$I$85,MATCH(P82,'Resource Rate Library'!$A$5:$A$85,0)),0)</x:f>
        <x:v>0</x:v>
      </x:c>
      <x:c r="X82" s="52"/>
      <x:c r="Y82" s="83" t="n">
        <x:f t="shared" si="8">IF(X82&gt;0,X82,W82)</x:f>
        <x:v>0</x:v>
      </x:c>
      <x:c r="Z82" s="83" t="str">
        <x:f t="shared" si="9">IF(B82="","",IF(N82="Time x Count",M82*R82*IF(U82="",1,U82)*Y82,IF(N82="QS Qty x Factor",E82*R82*(1+IF(V82="",0,V82))*Y82,IF(N82="Direct Qty",S82*(1+IF(V82="",0,V82))*Y82,IF(N82="Lump Sum / Quote",S82*Y82,0)))))</x:f>
      </x:c>
      <x:c r="AA82" s="81" t="str">
        <x:f>IFERROR(INDEX('Resource Rate Library'!$N$5:$N$85,MATCH(P82,'Resource Rate Library'!$A$5:$A$85,0)),"")</x:f>
      </x:c>
      <x:c r="AB82" s="53"/>
      <x:c r="AC82" s="59"/>
      <x:c r="AD82" s="81" t="str">
        <x:f>IFERROR(INDEX('Resource Rate Library'!$G$5:$G$85,MATCH(P82,'Resource Rate Library'!$A$5:$A$85,0)),"")</x:f>
      </x:c>
      <x:c r="AE82" s="81" t="str">
        <x:f>IFERROR(INDEX('Resource Rate Library'!$H$5:$H$85,MATCH(P82,'Resource Rate Library'!$A$5:$A$85,0)),"")</x:f>
      </x:c>
      <x:c r="AF82" s="53"/>
      <x:c r="AG82" s="53"/>
      <x:c r="AH82" s="53"/>
      <x:c r="AI82" s="81" t="str">
        <x:f t="shared" si="5">IF(B82="","",IF(AND(P82="",N82&lt;&gt;"Lump Sum / Quote"),"RESOURCE CODE",IF(Y82=0,"RATE MISSING",IF(AND(O82="Plant",AD82="Yes",COUNTIFS($B$7:$B$306,B82,$O$7:$O$306,"Labour",$Q$7:$Q$306,"*Operator*")&gt;0),"OPERATOR DOUBLE-COUNT",IF(AND(O82="Plant",AE82="Yes",COUNTIFS($B$7:$B$306,B82,$Q$7:$Q$306,"*Fuel*")&gt;0),"FUEL DOUBLE-COUNT",IF(AH82&lt;&gt;"Yes","VERIFY","OK"))))))</x:f>
      </x:c>
      <x:c r="AJ82" s="54"/>
      <x:c r="AK82" s="473"/>
      <x:c r="AL82" s="473"/>
      <x:c r="AM82" s="473"/>
      <x:c r="AN82" s="500" t="n">
        <x:f>IF(AND(AK82="Yes",OR(O82="Labour",O82="Plant")),Z82,0)</x:f>
        <x:v>0</x:v>
      </x:c>
    </x:row>
    <x:row r="83" ht="22.049999237060547" customHeight="1">
      <x:c r="A83" s="80" t="str">
        <x:f>IF(B83="","",B83&amp;"-"&amp;TEXT(COUNTIF($B$7:B83,B83),"000"))</x:f>
      </x:c>
      <x:c r="B83" s="53"/>
      <x:c r="C83" s="81" t="str">
        <x:f>IFERROR(INDEX('QS Takeoff'!$A$3:$A$194,MATCH(B83,'QS Takeoff'!$B$3:$B$194,0)),"")</x:f>
      </x:c>
      <x:c r="D83" s="81" t="str">
        <x:f>IFERROR(INDEX('QS Takeoff'!$C$3:$C$194,MATCH(B83,'QS Takeoff'!$B$3:$B$194,0)),"")</x:f>
      </x:c>
      <x:c r="E83" s="81" t="str">
        <x:f>IFERROR(INDEX('QS Takeoff'!$E$3:$E$194,MATCH(B83,'QS Takeoff'!$B$3:$B$194,0)),"")</x:f>
      </x:c>
      <x:c r="F83" s="81" t="str">
        <x:f>IFERROR(INDEX('QS Takeoff'!$D$3:$D$194,MATCH(B83,'QS Takeoff'!$B$3:$B$194,0)),"")</x:f>
      </x:c>
      <x:c r="G83" s="81" t="str">
        <x:f>IFERROR(INDEX('QS Takeoff'!$J$3:$J$194,MATCH(B83,'QS Takeoff'!$B$3:$B$194,0)),"")</x:f>
      </x:c>
      <x:c r="H83" s="53"/>
      <x:c r="I83" s="60"/>
      <x:c r="J83" s="60"/>
      <x:c r="K83" s="82" t="str">
        <x:f t="shared" si="6">IF(OR(B83="",I83="",I83=0),"",E83/I83)</x:f>
      </x:c>
      <x:c r="L83" s="60"/>
      <x:c r="M83" s="82" t="str">
        <x:f t="shared" si="7">IF(L83&gt;0,L83,K83)</x:f>
      </x:c>
      <x:c r="N83" s="53"/>
      <x:c r="O83" s="53"/>
      <x:c r="P83" s="53"/>
      <x:c r="Q83" s="81" t="str">
        <x:f>IFERROR(INDEX('Resource Rate Library'!$C$5:$C$85,MATCH(P83,'Resource Rate Library'!$A$5:$A$85,0)),"")</x:f>
      </x:c>
      <x:c r="R83" s="53"/>
      <x:c r="S83" s="53"/>
      <x:c r="T83" s="81" t="str">
        <x:f>IFERROR(INDEX('Resource Rate Library'!$E$5:$E$85,MATCH(P83,'Resource Rate Library'!$A$5:$A$85,0)),"")</x:f>
      </x:c>
      <x:c r="U83" s="62"/>
      <x:c r="V83" s="62"/>
      <x:c r="W83" s="83" t="n">
        <x:f>IFERROR(INDEX('Resource Rate Library'!$I$5:$I$85,MATCH(P83,'Resource Rate Library'!$A$5:$A$85,0)),0)</x:f>
        <x:v>0</x:v>
      </x:c>
      <x:c r="X83" s="52"/>
      <x:c r="Y83" s="83" t="n">
        <x:f t="shared" si="8">IF(X83&gt;0,X83,W83)</x:f>
        <x:v>0</x:v>
      </x:c>
      <x:c r="Z83" s="83" t="str">
        <x:f t="shared" si="9">IF(B83="","",IF(N83="Time x Count",M83*R83*IF(U83="",1,U83)*Y83,IF(N83="QS Qty x Factor",E83*R83*(1+IF(V83="",0,V83))*Y83,IF(N83="Direct Qty",S83*(1+IF(V83="",0,V83))*Y83,IF(N83="Lump Sum / Quote",S83*Y83,0)))))</x:f>
      </x:c>
      <x:c r="AA83" s="81" t="str">
        <x:f>IFERROR(INDEX('Resource Rate Library'!$N$5:$N$85,MATCH(P83,'Resource Rate Library'!$A$5:$A$85,0)),"")</x:f>
      </x:c>
      <x:c r="AB83" s="53"/>
      <x:c r="AC83" s="59"/>
      <x:c r="AD83" s="81" t="str">
        <x:f>IFERROR(INDEX('Resource Rate Library'!$G$5:$G$85,MATCH(P83,'Resource Rate Library'!$A$5:$A$85,0)),"")</x:f>
      </x:c>
      <x:c r="AE83" s="81" t="str">
        <x:f>IFERROR(INDEX('Resource Rate Library'!$H$5:$H$85,MATCH(P83,'Resource Rate Library'!$A$5:$A$85,0)),"")</x:f>
      </x:c>
      <x:c r="AF83" s="53"/>
      <x:c r="AG83" s="53"/>
      <x:c r="AH83" s="53"/>
      <x:c r="AI83" s="81" t="str">
        <x:f t="shared" si="5">IF(B83="","",IF(AND(P83="",N83&lt;&gt;"Lump Sum / Quote"),"RESOURCE CODE",IF(Y83=0,"RATE MISSING",IF(AND(O83="Plant",AD83="Yes",COUNTIFS($B$7:$B$306,B83,$O$7:$O$306,"Labour",$Q$7:$Q$306,"*Operator*")&gt;0),"OPERATOR DOUBLE-COUNT",IF(AND(O83="Plant",AE83="Yes",COUNTIFS($B$7:$B$306,B83,$Q$7:$Q$306,"*Fuel*")&gt;0),"FUEL DOUBLE-COUNT",IF(AH83&lt;&gt;"Yes","VERIFY","OK"))))))</x:f>
      </x:c>
      <x:c r="AJ83" s="54"/>
      <x:c r="AK83" s="473"/>
      <x:c r="AL83" s="473"/>
      <x:c r="AM83" s="473"/>
      <x:c r="AN83" s="500" t="n">
        <x:f>IF(AND(AK83="Yes",OR(O83="Labour",O83="Plant")),Z83,0)</x:f>
        <x:v>0</x:v>
      </x:c>
    </x:row>
    <x:row r="84" ht="22.049999237060547" customHeight="1">
      <x:c r="A84" s="80" t="str">
        <x:f>IF(B84="","",B84&amp;"-"&amp;TEXT(COUNTIF($B$7:B84,B84),"000"))</x:f>
      </x:c>
      <x:c r="B84" s="53"/>
      <x:c r="C84" s="81" t="str">
        <x:f>IFERROR(INDEX('QS Takeoff'!$A$3:$A$194,MATCH(B84,'QS Takeoff'!$B$3:$B$194,0)),"")</x:f>
      </x:c>
      <x:c r="D84" s="81" t="str">
        <x:f>IFERROR(INDEX('QS Takeoff'!$C$3:$C$194,MATCH(B84,'QS Takeoff'!$B$3:$B$194,0)),"")</x:f>
      </x:c>
      <x:c r="E84" s="81" t="str">
        <x:f>IFERROR(INDEX('QS Takeoff'!$E$3:$E$194,MATCH(B84,'QS Takeoff'!$B$3:$B$194,0)),"")</x:f>
      </x:c>
      <x:c r="F84" s="81" t="str">
        <x:f>IFERROR(INDEX('QS Takeoff'!$D$3:$D$194,MATCH(B84,'QS Takeoff'!$B$3:$B$194,0)),"")</x:f>
      </x:c>
      <x:c r="G84" s="81" t="str">
        <x:f>IFERROR(INDEX('QS Takeoff'!$J$3:$J$194,MATCH(B84,'QS Takeoff'!$B$3:$B$194,0)),"")</x:f>
      </x:c>
      <x:c r="H84" s="53"/>
      <x:c r="I84" s="60"/>
      <x:c r="J84" s="60"/>
      <x:c r="K84" s="82" t="str">
        <x:f t="shared" si="6">IF(OR(B84="",I84="",I84=0),"",E84/I84)</x:f>
      </x:c>
      <x:c r="L84" s="60"/>
      <x:c r="M84" s="82" t="str">
        <x:f t="shared" si="7">IF(L84&gt;0,L84,K84)</x:f>
      </x:c>
      <x:c r="N84" s="53"/>
      <x:c r="O84" s="53"/>
      <x:c r="P84" s="53"/>
      <x:c r="Q84" s="81" t="str">
        <x:f>IFERROR(INDEX('Resource Rate Library'!$C$5:$C$85,MATCH(P84,'Resource Rate Library'!$A$5:$A$85,0)),"")</x:f>
      </x:c>
      <x:c r="R84" s="53"/>
      <x:c r="S84" s="53"/>
      <x:c r="T84" s="81" t="str">
        <x:f>IFERROR(INDEX('Resource Rate Library'!$E$5:$E$85,MATCH(P84,'Resource Rate Library'!$A$5:$A$85,0)),"")</x:f>
      </x:c>
      <x:c r="U84" s="62"/>
      <x:c r="V84" s="62"/>
      <x:c r="W84" s="83" t="n">
        <x:f>IFERROR(INDEX('Resource Rate Library'!$I$5:$I$85,MATCH(P84,'Resource Rate Library'!$A$5:$A$85,0)),0)</x:f>
        <x:v>0</x:v>
      </x:c>
      <x:c r="X84" s="52"/>
      <x:c r="Y84" s="83" t="n">
        <x:f t="shared" si="8">IF(X84&gt;0,X84,W84)</x:f>
        <x:v>0</x:v>
      </x:c>
      <x:c r="Z84" s="83" t="str">
        <x:f t="shared" si="9">IF(B84="","",IF(N84="Time x Count",M84*R84*IF(U84="",1,U84)*Y84,IF(N84="QS Qty x Factor",E84*R84*(1+IF(V84="",0,V84))*Y84,IF(N84="Direct Qty",S84*(1+IF(V84="",0,V84))*Y84,IF(N84="Lump Sum / Quote",S84*Y84,0)))))</x:f>
      </x:c>
      <x:c r="AA84" s="81" t="str">
        <x:f>IFERROR(INDEX('Resource Rate Library'!$N$5:$N$85,MATCH(P84,'Resource Rate Library'!$A$5:$A$85,0)),"")</x:f>
      </x:c>
      <x:c r="AB84" s="53"/>
      <x:c r="AC84" s="59"/>
      <x:c r="AD84" s="81" t="str">
        <x:f>IFERROR(INDEX('Resource Rate Library'!$G$5:$G$85,MATCH(P84,'Resource Rate Library'!$A$5:$A$85,0)),"")</x:f>
      </x:c>
      <x:c r="AE84" s="81" t="str">
        <x:f>IFERROR(INDEX('Resource Rate Library'!$H$5:$H$85,MATCH(P84,'Resource Rate Library'!$A$5:$A$85,0)),"")</x:f>
      </x:c>
      <x:c r="AF84" s="53"/>
      <x:c r="AG84" s="53"/>
      <x:c r="AH84" s="53"/>
      <x:c r="AI84" s="81" t="str">
        <x:f t="shared" si="5">IF(B84="","",IF(AND(P84="",N84&lt;&gt;"Lump Sum / Quote"),"RESOURCE CODE",IF(Y84=0,"RATE MISSING",IF(AND(O84="Plant",AD84="Yes",COUNTIFS($B$7:$B$306,B84,$O$7:$O$306,"Labour",$Q$7:$Q$306,"*Operator*")&gt;0),"OPERATOR DOUBLE-COUNT",IF(AND(O84="Plant",AE84="Yes",COUNTIFS($B$7:$B$306,B84,$Q$7:$Q$306,"*Fuel*")&gt;0),"FUEL DOUBLE-COUNT",IF(AH84&lt;&gt;"Yes","VERIFY","OK"))))))</x:f>
      </x:c>
      <x:c r="AJ84" s="54"/>
      <x:c r="AK84" s="473"/>
      <x:c r="AL84" s="473"/>
      <x:c r="AM84" s="473"/>
      <x:c r="AN84" s="500" t="n">
        <x:f>IF(AND(AK84="Yes",OR(O84="Labour",O84="Plant")),Z84,0)</x:f>
        <x:v>0</x:v>
      </x:c>
    </x:row>
    <x:row r="85" ht="22.049999237060547" customHeight="1">
      <x:c r="A85" s="80" t="str">
        <x:f>IF(B85="","",B85&amp;"-"&amp;TEXT(COUNTIF($B$7:B85,B85),"000"))</x:f>
      </x:c>
      <x:c r="B85" s="53"/>
      <x:c r="C85" s="81" t="str">
        <x:f>IFERROR(INDEX('QS Takeoff'!$A$3:$A$194,MATCH(B85,'QS Takeoff'!$B$3:$B$194,0)),"")</x:f>
      </x:c>
      <x:c r="D85" s="81" t="str">
        <x:f>IFERROR(INDEX('QS Takeoff'!$C$3:$C$194,MATCH(B85,'QS Takeoff'!$B$3:$B$194,0)),"")</x:f>
      </x:c>
      <x:c r="E85" s="81" t="str">
        <x:f>IFERROR(INDEX('QS Takeoff'!$E$3:$E$194,MATCH(B85,'QS Takeoff'!$B$3:$B$194,0)),"")</x:f>
      </x:c>
      <x:c r="F85" s="81" t="str">
        <x:f>IFERROR(INDEX('QS Takeoff'!$D$3:$D$194,MATCH(B85,'QS Takeoff'!$B$3:$B$194,0)),"")</x:f>
      </x:c>
      <x:c r="G85" s="81" t="str">
        <x:f>IFERROR(INDEX('QS Takeoff'!$J$3:$J$194,MATCH(B85,'QS Takeoff'!$B$3:$B$194,0)),"")</x:f>
      </x:c>
      <x:c r="H85" s="53"/>
      <x:c r="I85" s="60"/>
      <x:c r="J85" s="60"/>
      <x:c r="K85" s="82" t="str">
        <x:f t="shared" si="6">IF(OR(B85="",I85="",I85=0),"",E85/I85)</x:f>
      </x:c>
      <x:c r="L85" s="60"/>
      <x:c r="M85" s="82" t="str">
        <x:f t="shared" si="7">IF(L85&gt;0,L85,K85)</x:f>
      </x:c>
      <x:c r="N85" s="53"/>
      <x:c r="O85" s="53"/>
      <x:c r="P85" s="53"/>
      <x:c r="Q85" s="81" t="str">
        <x:f>IFERROR(INDEX('Resource Rate Library'!$C$5:$C$85,MATCH(P85,'Resource Rate Library'!$A$5:$A$85,0)),"")</x:f>
      </x:c>
      <x:c r="R85" s="53"/>
      <x:c r="S85" s="53"/>
      <x:c r="T85" s="81" t="str">
        <x:f>IFERROR(INDEX('Resource Rate Library'!$E$5:$E$85,MATCH(P85,'Resource Rate Library'!$A$5:$A$85,0)),"")</x:f>
      </x:c>
      <x:c r="U85" s="62"/>
      <x:c r="V85" s="62"/>
      <x:c r="W85" s="83" t="n">
        <x:f>IFERROR(INDEX('Resource Rate Library'!$I$5:$I$85,MATCH(P85,'Resource Rate Library'!$A$5:$A$85,0)),0)</x:f>
        <x:v>0</x:v>
      </x:c>
      <x:c r="X85" s="52"/>
      <x:c r="Y85" s="83" t="n">
        <x:f t="shared" si="8">IF(X85&gt;0,X85,W85)</x:f>
        <x:v>0</x:v>
      </x:c>
      <x:c r="Z85" s="83" t="str">
        <x:f t="shared" si="9">IF(B85="","",IF(N85="Time x Count",M85*R85*IF(U85="",1,U85)*Y85,IF(N85="QS Qty x Factor",E85*R85*(1+IF(V85="",0,V85))*Y85,IF(N85="Direct Qty",S85*(1+IF(V85="",0,V85))*Y85,IF(N85="Lump Sum / Quote",S85*Y85,0)))))</x:f>
      </x:c>
      <x:c r="AA85" s="81" t="str">
        <x:f>IFERROR(INDEX('Resource Rate Library'!$N$5:$N$85,MATCH(P85,'Resource Rate Library'!$A$5:$A$85,0)),"")</x:f>
      </x:c>
      <x:c r="AB85" s="53"/>
      <x:c r="AC85" s="59"/>
      <x:c r="AD85" s="81" t="str">
        <x:f>IFERROR(INDEX('Resource Rate Library'!$G$5:$G$85,MATCH(P85,'Resource Rate Library'!$A$5:$A$85,0)),"")</x:f>
      </x:c>
      <x:c r="AE85" s="81" t="str">
        <x:f>IFERROR(INDEX('Resource Rate Library'!$H$5:$H$85,MATCH(P85,'Resource Rate Library'!$A$5:$A$85,0)),"")</x:f>
      </x:c>
      <x:c r="AF85" s="53"/>
      <x:c r="AG85" s="53"/>
      <x:c r="AH85" s="53"/>
      <x:c r="AI85" s="81" t="str">
        <x:f t="shared" si="5">IF(B85="","",IF(AND(P85="",N85&lt;&gt;"Lump Sum / Quote"),"RESOURCE CODE",IF(Y85=0,"RATE MISSING",IF(AND(O85="Plant",AD85="Yes",COUNTIFS($B$7:$B$306,B85,$O$7:$O$306,"Labour",$Q$7:$Q$306,"*Operator*")&gt;0),"OPERATOR DOUBLE-COUNT",IF(AND(O85="Plant",AE85="Yes",COUNTIFS($B$7:$B$306,B85,$Q$7:$Q$306,"*Fuel*")&gt;0),"FUEL DOUBLE-COUNT",IF(AH85&lt;&gt;"Yes","VERIFY","OK"))))))</x:f>
      </x:c>
      <x:c r="AJ85" s="54"/>
      <x:c r="AK85" s="473"/>
      <x:c r="AL85" s="473"/>
      <x:c r="AM85" s="473"/>
      <x:c r="AN85" s="500" t="n">
        <x:f>IF(AND(AK85="Yes",OR(O85="Labour",O85="Plant")),Z85,0)</x:f>
        <x:v>0</x:v>
      </x:c>
    </x:row>
    <x:row r="86" ht="22.049999237060547" customHeight="1">
      <x:c r="A86" s="80" t="str">
        <x:f>IF(B86="","",B86&amp;"-"&amp;TEXT(COUNTIF($B$7:B86,B86),"000"))</x:f>
      </x:c>
      <x:c r="B86" s="53"/>
      <x:c r="C86" s="81" t="str">
        <x:f>IFERROR(INDEX('QS Takeoff'!$A$3:$A$194,MATCH(B86,'QS Takeoff'!$B$3:$B$194,0)),"")</x:f>
      </x:c>
      <x:c r="D86" s="81" t="str">
        <x:f>IFERROR(INDEX('QS Takeoff'!$C$3:$C$194,MATCH(B86,'QS Takeoff'!$B$3:$B$194,0)),"")</x:f>
      </x:c>
      <x:c r="E86" s="81" t="str">
        <x:f>IFERROR(INDEX('QS Takeoff'!$E$3:$E$194,MATCH(B86,'QS Takeoff'!$B$3:$B$194,0)),"")</x:f>
      </x:c>
      <x:c r="F86" s="81" t="str">
        <x:f>IFERROR(INDEX('QS Takeoff'!$D$3:$D$194,MATCH(B86,'QS Takeoff'!$B$3:$B$194,0)),"")</x:f>
      </x:c>
      <x:c r="G86" s="81" t="str">
        <x:f>IFERROR(INDEX('QS Takeoff'!$J$3:$J$194,MATCH(B86,'QS Takeoff'!$B$3:$B$194,0)),"")</x:f>
      </x:c>
      <x:c r="H86" s="53"/>
      <x:c r="I86" s="60"/>
      <x:c r="J86" s="60"/>
      <x:c r="K86" s="82" t="str">
        <x:f t="shared" si="6">IF(OR(B86="",I86="",I86=0),"",E86/I86)</x:f>
      </x:c>
      <x:c r="L86" s="60"/>
      <x:c r="M86" s="82" t="str">
        <x:f t="shared" si="7">IF(L86&gt;0,L86,K86)</x:f>
      </x:c>
      <x:c r="N86" s="53"/>
      <x:c r="O86" s="53"/>
      <x:c r="P86" s="53"/>
      <x:c r="Q86" s="81" t="str">
        <x:f>IFERROR(INDEX('Resource Rate Library'!$C$5:$C$85,MATCH(P86,'Resource Rate Library'!$A$5:$A$85,0)),"")</x:f>
      </x:c>
      <x:c r="R86" s="53"/>
      <x:c r="S86" s="53"/>
      <x:c r="T86" s="81" t="str">
        <x:f>IFERROR(INDEX('Resource Rate Library'!$E$5:$E$85,MATCH(P86,'Resource Rate Library'!$A$5:$A$85,0)),"")</x:f>
      </x:c>
      <x:c r="U86" s="62"/>
      <x:c r="V86" s="62"/>
      <x:c r="W86" s="83" t="n">
        <x:f>IFERROR(INDEX('Resource Rate Library'!$I$5:$I$85,MATCH(P86,'Resource Rate Library'!$A$5:$A$85,0)),0)</x:f>
        <x:v>0</x:v>
      </x:c>
      <x:c r="X86" s="52"/>
      <x:c r="Y86" s="83" t="n">
        <x:f t="shared" si="8">IF(X86&gt;0,X86,W86)</x:f>
        <x:v>0</x:v>
      </x:c>
      <x:c r="Z86" s="83" t="str">
        <x:f t="shared" si="9">IF(B86="","",IF(N86="Time x Count",M86*R86*IF(U86="",1,U86)*Y86,IF(N86="QS Qty x Factor",E86*R86*(1+IF(V86="",0,V86))*Y86,IF(N86="Direct Qty",S86*(1+IF(V86="",0,V86))*Y86,IF(N86="Lump Sum / Quote",S86*Y86,0)))))</x:f>
      </x:c>
      <x:c r="AA86" s="81" t="str">
        <x:f>IFERROR(INDEX('Resource Rate Library'!$N$5:$N$85,MATCH(P86,'Resource Rate Library'!$A$5:$A$85,0)),"")</x:f>
      </x:c>
      <x:c r="AB86" s="53"/>
      <x:c r="AC86" s="59"/>
      <x:c r="AD86" s="81" t="str">
        <x:f>IFERROR(INDEX('Resource Rate Library'!$G$5:$G$85,MATCH(P86,'Resource Rate Library'!$A$5:$A$85,0)),"")</x:f>
      </x:c>
      <x:c r="AE86" s="81" t="str">
        <x:f>IFERROR(INDEX('Resource Rate Library'!$H$5:$H$85,MATCH(P86,'Resource Rate Library'!$A$5:$A$85,0)),"")</x:f>
      </x:c>
      <x:c r="AF86" s="53"/>
      <x:c r="AG86" s="53"/>
      <x:c r="AH86" s="53"/>
      <x:c r="AI86" s="81" t="str">
        <x:f t="shared" si="5">IF(B86="","",IF(AND(P86="",N86&lt;&gt;"Lump Sum / Quote"),"RESOURCE CODE",IF(Y86=0,"RATE MISSING",IF(AND(O86="Plant",AD86="Yes",COUNTIFS($B$7:$B$306,B86,$O$7:$O$306,"Labour",$Q$7:$Q$306,"*Operator*")&gt;0),"OPERATOR DOUBLE-COUNT",IF(AND(O86="Plant",AE86="Yes",COUNTIFS($B$7:$B$306,B86,$Q$7:$Q$306,"*Fuel*")&gt;0),"FUEL DOUBLE-COUNT",IF(AH86&lt;&gt;"Yes","VERIFY","OK"))))))</x:f>
      </x:c>
      <x:c r="AJ86" s="54"/>
      <x:c r="AK86" s="473"/>
      <x:c r="AL86" s="473"/>
      <x:c r="AM86" s="473"/>
      <x:c r="AN86" s="500" t="n">
        <x:f>IF(AND(AK86="Yes",OR(O86="Labour",O86="Plant")),Z86,0)</x:f>
        <x:v>0</x:v>
      </x:c>
    </x:row>
    <x:row r="87" ht="22.049999237060547" customHeight="1">
      <x:c r="A87" s="80" t="str">
        <x:f>IF(B87="","",B87&amp;"-"&amp;TEXT(COUNTIF($B$7:B87,B87),"000"))</x:f>
      </x:c>
      <x:c r="B87" s="53"/>
      <x:c r="C87" s="81" t="str">
        <x:f>IFERROR(INDEX('QS Takeoff'!$A$3:$A$194,MATCH(B87,'QS Takeoff'!$B$3:$B$194,0)),"")</x:f>
      </x:c>
      <x:c r="D87" s="81" t="str">
        <x:f>IFERROR(INDEX('QS Takeoff'!$C$3:$C$194,MATCH(B87,'QS Takeoff'!$B$3:$B$194,0)),"")</x:f>
      </x:c>
      <x:c r="E87" s="81" t="str">
        <x:f>IFERROR(INDEX('QS Takeoff'!$E$3:$E$194,MATCH(B87,'QS Takeoff'!$B$3:$B$194,0)),"")</x:f>
      </x:c>
      <x:c r="F87" s="81" t="str">
        <x:f>IFERROR(INDEX('QS Takeoff'!$D$3:$D$194,MATCH(B87,'QS Takeoff'!$B$3:$B$194,0)),"")</x:f>
      </x:c>
      <x:c r="G87" s="81" t="str">
        <x:f>IFERROR(INDEX('QS Takeoff'!$J$3:$J$194,MATCH(B87,'QS Takeoff'!$B$3:$B$194,0)),"")</x:f>
      </x:c>
      <x:c r="H87" s="53"/>
      <x:c r="I87" s="60"/>
      <x:c r="J87" s="60"/>
      <x:c r="K87" s="82" t="str">
        <x:f t="shared" si="6">IF(OR(B87="",I87="",I87=0),"",E87/I87)</x:f>
      </x:c>
      <x:c r="L87" s="60"/>
      <x:c r="M87" s="82" t="str">
        <x:f t="shared" si="7">IF(L87&gt;0,L87,K87)</x:f>
      </x:c>
      <x:c r="N87" s="53"/>
      <x:c r="O87" s="53"/>
      <x:c r="P87" s="53"/>
      <x:c r="Q87" s="81" t="str">
        <x:f>IFERROR(INDEX('Resource Rate Library'!$C$5:$C$85,MATCH(P87,'Resource Rate Library'!$A$5:$A$85,0)),"")</x:f>
      </x:c>
      <x:c r="R87" s="53"/>
      <x:c r="S87" s="53"/>
      <x:c r="T87" s="81" t="str">
        <x:f>IFERROR(INDEX('Resource Rate Library'!$E$5:$E$85,MATCH(P87,'Resource Rate Library'!$A$5:$A$85,0)),"")</x:f>
      </x:c>
      <x:c r="U87" s="62"/>
      <x:c r="V87" s="62"/>
      <x:c r="W87" s="83" t="n">
        <x:f>IFERROR(INDEX('Resource Rate Library'!$I$5:$I$85,MATCH(P87,'Resource Rate Library'!$A$5:$A$85,0)),0)</x:f>
        <x:v>0</x:v>
      </x:c>
      <x:c r="X87" s="52"/>
      <x:c r="Y87" s="83" t="n">
        <x:f t="shared" si="8">IF(X87&gt;0,X87,W87)</x:f>
        <x:v>0</x:v>
      </x:c>
      <x:c r="Z87" s="83" t="str">
        <x:f t="shared" si="9">IF(B87="","",IF(N87="Time x Count",M87*R87*IF(U87="",1,U87)*Y87,IF(N87="QS Qty x Factor",E87*R87*(1+IF(V87="",0,V87))*Y87,IF(N87="Direct Qty",S87*(1+IF(V87="",0,V87))*Y87,IF(N87="Lump Sum / Quote",S87*Y87,0)))))</x:f>
      </x:c>
      <x:c r="AA87" s="81" t="str">
        <x:f>IFERROR(INDEX('Resource Rate Library'!$N$5:$N$85,MATCH(P87,'Resource Rate Library'!$A$5:$A$85,0)),"")</x:f>
      </x:c>
      <x:c r="AB87" s="53"/>
      <x:c r="AC87" s="59"/>
      <x:c r="AD87" s="81" t="str">
        <x:f>IFERROR(INDEX('Resource Rate Library'!$G$5:$G$85,MATCH(P87,'Resource Rate Library'!$A$5:$A$85,0)),"")</x:f>
      </x:c>
      <x:c r="AE87" s="81" t="str">
        <x:f>IFERROR(INDEX('Resource Rate Library'!$H$5:$H$85,MATCH(P87,'Resource Rate Library'!$A$5:$A$85,0)),"")</x:f>
      </x:c>
      <x:c r="AF87" s="53"/>
      <x:c r="AG87" s="53"/>
      <x:c r="AH87" s="53"/>
      <x:c r="AI87" s="81" t="str">
        <x:f t="shared" si="5">IF(B87="","",IF(AND(P87="",N87&lt;&gt;"Lump Sum / Quote"),"RESOURCE CODE",IF(Y87=0,"RATE MISSING",IF(AND(O87="Plant",AD87="Yes",COUNTIFS($B$7:$B$306,B87,$O$7:$O$306,"Labour",$Q$7:$Q$306,"*Operator*")&gt;0),"OPERATOR DOUBLE-COUNT",IF(AND(O87="Plant",AE87="Yes",COUNTIFS($B$7:$B$306,B87,$Q$7:$Q$306,"*Fuel*")&gt;0),"FUEL DOUBLE-COUNT",IF(AH87&lt;&gt;"Yes","VERIFY","OK"))))))</x:f>
      </x:c>
      <x:c r="AJ87" s="54"/>
      <x:c r="AK87" s="473"/>
      <x:c r="AL87" s="473"/>
      <x:c r="AM87" s="473"/>
      <x:c r="AN87" s="500" t="n">
        <x:f>IF(AND(AK87="Yes",OR(O87="Labour",O87="Plant")),Z87,0)</x:f>
        <x:v>0</x:v>
      </x:c>
    </x:row>
    <x:row r="88" ht="22.049999237060547" customHeight="1">
      <x:c r="A88" s="80" t="str">
        <x:f>IF(B88="","",B88&amp;"-"&amp;TEXT(COUNTIF($B$7:B88,B88),"000"))</x:f>
      </x:c>
      <x:c r="B88" s="53"/>
      <x:c r="C88" s="81" t="str">
        <x:f>IFERROR(INDEX('QS Takeoff'!$A$3:$A$194,MATCH(B88,'QS Takeoff'!$B$3:$B$194,0)),"")</x:f>
      </x:c>
      <x:c r="D88" s="81" t="str">
        <x:f>IFERROR(INDEX('QS Takeoff'!$C$3:$C$194,MATCH(B88,'QS Takeoff'!$B$3:$B$194,0)),"")</x:f>
      </x:c>
      <x:c r="E88" s="81" t="str">
        <x:f>IFERROR(INDEX('QS Takeoff'!$E$3:$E$194,MATCH(B88,'QS Takeoff'!$B$3:$B$194,0)),"")</x:f>
      </x:c>
      <x:c r="F88" s="81" t="str">
        <x:f>IFERROR(INDEX('QS Takeoff'!$D$3:$D$194,MATCH(B88,'QS Takeoff'!$B$3:$B$194,0)),"")</x:f>
      </x:c>
      <x:c r="G88" s="81" t="str">
        <x:f>IFERROR(INDEX('QS Takeoff'!$J$3:$J$194,MATCH(B88,'QS Takeoff'!$B$3:$B$194,0)),"")</x:f>
      </x:c>
      <x:c r="H88" s="53"/>
      <x:c r="I88" s="60"/>
      <x:c r="J88" s="60"/>
      <x:c r="K88" s="82" t="str">
        <x:f t="shared" si="6">IF(OR(B88="",I88="",I88=0),"",E88/I88)</x:f>
      </x:c>
      <x:c r="L88" s="60"/>
      <x:c r="M88" s="82" t="str">
        <x:f t="shared" si="7">IF(L88&gt;0,L88,K88)</x:f>
      </x:c>
      <x:c r="N88" s="53"/>
      <x:c r="O88" s="53"/>
      <x:c r="P88" s="53"/>
      <x:c r="Q88" s="81" t="str">
        <x:f>IFERROR(INDEX('Resource Rate Library'!$C$5:$C$85,MATCH(P88,'Resource Rate Library'!$A$5:$A$85,0)),"")</x:f>
      </x:c>
      <x:c r="R88" s="53"/>
      <x:c r="S88" s="53"/>
      <x:c r="T88" s="81" t="str">
        <x:f>IFERROR(INDEX('Resource Rate Library'!$E$5:$E$85,MATCH(P88,'Resource Rate Library'!$A$5:$A$85,0)),"")</x:f>
      </x:c>
      <x:c r="U88" s="62"/>
      <x:c r="V88" s="62"/>
      <x:c r="W88" s="83" t="n">
        <x:f>IFERROR(INDEX('Resource Rate Library'!$I$5:$I$85,MATCH(P88,'Resource Rate Library'!$A$5:$A$85,0)),0)</x:f>
        <x:v>0</x:v>
      </x:c>
      <x:c r="X88" s="52"/>
      <x:c r="Y88" s="83" t="n">
        <x:f t="shared" si="8">IF(X88&gt;0,X88,W88)</x:f>
        <x:v>0</x:v>
      </x:c>
      <x:c r="Z88" s="83" t="str">
        <x:f t="shared" si="9">IF(B88="","",IF(N88="Time x Count",M88*R88*IF(U88="",1,U88)*Y88,IF(N88="QS Qty x Factor",E88*R88*(1+IF(V88="",0,V88))*Y88,IF(N88="Direct Qty",S88*(1+IF(V88="",0,V88))*Y88,IF(N88="Lump Sum / Quote",S88*Y88,0)))))</x:f>
      </x:c>
      <x:c r="AA88" s="81" t="str">
        <x:f>IFERROR(INDEX('Resource Rate Library'!$N$5:$N$85,MATCH(P88,'Resource Rate Library'!$A$5:$A$85,0)),"")</x:f>
      </x:c>
      <x:c r="AB88" s="53"/>
      <x:c r="AC88" s="59"/>
      <x:c r="AD88" s="81" t="str">
        <x:f>IFERROR(INDEX('Resource Rate Library'!$G$5:$G$85,MATCH(P88,'Resource Rate Library'!$A$5:$A$85,0)),"")</x:f>
      </x:c>
      <x:c r="AE88" s="81" t="str">
        <x:f>IFERROR(INDEX('Resource Rate Library'!$H$5:$H$85,MATCH(P88,'Resource Rate Library'!$A$5:$A$85,0)),"")</x:f>
      </x:c>
      <x:c r="AF88" s="53"/>
      <x:c r="AG88" s="53"/>
      <x:c r="AH88" s="53"/>
      <x:c r="AI88" s="81" t="str">
        <x:f t="shared" si="5">IF(B88="","",IF(AND(P88="",N88&lt;&gt;"Lump Sum / Quote"),"RESOURCE CODE",IF(Y88=0,"RATE MISSING",IF(AND(O88="Plant",AD88="Yes",COUNTIFS($B$7:$B$306,B88,$O$7:$O$306,"Labour",$Q$7:$Q$306,"*Operator*")&gt;0),"OPERATOR DOUBLE-COUNT",IF(AND(O88="Plant",AE88="Yes",COUNTIFS($B$7:$B$306,B88,$Q$7:$Q$306,"*Fuel*")&gt;0),"FUEL DOUBLE-COUNT",IF(AH88&lt;&gt;"Yes","VERIFY","OK"))))))</x:f>
      </x:c>
      <x:c r="AJ88" s="54"/>
      <x:c r="AK88" s="473"/>
      <x:c r="AL88" s="473"/>
      <x:c r="AM88" s="473"/>
      <x:c r="AN88" s="500" t="n">
        <x:f>IF(AND(AK88="Yes",OR(O88="Labour",O88="Plant")),Z88,0)</x:f>
        <x:v>0</x:v>
      </x:c>
    </x:row>
    <x:row r="89" ht="22.049999237060547" customHeight="1">
      <x:c r="A89" s="80" t="str">
        <x:f>IF(B89="","",B89&amp;"-"&amp;TEXT(COUNTIF($B$7:B89,B89),"000"))</x:f>
      </x:c>
      <x:c r="B89" s="53"/>
      <x:c r="C89" s="81" t="str">
        <x:f>IFERROR(INDEX('QS Takeoff'!$A$3:$A$194,MATCH(B89,'QS Takeoff'!$B$3:$B$194,0)),"")</x:f>
      </x:c>
      <x:c r="D89" s="81" t="str">
        <x:f>IFERROR(INDEX('QS Takeoff'!$C$3:$C$194,MATCH(B89,'QS Takeoff'!$B$3:$B$194,0)),"")</x:f>
      </x:c>
      <x:c r="E89" s="81" t="str">
        <x:f>IFERROR(INDEX('QS Takeoff'!$E$3:$E$194,MATCH(B89,'QS Takeoff'!$B$3:$B$194,0)),"")</x:f>
      </x:c>
      <x:c r="F89" s="81" t="str">
        <x:f>IFERROR(INDEX('QS Takeoff'!$D$3:$D$194,MATCH(B89,'QS Takeoff'!$B$3:$B$194,0)),"")</x:f>
      </x:c>
      <x:c r="G89" s="81" t="str">
        <x:f>IFERROR(INDEX('QS Takeoff'!$J$3:$J$194,MATCH(B89,'QS Takeoff'!$B$3:$B$194,0)),"")</x:f>
      </x:c>
      <x:c r="H89" s="53"/>
      <x:c r="I89" s="60"/>
      <x:c r="J89" s="60"/>
      <x:c r="K89" s="82" t="str">
        <x:f t="shared" si="6">IF(OR(B89="",I89="",I89=0),"",E89/I89)</x:f>
      </x:c>
      <x:c r="L89" s="60"/>
      <x:c r="M89" s="82" t="str">
        <x:f t="shared" si="7">IF(L89&gt;0,L89,K89)</x:f>
      </x:c>
      <x:c r="N89" s="53"/>
      <x:c r="O89" s="53"/>
      <x:c r="P89" s="53"/>
      <x:c r="Q89" s="81" t="str">
        <x:f>IFERROR(INDEX('Resource Rate Library'!$C$5:$C$85,MATCH(P89,'Resource Rate Library'!$A$5:$A$85,0)),"")</x:f>
      </x:c>
      <x:c r="R89" s="53"/>
      <x:c r="S89" s="53"/>
      <x:c r="T89" s="81" t="str">
        <x:f>IFERROR(INDEX('Resource Rate Library'!$E$5:$E$85,MATCH(P89,'Resource Rate Library'!$A$5:$A$85,0)),"")</x:f>
      </x:c>
      <x:c r="U89" s="62"/>
      <x:c r="V89" s="62"/>
      <x:c r="W89" s="83" t="n">
        <x:f>IFERROR(INDEX('Resource Rate Library'!$I$5:$I$85,MATCH(P89,'Resource Rate Library'!$A$5:$A$85,0)),0)</x:f>
        <x:v>0</x:v>
      </x:c>
      <x:c r="X89" s="52"/>
      <x:c r="Y89" s="83" t="n">
        <x:f t="shared" si="8">IF(X89&gt;0,X89,W89)</x:f>
        <x:v>0</x:v>
      </x:c>
      <x:c r="Z89" s="83" t="str">
        <x:f t="shared" si="9">IF(B89="","",IF(N89="Time x Count",M89*R89*IF(U89="",1,U89)*Y89,IF(N89="QS Qty x Factor",E89*R89*(1+IF(V89="",0,V89))*Y89,IF(N89="Direct Qty",S89*(1+IF(V89="",0,V89))*Y89,IF(N89="Lump Sum / Quote",S89*Y89,0)))))</x:f>
      </x:c>
      <x:c r="AA89" s="81" t="str">
        <x:f>IFERROR(INDEX('Resource Rate Library'!$N$5:$N$85,MATCH(P89,'Resource Rate Library'!$A$5:$A$85,0)),"")</x:f>
      </x:c>
      <x:c r="AB89" s="53"/>
      <x:c r="AC89" s="59"/>
      <x:c r="AD89" s="81" t="str">
        <x:f>IFERROR(INDEX('Resource Rate Library'!$G$5:$G$85,MATCH(P89,'Resource Rate Library'!$A$5:$A$85,0)),"")</x:f>
      </x:c>
      <x:c r="AE89" s="81" t="str">
        <x:f>IFERROR(INDEX('Resource Rate Library'!$H$5:$H$85,MATCH(P89,'Resource Rate Library'!$A$5:$A$85,0)),"")</x:f>
      </x:c>
      <x:c r="AF89" s="53"/>
      <x:c r="AG89" s="53"/>
      <x:c r="AH89" s="53"/>
      <x:c r="AI89" s="81" t="str">
        <x:f t="shared" si="5">IF(B89="","",IF(AND(P89="",N89&lt;&gt;"Lump Sum / Quote"),"RESOURCE CODE",IF(Y89=0,"RATE MISSING",IF(AND(O89="Plant",AD89="Yes",COUNTIFS($B$7:$B$306,B89,$O$7:$O$306,"Labour",$Q$7:$Q$306,"*Operator*")&gt;0),"OPERATOR DOUBLE-COUNT",IF(AND(O89="Plant",AE89="Yes",COUNTIFS($B$7:$B$306,B89,$Q$7:$Q$306,"*Fuel*")&gt;0),"FUEL DOUBLE-COUNT",IF(AH89&lt;&gt;"Yes","VERIFY","OK"))))))</x:f>
      </x:c>
      <x:c r="AJ89" s="54"/>
      <x:c r="AK89" s="473"/>
      <x:c r="AL89" s="473"/>
      <x:c r="AM89" s="473"/>
      <x:c r="AN89" s="500" t="n">
        <x:f>IF(AND(AK89="Yes",OR(O89="Labour",O89="Plant")),Z89,0)</x:f>
        <x:v>0</x:v>
      </x:c>
    </x:row>
    <x:row r="90" ht="22.049999237060547" customHeight="1">
      <x:c r="A90" s="80" t="str">
        <x:f>IF(B90="","",B90&amp;"-"&amp;TEXT(COUNTIF($B$7:B90,B90),"000"))</x:f>
      </x:c>
      <x:c r="B90" s="53"/>
      <x:c r="C90" s="81" t="str">
        <x:f>IFERROR(INDEX('QS Takeoff'!$A$3:$A$194,MATCH(B90,'QS Takeoff'!$B$3:$B$194,0)),"")</x:f>
      </x:c>
      <x:c r="D90" s="81" t="str">
        <x:f>IFERROR(INDEX('QS Takeoff'!$C$3:$C$194,MATCH(B90,'QS Takeoff'!$B$3:$B$194,0)),"")</x:f>
      </x:c>
      <x:c r="E90" s="81" t="str">
        <x:f>IFERROR(INDEX('QS Takeoff'!$E$3:$E$194,MATCH(B90,'QS Takeoff'!$B$3:$B$194,0)),"")</x:f>
      </x:c>
      <x:c r="F90" s="81" t="str">
        <x:f>IFERROR(INDEX('QS Takeoff'!$D$3:$D$194,MATCH(B90,'QS Takeoff'!$B$3:$B$194,0)),"")</x:f>
      </x:c>
      <x:c r="G90" s="81" t="str">
        <x:f>IFERROR(INDEX('QS Takeoff'!$J$3:$J$194,MATCH(B90,'QS Takeoff'!$B$3:$B$194,0)),"")</x:f>
      </x:c>
      <x:c r="H90" s="53"/>
      <x:c r="I90" s="60"/>
      <x:c r="J90" s="60"/>
      <x:c r="K90" s="82" t="str">
        <x:f t="shared" si="6">IF(OR(B90="",I90="",I90=0),"",E90/I90)</x:f>
      </x:c>
      <x:c r="L90" s="60"/>
      <x:c r="M90" s="82" t="str">
        <x:f t="shared" si="7">IF(L90&gt;0,L90,K90)</x:f>
      </x:c>
      <x:c r="N90" s="53"/>
      <x:c r="O90" s="53"/>
      <x:c r="P90" s="53"/>
      <x:c r="Q90" s="81" t="str">
        <x:f>IFERROR(INDEX('Resource Rate Library'!$C$5:$C$85,MATCH(P90,'Resource Rate Library'!$A$5:$A$85,0)),"")</x:f>
      </x:c>
      <x:c r="R90" s="53"/>
      <x:c r="S90" s="53"/>
      <x:c r="T90" s="81" t="str">
        <x:f>IFERROR(INDEX('Resource Rate Library'!$E$5:$E$85,MATCH(P90,'Resource Rate Library'!$A$5:$A$85,0)),"")</x:f>
      </x:c>
      <x:c r="U90" s="62"/>
      <x:c r="V90" s="62"/>
      <x:c r="W90" s="83" t="n">
        <x:f>IFERROR(INDEX('Resource Rate Library'!$I$5:$I$85,MATCH(P90,'Resource Rate Library'!$A$5:$A$85,0)),0)</x:f>
        <x:v>0</x:v>
      </x:c>
      <x:c r="X90" s="52"/>
      <x:c r="Y90" s="83" t="n">
        <x:f t="shared" si="8">IF(X90&gt;0,X90,W90)</x:f>
        <x:v>0</x:v>
      </x:c>
      <x:c r="Z90" s="83" t="str">
        <x:f t="shared" si="9">IF(B90="","",IF(N90="Time x Count",M90*R90*IF(U90="",1,U90)*Y90,IF(N90="QS Qty x Factor",E90*R90*(1+IF(V90="",0,V90))*Y90,IF(N90="Direct Qty",S90*(1+IF(V90="",0,V90))*Y90,IF(N90="Lump Sum / Quote",S90*Y90,0)))))</x:f>
      </x:c>
      <x:c r="AA90" s="81" t="str">
        <x:f>IFERROR(INDEX('Resource Rate Library'!$N$5:$N$85,MATCH(P90,'Resource Rate Library'!$A$5:$A$85,0)),"")</x:f>
      </x:c>
      <x:c r="AB90" s="53"/>
      <x:c r="AC90" s="59"/>
      <x:c r="AD90" s="81" t="str">
        <x:f>IFERROR(INDEX('Resource Rate Library'!$G$5:$G$85,MATCH(P90,'Resource Rate Library'!$A$5:$A$85,0)),"")</x:f>
      </x:c>
      <x:c r="AE90" s="81" t="str">
        <x:f>IFERROR(INDEX('Resource Rate Library'!$H$5:$H$85,MATCH(P90,'Resource Rate Library'!$A$5:$A$85,0)),"")</x:f>
      </x:c>
      <x:c r="AF90" s="53"/>
      <x:c r="AG90" s="53"/>
      <x:c r="AH90" s="53"/>
      <x:c r="AI90" s="81" t="str">
        <x:f t="shared" si="5">IF(B90="","",IF(AND(P90="",N90&lt;&gt;"Lump Sum / Quote"),"RESOURCE CODE",IF(Y90=0,"RATE MISSING",IF(AND(O90="Plant",AD90="Yes",COUNTIFS($B$7:$B$306,B90,$O$7:$O$306,"Labour",$Q$7:$Q$306,"*Operator*")&gt;0),"OPERATOR DOUBLE-COUNT",IF(AND(O90="Plant",AE90="Yes",COUNTIFS($B$7:$B$306,B90,$Q$7:$Q$306,"*Fuel*")&gt;0),"FUEL DOUBLE-COUNT",IF(AH90&lt;&gt;"Yes","VERIFY","OK"))))))</x:f>
      </x:c>
      <x:c r="AJ90" s="54"/>
      <x:c r="AK90" s="473"/>
      <x:c r="AL90" s="473"/>
      <x:c r="AM90" s="473"/>
      <x:c r="AN90" s="500" t="n">
        <x:f>IF(AND(AK90="Yes",OR(O90="Labour",O90="Plant")),Z90,0)</x:f>
        <x:v>0</x:v>
      </x:c>
    </x:row>
    <x:row r="91" ht="22.049999237060547" customHeight="1">
      <x:c r="A91" s="80" t="str">
        <x:f>IF(B91="","",B91&amp;"-"&amp;TEXT(COUNTIF($B$7:B91,B91),"000"))</x:f>
      </x:c>
      <x:c r="B91" s="53"/>
      <x:c r="C91" s="81" t="str">
        <x:f>IFERROR(INDEX('QS Takeoff'!$A$3:$A$194,MATCH(B91,'QS Takeoff'!$B$3:$B$194,0)),"")</x:f>
      </x:c>
      <x:c r="D91" s="81" t="str">
        <x:f>IFERROR(INDEX('QS Takeoff'!$C$3:$C$194,MATCH(B91,'QS Takeoff'!$B$3:$B$194,0)),"")</x:f>
      </x:c>
      <x:c r="E91" s="81" t="str">
        <x:f>IFERROR(INDEX('QS Takeoff'!$E$3:$E$194,MATCH(B91,'QS Takeoff'!$B$3:$B$194,0)),"")</x:f>
      </x:c>
      <x:c r="F91" s="81" t="str">
        <x:f>IFERROR(INDEX('QS Takeoff'!$D$3:$D$194,MATCH(B91,'QS Takeoff'!$B$3:$B$194,0)),"")</x:f>
      </x:c>
      <x:c r="G91" s="81" t="str">
        <x:f>IFERROR(INDEX('QS Takeoff'!$J$3:$J$194,MATCH(B91,'QS Takeoff'!$B$3:$B$194,0)),"")</x:f>
      </x:c>
      <x:c r="H91" s="53"/>
      <x:c r="I91" s="60"/>
      <x:c r="J91" s="60"/>
      <x:c r="K91" s="82" t="str">
        <x:f t="shared" si="6">IF(OR(B91="",I91="",I91=0),"",E91/I91)</x:f>
      </x:c>
      <x:c r="L91" s="60"/>
      <x:c r="M91" s="82" t="str">
        <x:f t="shared" si="7">IF(L91&gt;0,L91,K91)</x:f>
      </x:c>
      <x:c r="N91" s="53"/>
      <x:c r="O91" s="53"/>
      <x:c r="P91" s="53"/>
      <x:c r="Q91" s="81" t="str">
        <x:f>IFERROR(INDEX('Resource Rate Library'!$C$5:$C$85,MATCH(P91,'Resource Rate Library'!$A$5:$A$85,0)),"")</x:f>
      </x:c>
      <x:c r="R91" s="53"/>
      <x:c r="S91" s="53"/>
      <x:c r="T91" s="81" t="str">
        <x:f>IFERROR(INDEX('Resource Rate Library'!$E$5:$E$85,MATCH(P91,'Resource Rate Library'!$A$5:$A$85,0)),"")</x:f>
      </x:c>
      <x:c r="U91" s="62"/>
      <x:c r="V91" s="62"/>
      <x:c r="W91" s="83" t="n">
        <x:f>IFERROR(INDEX('Resource Rate Library'!$I$5:$I$85,MATCH(P91,'Resource Rate Library'!$A$5:$A$85,0)),0)</x:f>
        <x:v>0</x:v>
      </x:c>
      <x:c r="X91" s="52"/>
      <x:c r="Y91" s="83" t="n">
        <x:f t="shared" si="8">IF(X91&gt;0,X91,W91)</x:f>
        <x:v>0</x:v>
      </x:c>
      <x:c r="Z91" s="83" t="str">
        <x:f t="shared" si="9">IF(B91="","",IF(N91="Time x Count",M91*R91*IF(U91="",1,U91)*Y91,IF(N91="QS Qty x Factor",E91*R91*(1+IF(V91="",0,V91))*Y91,IF(N91="Direct Qty",S91*(1+IF(V91="",0,V91))*Y91,IF(N91="Lump Sum / Quote",S91*Y91,0)))))</x:f>
      </x:c>
      <x:c r="AA91" s="81" t="str">
        <x:f>IFERROR(INDEX('Resource Rate Library'!$N$5:$N$85,MATCH(P91,'Resource Rate Library'!$A$5:$A$85,0)),"")</x:f>
      </x:c>
      <x:c r="AB91" s="53"/>
      <x:c r="AC91" s="59"/>
      <x:c r="AD91" s="81" t="str">
        <x:f>IFERROR(INDEX('Resource Rate Library'!$G$5:$G$85,MATCH(P91,'Resource Rate Library'!$A$5:$A$85,0)),"")</x:f>
      </x:c>
      <x:c r="AE91" s="81" t="str">
        <x:f>IFERROR(INDEX('Resource Rate Library'!$H$5:$H$85,MATCH(P91,'Resource Rate Library'!$A$5:$A$85,0)),"")</x:f>
      </x:c>
      <x:c r="AF91" s="53"/>
      <x:c r="AG91" s="53"/>
      <x:c r="AH91" s="53"/>
      <x:c r="AI91" s="81" t="str">
        <x:f t="shared" si="5">IF(B91="","",IF(AND(P91="",N91&lt;&gt;"Lump Sum / Quote"),"RESOURCE CODE",IF(Y91=0,"RATE MISSING",IF(AND(O91="Plant",AD91="Yes",COUNTIFS($B$7:$B$306,B91,$O$7:$O$306,"Labour",$Q$7:$Q$306,"*Operator*")&gt;0),"OPERATOR DOUBLE-COUNT",IF(AND(O91="Plant",AE91="Yes",COUNTIFS($B$7:$B$306,B91,$Q$7:$Q$306,"*Fuel*")&gt;0),"FUEL DOUBLE-COUNT",IF(AH91&lt;&gt;"Yes","VERIFY","OK"))))))</x:f>
      </x:c>
      <x:c r="AJ91" s="54"/>
      <x:c r="AK91" s="473"/>
      <x:c r="AL91" s="473"/>
      <x:c r="AM91" s="473"/>
      <x:c r="AN91" s="500" t="n">
        <x:f>IF(AND(AK91="Yes",OR(O91="Labour",O91="Plant")),Z91,0)</x:f>
        <x:v>0</x:v>
      </x:c>
    </x:row>
    <x:row r="92" ht="22.049999237060547" customHeight="1">
      <x:c r="A92" s="80" t="str">
        <x:f>IF(B92="","",B92&amp;"-"&amp;TEXT(COUNTIF($B$7:B92,B92),"000"))</x:f>
      </x:c>
      <x:c r="B92" s="53"/>
      <x:c r="C92" s="81" t="str">
        <x:f>IFERROR(INDEX('QS Takeoff'!$A$3:$A$194,MATCH(B92,'QS Takeoff'!$B$3:$B$194,0)),"")</x:f>
      </x:c>
      <x:c r="D92" s="81" t="str">
        <x:f>IFERROR(INDEX('QS Takeoff'!$C$3:$C$194,MATCH(B92,'QS Takeoff'!$B$3:$B$194,0)),"")</x:f>
      </x:c>
      <x:c r="E92" s="81" t="str">
        <x:f>IFERROR(INDEX('QS Takeoff'!$E$3:$E$194,MATCH(B92,'QS Takeoff'!$B$3:$B$194,0)),"")</x:f>
      </x:c>
      <x:c r="F92" s="81" t="str">
        <x:f>IFERROR(INDEX('QS Takeoff'!$D$3:$D$194,MATCH(B92,'QS Takeoff'!$B$3:$B$194,0)),"")</x:f>
      </x:c>
      <x:c r="G92" s="81" t="str">
        <x:f>IFERROR(INDEX('QS Takeoff'!$J$3:$J$194,MATCH(B92,'QS Takeoff'!$B$3:$B$194,0)),"")</x:f>
      </x:c>
      <x:c r="H92" s="53"/>
      <x:c r="I92" s="60"/>
      <x:c r="J92" s="60"/>
      <x:c r="K92" s="82" t="str">
        <x:f t="shared" si="6">IF(OR(B92="",I92="",I92=0),"",E92/I92)</x:f>
      </x:c>
      <x:c r="L92" s="60"/>
      <x:c r="M92" s="82" t="str">
        <x:f t="shared" si="7">IF(L92&gt;0,L92,K92)</x:f>
      </x:c>
      <x:c r="N92" s="53"/>
      <x:c r="O92" s="53"/>
      <x:c r="P92" s="53"/>
      <x:c r="Q92" s="81" t="str">
        <x:f>IFERROR(INDEX('Resource Rate Library'!$C$5:$C$85,MATCH(P92,'Resource Rate Library'!$A$5:$A$85,0)),"")</x:f>
      </x:c>
      <x:c r="R92" s="53"/>
      <x:c r="S92" s="53"/>
      <x:c r="T92" s="81" t="str">
        <x:f>IFERROR(INDEX('Resource Rate Library'!$E$5:$E$85,MATCH(P92,'Resource Rate Library'!$A$5:$A$85,0)),"")</x:f>
      </x:c>
      <x:c r="U92" s="62"/>
      <x:c r="V92" s="62"/>
      <x:c r="W92" s="83" t="n">
        <x:f>IFERROR(INDEX('Resource Rate Library'!$I$5:$I$85,MATCH(P92,'Resource Rate Library'!$A$5:$A$85,0)),0)</x:f>
        <x:v>0</x:v>
      </x:c>
      <x:c r="X92" s="52"/>
      <x:c r="Y92" s="83" t="n">
        <x:f t="shared" si="8">IF(X92&gt;0,X92,W92)</x:f>
        <x:v>0</x:v>
      </x:c>
      <x:c r="Z92" s="83" t="str">
        <x:f t="shared" si="9">IF(B92="","",IF(N92="Time x Count",M92*R92*IF(U92="",1,U92)*Y92,IF(N92="QS Qty x Factor",E92*R92*(1+IF(V92="",0,V92))*Y92,IF(N92="Direct Qty",S92*(1+IF(V92="",0,V92))*Y92,IF(N92="Lump Sum / Quote",S92*Y92,0)))))</x:f>
      </x:c>
      <x:c r="AA92" s="81" t="str">
        <x:f>IFERROR(INDEX('Resource Rate Library'!$N$5:$N$85,MATCH(P92,'Resource Rate Library'!$A$5:$A$85,0)),"")</x:f>
      </x:c>
      <x:c r="AB92" s="53"/>
      <x:c r="AC92" s="59"/>
      <x:c r="AD92" s="81" t="str">
        <x:f>IFERROR(INDEX('Resource Rate Library'!$G$5:$G$85,MATCH(P92,'Resource Rate Library'!$A$5:$A$85,0)),"")</x:f>
      </x:c>
      <x:c r="AE92" s="81" t="str">
        <x:f>IFERROR(INDEX('Resource Rate Library'!$H$5:$H$85,MATCH(P92,'Resource Rate Library'!$A$5:$A$85,0)),"")</x:f>
      </x:c>
      <x:c r="AF92" s="53"/>
      <x:c r="AG92" s="53"/>
      <x:c r="AH92" s="53"/>
      <x:c r="AI92" s="81" t="str">
        <x:f t="shared" si="5">IF(B92="","",IF(AND(P92="",N92&lt;&gt;"Lump Sum / Quote"),"RESOURCE CODE",IF(Y92=0,"RATE MISSING",IF(AND(O92="Plant",AD92="Yes",COUNTIFS($B$7:$B$306,B92,$O$7:$O$306,"Labour",$Q$7:$Q$306,"*Operator*")&gt;0),"OPERATOR DOUBLE-COUNT",IF(AND(O92="Plant",AE92="Yes",COUNTIFS($B$7:$B$306,B92,$Q$7:$Q$306,"*Fuel*")&gt;0),"FUEL DOUBLE-COUNT",IF(AH92&lt;&gt;"Yes","VERIFY","OK"))))))</x:f>
      </x:c>
      <x:c r="AJ92" s="54"/>
      <x:c r="AK92" s="473"/>
      <x:c r="AL92" s="473"/>
      <x:c r="AM92" s="473"/>
      <x:c r="AN92" s="500" t="n">
        <x:f>IF(AND(AK92="Yes",OR(O92="Labour",O92="Plant")),Z92,0)</x:f>
        <x:v>0</x:v>
      </x:c>
    </x:row>
    <x:row r="93" ht="22.049999237060547" customHeight="1">
      <x:c r="A93" s="80" t="str">
        <x:f>IF(B93="","",B93&amp;"-"&amp;TEXT(COUNTIF($B$7:B93,B93),"000"))</x:f>
      </x:c>
      <x:c r="B93" s="53"/>
      <x:c r="C93" s="81" t="str">
        <x:f>IFERROR(INDEX('QS Takeoff'!$A$3:$A$194,MATCH(B93,'QS Takeoff'!$B$3:$B$194,0)),"")</x:f>
      </x:c>
      <x:c r="D93" s="81" t="str">
        <x:f>IFERROR(INDEX('QS Takeoff'!$C$3:$C$194,MATCH(B93,'QS Takeoff'!$B$3:$B$194,0)),"")</x:f>
      </x:c>
      <x:c r="E93" s="81" t="str">
        <x:f>IFERROR(INDEX('QS Takeoff'!$E$3:$E$194,MATCH(B93,'QS Takeoff'!$B$3:$B$194,0)),"")</x:f>
      </x:c>
      <x:c r="F93" s="81" t="str">
        <x:f>IFERROR(INDEX('QS Takeoff'!$D$3:$D$194,MATCH(B93,'QS Takeoff'!$B$3:$B$194,0)),"")</x:f>
      </x:c>
      <x:c r="G93" s="81" t="str">
        <x:f>IFERROR(INDEX('QS Takeoff'!$J$3:$J$194,MATCH(B93,'QS Takeoff'!$B$3:$B$194,0)),"")</x:f>
      </x:c>
      <x:c r="H93" s="53"/>
      <x:c r="I93" s="60"/>
      <x:c r="J93" s="60"/>
      <x:c r="K93" s="82" t="str">
        <x:f t="shared" si="6">IF(OR(B93="",I93="",I93=0),"",E93/I93)</x:f>
      </x:c>
      <x:c r="L93" s="60"/>
      <x:c r="M93" s="82" t="str">
        <x:f t="shared" si="7">IF(L93&gt;0,L93,K93)</x:f>
      </x:c>
      <x:c r="N93" s="53"/>
      <x:c r="O93" s="53"/>
      <x:c r="P93" s="53"/>
      <x:c r="Q93" s="81" t="str">
        <x:f>IFERROR(INDEX('Resource Rate Library'!$C$5:$C$85,MATCH(P93,'Resource Rate Library'!$A$5:$A$85,0)),"")</x:f>
      </x:c>
      <x:c r="R93" s="53"/>
      <x:c r="S93" s="53"/>
      <x:c r="T93" s="81" t="str">
        <x:f>IFERROR(INDEX('Resource Rate Library'!$E$5:$E$85,MATCH(P93,'Resource Rate Library'!$A$5:$A$85,0)),"")</x:f>
      </x:c>
      <x:c r="U93" s="62"/>
      <x:c r="V93" s="62"/>
      <x:c r="W93" s="83" t="n">
        <x:f>IFERROR(INDEX('Resource Rate Library'!$I$5:$I$85,MATCH(P93,'Resource Rate Library'!$A$5:$A$85,0)),0)</x:f>
        <x:v>0</x:v>
      </x:c>
      <x:c r="X93" s="52"/>
      <x:c r="Y93" s="83" t="n">
        <x:f t="shared" si="8">IF(X93&gt;0,X93,W93)</x:f>
        <x:v>0</x:v>
      </x:c>
      <x:c r="Z93" s="83" t="str">
        <x:f t="shared" si="9">IF(B93="","",IF(N93="Time x Count",M93*R93*IF(U93="",1,U93)*Y93,IF(N93="QS Qty x Factor",E93*R93*(1+IF(V93="",0,V93))*Y93,IF(N93="Direct Qty",S93*(1+IF(V93="",0,V93))*Y93,IF(N93="Lump Sum / Quote",S93*Y93,0)))))</x:f>
      </x:c>
      <x:c r="AA93" s="81" t="str">
        <x:f>IFERROR(INDEX('Resource Rate Library'!$N$5:$N$85,MATCH(P93,'Resource Rate Library'!$A$5:$A$85,0)),"")</x:f>
      </x:c>
      <x:c r="AB93" s="53"/>
      <x:c r="AC93" s="59"/>
      <x:c r="AD93" s="81" t="str">
        <x:f>IFERROR(INDEX('Resource Rate Library'!$G$5:$G$85,MATCH(P93,'Resource Rate Library'!$A$5:$A$85,0)),"")</x:f>
      </x:c>
      <x:c r="AE93" s="81" t="str">
        <x:f>IFERROR(INDEX('Resource Rate Library'!$H$5:$H$85,MATCH(P93,'Resource Rate Library'!$A$5:$A$85,0)),"")</x:f>
      </x:c>
      <x:c r="AF93" s="53"/>
      <x:c r="AG93" s="53"/>
      <x:c r="AH93" s="53"/>
      <x:c r="AI93" s="81" t="str">
        <x:f t="shared" si="5">IF(B93="","",IF(AND(P93="",N93&lt;&gt;"Lump Sum / Quote"),"RESOURCE CODE",IF(Y93=0,"RATE MISSING",IF(AND(O93="Plant",AD93="Yes",COUNTIFS($B$7:$B$306,B93,$O$7:$O$306,"Labour",$Q$7:$Q$306,"*Operator*")&gt;0),"OPERATOR DOUBLE-COUNT",IF(AND(O93="Plant",AE93="Yes",COUNTIFS($B$7:$B$306,B93,$Q$7:$Q$306,"*Fuel*")&gt;0),"FUEL DOUBLE-COUNT",IF(AH93&lt;&gt;"Yes","VERIFY","OK"))))))</x:f>
      </x:c>
      <x:c r="AJ93" s="54"/>
      <x:c r="AK93" s="473"/>
      <x:c r="AL93" s="473"/>
      <x:c r="AM93" s="473"/>
      <x:c r="AN93" s="500" t="n">
        <x:f>IF(AND(AK93="Yes",OR(O93="Labour",O93="Plant")),Z93,0)</x:f>
        <x:v>0</x:v>
      </x:c>
    </x:row>
    <x:row r="94" ht="22.049999237060547" customHeight="1">
      <x:c r="A94" s="80" t="str">
        <x:f>IF(B94="","",B94&amp;"-"&amp;TEXT(COUNTIF($B$7:B94,B94),"000"))</x:f>
      </x:c>
      <x:c r="B94" s="53"/>
      <x:c r="C94" s="81" t="str">
        <x:f>IFERROR(INDEX('QS Takeoff'!$A$3:$A$194,MATCH(B94,'QS Takeoff'!$B$3:$B$194,0)),"")</x:f>
      </x:c>
      <x:c r="D94" s="81" t="str">
        <x:f>IFERROR(INDEX('QS Takeoff'!$C$3:$C$194,MATCH(B94,'QS Takeoff'!$B$3:$B$194,0)),"")</x:f>
      </x:c>
      <x:c r="E94" s="81" t="str">
        <x:f>IFERROR(INDEX('QS Takeoff'!$E$3:$E$194,MATCH(B94,'QS Takeoff'!$B$3:$B$194,0)),"")</x:f>
      </x:c>
      <x:c r="F94" s="81" t="str">
        <x:f>IFERROR(INDEX('QS Takeoff'!$D$3:$D$194,MATCH(B94,'QS Takeoff'!$B$3:$B$194,0)),"")</x:f>
      </x:c>
      <x:c r="G94" s="81" t="str">
        <x:f>IFERROR(INDEX('QS Takeoff'!$J$3:$J$194,MATCH(B94,'QS Takeoff'!$B$3:$B$194,0)),"")</x:f>
      </x:c>
      <x:c r="H94" s="53"/>
      <x:c r="I94" s="60"/>
      <x:c r="J94" s="60"/>
      <x:c r="K94" s="82" t="str">
        <x:f t="shared" si="6">IF(OR(B94="",I94="",I94=0),"",E94/I94)</x:f>
      </x:c>
      <x:c r="L94" s="60"/>
      <x:c r="M94" s="82" t="str">
        <x:f t="shared" si="7">IF(L94&gt;0,L94,K94)</x:f>
      </x:c>
      <x:c r="N94" s="53"/>
      <x:c r="O94" s="53"/>
      <x:c r="P94" s="53"/>
      <x:c r="Q94" s="81" t="str">
        <x:f>IFERROR(INDEX('Resource Rate Library'!$C$5:$C$85,MATCH(P94,'Resource Rate Library'!$A$5:$A$85,0)),"")</x:f>
      </x:c>
      <x:c r="R94" s="53"/>
      <x:c r="S94" s="53"/>
      <x:c r="T94" s="81" t="str">
        <x:f>IFERROR(INDEX('Resource Rate Library'!$E$5:$E$85,MATCH(P94,'Resource Rate Library'!$A$5:$A$85,0)),"")</x:f>
      </x:c>
      <x:c r="U94" s="62"/>
      <x:c r="V94" s="62"/>
      <x:c r="W94" s="83" t="n">
        <x:f>IFERROR(INDEX('Resource Rate Library'!$I$5:$I$85,MATCH(P94,'Resource Rate Library'!$A$5:$A$85,0)),0)</x:f>
        <x:v>0</x:v>
      </x:c>
      <x:c r="X94" s="52"/>
      <x:c r="Y94" s="83" t="n">
        <x:f t="shared" si="8">IF(X94&gt;0,X94,W94)</x:f>
        <x:v>0</x:v>
      </x:c>
      <x:c r="Z94" s="83" t="str">
        <x:f t="shared" si="9">IF(B94="","",IF(N94="Time x Count",M94*R94*IF(U94="",1,U94)*Y94,IF(N94="QS Qty x Factor",E94*R94*(1+IF(V94="",0,V94))*Y94,IF(N94="Direct Qty",S94*(1+IF(V94="",0,V94))*Y94,IF(N94="Lump Sum / Quote",S94*Y94,0)))))</x:f>
      </x:c>
      <x:c r="AA94" s="81" t="str">
        <x:f>IFERROR(INDEX('Resource Rate Library'!$N$5:$N$85,MATCH(P94,'Resource Rate Library'!$A$5:$A$85,0)),"")</x:f>
      </x:c>
      <x:c r="AB94" s="53"/>
      <x:c r="AC94" s="59"/>
      <x:c r="AD94" s="81" t="str">
        <x:f>IFERROR(INDEX('Resource Rate Library'!$G$5:$G$85,MATCH(P94,'Resource Rate Library'!$A$5:$A$85,0)),"")</x:f>
      </x:c>
      <x:c r="AE94" s="81" t="str">
        <x:f>IFERROR(INDEX('Resource Rate Library'!$H$5:$H$85,MATCH(P94,'Resource Rate Library'!$A$5:$A$85,0)),"")</x:f>
      </x:c>
      <x:c r="AF94" s="53"/>
      <x:c r="AG94" s="53"/>
      <x:c r="AH94" s="53"/>
      <x:c r="AI94" s="81" t="str">
        <x:f t="shared" si="5">IF(B94="","",IF(AND(P94="",N94&lt;&gt;"Lump Sum / Quote"),"RESOURCE CODE",IF(Y94=0,"RATE MISSING",IF(AND(O94="Plant",AD94="Yes",COUNTIFS($B$7:$B$306,B94,$O$7:$O$306,"Labour",$Q$7:$Q$306,"*Operator*")&gt;0),"OPERATOR DOUBLE-COUNT",IF(AND(O94="Plant",AE94="Yes",COUNTIFS($B$7:$B$306,B94,$Q$7:$Q$306,"*Fuel*")&gt;0),"FUEL DOUBLE-COUNT",IF(AH94&lt;&gt;"Yes","VERIFY","OK"))))))</x:f>
      </x:c>
      <x:c r="AJ94" s="54"/>
      <x:c r="AK94" s="473"/>
      <x:c r="AL94" s="473"/>
      <x:c r="AM94" s="473"/>
      <x:c r="AN94" s="500" t="n">
        <x:f>IF(AND(AK94="Yes",OR(O94="Labour",O94="Plant")),Z94,0)</x:f>
        <x:v>0</x:v>
      </x:c>
    </x:row>
    <x:row r="95" ht="22.049999237060547" customHeight="1">
      <x:c r="A95" s="80" t="str">
        <x:f>IF(B95="","",B95&amp;"-"&amp;TEXT(COUNTIF($B$7:B95,B95),"000"))</x:f>
      </x:c>
      <x:c r="B95" s="53"/>
      <x:c r="C95" s="81" t="str">
        <x:f>IFERROR(INDEX('QS Takeoff'!$A$3:$A$194,MATCH(B95,'QS Takeoff'!$B$3:$B$194,0)),"")</x:f>
      </x:c>
      <x:c r="D95" s="81" t="str">
        <x:f>IFERROR(INDEX('QS Takeoff'!$C$3:$C$194,MATCH(B95,'QS Takeoff'!$B$3:$B$194,0)),"")</x:f>
      </x:c>
      <x:c r="E95" s="81" t="str">
        <x:f>IFERROR(INDEX('QS Takeoff'!$E$3:$E$194,MATCH(B95,'QS Takeoff'!$B$3:$B$194,0)),"")</x:f>
      </x:c>
      <x:c r="F95" s="81" t="str">
        <x:f>IFERROR(INDEX('QS Takeoff'!$D$3:$D$194,MATCH(B95,'QS Takeoff'!$B$3:$B$194,0)),"")</x:f>
      </x:c>
      <x:c r="G95" s="81" t="str">
        <x:f>IFERROR(INDEX('QS Takeoff'!$J$3:$J$194,MATCH(B95,'QS Takeoff'!$B$3:$B$194,0)),"")</x:f>
      </x:c>
      <x:c r="H95" s="53"/>
      <x:c r="I95" s="60"/>
      <x:c r="J95" s="60"/>
      <x:c r="K95" s="82" t="str">
        <x:f t="shared" si="6">IF(OR(B95="",I95="",I95=0),"",E95/I95)</x:f>
      </x:c>
      <x:c r="L95" s="60"/>
      <x:c r="M95" s="82" t="str">
        <x:f t="shared" si="7">IF(L95&gt;0,L95,K95)</x:f>
      </x:c>
      <x:c r="N95" s="53"/>
      <x:c r="O95" s="53"/>
      <x:c r="P95" s="53"/>
      <x:c r="Q95" s="81" t="str">
        <x:f>IFERROR(INDEX('Resource Rate Library'!$C$5:$C$85,MATCH(P95,'Resource Rate Library'!$A$5:$A$85,0)),"")</x:f>
      </x:c>
      <x:c r="R95" s="53"/>
      <x:c r="S95" s="53"/>
      <x:c r="T95" s="81" t="str">
        <x:f>IFERROR(INDEX('Resource Rate Library'!$E$5:$E$85,MATCH(P95,'Resource Rate Library'!$A$5:$A$85,0)),"")</x:f>
      </x:c>
      <x:c r="U95" s="62"/>
      <x:c r="V95" s="62"/>
      <x:c r="W95" s="83" t="n">
        <x:f>IFERROR(INDEX('Resource Rate Library'!$I$5:$I$85,MATCH(P95,'Resource Rate Library'!$A$5:$A$85,0)),0)</x:f>
        <x:v>0</x:v>
      </x:c>
      <x:c r="X95" s="52"/>
      <x:c r="Y95" s="83" t="n">
        <x:f t="shared" si="8">IF(X95&gt;0,X95,W95)</x:f>
        <x:v>0</x:v>
      </x:c>
      <x:c r="Z95" s="83" t="str">
        <x:f t="shared" si="9">IF(B95="","",IF(N95="Time x Count",M95*R95*IF(U95="",1,U95)*Y95,IF(N95="QS Qty x Factor",E95*R95*(1+IF(V95="",0,V95))*Y95,IF(N95="Direct Qty",S95*(1+IF(V95="",0,V95))*Y95,IF(N95="Lump Sum / Quote",S95*Y95,0)))))</x:f>
      </x:c>
      <x:c r="AA95" s="81" t="str">
        <x:f>IFERROR(INDEX('Resource Rate Library'!$N$5:$N$85,MATCH(P95,'Resource Rate Library'!$A$5:$A$85,0)),"")</x:f>
      </x:c>
      <x:c r="AB95" s="53"/>
      <x:c r="AC95" s="59"/>
      <x:c r="AD95" s="81" t="str">
        <x:f>IFERROR(INDEX('Resource Rate Library'!$G$5:$G$85,MATCH(P95,'Resource Rate Library'!$A$5:$A$85,0)),"")</x:f>
      </x:c>
      <x:c r="AE95" s="81" t="str">
        <x:f>IFERROR(INDEX('Resource Rate Library'!$H$5:$H$85,MATCH(P95,'Resource Rate Library'!$A$5:$A$85,0)),"")</x:f>
      </x:c>
      <x:c r="AF95" s="53"/>
      <x:c r="AG95" s="53"/>
      <x:c r="AH95" s="53"/>
      <x:c r="AI95" s="81" t="str">
        <x:f t="shared" si="5">IF(B95="","",IF(AND(P95="",N95&lt;&gt;"Lump Sum / Quote"),"RESOURCE CODE",IF(Y95=0,"RATE MISSING",IF(AND(O95="Plant",AD95="Yes",COUNTIFS($B$7:$B$306,B95,$O$7:$O$306,"Labour",$Q$7:$Q$306,"*Operator*")&gt;0),"OPERATOR DOUBLE-COUNT",IF(AND(O95="Plant",AE95="Yes",COUNTIFS($B$7:$B$306,B95,$Q$7:$Q$306,"*Fuel*")&gt;0),"FUEL DOUBLE-COUNT",IF(AH95&lt;&gt;"Yes","VERIFY","OK"))))))</x:f>
      </x:c>
      <x:c r="AJ95" s="54"/>
      <x:c r="AK95" s="473"/>
      <x:c r="AL95" s="473"/>
      <x:c r="AM95" s="473"/>
      <x:c r="AN95" s="500" t="n">
        <x:f>IF(AND(AK95="Yes",OR(O95="Labour",O95="Plant")),Z95,0)</x:f>
        <x:v>0</x:v>
      </x:c>
    </x:row>
    <x:row r="96" ht="22.049999237060547" customHeight="1">
      <x:c r="A96" s="80" t="str">
        <x:f>IF(B96="","",B96&amp;"-"&amp;TEXT(COUNTIF($B$7:B96,B96),"000"))</x:f>
      </x:c>
      <x:c r="B96" s="53"/>
      <x:c r="C96" s="81" t="str">
        <x:f>IFERROR(INDEX('QS Takeoff'!$A$3:$A$194,MATCH(B96,'QS Takeoff'!$B$3:$B$194,0)),"")</x:f>
      </x:c>
      <x:c r="D96" s="81" t="str">
        <x:f>IFERROR(INDEX('QS Takeoff'!$C$3:$C$194,MATCH(B96,'QS Takeoff'!$B$3:$B$194,0)),"")</x:f>
      </x:c>
      <x:c r="E96" s="81" t="str">
        <x:f>IFERROR(INDEX('QS Takeoff'!$E$3:$E$194,MATCH(B96,'QS Takeoff'!$B$3:$B$194,0)),"")</x:f>
      </x:c>
      <x:c r="F96" s="81" t="str">
        <x:f>IFERROR(INDEX('QS Takeoff'!$D$3:$D$194,MATCH(B96,'QS Takeoff'!$B$3:$B$194,0)),"")</x:f>
      </x:c>
      <x:c r="G96" s="81" t="str">
        <x:f>IFERROR(INDEX('QS Takeoff'!$J$3:$J$194,MATCH(B96,'QS Takeoff'!$B$3:$B$194,0)),"")</x:f>
      </x:c>
      <x:c r="H96" s="53"/>
      <x:c r="I96" s="60"/>
      <x:c r="J96" s="60"/>
      <x:c r="K96" s="82" t="str">
        <x:f t="shared" si="6">IF(OR(B96="",I96="",I96=0),"",E96/I96)</x:f>
      </x:c>
      <x:c r="L96" s="60"/>
      <x:c r="M96" s="82" t="str">
        <x:f t="shared" si="7">IF(L96&gt;0,L96,K96)</x:f>
      </x:c>
      <x:c r="N96" s="53"/>
      <x:c r="O96" s="53"/>
      <x:c r="P96" s="53"/>
      <x:c r="Q96" s="81" t="str">
        <x:f>IFERROR(INDEX('Resource Rate Library'!$C$5:$C$85,MATCH(P96,'Resource Rate Library'!$A$5:$A$85,0)),"")</x:f>
      </x:c>
      <x:c r="R96" s="53"/>
      <x:c r="S96" s="53"/>
      <x:c r="T96" s="81" t="str">
        <x:f>IFERROR(INDEX('Resource Rate Library'!$E$5:$E$85,MATCH(P96,'Resource Rate Library'!$A$5:$A$85,0)),"")</x:f>
      </x:c>
      <x:c r="U96" s="62"/>
      <x:c r="V96" s="62"/>
      <x:c r="W96" s="83" t="n">
        <x:f>IFERROR(INDEX('Resource Rate Library'!$I$5:$I$85,MATCH(P96,'Resource Rate Library'!$A$5:$A$85,0)),0)</x:f>
        <x:v>0</x:v>
      </x:c>
      <x:c r="X96" s="52"/>
      <x:c r="Y96" s="83" t="n">
        <x:f t="shared" si="8">IF(X96&gt;0,X96,W96)</x:f>
        <x:v>0</x:v>
      </x:c>
      <x:c r="Z96" s="83" t="str">
        <x:f t="shared" si="9">IF(B96="","",IF(N96="Time x Count",M96*R96*IF(U96="",1,U96)*Y96,IF(N96="QS Qty x Factor",E96*R96*(1+IF(V96="",0,V96))*Y96,IF(N96="Direct Qty",S96*(1+IF(V96="",0,V96))*Y96,IF(N96="Lump Sum / Quote",S96*Y96,0)))))</x:f>
      </x:c>
      <x:c r="AA96" s="81" t="str">
        <x:f>IFERROR(INDEX('Resource Rate Library'!$N$5:$N$85,MATCH(P96,'Resource Rate Library'!$A$5:$A$85,0)),"")</x:f>
      </x:c>
      <x:c r="AB96" s="53"/>
      <x:c r="AC96" s="59"/>
      <x:c r="AD96" s="81" t="str">
        <x:f>IFERROR(INDEX('Resource Rate Library'!$G$5:$G$85,MATCH(P96,'Resource Rate Library'!$A$5:$A$85,0)),"")</x:f>
      </x:c>
      <x:c r="AE96" s="81" t="str">
        <x:f>IFERROR(INDEX('Resource Rate Library'!$H$5:$H$85,MATCH(P96,'Resource Rate Library'!$A$5:$A$85,0)),"")</x:f>
      </x:c>
      <x:c r="AF96" s="53"/>
      <x:c r="AG96" s="53"/>
      <x:c r="AH96" s="53"/>
      <x:c r="AI96" s="81" t="str">
        <x:f t="shared" si="5">IF(B96="","",IF(AND(P96="",N96&lt;&gt;"Lump Sum / Quote"),"RESOURCE CODE",IF(Y96=0,"RATE MISSING",IF(AND(O96="Plant",AD96="Yes",COUNTIFS($B$7:$B$306,B96,$O$7:$O$306,"Labour",$Q$7:$Q$306,"*Operator*")&gt;0),"OPERATOR DOUBLE-COUNT",IF(AND(O96="Plant",AE96="Yes",COUNTIFS($B$7:$B$306,B96,$Q$7:$Q$306,"*Fuel*")&gt;0),"FUEL DOUBLE-COUNT",IF(AH96&lt;&gt;"Yes","VERIFY","OK"))))))</x:f>
      </x:c>
      <x:c r="AJ96" s="54"/>
      <x:c r="AK96" s="473"/>
      <x:c r="AL96" s="473"/>
      <x:c r="AM96" s="473"/>
      <x:c r="AN96" s="500" t="n">
        <x:f>IF(AND(AK96="Yes",OR(O96="Labour",O96="Plant")),Z96,0)</x:f>
        <x:v>0</x:v>
      </x:c>
    </x:row>
    <x:row r="97" ht="22.049999237060547" customHeight="1">
      <x:c r="A97" s="80" t="str">
        <x:f>IF(B97="","",B97&amp;"-"&amp;TEXT(COUNTIF($B$7:B97,B97),"000"))</x:f>
      </x:c>
      <x:c r="B97" s="53"/>
      <x:c r="C97" s="81" t="str">
        <x:f>IFERROR(INDEX('QS Takeoff'!$A$3:$A$194,MATCH(B97,'QS Takeoff'!$B$3:$B$194,0)),"")</x:f>
      </x:c>
      <x:c r="D97" s="81" t="str">
        <x:f>IFERROR(INDEX('QS Takeoff'!$C$3:$C$194,MATCH(B97,'QS Takeoff'!$B$3:$B$194,0)),"")</x:f>
      </x:c>
      <x:c r="E97" s="81" t="str">
        <x:f>IFERROR(INDEX('QS Takeoff'!$E$3:$E$194,MATCH(B97,'QS Takeoff'!$B$3:$B$194,0)),"")</x:f>
      </x:c>
      <x:c r="F97" s="81" t="str">
        <x:f>IFERROR(INDEX('QS Takeoff'!$D$3:$D$194,MATCH(B97,'QS Takeoff'!$B$3:$B$194,0)),"")</x:f>
      </x:c>
      <x:c r="G97" s="81" t="str">
        <x:f>IFERROR(INDEX('QS Takeoff'!$J$3:$J$194,MATCH(B97,'QS Takeoff'!$B$3:$B$194,0)),"")</x:f>
      </x:c>
      <x:c r="H97" s="53"/>
      <x:c r="I97" s="60"/>
      <x:c r="J97" s="60"/>
      <x:c r="K97" s="82" t="str">
        <x:f t="shared" si="6">IF(OR(B97="",I97="",I97=0),"",E97/I97)</x:f>
      </x:c>
      <x:c r="L97" s="60"/>
      <x:c r="M97" s="82" t="str">
        <x:f t="shared" si="7">IF(L97&gt;0,L97,K97)</x:f>
      </x:c>
      <x:c r="N97" s="53"/>
      <x:c r="O97" s="53"/>
      <x:c r="P97" s="53"/>
      <x:c r="Q97" s="81" t="str">
        <x:f>IFERROR(INDEX('Resource Rate Library'!$C$5:$C$85,MATCH(P97,'Resource Rate Library'!$A$5:$A$85,0)),"")</x:f>
      </x:c>
      <x:c r="R97" s="53"/>
      <x:c r="S97" s="53"/>
      <x:c r="T97" s="81" t="str">
        <x:f>IFERROR(INDEX('Resource Rate Library'!$E$5:$E$85,MATCH(P97,'Resource Rate Library'!$A$5:$A$85,0)),"")</x:f>
      </x:c>
      <x:c r="U97" s="62"/>
      <x:c r="V97" s="62"/>
      <x:c r="W97" s="83" t="n">
        <x:f>IFERROR(INDEX('Resource Rate Library'!$I$5:$I$85,MATCH(P97,'Resource Rate Library'!$A$5:$A$85,0)),0)</x:f>
        <x:v>0</x:v>
      </x:c>
      <x:c r="X97" s="52"/>
      <x:c r="Y97" s="83" t="n">
        <x:f t="shared" si="8">IF(X97&gt;0,X97,W97)</x:f>
        <x:v>0</x:v>
      </x:c>
      <x:c r="Z97" s="83" t="str">
        <x:f t="shared" si="9">IF(B97="","",IF(N97="Time x Count",M97*R97*IF(U97="",1,U97)*Y97,IF(N97="QS Qty x Factor",E97*R97*(1+IF(V97="",0,V97))*Y97,IF(N97="Direct Qty",S97*(1+IF(V97="",0,V97))*Y97,IF(N97="Lump Sum / Quote",S97*Y97,0)))))</x:f>
      </x:c>
      <x:c r="AA97" s="81" t="str">
        <x:f>IFERROR(INDEX('Resource Rate Library'!$N$5:$N$85,MATCH(P97,'Resource Rate Library'!$A$5:$A$85,0)),"")</x:f>
      </x:c>
      <x:c r="AB97" s="53"/>
      <x:c r="AC97" s="59"/>
      <x:c r="AD97" s="81" t="str">
        <x:f>IFERROR(INDEX('Resource Rate Library'!$G$5:$G$85,MATCH(P97,'Resource Rate Library'!$A$5:$A$85,0)),"")</x:f>
      </x:c>
      <x:c r="AE97" s="81" t="str">
        <x:f>IFERROR(INDEX('Resource Rate Library'!$H$5:$H$85,MATCH(P97,'Resource Rate Library'!$A$5:$A$85,0)),"")</x:f>
      </x:c>
      <x:c r="AF97" s="53"/>
      <x:c r="AG97" s="53"/>
      <x:c r="AH97" s="53"/>
      <x:c r="AI97" s="81" t="str">
        <x:f t="shared" si="5">IF(B97="","",IF(AND(P97="",N97&lt;&gt;"Lump Sum / Quote"),"RESOURCE CODE",IF(Y97=0,"RATE MISSING",IF(AND(O97="Plant",AD97="Yes",COUNTIFS($B$7:$B$306,B97,$O$7:$O$306,"Labour",$Q$7:$Q$306,"*Operator*")&gt;0),"OPERATOR DOUBLE-COUNT",IF(AND(O97="Plant",AE97="Yes",COUNTIFS($B$7:$B$306,B97,$Q$7:$Q$306,"*Fuel*")&gt;0),"FUEL DOUBLE-COUNT",IF(AH97&lt;&gt;"Yes","VERIFY","OK"))))))</x:f>
      </x:c>
      <x:c r="AJ97" s="54"/>
      <x:c r="AK97" s="473"/>
      <x:c r="AL97" s="473"/>
      <x:c r="AM97" s="473"/>
      <x:c r="AN97" s="500" t="n">
        <x:f>IF(AND(AK97="Yes",OR(O97="Labour",O97="Plant")),Z97,0)</x:f>
        <x:v>0</x:v>
      </x:c>
    </x:row>
    <x:row r="98" ht="22.049999237060547" customHeight="1">
      <x:c r="A98" s="80" t="str">
        <x:f>IF(B98="","",B98&amp;"-"&amp;TEXT(COUNTIF($B$7:B98,B98),"000"))</x:f>
      </x:c>
      <x:c r="B98" s="53"/>
      <x:c r="C98" s="81" t="str">
        <x:f>IFERROR(INDEX('QS Takeoff'!$A$3:$A$194,MATCH(B98,'QS Takeoff'!$B$3:$B$194,0)),"")</x:f>
      </x:c>
      <x:c r="D98" s="81" t="str">
        <x:f>IFERROR(INDEX('QS Takeoff'!$C$3:$C$194,MATCH(B98,'QS Takeoff'!$B$3:$B$194,0)),"")</x:f>
      </x:c>
      <x:c r="E98" s="81" t="str">
        <x:f>IFERROR(INDEX('QS Takeoff'!$E$3:$E$194,MATCH(B98,'QS Takeoff'!$B$3:$B$194,0)),"")</x:f>
      </x:c>
      <x:c r="F98" s="81" t="str">
        <x:f>IFERROR(INDEX('QS Takeoff'!$D$3:$D$194,MATCH(B98,'QS Takeoff'!$B$3:$B$194,0)),"")</x:f>
      </x:c>
      <x:c r="G98" s="81" t="str">
        <x:f>IFERROR(INDEX('QS Takeoff'!$J$3:$J$194,MATCH(B98,'QS Takeoff'!$B$3:$B$194,0)),"")</x:f>
      </x:c>
      <x:c r="H98" s="53"/>
      <x:c r="I98" s="60"/>
      <x:c r="J98" s="60"/>
      <x:c r="K98" s="82" t="str">
        <x:f t="shared" si="6">IF(OR(B98="",I98="",I98=0),"",E98/I98)</x:f>
      </x:c>
      <x:c r="L98" s="60"/>
      <x:c r="M98" s="82" t="str">
        <x:f t="shared" si="7">IF(L98&gt;0,L98,K98)</x:f>
      </x:c>
      <x:c r="N98" s="53"/>
      <x:c r="O98" s="53"/>
      <x:c r="P98" s="53"/>
      <x:c r="Q98" s="81" t="str">
        <x:f>IFERROR(INDEX('Resource Rate Library'!$C$5:$C$85,MATCH(P98,'Resource Rate Library'!$A$5:$A$85,0)),"")</x:f>
      </x:c>
      <x:c r="R98" s="53"/>
      <x:c r="S98" s="53"/>
      <x:c r="T98" s="81" t="str">
        <x:f>IFERROR(INDEX('Resource Rate Library'!$E$5:$E$85,MATCH(P98,'Resource Rate Library'!$A$5:$A$85,0)),"")</x:f>
      </x:c>
      <x:c r="U98" s="62"/>
      <x:c r="V98" s="62"/>
      <x:c r="W98" s="83" t="n">
        <x:f>IFERROR(INDEX('Resource Rate Library'!$I$5:$I$85,MATCH(P98,'Resource Rate Library'!$A$5:$A$85,0)),0)</x:f>
        <x:v>0</x:v>
      </x:c>
      <x:c r="X98" s="52"/>
      <x:c r="Y98" s="83" t="n">
        <x:f t="shared" si="8">IF(X98&gt;0,X98,W98)</x:f>
        <x:v>0</x:v>
      </x:c>
      <x:c r="Z98" s="83" t="str">
        <x:f t="shared" si="9">IF(B98="","",IF(N98="Time x Count",M98*R98*IF(U98="",1,U98)*Y98,IF(N98="QS Qty x Factor",E98*R98*(1+IF(V98="",0,V98))*Y98,IF(N98="Direct Qty",S98*(1+IF(V98="",0,V98))*Y98,IF(N98="Lump Sum / Quote",S98*Y98,0)))))</x:f>
      </x:c>
      <x:c r="AA98" s="81" t="str">
        <x:f>IFERROR(INDEX('Resource Rate Library'!$N$5:$N$85,MATCH(P98,'Resource Rate Library'!$A$5:$A$85,0)),"")</x:f>
      </x:c>
      <x:c r="AB98" s="53"/>
      <x:c r="AC98" s="59"/>
      <x:c r="AD98" s="81" t="str">
        <x:f>IFERROR(INDEX('Resource Rate Library'!$G$5:$G$85,MATCH(P98,'Resource Rate Library'!$A$5:$A$85,0)),"")</x:f>
      </x:c>
      <x:c r="AE98" s="81" t="str">
        <x:f>IFERROR(INDEX('Resource Rate Library'!$H$5:$H$85,MATCH(P98,'Resource Rate Library'!$A$5:$A$85,0)),"")</x:f>
      </x:c>
      <x:c r="AF98" s="53"/>
      <x:c r="AG98" s="53"/>
      <x:c r="AH98" s="53"/>
      <x:c r="AI98" s="81" t="str">
        <x:f t="shared" ref="AI98:AI119" si="10">IF(B98="","",IF(AND(P98="",N98&lt;&gt;"Lump Sum / Quote"),"RESOURCE CODE",IF(Y98=0,"RATE MISSING",IF(AND(O98="Plant",AD98="Yes",COUNTIFS($B$7:$B$306,B98,$O$7:$O$306,"Labour",$Q$7:$Q$306,"*Operator*")&gt;0),"OPERATOR DOUBLE-COUNT",IF(AND(O98="Plant",AE98="Yes",COUNTIFS($B$7:$B$306,B98,$Q$7:$Q$306,"*Fuel*")&gt;0),"FUEL DOUBLE-COUNT",IF(AH98&lt;&gt;"Yes","VERIFY","OK"))))))</x:f>
      </x:c>
      <x:c r="AJ98" s="54"/>
      <x:c r="AK98" s="473"/>
      <x:c r="AL98" s="473"/>
      <x:c r="AM98" s="473"/>
      <x:c r="AN98" s="500" t="n">
        <x:f>IF(AND(AK98="Yes",OR(O98="Labour",O98="Plant")),Z98,0)</x:f>
        <x:v>0</x:v>
      </x:c>
    </x:row>
    <x:row r="99" ht="22.049999237060547" customHeight="1">
      <x:c r="A99" s="80" t="str">
        <x:f>IF(B99="","",B99&amp;"-"&amp;TEXT(COUNTIF($B$7:B99,B99),"000"))</x:f>
      </x:c>
      <x:c r="B99" s="53"/>
      <x:c r="C99" s="81" t="str">
        <x:f>IFERROR(INDEX('QS Takeoff'!$A$3:$A$194,MATCH(B99,'QS Takeoff'!$B$3:$B$194,0)),"")</x:f>
      </x:c>
      <x:c r="D99" s="81" t="str">
        <x:f>IFERROR(INDEX('QS Takeoff'!$C$3:$C$194,MATCH(B99,'QS Takeoff'!$B$3:$B$194,0)),"")</x:f>
      </x:c>
      <x:c r="E99" s="81" t="str">
        <x:f>IFERROR(INDEX('QS Takeoff'!$E$3:$E$194,MATCH(B99,'QS Takeoff'!$B$3:$B$194,0)),"")</x:f>
      </x:c>
      <x:c r="F99" s="81" t="str">
        <x:f>IFERROR(INDEX('QS Takeoff'!$D$3:$D$194,MATCH(B99,'QS Takeoff'!$B$3:$B$194,0)),"")</x:f>
      </x:c>
      <x:c r="G99" s="81" t="str">
        <x:f>IFERROR(INDEX('QS Takeoff'!$J$3:$J$194,MATCH(B99,'QS Takeoff'!$B$3:$B$194,0)),"")</x:f>
      </x:c>
      <x:c r="H99" s="53"/>
      <x:c r="I99" s="60"/>
      <x:c r="J99" s="60"/>
      <x:c r="K99" s="82" t="str">
        <x:f t="shared" si="6">IF(OR(B99="",I99="",I99=0),"",E99/I99)</x:f>
      </x:c>
      <x:c r="L99" s="60"/>
      <x:c r="M99" s="82" t="str">
        <x:f t="shared" si="7">IF(L99&gt;0,L99,K99)</x:f>
      </x:c>
      <x:c r="N99" s="53"/>
      <x:c r="O99" s="53"/>
      <x:c r="P99" s="53"/>
      <x:c r="Q99" s="81" t="str">
        <x:f>IFERROR(INDEX('Resource Rate Library'!$C$5:$C$85,MATCH(P99,'Resource Rate Library'!$A$5:$A$85,0)),"")</x:f>
      </x:c>
      <x:c r="R99" s="53"/>
      <x:c r="S99" s="53"/>
      <x:c r="T99" s="81" t="str">
        <x:f>IFERROR(INDEX('Resource Rate Library'!$E$5:$E$85,MATCH(P99,'Resource Rate Library'!$A$5:$A$85,0)),"")</x:f>
      </x:c>
      <x:c r="U99" s="62"/>
      <x:c r="V99" s="62"/>
      <x:c r="W99" s="83" t="n">
        <x:f>IFERROR(INDEX('Resource Rate Library'!$I$5:$I$85,MATCH(P99,'Resource Rate Library'!$A$5:$A$85,0)),0)</x:f>
        <x:v>0</x:v>
      </x:c>
      <x:c r="X99" s="52"/>
      <x:c r="Y99" s="83" t="n">
        <x:f t="shared" si="8">IF(X99&gt;0,X99,W99)</x:f>
        <x:v>0</x:v>
      </x:c>
      <x:c r="Z99" s="83" t="str">
        <x:f t="shared" si="9">IF(B99="","",IF(N99="Time x Count",M99*R99*IF(U99="",1,U99)*Y99,IF(N99="QS Qty x Factor",E99*R99*(1+IF(V99="",0,V99))*Y99,IF(N99="Direct Qty",S99*(1+IF(V99="",0,V99))*Y99,IF(N99="Lump Sum / Quote",S99*Y99,0)))))</x:f>
      </x:c>
      <x:c r="AA99" s="81" t="str">
        <x:f>IFERROR(INDEX('Resource Rate Library'!$N$5:$N$85,MATCH(P99,'Resource Rate Library'!$A$5:$A$85,0)),"")</x:f>
      </x:c>
      <x:c r="AB99" s="53"/>
      <x:c r="AC99" s="59"/>
      <x:c r="AD99" s="81" t="str">
        <x:f>IFERROR(INDEX('Resource Rate Library'!$G$5:$G$85,MATCH(P99,'Resource Rate Library'!$A$5:$A$85,0)),"")</x:f>
      </x:c>
      <x:c r="AE99" s="81" t="str">
        <x:f>IFERROR(INDEX('Resource Rate Library'!$H$5:$H$85,MATCH(P99,'Resource Rate Library'!$A$5:$A$85,0)),"")</x:f>
      </x:c>
      <x:c r="AF99" s="53"/>
      <x:c r="AG99" s="53"/>
      <x:c r="AH99" s="53"/>
      <x:c r="AI99" s="81" t="str">
        <x:f t="shared" si="10">IF(B99="","",IF(AND(P99="",N99&lt;&gt;"Lump Sum / Quote"),"RESOURCE CODE",IF(Y99=0,"RATE MISSING",IF(AND(O99="Plant",AD99="Yes",COUNTIFS($B$7:$B$306,B99,$O$7:$O$306,"Labour",$Q$7:$Q$306,"*Operator*")&gt;0),"OPERATOR DOUBLE-COUNT",IF(AND(O99="Plant",AE99="Yes",COUNTIFS($B$7:$B$306,B99,$Q$7:$Q$306,"*Fuel*")&gt;0),"FUEL DOUBLE-COUNT",IF(AH99&lt;&gt;"Yes","VERIFY","OK"))))))</x:f>
      </x:c>
      <x:c r="AJ99" s="54"/>
      <x:c r="AK99" s="473"/>
      <x:c r="AL99" s="473"/>
      <x:c r="AM99" s="473"/>
      <x:c r="AN99" s="500" t="n">
        <x:f>IF(AND(AK99="Yes",OR(O99="Labour",O99="Plant")),Z99,0)</x:f>
        <x:v>0</x:v>
      </x:c>
    </x:row>
    <x:row r="100" ht="22.049999237060547" customHeight="1">
      <x:c r="A100" s="80" t="str">
        <x:f>IF(B100="","",B100&amp;"-"&amp;TEXT(COUNTIF($B$7:B100,B100),"000"))</x:f>
      </x:c>
      <x:c r="B100" s="53"/>
      <x:c r="C100" s="81" t="str">
        <x:f>IFERROR(INDEX('QS Takeoff'!$A$3:$A$194,MATCH(B100,'QS Takeoff'!$B$3:$B$194,0)),"")</x:f>
      </x:c>
      <x:c r="D100" s="81" t="str">
        <x:f>IFERROR(INDEX('QS Takeoff'!$C$3:$C$194,MATCH(B100,'QS Takeoff'!$B$3:$B$194,0)),"")</x:f>
      </x:c>
      <x:c r="E100" s="81" t="str">
        <x:f>IFERROR(INDEX('QS Takeoff'!$E$3:$E$194,MATCH(B100,'QS Takeoff'!$B$3:$B$194,0)),"")</x:f>
      </x:c>
      <x:c r="F100" s="81" t="str">
        <x:f>IFERROR(INDEX('QS Takeoff'!$D$3:$D$194,MATCH(B100,'QS Takeoff'!$B$3:$B$194,0)),"")</x:f>
      </x:c>
      <x:c r="G100" s="81" t="str">
        <x:f>IFERROR(INDEX('QS Takeoff'!$J$3:$J$194,MATCH(B100,'QS Takeoff'!$B$3:$B$194,0)),"")</x:f>
      </x:c>
      <x:c r="H100" s="53"/>
      <x:c r="I100" s="60"/>
      <x:c r="J100" s="60"/>
      <x:c r="K100" s="82" t="str">
        <x:f t="shared" si="6">IF(OR(B100="",I100="",I100=0),"",E100/I100)</x:f>
      </x:c>
      <x:c r="L100" s="60"/>
      <x:c r="M100" s="82" t="str">
        <x:f t="shared" si="7">IF(L100&gt;0,L100,K100)</x:f>
      </x:c>
      <x:c r="N100" s="53"/>
      <x:c r="O100" s="53"/>
      <x:c r="P100" s="53"/>
      <x:c r="Q100" s="81" t="str">
        <x:f>IFERROR(INDEX('Resource Rate Library'!$C$5:$C$85,MATCH(P100,'Resource Rate Library'!$A$5:$A$85,0)),"")</x:f>
      </x:c>
      <x:c r="R100" s="53"/>
      <x:c r="S100" s="53"/>
      <x:c r="T100" s="81" t="str">
        <x:f>IFERROR(INDEX('Resource Rate Library'!$E$5:$E$85,MATCH(P100,'Resource Rate Library'!$A$5:$A$85,0)),"")</x:f>
      </x:c>
      <x:c r="U100" s="62"/>
      <x:c r="V100" s="62"/>
      <x:c r="W100" s="83" t="n">
        <x:f>IFERROR(INDEX('Resource Rate Library'!$I$5:$I$85,MATCH(P100,'Resource Rate Library'!$A$5:$A$85,0)),0)</x:f>
        <x:v>0</x:v>
      </x:c>
      <x:c r="X100" s="52"/>
      <x:c r="Y100" s="83" t="n">
        <x:f t="shared" si="8">IF(X100&gt;0,X100,W100)</x:f>
        <x:v>0</x:v>
      </x:c>
      <x:c r="Z100" s="83" t="str">
        <x:f t="shared" si="9">IF(B100="","",IF(N100="Time x Count",M100*R100*IF(U100="",1,U100)*Y100,IF(N100="QS Qty x Factor",E100*R100*(1+IF(V100="",0,V100))*Y100,IF(N100="Direct Qty",S100*(1+IF(V100="",0,V100))*Y100,IF(N100="Lump Sum / Quote",S100*Y100,0)))))</x:f>
      </x:c>
      <x:c r="AA100" s="81" t="str">
        <x:f>IFERROR(INDEX('Resource Rate Library'!$N$5:$N$85,MATCH(P100,'Resource Rate Library'!$A$5:$A$85,0)),"")</x:f>
      </x:c>
      <x:c r="AB100" s="53"/>
      <x:c r="AC100" s="59"/>
      <x:c r="AD100" s="81" t="str">
        <x:f>IFERROR(INDEX('Resource Rate Library'!$G$5:$G$85,MATCH(P100,'Resource Rate Library'!$A$5:$A$85,0)),"")</x:f>
      </x:c>
      <x:c r="AE100" s="81" t="str">
        <x:f>IFERROR(INDEX('Resource Rate Library'!$H$5:$H$85,MATCH(P100,'Resource Rate Library'!$A$5:$A$85,0)),"")</x:f>
      </x:c>
      <x:c r="AF100" s="53"/>
      <x:c r="AG100" s="53"/>
      <x:c r="AH100" s="53"/>
      <x:c r="AI100" s="81" t="str">
        <x:f t="shared" si="10">IF(B100="","",IF(AND(P100="",N100&lt;&gt;"Lump Sum / Quote"),"RESOURCE CODE",IF(Y100=0,"RATE MISSING",IF(AND(O100="Plant",AD100="Yes",COUNTIFS($B$7:$B$306,B100,$O$7:$O$306,"Labour",$Q$7:$Q$306,"*Operator*")&gt;0),"OPERATOR DOUBLE-COUNT",IF(AND(O100="Plant",AE100="Yes",COUNTIFS($B$7:$B$306,B100,$Q$7:$Q$306,"*Fuel*")&gt;0),"FUEL DOUBLE-COUNT",IF(AH100&lt;&gt;"Yes","VERIFY","OK"))))))</x:f>
      </x:c>
      <x:c r="AJ100" s="54"/>
      <x:c r="AK100" s="473"/>
      <x:c r="AL100" s="473"/>
      <x:c r="AM100" s="473"/>
      <x:c r="AN100" s="500" t="n">
        <x:f>IF(AND(AK100="Yes",OR(O100="Labour",O100="Plant")),Z100,0)</x:f>
        <x:v>0</x:v>
      </x:c>
    </x:row>
    <x:row r="101" ht="22.049999237060547" customHeight="1">
      <x:c r="A101" s="80" t="str">
        <x:f>IF(B101="","",B101&amp;"-"&amp;TEXT(COUNTIF($B$7:B101,B101),"000"))</x:f>
      </x:c>
      <x:c r="B101" s="53"/>
      <x:c r="C101" s="81" t="str">
        <x:f>IFERROR(INDEX('QS Takeoff'!$A$3:$A$194,MATCH(B101,'QS Takeoff'!$B$3:$B$194,0)),"")</x:f>
      </x:c>
      <x:c r="D101" s="81" t="str">
        <x:f>IFERROR(INDEX('QS Takeoff'!$C$3:$C$194,MATCH(B101,'QS Takeoff'!$B$3:$B$194,0)),"")</x:f>
      </x:c>
      <x:c r="E101" s="81" t="str">
        <x:f>IFERROR(INDEX('QS Takeoff'!$E$3:$E$194,MATCH(B101,'QS Takeoff'!$B$3:$B$194,0)),"")</x:f>
      </x:c>
      <x:c r="F101" s="81" t="str">
        <x:f>IFERROR(INDEX('QS Takeoff'!$D$3:$D$194,MATCH(B101,'QS Takeoff'!$B$3:$B$194,0)),"")</x:f>
      </x:c>
      <x:c r="G101" s="81" t="str">
        <x:f>IFERROR(INDEX('QS Takeoff'!$J$3:$J$194,MATCH(B101,'QS Takeoff'!$B$3:$B$194,0)),"")</x:f>
      </x:c>
      <x:c r="H101" s="53"/>
      <x:c r="I101" s="60"/>
      <x:c r="J101" s="60"/>
      <x:c r="K101" s="82" t="str">
        <x:f t="shared" si="6">IF(OR(B101="",I101="",I101=0),"",E101/I101)</x:f>
      </x:c>
      <x:c r="L101" s="60"/>
      <x:c r="M101" s="82" t="str">
        <x:f t="shared" si="7">IF(L101&gt;0,L101,K101)</x:f>
      </x:c>
      <x:c r="N101" s="53"/>
      <x:c r="O101" s="53"/>
      <x:c r="P101" s="53"/>
      <x:c r="Q101" s="81" t="str">
        <x:f>IFERROR(INDEX('Resource Rate Library'!$C$5:$C$85,MATCH(P101,'Resource Rate Library'!$A$5:$A$85,0)),"")</x:f>
      </x:c>
      <x:c r="R101" s="53"/>
      <x:c r="S101" s="53"/>
      <x:c r="T101" s="81" t="str">
        <x:f>IFERROR(INDEX('Resource Rate Library'!$E$5:$E$85,MATCH(P101,'Resource Rate Library'!$A$5:$A$85,0)),"")</x:f>
      </x:c>
      <x:c r="U101" s="62"/>
      <x:c r="V101" s="62"/>
      <x:c r="W101" s="83" t="n">
        <x:f>IFERROR(INDEX('Resource Rate Library'!$I$5:$I$85,MATCH(P101,'Resource Rate Library'!$A$5:$A$85,0)),0)</x:f>
        <x:v>0</x:v>
      </x:c>
      <x:c r="X101" s="52"/>
      <x:c r="Y101" s="83" t="n">
        <x:f t="shared" si="8">IF(X101&gt;0,X101,W101)</x:f>
        <x:v>0</x:v>
      </x:c>
      <x:c r="Z101" s="83" t="str">
        <x:f t="shared" si="9">IF(B101="","",IF(N101="Time x Count",M101*R101*IF(U101="",1,U101)*Y101,IF(N101="QS Qty x Factor",E101*R101*(1+IF(V101="",0,V101))*Y101,IF(N101="Direct Qty",S101*(1+IF(V101="",0,V101))*Y101,IF(N101="Lump Sum / Quote",S101*Y101,0)))))</x:f>
      </x:c>
      <x:c r="AA101" s="81" t="str">
        <x:f>IFERROR(INDEX('Resource Rate Library'!$N$5:$N$85,MATCH(P101,'Resource Rate Library'!$A$5:$A$85,0)),"")</x:f>
      </x:c>
      <x:c r="AB101" s="53"/>
      <x:c r="AC101" s="59"/>
      <x:c r="AD101" s="81" t="str">
        <x:f>IFERROR(INDEX('Resource Rate Library'!$G$5:$G$85,MATCH(P101,'Resource Rate Library'!$A$5:$A$85,0)),"")</x:f>
      </x:c>
      <x:c r="AE101" s="81" t="str">
        <x:f>IFERROR(INDEX('Resource Rate Library'!$H$5:$H$85,MATCH(P101,'Resource Rate Library'!$A$5:$A$85,0)),"")</x:f>
      </x:c>
      <x:c r="AF101" s="53"/>
      <x:c r="AG101" s="53"/>
      <x:c r="AH101" s="53"/>
      <x:c r="AI101" s="81" t="str">
        <x:f t="shared" si="10">IF(B101="","",IF(AND(P101="",N101&lt;&gt;"Lump Sum / Quote"),"RESOURCE CODE",IF(Y101=0,"RATE MISSING",IF(AND(O101="Plant",AD101="Yes",COUNTIFS($B$7:$B$306,B101,$O$7:$O$306,"Labour",$Q$7:$Q$306,"*Operator*")&gt;0),"OPERATOR DOUBLE-COUNT",IF(AND(O101="Plant",AE101="Yes",COUNTIFS($B$7:$B$306,B101,$Q$7:$Q$306,"*Fuel*")&gt;0),"FUEL DOUBLE-COUNT",IF(AH101&lt;&gt;"Yes","VERIFY","OK"))))))</x:f>
      </x:c>
      <x:c r="AJ101" s="54"/>
      <x:c r="AK101" s="473"/>
      <x:c r="AL101" s="473"/>
      <x:c r="AM101" s="473"/>
      <x:c r="AN101" s="500" t="n">
        <x:f>IF(AND(AK101="Yes",OR(O101="Labour",O101="Plant")),Z101,0)</x:f>
        <x:v>0</x:v>
      </x:c>
    </x:row>
    <x:row r="102" ht="22.049999237060547" customHeight="1">
      <x:c r="A102" s="80" t="str">
        <x:f>IF(B102="","",B102&amp;"-"&amp;TEXT(COUNTIF($B$7:B102,B102),"000"))</x:f>
      </x:c>
      <x:c r="B102" s="53"/>
      <x:c r="C102" s="81" t="str">
        <x:f>IFERROR(INDEX('QS Takeoff'!$A$3:$A$194,MATCH(B102,'QS Takeoff'!$B$3:$B$194,0)),"")</x:f>
      </x:c>
      <x:c r="D102" s="81" t="str">
        <x:f>IFERROR(INDEX('QS Takeoff'!$C$3:$C$194,MATCH(B102,'QS Takeoff'!$B$3:$B$194,0)),"")</x:f>
      </x:c>
      <x:c r="E102" s="81" t="str">
        <x:f>IFERROR(INDEX('QS Takeoff'!$E$3:$E$194,MATCH(B102,'QS Takeoff'!$B$3:$B$194,0)),"")</x:f>
      </x:c>
      <x:c r="F102" s="81" t="str">
        <x:f>IFERROR(INDEX('QS Takeoff'!$D$3:$D$194,MATCH(B102,'QS Takeoff'!$B$3:$B$194,0)),"")</x:f>
      </x:c>
      <x:c r="G102" s="81" t="str">
        <x:f>IFERROR(INDEX('QS Takeoff'!$J$3:$J$194,MATCH(B102,'QS Takeoff'!$B$3:$B$194,0)),"")</x:f>
      </x:c>
      <x:c r="H102" s="53"/>
      <x:c r="I102" s="60"/>
      <x:c r="J102" s="60"/>
      <x:c r="K102" s="82" t="str">
        <x:f t="shared" si="6">IF(OR(B102="",I102="",I102=0),"",E102/I102)</x:f>
      </x:c>
      <x:c r="L102" s="60"/>
      <x:c r="M102" s="82" t="str">
        <x:f t="shared" si="7">IF(L102&gt;0,L102,K102)</x:f>
      </x:c>
      <x:c r="N102" s="53"/>
      <x:c r="O102" s="53"/>
      <x:c r="P102" s="53"/>
      <x:c r="Q102" s="81" t="str">
        <x:f>IFERROR(INDEX('Resource Rate Library'!$C$5:$C$85,MATCH(P102,'Resource Rate Library'!$A$5:$A$85,0)),"")</x:f>
      </x:c>
      <x:c r="R102" s="53"/>
      <x:c r="S102" s="53"/>
      <x:c r="T102" s="81" t="str">
        <x:f>IFERROR(INDEX('Resource Rate Library'!$E$5:$E$85,MATCH(P102,'Resource Rate Library'!$A$5:$A$85,0)),"")</x:f>
      </x:c>
      <x:c r="U102" s="62"/>
      <x:c r="V102" s="62"/>
      <x:c r="W102" s="83" t="n">
        <x:f>IFERROR(INDEX('Resource Rate Library'!$I$5:$I$85,MATCH(P102,'Resource Rate Library'!$A$5:$A$85,0)),0)</x:f>
        <x:v>0</x:v>
      </x:c>
      <x:c r="X102" s="52"/>
      <x:c r="Y102" s="83" t="n">
        <x:f t="shared" si="8">IF(X102&gt;0,X102,W102)</x:f>
        <x:v>0</x:v>
      </x:c>
      <x:c r="Z102" s="83" t="str">
        <x:f t="shared" si="9">IF(B102="","",IF(N102="Time x Count",M102*R102*IF(U102="",1,U102)*Y102,IF(N102="QS Qty x Factor",E102*R102*(1+IF(V102="",0,V102))*Y102,IF(N102="Direct Qty",S102*(1+IF(V102="",0,V102))*Y102,IF(N102="Lump Sum / Quote",S102*Y102,0)))))</x:f>
      </x:c>
      <x:c r="AA102" s="81" t="str">
        <x:f>IFERROR(INDEX('Resource Rate Library'!$N$5:$N$85,MATCH(P102,'Resource Rate Library'!$A$5:$A$85,0)),"")</x:f>
      </x:c>
      <x:c r="AB102" s="53"/>
      <x:c r="AC102" s="59"/>
      <x:c r="AD102" s="81" t="str">
        <x:f>IFERROR(INDEX('Resource Rate Library'!$G$5:$G$85,MATCH(P102,'Resource Rate Library'!$A$5:$A$85,0)),"")</x:f>
      </x:c>
      <x:c r="AE102" s="81" t="str">
        <x:f>IFERROR(INDEX('Resource Rate Library'!$H$5:$H$85,MATCH(P102,'Resource Rate Library'!$A$5:$A$85,0)),"")</x:f>
      </x:c>
      <x:c r="AF102" s="53"/>
      <x:c r="AG102" s="53"/>
      <x:c r="AH102" s="53"/>
      <x:c r="AI102" s="81" t="str">
        <x:f t="shared" si="10">IF(B102="","",IF(AND(P102="",N102&lt;&gt;"Lump Sum / Quote"),"RESOURCE CODE",IF(Y102=0,"RATE MISSING",IF(AND(O102="Plant",AD102="Yes",COUNTIFS($B$7:$B$306,B102,$O$7:$O$306,"Labour",$Q$7:$Q$306,"*Operator*")&gt;0),"OPERATOR DOUBLE-COUNT",IF(AND(O102="Plant",AE102="Yes",COUNTIFS($B$7:$B$306,B102,$Q$7:$Q$306,"*Fuel*")&gt;0),"FUEL DOUBLE-COUNT",IF(AH102&lt;&gt;"Yes","VERIFY","OK"))))))</x:f>
      </x:c>
      <x:c r="AJ102" s="54"/>
      <x:c r="AK102" s="473"/>
      <x:c r="AL102" s="473"/>
      <x:c r="AM102" s="473"/>
      <x:c r="AN102" s="500" t="n">
        <x:f>IF(AND(AK102="Yes",OR(O102="Labour",O102="Plant")),Z102,0)</x:f>
        <x:v>0</x:v>
      </x:c>
    </x:row>
    <x:row r="103" ht="22.049999237060547" customHeight="1">
      <x:c r="A103" s="80" t="str">
        <x:f>IF(B103="","",B103&amp;"-"&amp;TEXT(COUNTIF($B$7:B103,B103),"000"))</x:f>
      </x:c>
      <x:c r="B103" s="53"/>
      <x:c r="C103" s="81" t="str">
        <x:f>IFERROR(INDEX('QS Takeoff'!$A$3:$A$194,MATCH(B103,'QS Takeoff'!$B$3:$B$194,0)),"")</x:f>
      </x:c>
      <x:c r="D103" s="81" t="str">
        <x:f>IFERROR(INDEX('QS Takeoff'!$C$3:$C$194,MATCH(B103,'QS Takeoff'!$B$3:$B$194,0)),"")</x:f>
      </x:c>
      <x:c r="E103" s="81" t="str">
        <x:f>IFERROR(INDEX('QS Takeoff'!$E$3:$E$194,MATCH(B103,'QS Takeoff'!$B$3:$B$194,0)),"")</x:f>
      </x:c>
      <x:c r="F103" s="81" t="str">
        <x:f>IFERROR(INDEX('QS Takeoff'!$D$3:$D$194,MATCH(B103,'QS Takeoff'!$B$3:$B$194,0)),"")</x:f>
      </x:c>
      <x:c r="G103" s="81" t="str">
        <x:f>IFERROR(INDEX('QS Takeoff'!$J$3:$J$194,MATCH(B103,'QS Takeoff'!$B$3:$B$194,0)),"")</x:f>
      </x:c>
      <x:c r="H103" s="53"/>
      <x:c r="I103" s="60"/>
      <x:c r="J103" s="60"/>
      <x:c r="K103" s="82" t="str">
        <x:f t="shared" si="6">IF(OR(B103="",I103="",I103=0),"",E103/I103)</x:f>
      </x:c>
      <x:c r="L103" s="60"/>
      <x:c r="M103" s="82" t="str">
        <x:f t="shared" si="7">IF(L103&gt;0,L103,K103)</x:f>
      </x:c>
      <x:c r="N103" s="53"/>
      <x:c r="O103" s="53"/>
      <x:c r="P103" s="53"/>
      <x:c r="Q103" s="81" t="str">
        <x:f>IFERROR(INDEX('Resource Rate Library'!$C$5:$C$85,MATCH(P103,'Resource Rate Library'!$A$5:$A$85,0)),"")</x:f>
      </x:c>
      <x:c r="R103" s="53"/>
      <x:c r="S103" s="53"/>
      <x:c r="T103" s="81" t="str">
        <x:f>IFERROR(INDEX('Resource Rate Library'!$E$5:$E$85,MATCH(P103,'Resource Rate Library'!$A$5:$A$85,0)),"")</x:f>
      </x:c>
      <x:c r="U103" s="62"/>
      <x:c r="V103" s="62"/>
      <x:c r="W103" s="83" t="n">
        <x:f>IFERROR(INDEX('Resource Rate Library'!$I$5:$I$85,MATCH(P103,'Resource Rate Library'!$A$5:$A$85,0)),0)</x:f>
        <x:v>0</x:v>
      </x:c>
      <x:c r="X103" s="52"/>
      <x:c r="Y103" s="83" t="n">
        <x:f t="shared" si="8">IF(X103&gt;0,X103,W103)</x:f>
        <x:v>0</x:v>
      </x:c>
      <x:c r="Z103" s="83" t="str">
        <x:f t="shared" si="9">IF(B103="","",IF(N103="Time x Count",M103*R103*IF(U103="",1,U103)*Y103,IF(N103="QS Qty x Factor",E103*R103*(1+IF(V103="",0,V103))*Y103,IF(N103="Direct Qty",S103*(1+IF(V103="",0,V103))*Y103,IF(N103="Lump Sum / Quote",S103*Y103,0)))))</x:f>
      </x:c>
      <x:c r="AA103" s="81" t="str">
        <x:f>IFERROR(INDEX('Resource Rate Library'!$N$5:$N$85,MATCH(P103,'Resource Rate Library'!$A$5:$A$85,0)),"")</x:f>
      </x:c>
      <x:c r="AB103" s="53"/>
      <x:c r="AC103" s="59"/>
      <x:c r="AD103" s="81" t="str">
        <x:f>IFERROR(INDEX('Resource Rate Library'!$G$5:$G$85,MATCH(P103,'Resource Rate Library'!$A$5:$A$85,0)),"")</x:f>
      </x:c>
      <x:c r="AE103" s="81" t="str">
        <x:f>IFERROR(INDEX('Resource Rate Library'!$H$5:$H$85,MATCH(P103,'Resource Rate Library'!$A$5:$A$85,0)),"")</x:f>
      </x:c>
      <x:c r="AF103" s="53"/>
      <x:c r="AG103" s="53"/>
      <x:c r="AH103" s="53"/>
      <x:c r="AI103" s="81" t="str">
        <x:f t="shared" si="10">IF(B103="","",IF(AND(P103="",N103&lt;&gt;"Lump Sum / Quote"),"RESOURCE CODE",IF(Y103=0,"RATE MISSING",IF(AND(O103="Plant",AD103="Yes",COUNTIFS($B$7:$B$306,B103,$O$7:$O$306,"Labour",$Q$7:$Q$306,"*Operator*")&gt;0),"OPERATOR DOUBLE-COUNT",IF(AND(O103="Plant",AE103="Yes",COUNTIFS($B$7:$B$306,B103,$Q$7:$Q$306,"*Fuel*")&gt;0),"FUEL DOUBLE-COUNT",IF(AH103&lt;&gt;"Yes","VERIFY","OK"))))))</x:f>
      </x:c>
      <x:c r="AJ103" s="54"/>
      <x:c r="AK103" s="473"/>
      <x:c r="AL103" s="473"/>
      <x:c r="AM103" s="473"/>
      <x:c r="AN103" s="500" t="n">
        <x:f>IF(AND(AK103="Yes",OR(O103="Labour",O103="Plant")),Z103,0)</x:f>
        <x:v>0</x:v>
      </x:c>
    </x:row>
    <x:row r="104" ht="22.049999237060547" customHeight="1">
      <x:c r="A104" s="80" t="str">
        <x:f>IF(B104="","",B104&amp;"-"&amp;TEXT(COUNTIF($B$7:B104,B104),"000"))</x:f>
      </x:c>
      <x:c r="B104" s="53"/>
      <x:c r="C104" s="81" t="str">
        <x:f>IFERROR(INDEX('QS Takeoff'!$A$3:$A$194,MATCH(B104,'QS Takeoff'!$B$3:$B$194,0)),"")</x:f>
      </x:c>
      <x:c r="D104" s="81" t="str">
        <x:f>IFERROR(INDEX('QS Takeoff'!$C$3:$C$194,MATCH(B104,'QS Takeoff'!$B$3:$B$194,0)),"")</x:f>
      </x:c>
      <x:c r="E104" s="81" t="str">
        <x:f>IFERROR(INDEX('QS Takeoff'!$E$3:$E$194,MATCH(B104,'QS Takeoff'!$B$3:$B$194,0)),"")</x:f>
      </x:c>
      <x:c r="F104" s="81" t="str">
        <x:f>IFERROR(INDEX('QS Takeoff'!$D$3:$D$194,MATCH(B104,'QS Takeoff'!$B$3:$B$194,0)),"")</x:f>
      </x:c>
      <x:c r="G104" s="81" t="str">
        <x:f>IFERROR(INDEX('QS Takeoff'!$J$3:$J$194,MATCH(B104,'QS Takeoff'!$B$3:$B$194,0)),"")</x:f>
      </x:c>
      <x:c r="H104" s="53"/>
      <x:c r="I104" s="60"/>
      <x:c r="J104" s="60"/>
      <x:c r="K104" s="82" t="str">
        <x:f t="shared" si="6">IF(OR(B104="",I104="",I104=0),"",E104/I104)</x:f>
      </x:c>
      <x:c r="L104" s="60"/>
      <x:c r="M104" s="82" t="str">
        <x:f t="shared" si="7">IF(L104&gt;0,L104,K104)</x:f>
      </x:c>
      <x:c r="N104" s="53"/>
      <x:c r="O104" s="53"/>
      <x:c r="P104" s="53"/>
      <x:c r="Q104" s="81" t="str">
        <x:f>IFERROR(INDEX('Resource Rate Library'!$C$5:$C$85,MATCH(P104,'Resource Rate Library'!$A$5:$A$85,0)),"")</x:f>
      </x:c>
      <x:c r="R104" s="53"/>
      <x:c r="S104" s="53"/>
      <x:c r="T104" s="81" t="str">
        <x:f>IFERROR(INDEX('Resource Rate Library'!$E$5:$E$85,MATCH(P104,'Resource Rate Library'!$A$5:$A$85,0)),"")</x:f>
      </x:c>
      <x:c r="U104" s="62"/>
      <x:c r="V104" s="62"/>
      <x:c r="W104" s="83" t="n">
        <x:f>IFERROR(INDEX('Resource Rate Library'!$I$5:$I$85,MATCH(P104,'Resource Rate Library'!$A$5:$A$85,0)),0)</x:f>
        <x:v>0</x:v>
      </x:c>
      <x:c r="X104" s="52"/>
      <x:c r="Y104" s="83" t="n">
        <x:f t="shared" si="8">IF(X104&gt;0,X104,W104)</x:f>
        <x:v>0</x:v>
      </x:c>
      <x:c r="Z104" s="83" t="str">
        <x:f t="shared" si="9">IF(B104="","",IF(N104="Time x Count",M104*R104*IF(U104="",1,U104)*Y104,IF(N104="QS Qty x Factor",E104*R104*(1+IF(V104="",0,V104))*Y104,IF(N104="Direct Qty",S104*(1+IF(V104="",0,V104))*Y104,IF(N104="Lump Sum / Quote",S104*Y104,0)))))</x:f>
      </x:c>
      <x:c r="AA104" s="81" t="str">
        <x:f>IFERROR(INDEX('Resource Rate Library'!$N$5:$N$85,MATCH(P104,'Resource Rate Library'!$A$5:$A$85,0)),"")</x:f>
      </x:c>
      <x:c r="AB104" s="53"/>
      <x:c r="AC104" s="59"/>
      <x:c r="AD104" s="81" t="str">
        <x:f>IFERROR(INDEX('Resource Rate Library'!$G$5:$G$85,MATCH(P104,'Resource Rate Library'!$A$5:$A$85,0)),"")</x:f>
      </x:c>
      <x:c r="AE104" s="81" t="str">
        <x:f>IFERROR(INDEX('Resource Rate Library'!$H$5:$H$85,MATCH(P104,'Resource Rate Library'!$A$5:$A$85,0)),"")</x:f>
      </x:c>
      <x:c r="AF104" s="53"/>
      <x:c r="AG104" s="53"/>
      <x:c r="AH104" s="53"/>
      <x:c r="AI104" s="81" t="str">
        <x:f t="shared" si="10">IF(B104="","",IF(AND(P104="",N104&lt;&gt;"Lump Sum / Quote"),"RESOURCE CODE",IF(Y104=0,"RATE MISSING",IF(AND(O104="Plant",AD104="Yes",COUNTIFS($B$7:$B$306,B104,$O$7:$O$306,"Labour",$Q$7:$Q$306,"*Operator*")&gt;0),"OPERATOR DOUBLE-COUNT",IF(AND(O104="Plant",AE104="Yes",COUNTIFS($B$7:$B$306,B104,$Q$7:$Q$306,"*Fuel*")&gt;0),"FUEL DOUBLE-COUNT",IF(AH104&lt;&gt;"Yes","VERIFY","OK"))))))</x:f>
      </x:c>
      <x:c r="AJ104" s="54"/>
      <x:c r="AK104" s="473"/>
      <x:c r="AL104" s="473"/>
      <x:c r="AM104" s="473"/>
      <x:c r="AN104" s="500" t="n">
        <x:f>IF(AND(AK104="Yes",OR(O104="Labour",O104="Plant")),Z104,0)</x:f>
        <x:v>0</x:v>
      </x:c>
    </x:row>
    <x:row r="105" ht="22.049999237060547" customHeight="1">
      <x:c r="A105" s="80" t="str">
        <x:f>IF(B105="","",B105&amp;"-"&amp;TEXT(COUNTIF($B$7:B105,B105),"000"))</x:f>
      </x:c>
      <x:c r="B105" s="53"/>
      <x:c r="C105" s="81" t="str">
        <x:f>IFERROR(INDEX('QS Takeoff'!$A$3:$A$194,MATCH(B105,'QS Takeoff'!$B$3:$B$194,0)),"")</x:f>
      </x:c>
      <x:c r="D105" s="81" t="str">
        <x:f>IFERROR(INDEX('QS Takeoff'!$C$3:$C$194,MATCH(B105,'QS Takeoff'!$B$3:$B$194,0)),"")</x:f>
      </x:c>
      <x:c r="E105" s="81" t="str">
        <x:f>IFERROR(INDEX('QS Takeoff'!$E$3:$E$194,MATCH(B105,'QS Takeoff'!$B$3:$B$194,0)),"")</x:f>
      </x:c>
      <x:c r="F105" s="81" t="str">
        <x:f>IFERROR(INDEX('QS Takeoff'!$D$3:$D$194,MATCH(B105,'QS Takeoff'!$B$3:$B$194,0)),"")</x:f>
      </x:c>
      <x:c r="G105" s="81" t="str">
        <x:f>IFERROR(INDEX('QS Takeoff'!$J$3:$J$194,MATCH(B105,'QS Takeoff'!$B$3:$B$194,0)),"")</x:f>
      </x:c>
      <x:c r="H105" s="53"/>
      <x:c r="I105" s="60"/>
      <x:c r="J105" s="60"/>
      <x:c r="K105" s="82" t="str">
        <x:f t="shared" si="6">IF(OR(B105="",I105="",I105=0),"",E105/I105)</x:f>
      </x:c>
      <x:c r="L105" s="60"/>
      <x:c r="M105" s="82" t="str">
        <x:f t="shared" si="7">IF(L105&gt;0,L105,K105)</x:f>
      </x:c>
      <x:c r="N105" s="53"/>
      <x:c r="O105" s="53"/>
      <x:c r="P105" s="53"/>
      <x:c r="Q105" s="81" t="str">
        <x:f>IFERROR(INDEX('Resource Rate Library'!$C$5:$C$85,MATCH(P105,'Resource Rate Library'!$A$5:$A$85,0)),"")</x:f>
      </x:c>
      <x:c r="R105" s="53"/>
      <x:c r="S105" s="53"/>
      <x:c r="T105" s="81" t="str">
        <x:f>IFERROR(INDEX('Resource Rate Library'!$E$5:$E$85,MATCH(P105,'Resource Rate Library'!$A$5:$A$85,0)),"")</x:f>
      </x:c>
      <x:c r="U105" s="62"/>
      <x:c r="V105" s="62"/>
      <x:c r="W105" s="83" t="n">
        <x:f>IFERROR(INDEX('Resource Rate Library'!$I$5:$I$85,MATCH(P105,'Resource Rate Library'!$A$5:$A$85,0)),0)</x:f>
        <x:v>0</x:v>
      </x:c>
      <x:c r="X105" s="52"/>
      <x:c r="Y105" s="83" t="n">
        <x:f t="shared" si="8">IF(X105&gt;0,X105,W105)</x:f>
        <x:v>0</x:v>
      </x:c>
      <x:c r="Z105" s="83" t="str">
        <x:f t="shared" si="9">IF(B105="","",IF(N105="Time x Count",M105*R105*IF(U105="",1,U105)*Y105,IF(N105="QS Qty x Factor",E105*R105*(1+IF(V105="",0,V105))*Y105,IF(N105="Direct Qty",S105*(1+IF(V105="",0,V105))*Y105,IF(N105="Lump Sum / Quote",S105*Y105,0)))))</x:f>
      </x:c>
      <x:c r="AA105" s="81" t="str">
        <x:f>IFERROR(INDEX('Resource Rate Library'!$N$5:$N$85,MATCH(P105,'Resource Rate Library'!$A$5:$A$85,0)),"")</x:f>
      </x:c>
      <x:c r="AB105" s="53"/>
      <x:c r="AC105" s="59"/>
      <x:c r="AD105" s="81" t="str">
        <x:f>IFERROR(INDEX('Resource Rate Library'!$G$5:$G$85,MATCH(P105,'Resource Rate Library'!$A$5:$A$85,0)),"")</x:f>
      </x:c>
      <x:c r="AE105" s="81" t="str">
        <x:f>IFERROR(INDEX('Resource Rate Library'!$H$5:$H$85,MATCH(P105,'Resource Rate Library'!$A$5:$A$85,0)),"")</x:f>
      </x:c>
      <x:c r="AF105" s="53"/>
      <x:c r="AG105" s="53"/>
      <x:c r="AH105" s="53"/>
      <x:c r="AI105" s="81" t="str">
        <x:f t="shared" si="10">IF(B105="","",IF(AND(P105="",N105&lt;&gt;"Lump Sum / Quote"),"RESOURCE CODE",IF(Y105=0,"RATE MISSING",IF(AND(O105="Plant",AD105="Yes",COUNTIFS($B$7:$B$306,B105,$O$7:$O$306,"Labour",$Q$7:$Q$306,"*Operator*")&gt;0),"OPERATOR DOUBLE-COUNT",IF(AND(O105="Plant",AE105="Yes",COUNTIFS($B$7:$B$306,B105,$Q$7:$Q$306,"*Fuel*")&gt;0),"FUEL DOUBLE-COUNT",IF(AH105&lt;&gt;"Yes","VERIFY","OK"))))))</x:f>
      </x:c>
      <x:c r="AJ105" s="54"/>
      <x:c r="AK105" s="473"/>
      <x:c r="AL105" s="473"/>
      <x:c r="AM105" s="473"/>
      <x:c r="AN105" s="500" t="n">
        <x:f>IF(AND(AK105="Yes",OR(O105="Labour",O105="Plant")),Z105,0)</x:f>
        <x:v>0</x:v>
      </x:c>
    </x:row>
    <x:row r="106" ht="22.049999237060547" customHeight="1">
      <x:c r="A106" s="80" t="str">
        <x:f>IF(B106="","",B106&amp;"-"&amp;TEXT(COUNTIF($B$7:B106,B106),"000"))</x:f>
      </x:c>
      <x:c r="B106" s="53"/>
      <x:c r="C106" s="81" t="str">
        <x:f>IFERROR(INDEX('QS Takeoff'!$A$3:$A$194,MATCH(B106,'QS Takeoff'!$B$3:$B$194,0)),"")</x:f>
      </x:c>
      <x:c r="D106" s="81" t="str">
        <x:f>IFERROR(INDEX('QS Takeoff'!$C$3:$C$194,MATCH(B106,'QS Takeoff'!$B$3:$B$194,0)),"")</x:f>
      </x:c>
      <x:c r="E106" s="81" t="str">
        <x:f>IFERROR(INDEX('QS Takeoff'!$E$3:$E$194,MATCH(B106,'QS Takeoff'!$B$3:$B$194,0)),"")</x:f>
      </x:c>
      <x:c r="F106" s="81" t="str">
        <x:f>IFERROR(INDEX('QS Takeoff'!$D$3:$D$194,MATCH(B106,'QS Takeoff'!$B$3:$B$194,0)),"")</x:f>
      </x:c>
      <x:c r="G106" s="81" t="str">
        <x:f>IFERROR(INDEX('QS Takeoff'!$J$3:$J$194,MATCH(B106,'QS Takeoff'!$B$3:$B$194,0)),"")</x:f>
      </x:c>
      <x:c r="H106" s="53"/>
      <x:c r="I106" s="60"/>
      <x:c r="J106" s="60"/>
      <x:c r="K106" s="82" t="str">
        <x:f t="shared" si="6">IF(OR(B106="",I106="",I106=0),"",E106/I106)</x:f>
      </x:c>
      <x:c r="L106" s="60"/>
      <x:c r="M106" s="82" t="str">
        <x:f t="shared" si="7">IF(L106&gt;0,L106,K106)</x:f>
      </x:c>
      <x:c r="N106" s="53"/>
      <x:c r="O106" s="53"/>
      <x:c r="P106" s="53"/>
      <x:c r="Q106" s="81" t="str">
        <x:f>IFERROR(INDEX('Resource Rate Library'!$C$5:$C$85,MATCH(P106,'Resource Rate Library'!$A$5:$A$85,0)),"")</x:f>
      </x:c>
      <x:c r="R106" s="53"/>
      <x:c r="S106" s="53"/>
      <x:c r="T106" s="81" t="str">
        <x:f>IFERROR(INDEX('Resource Rate Library'!$E$5:$E$85,MATCH(P106,'Resource Rate Library'!$A$5:$A$85,0)),"")</x:f>
      </x:c>
      <x:c r="U106" s="62"/>
      <x:c r="V106" s="62"/>
      <x:c r="W106" s="83" t="n">
        <x:f>IFERROR(INDEX('Resource Rate Library'!$I$5:$I$85,MATCH(P106,'Resource Rate Library'!$A$5:$A$85,0)),0)</x:f>
        <x:v>0</x:v>
      </x:c>
      <x:c r="X106" s="52"/>
      <x:c r="Y106" s="83" t="n">
        <x:f t="shared" si="8">IF(X106&gt;0,X106,W106)</x:f>
        <x:v>0</x:v>
      </x:c>
      <x:c r="Z106" s="83" t="str">
        <x:f t="shared" si="9">IF(B106="","",IF(N106="Time x Count",M106*R106*IF(U106="",1,U106)*Y106,IF(N106="QS Qty x Factor",E106*R106*(1+IF(V106="",0,V106))*Y106,IF(N106="Direct Qty",S106*(1+IF(V106="",0,V106))*Y106,IF(N106="Lump Sum / Quote",S106*Y106,0)))))</x:f>
      </x:c>
      <x:c r="AA106" s="81" t="str">
        <x:f>IFERROR(INDEX('Resource Rate Library'!$N$5:$N$85,MATCH(P106,'Resource Rate Library'!$A$5:$A$85,0)),"")</x:f>
      </x:c>
      <x:c r="AB106" s="53"/>
      <x:c r="AC106" s="59"/>
      <x:c r="AD106" s="81" t="str">
        <x:f>IFERROR(INDEX('Resource Rate Library'!$G$5:$G$85,MATCH(P106,'Resource Rate Library'!$A$5:$A$85,0)),"")</x:f>
      </x:c>
      <x:c r="AE106" s="81" t="str">
        <x:f>IFERROR(INDEX('Resource Rate Library'!$H$5:$H$85,MATCH(P106,'Resource Rate Library'!$A$5:$A$85,0)),"")</x:f>
      </x:c>
      <x:c r="AF106" s="53"/>
      <x:c r="AG106" s="53"/>
      <x:c r="AH106" s="53"/>
      <x:c r="AI106" s="81" t="str">
        <x:f t="shared" si="10">IF(B106="","",IF(AND(P106="",N106&lt;&gt;"Lump Sum / Quote"),"RESOURCE CODE",IF(Y106=0,"RATE MISSING",IF(AND(O106="Plant",AD106="Yes",COUNTIFS($B$7:$B$306,B106,$O$7:$O$306,"Labour",$Q$7:$Q$306,"*Operator*")&gt;0),"OPERATOR DOUBLE-COUNT",IF(AND(O106="Plant",AE106="Yes",COUNTIFS($B$7:$B$306,B106,$Q$7:$Q$306,"*Fuel*")&gt;0),"FUEL DOUBLE-COUNT",IF(AH106&lt;&gt;"Yes","VERIFY","OK"))))))</x:f>
      </x:c>
      <x:c r="AJ106" s="54"/>
      <x:c r="AK106" s="473"/>
      <x:c r="AL106" s="473"/>
      <x:c r="AM106" s="473"/>
      <x:c r="AN106" s="500" t="n">
        <x:f>IF(AND(AK106="Yes",OR(O106="Labour",O106="Plant")),Z106,0)</x:f>
        <x:v>0</x:v>
      </x:c>
    </x:row>
    <x:row r="107" ht="22.049999237060547" customHeight="1">
      <x:c r="A107" s="80" t="str">
        <x:f>IF(B107="","",B107&amp;"-"&amp;TEXT(COUNTIF($B$7:B107,B107),"000"))</x:f>
      </x:c>
      <x:c r="B107" s="53"/>
      <x:c r="C107" s="81" t="str">
        <x:f>IFERROR(INDEX('QS Takeoff'!$A$3:$A$194,MATCH(B107,'QS Takeoff'!$B$3:$B$194,0)),"")</x:f>
      </x:c>
      <x:c r="D107" s="81" t="str">
        <x:f>IFERROR(INDEX('QS Takeoff'!$C$3:$C$194,MATCH(B107,'QS Takeoff'!$B$3:$B$194,0)),"")</x:f>
      </x:c>
      <x:c r="E107" s="81" t="str">
        <x:f>IFERROR(INDEX('QS Takeoff'!$E$3:$E$194,MATCH(B107,'QS Takeoff'!$B$3:$B$194,0)),"")</x:f>
      </x:c>
      <x:c r="F107" s="81" t="str">
        <x:f>IFERROR(INDEX('QS Takeoff'!$D$3:$D$194,MATCH(B107,'QS Takeoff'!$B$3:$B$194,0)),"")</x:f>
      </x:c>
      <x:c r="G107" s="81" t="str">
        <x:f>IFERROR(INDEX('QS Takeoff'!$J$3:$J$194,MATCH(B107,'QS Takeoff'!$B$3:$B$194,0)),"")</x:f>
      </x:c>
      <x:c r="H107" s="53"/>
      <x:c r="I107" s="60"/>
      <x:c r="J107" s="60"/>
      <x:c r="K107" s="82" t="str">
        <x:f t="shared" si="6">IF(OR(B107="",I107="",I107=0),"",E107/I107)</x:f>
      </x:c>
      <x:c r="L107" s="60"/>
      <x:c r="M107" s="82" t="str">
        <x:f t="shared" si="7">IF(L107&gt;0,L107,K107)</x:f>
      </x:c>
      <x:c r="N107" s="53"/>
      <x:c r="O107" s="53"/>
      <x:c r="P107" s="53"/>
      <x:c r="Q107" s="81" t="str">
        <x:f>IFERROR(INDEX('Resource Rate Library'!$C$5:$C$85,MATCH(P107,'Resource Rate Library'!$A$5:$A$85,0)),"")</x:f>
      </x:c>
      <x:c r="R107" s="53"/>
      <x:c r="S107" s="53"/>
      <x:c r="T107" s="81" t="str">
        <x:f>IFERROR(INDEX('Resource Rate Library'!$E$5:$E$85,MATCH(P107,'Resource Rate Library'!$A$5:$A$85,0)),"")</x:f>
      </x:c>
      <x:c r="U107" s="62"/>
      <x:c r="V107" s="62"/>
      <x:c r="W107" s="83" t="n">
        <x:f>IFERROR(INDEX('Resource Rate Library'!$I$5:$I$85,MATCH(P107,'Resource Rate Library'!$A$5:$A$85,0)),0)</x:f>
        <x:v>0</x:v>
      </x:c>
      <x:c r="X107" s="52"/>
      <x:c r="Y107" s="83" t="n">
        <x:f t="shared" si="8">IF(X107&gt;0,X107,W107)</x:f>
        <x:v>0</x:v>
      </x:c>
      <x:c r="Z107" s="83" t="str">
        <x:f t="shared" si="9">IF(B107="","",IF(N107="Time x Count",M107*R107*IF(U107="",1,U107)*Y107,IF(N107="QS Qty x Factor",E107*R107*(1+IF(V107="",0,V107))*Y107,IF(N107="Direct Qty",S107*(1+IF(V107="",0,V107))*Y107,IF(N107="Lump Sum / Quote",S107*Y107,0)))))</x:f>
      </x:c>
      <x:c r="AA107" s="81" t="str">
        <x:f>IFERROR(INDEX('Resource Rate Library'!$N$5:$N$85,MATCH(P107,'Resource Rate Library'!$A$5:$A$85,0)),"")</x:f>
      </x:c>
      <x:c r="AB107" s="53"/>
      <x:c r="AC107" s="59"/>
      <x:c r="AD107" s="81" t="str">
        <x:f>IFERROR(INDEX('Resource Rate Library'!$G$5:$G$85,MATCH(P107,'Resource Rate Library'!$A$5:$A$85,0)),"")</x:f>
      </x:c>
      <x:c r="AE107" s="81" t="str">
        <x:f>IFERROR(INDEX('Resource Rate Library'!$H$5:$H$85,MATCH(P107,'Resource Rate Library'!$A$5:$A$85,0)),"")</x:f>
      </x:c>
      <x:c r="AF107" s="53"/>
      <x:c r="AG107" s="53"/>
      <x:c r="AH107" s="53"/>
      <x:c r="AI107" s="81" t="str">
        <x:f t="shared" si="10">IF(B107="","",IF(AND(P107="",N107&lt;&gt;"Lump Sum / Quote"),"RESOURCE CODE",IF(Y107=0,"RATE MISSING",IF(AND(O107="Plant",AD107="Yes",COUNTIFS($B$7:$B$306,B107,$O$7:$O$306,"Labour",$Q$7:$Q$306,"*Operator*")&gt;0),"OPERATOR DOUBLE-COUNT",IF(AND(O107="Plant",AE107="Yes",COUNTIFS($B$7:$B$306,B107,$Q$7:$Q$306,"*Fuel*")&gt;0),"FUEL DOUBLE-COUNT",IF(AH107&lt;&gt;"Yes","VERIFY","OK"))))))</x:f>
      </x:c>
      <x:c r="AJ107" s="54"/>
      <x:c r="AK107" s="473"/>
      <x:c r="AL107" s="473"/>
      <x:c r="AM107" s="473"/>
      <x:c r="AN107" s="500" t="n">
        <x:f>IF(AND(AK107="Yes",OR(O107="Labour",O107="Plant")),Z107,0)</x:f>
        <x:v>0</x:v>
      </x:c>
    </x:row>
    <x:row r="108" ht="22.049999237060547" customHeight="1">
      <x:c r="A108" s="80" t="str">
        <x:f>IF(B108="","",B108&amp;"-"&amp;TEXT(COUNTIF($B$7:B108,B108),"000"))</x:f>
      </x:c>
      <x:c r="B108" s="53"/>
      <x:c r="C108" s="81" t="str">
        <x:f>IFERROR(INDEX('QS Takeoff'!$A$3:$A$194,MATCH(B108,'QS Takeoff'!$B$3:$B$194,0)),"")</x:f>
      </x:c>
      <x:c r="D108" s="81" t="str">
        <x:f>IFERROR(INDEX('QS Takeoff'!$C$3:$C$194,MATCH(B108,'QS Takeoff'!$B$3:$B$194,0)),"")</x:f>
      </x:c>
      <x:c r="E108" s="81" t="str">
        <x:f>IFERROR(INDEX('QS Takeoff'!$E$3:$E$194,MATCH(B108,'QS Takeoff'!$B$3:$B$194,0)),"")</x:f>
      </x:c>
      <x:c r="F108" s="81" t="str">
        <x:f>IFERROR(INDEX('QS Takeoff'!$D$3:$D$194,MATCH(B108,'QS Takeoff'!$B$3:$B$194,0)),"")</x:f>
      </x:c>
      <x:c r="G108" s="81" t="str">
        <x:f>IFERROR(INDEX('QS Takeoff'!$J$3:$J$194,MATCH(B108,'QS Takeoff'!$B$3:$B$194,0)),"")</x:f>
      </x:c>
      <x:c r="H108" s="53"/>
      <x:c r="I108" s="60"/>
      <x:c r="J108" s="60"/>
      <x:c r="K108" s="82" t="str">
        <x:f t="shared" si="6">IF(OR(B108="",I108="",I108=0),"",E108/I108)</x:f>
      </x:c>
      <x:c r="L108" s="60"/>
      <x:c r="M108" s="82" t="str">
        <x:f t="shared" si="7">IF(L108&gt;0,L108,K108)</x:f>
      </x:c>
      <x:c r="N108" s="53"/>
      <x:c r="O108" s="53"/>
      <x:c r="P108" s="53"/>
      <x:c r="Q108" s="81" t="str">
        <x:f>IFERROR(INDEX('Resource Rate Library'!$C$5:$C$85,MATCH(P108,'Resource Rate Library'!$A$5:$A$85,0)),"")</x:f>
      </x:c>
      <x:c r="R108" s="53"/>
      <x:c r="S108" s="53"/>
      <x:c r="T108" s="81" t="str">
        <x:f>IFERROR(INDEX('Resource Rate Library'!$E$5:$E$85,MATCH(P108,'Resource Rate Library'!$A$5:$A$85,0)),"")</x:f>
      </x:c>
      <x:c r="U108" s="62"/>
      <x:c r="V108" s="62"/>
      <x:c r="W108" s="83" t="n">
        <x:f>IFERROR(INDEX('Resource Rate Library'!$I$5:$I$85,MATCH(P108,'Resource Rate Library'!$A$5:$A$85,0)),0)</x:f>
        <x:v>0</x:v>
      </x:c>
      <x:c r="X108" s="52"/>
      <x:c r="Y108" s="83" t="n">
        <x:f t="shared" si="8">IF(X108&gt;0,X108,W108)</x:f>
        <x:v>0</x:v>
      </x:c>
      <x:c r="Z108" s="83" t="str">
        <x:f t="shared" si="9">IF(B108="","",IF(N108="Time x Count",M108*R108*IF(U108="",1,U108)*Y108,IF(N108="QS Qty x Factor",E108*R108*(1+IF(V108="",0,V108))*Y108,IF(N108="Direct Qty",S108*(1+IF(V108="",0,V108))*Y108,IF(N108="Lump Sum / Quote",S108*Y108,0)))))</x:f>
      </x:c>
      <x:c r="AA108" s="81" t="str">
        <x:f>IFERROR(INDEX('Resource Rate Library'!$N$5:$N$85,MATCH(P108,'Resource Rate Library'!$A$5:$A$85,0)),"")</x:f>
      </x:c>
      <x:c r="AB108" s="53"/>
      <x:c r="AC108" s="59"/>
      <x:c r="AD108" s="81" t="str">
        <x:f>IFERROR(INDEX('Resource Rate Library'!$G$5:$G$85,MATCH(P108,'Resource Rate Library'!$A$5:$A$85,0)),"")</x:f>
      </x:c>
      <x:c r="AE108" s="81" t="str">
        <x:f>IFERROR(INDEX('Resource Rate Library'!$H$5:$H$85,MATCH(P108,'Resource Rate Library'!$A$5:$A$85,0)),"")</x:f>
      </x:c>
      <x:c r="AF108" s="53"/>
      <x:c r="AG108" s="53"/>
      <x:c r="AH108" s="53"/>
      <x:c r="AI108" s="81" t="str">
        <x:f t="shared" si="10">IF(B108="","",IF(AND(P108="",N108&lt;&gt;"Lump Sum / Quote"),"RESOURCE CODE",IF(Y108=0,"RATE MISSING",IF(AND(O108="Plant",AD108="Yes",COUNTIFS($B$7:$B$306,B108,$O$7:$O$306,"Labour",$Q$7:$Q$306,"*Operator*")&gt;0),"OPERATOR DOUBLE-COUNT",IF(AND(O108="Plant",AE108="Yes",COUNTIFS($B$7:$B$306,B108,$Q$7:$Q$306,"*Fuel*")&gt;0),"FUEL DOUBLE-COUNT",IF(AH108&lt;&gt;"Yes","VERIFY","OK"))))))</x:f>
      </x:c>
      <x:c r="AJ108" s="54"/>
      <x:c r="AK108" s="473"/>
      <x:c r="AL108" s="473"/>
      <x:c r="AM108" s="473"/>
      <x:c r="AN108" s="500" t="n">
        <x:f>IF(AND(AK108="Yes",OR(O108="Labour",O108="Plant")),Z108,0)</x:f>
        <x:v>0</x:v>
      </x:c>
    </x:row>
    <x:row r="109" ht="22.049999237060547" customHeight="1">
      <x:c r="A109" s="80" t="str">
        <x:f>IF(B109="","",B109&amp;"-"&amp;TEXT(COUNTIF($B$7:B109,B109),"000"))</x:f>
      </x:c>
      <x:c r="B109" s="53"/>
      <x:c r="C109" s="81" t="str">
        <x:f>IFERROR(INDEX('QS Takeoff'!$A$3:$A$194,MATCH(B109,'QS Takeoff'!$B$3:$B$194,0)),"")</x:f>
      </x:c>
      <x:c r="D109" s="81" t="str">
        <x:f>IFERROR(INDEX('QS Takeoff'!$C$3:$C$194,MATCH(B109,'QS Takeoff'!$B$3:$B$194,0)),"")</x:f>
      </x:c>
      <x:c r="E109" s="81" t="str">
        <x:f>IFERROR(INDEX('QS Takeoff'!$E$3:$E$194,MATCH(B109,'QS Takeoff'!$B$3:$B$194,0)),"")</x:f>
      </x:c>
      <x:c r="F109" s="81" t="str">
        <x:f>IFERROR(INDEX('QS Takeoff'!$D$3:$D$194,MATCH(B109,'QS Takeoff'!$B$3:$B$194,0)),"")</x:f>
      </x:c>
      <x:c r="G109" s="81" t="str">
        <x:f>IFERROR(INDEX('QS Takeoff'!$J$3:$J$194,MATCH(B109,'QS Takeoff'!$B$3:$B$194,0)),"")</x:f>
      </x:c>
      <x:c r="H109" s="53"/>
      <x:c r="I109" s="60"/>
      <x:c r="J109" s="60"/>
      <x:c r="K109" s="82" t="str">
        <x:f t="shared" si="6">IF(OR(B109="",I109="",I109=0),"",E109/I109)</x:f>
      </x:c>
      <x:c r="L109" s="60"/>
      <x:c r="M109" s="82" t="str">
        <x:f t="shared" si="7">IF(L109&gt;0,L109,K109)</x:f>
      </x:c>
      <x:c r="N109" s="53"/>
      <x:c r="O109" s="53"/>
      <x:c r="P109" s="53"/>
      <x:c r="Q109" s="81" t="str">
        <x:f>IFERROR(INDEX('Resource Rate Library'!$C$5:$C$85,MATCH(P109,'Resource Rate Library'!$A$5:$A$85,0)),"")</x:f>
      </x:c>
      <x:c r="R109" s="53"/>
      <x:c r="S109" s="53"/>
      <x:c r="T109" s="81" t="str">
        <x:f>IFERROR(INDEX('Resource Rate Library'!$E$5:$E$85,MATCH(P109,'Resource Rate Library'!$A$5:$A$85,0)),"")</x:f>
      </x:c>
      <x:c r="U109" s="62"/>
      <x:c r="V109" s="62"/>
      <x:c r="W109" s="83" t="n">
        <x:f>IFERROR(INDEX('Resource Rate Library'!$I$5:$I$85,MATCH(P109,'Resource Rate Library'!$A$5:$A$85,0)),0)</x:f>
        <x:v>0</x:v>
      </x:c>
      <x:c r="X109" s="52"/>
      <x:c r="Y109" s="83" t="n">
        <x:f t="shared" si="8">IF(X109&gt;0,X109,W109)</x:f>
        <x:v>0</x:v>
      </x:c>
      <x:c r="Z109" s="83" t="str">
        <x:f t="shared" si="9">IF(B109="","",IF(N109="Time x Count",M109*R109*IF(U109="",1,U109)*Y109,IF(N109="QS Qty x Factor",E109*R109*(1+IF(V109="",0,V109))*Y109,IF(N109="Direct Qty",S109*(1+IF(V109="",0,V109))*Y109,IF(N109="Lump Sum / Quote",S109*Y109,0)))))</x:f>
      </x:c>
      <x:c r="AA109" s="81" t="str">
        <x:f>IFERROR(INDEX('Resource Rate Library'!$N$5:$N$85,MATCH(P109,'Resource Rate Library'!$A$5:$A$85,0)),"")</x:f>
      </x:c>
      <x:c r="AB109" s="53"/>
      <x:c r="AC109" s="59"/>
      <x:c r="AD109" s="81" t="str">
        <x:f>IFERROR(INDEX('Resource Rate Library'!$G$5:$G$85,MATCH(P109,'Resource Rate Library'!$A$5:$A$85,0)),"")</x:f>
      </x:c>
      <x:c r="AE109" s="81" t="str">
        <x:f>IFERROR(INDEX('Resource Rate Library'!$H$5:$H$85,MATCH(P109,'Resource Rate Library'!$A$5:$A$85,0)),"")</x:f>
      </x:c>
      <x:c r="AF109" s="53"/>
      <x:c r="AG109" s="53"/>
      <x:c r="AH109" s="53"/>
      <x:c r="AI109" s="81" t="str">
        <x:f t="shared" si="10">IF(B109="","",IF(AND(P109="",N109&lt;&gt;"Lump Sum / Quote"),"RESOURCE CODE",IF(Y109=0,"RATE MISSING",IF(AND(O109="Plant",AD109="Yes",COUNTIFS($B$7:$B$306,B109,$O$7:$O$306,"Labour",$Q$7:$Q$306,"*Operator*")&gt;0),"OPERATOR DOUBLE-COUNT",IF(AND(O109="Plant",AE109="Yes",COUNTIFS($B$7:$B$306,B109,$Q$7:$Q$306,"*Fuel*")&gt;0),"FUEL DOUBLE-COUNT",IF(AH109&lt;&gt;"Yes","VERIFY","OK"))))))</x:f>
      </x:c>
      <x:c r="AJ109" s="54"/>
      <x:c r="AK109" s="473"/>
      <x:c r="AL109" s="473"/>
      <x:c r="AM109" s="473"/>
      <x:c r="AN109" s="500" t="n">
        <x:f>IF(AND(AK109="Yes",OR(O109="Labour",O109="Plant")),Z109,0)</x:f>
        <x:v>0</x:v>
      </x:c>
    </x:row>
    <x:row r="110" ht="22.049999237060547" customHeight="1">
      <x:c r="A110" s="80" t="str">
        <x:f>IF(B110="","",B110&amp;"-"&amp;TEXT(COUNTIF($B$7:B110,B110),"000"))</x:f>
      </x:c>
      <x:c r="B110" s="53"/>
      <x:c r="C110" s="81" t="str">
        <x:f>IFERROR(INDEX('QS Takeoff'!$A$3:$A$194,MATCH(B110,'QS Takeoff'!$B$3:$B$194,0)),"")</x:f>
      </x:c>
      <x:c r="D110" s="81" t="str">
        <x:f>IFERROR(INDEX('QS Takeoff'!$C$3:$C$194,MATCH(B110,'QS Takeoff'!$B$3:$B$194,0)),"")</x:f>
      </x:c>
      <x:c r="E110" s="81" t="str">
        <x:f>IFERROR(INDEX('QS Takeoff'!$E$3:$E$194,MATCH(B110,'QS Takeoff'!$B$3:$B$194,0)),"")</x:f>
      </x:c>
      <x:c r="F110" s="81" t="str">
        <x:f>IFERROR(INDEX('QS Takeoff'!$D$3:$D$194,MATCH(B110,'QS Takeoff'!$B$3:$B$194,0)),"")</x:f>
      </x:c>
      <x:c r="G110" s="81" t="str">
        <x:f>IFERROR(INDEX('QS Takeoff'!$J$3:$J$194,MATCH(B110,'QS Takeoff'!$B$3:$B$194,0)),"")</x:f>
      </x:c>
      <x:c r="H110" s="53"/>
      <x:c r="I110" s="60"/>
      <x:c r="J110" s="60"/>
      <x:c r="K110" s="82" t="str">
        <x:f t="shared" si="6">IF(OR(B110="",I110="",I110=0),"",E110/I110)</x:f>
      </x:c>
      <x:c r="L110" s="60"/>
      <x:c r="M110" s="82" t="str">
        <x:f t="shared" si="7">IF(L110&gt;0,L110,K110)</x:f>
      </x:c>
      <x:c r="N110" s="53"/>
      <x:c r="O110" s="53"/>
      <x:c r="P110" s="53"/>
      <x:c r="Q110" s="81" t="str">
        <x:f>IFERROR(INDEX('Resource Rate Library'!$C$5:$C$85,MATCH(P110,'Resource Rate Library'!$A$5:$A$85,0)),"")</x:f>
      </x:c>
      <x:c r="R110" s="53"/>
      <x:c r="S110" s="53"/>
      <x:c r="T110" s="81" t="str">
        <x:f>IFERROR(INDEX('Resource Rate Library'!$E$5:$E$85,MATCH(P110,'Resource Rate Library'!$A$5:$A$85,0)),"")</x:f>
      </x:c>
      <x:c r="U110" s="62"/>
      <x:c r="V110" s="62"/>
      <x:c r="W110" s="83" t="n">
        <x:f>IFERROR(INDEX('Resource Rate Library'!$I$5:$I$85,MATCH(P110,'Resource Rate Library'!$A$5:$A$85,0)),0)</x:f>
        <x:v>0</x:v>
      </x:c>
      <x:c r="X110" s="52"/>
      <x:c r="Y110" s="83" t="n">
        <x:f t="shared" si="8">IF(X110&gt;0,X110,W110)</x:f>
        <x:v>0</x:v>
      </x:c>
      <x:c r="Z110" s="83" t="str">
        <x:f t="shared" si="9">IF(B110="","",IF(N110="Time x Count",M110*R110*IF(U110="",1,U110)*Y110,IF(N110="QS Qty x Factor",E110*R110*(1+IF(V110="",0,V110))*Y110,IF(N110="Direct Qty",S110*(1+IF(V110="",0,V110))*Y110,IF(N110="Lump Sum / Quote",S110*Y110,0)))))</x:f>
      </x:c>
      <x:c r="AA110" s="81" t="str">
        <x:f>IFERROR(INDEX('Resource Rate Library'!$N$5:$N$85,MATCH(P110,'Resource Rate Library'!$A$5:$A$85,0)),"")</x:f>
      </x:c>
      <x:c r="AB110" s="53"/>
      <x:c r="AC110" s="59"/>
      <x:c r="AD110" s="81" t="str">
        <x:f>IFERROR(INDEX('Resource Rate Library'!$G$5:$G$85,MATCH(P110,'Resource Rate Library'!$A$5:$A$85,0)),"")</x:f>
      </x:c>
      <x:c r="AE110" s="81" t="str">
        <x:f>IFERROR(INDEX('Resource Rate Library'!$H$5:$H$85,MATCH(P110,'Resource Rate Library'!$A$5:$A$85,0)),"")</x:f>
      </x:c>
      <x:c r="AF110" s="53"/>
      <x:c r="AG110" s="53"/>
      <x:c r="AH110" s="53"/>
      <x:c r="AI110" s="81" t="str">
        <x:f t="shared" si="10">IF(B110="","",IF(AND(P110="",N110&lt;&gt;"Lump Sum / Quote"),"RESOURCE CODE",IF(Y110=0,"RATE MISSING",IF(AND(O110="Plant",AD110="Yes",COUNTIFS($B$7:$B$306,B110,$O$7:$O$306,"Labour",$Q$7:$Q$306,"*Operator*")&gt;0),"OPERATOR DOUBLE-COUNT",IF(AND(O110="Plant",AE110="Yes",COUNTIFS($B$7:$B$306,B110,$Q$7:$Q$306,"*Fuel*")&gt;0),"FUEL DOUBLE-COUNT",IF(AH110&lt;&gt;"Yes","VERIFY","OK"))))))</x:f>
      </x:c>
      <x:c r="AJ110" s="54"/>
      <x:c r="AK110" s="473"/>
      <x:c r="AL110" s="473"/>
      <x:c r="AM110" s="473"/>
      <x:c r="AN110" s="500" t="n">
        <x:f>IF(AND(AK110="Yes",OR(O110="Labour",O110="Plant")),Z110,0)</x:f>
        <x:v>0</x:v>
      </x:c>
    </x:row>
    <x:row r="111" ht="22.049999237060547" customHeight="1">
      <x:c r="A111" s="80" t="str">
        <x:f>IF(B111="","",B111&amp;"-"&amp;TEXT(COUNTIF($B$7:B111,B111),"000"))</x:f>
      </x:c>
      <x:c r="B111" s="53"/>
      <x:c r="C111" s="81" t="str">
        <x:f>IFERROR(INDEX('QS Takeoff'!$A$3:$A$194,MATCH(B111,'QS Takeoff'!$B$3:$B$194,0)),"")</x:f>
      </x:c>
      <x:c r="D111" s="81" t="str">
        <x:f>IFERROR(INDEX('QS Takeoff'!$C$3:$C$194,MATCH(B111,'QS Takeoff'!$B$3:$B$194,0)),"")</x:f>
      </x:c>
      <x:c r="E111" s="81" t="str">
        <x:f>IFERROR(INDEX('QS Takeoff'!$E$3:$E$194,MATCH(B111,'QS Takeoff'!$B$3:$B$194,0)),"")</x:f>
      </x:c>
      <x:c r="F111" s="81" t="str">
        <x:f>IFERROR(INDEX('QS Takeoff'!$D$3:$D$194,MATCH(B111,'QS Takeoff'!$B$3:$B$194,0)),"")</x:f>
      </x:c>
      <x:c r="G111" s="81" t="str">
        <x:f>IFERROR(INDEX('QS Takeoff'!$J$3:$J$194,MATCH(B111,'QS Takeoff'!$B$3:$B$194,0)),"")</x:f>
      </x:c>
      <x:c r="H111" s="53"/>
      <x:c r="I111" s="60"/>
      <x:c r="J111" s="60"/>
      <x:c r="K111" s="82" t="str">
        <x:f t="shared" si="6">IF(OR(B111="",I111="",I111=0),"",E111/I111)</x:f>
      </x:c>
      <x:c r="L111" s="60"/>
      <x:c r="M111" s="82" t="str">
        <x:f t="shared" si="7">IF(L111&gt;0,L111,K111)</x:f>
      </x:c>
      <x:c r="N111" s="53"/>
      <x:c r="O111" s="53"/>
      <x:c r="P111" s="53"/>
      <x:c r="Q111" s="81" t="str">
        <x:f>IFERROR(INDEX('Resource Rate Library'!$C$5:$C$85,MATCH(P111,'Resource Rate Library'!$A$5:$A$85,0)),"")</x:f>
      </x:c>
      <x:c r="R111" s="53"/>
      <x:c r="S111" s="53"/>
      <x:c r="T111" s="81" t="str">
        <x:f>IFERROR(INDEX('Resource Rate Library'!$E$5:$E$85,MATCH(P111,'Resource Rate Library'!$A$5:$A$85,0)),"")</x:f>
      </x:c>
      <x:c r="U111" s="62"/>
      <x:c r="V111" s="62"/>
      <x:c r="W111" s="83" t="n">
        <x:f>IFERROR(INDEX('Resource Rate Library'!$I$5:$I$85,MATCH(P111,'Resource Rate Library'!$A$5:$A$85,0)),0)</x:f>
        <x:v>0</x:v>
      </x:c>
      <x:c r="X111" s="52"/>
      <x:c r="Y111" s="83" t="n">
        <x:f t="shared" si="8">IF(X111&gt;0,X111,W111)</x:f>
        <x:v>0</x:v>
      </x:c>
      <x:c r="Z111" s="83" t="str">
        <x:f t="shared" si="9">IF(B111="","",IF(N111="Time x Count",M111*R111*IF(U111="",1,U111)*Y111,IF(N111="QS Qty x Factor",E111*R111*(1+IF(V111="",0,V111))*Y111,IF(N111="Direct Qty",S111*(1+IF(V111="",0,V111))*Y111,IF(N111="Lump Sum / Quote",S111*Y111,0)))))</x:f>
      </x:c>
      <x:c r="AA111" s="81" t="str">
        <x:f>IFERROR(INDEX('Resource Rate Library'!$N$5:$N$85,MATCH(P111,'Resource Rate Library'!$A$5:$A$85,0)),"")</x:f>
      </x:c>
      <x:c r="AB111" s="53"/>
      <x:c r="AC111" s="59"/>
      <x:c r="AD111" s="81" t="str">
        <x:f>IFERROR(INDEX('Resource Rate Library'!$G$5:$G$85,MATCH(P111,'Resource Rate Library'!$A$5:$A$85,0)),"")</x:f>
      </x:c>
      <x:c r="AE111" s="81" t="str">
        <x:f>IFERROR(INDEX('Resource Rate Library'!$H$5:$H$85,MATCH(P111,'Resource Rate Library'!$A$5:$A$85,0)),"")</x:f>
      </x:c>
      <x:c r="AF111" s="53"/>
      <x:c r="AG111" s="53"/>
      <x:c r="AH111" s="53"/>
      <x:c r="AI111" s="81" t="str">
        <x:f t="shared" si="10">IF(B111="","",IF(AND(P111="",N111&lt;&gt;"Lump Sum / Quote"),"RESOURCE CODE",IF(Y111=0,"RATE MISSING",IF(AND(O111="Plant",AD111="Yes",COUNTIFS($B$7:$B$306,B111,$O$7:$O$306,"Labour",$Q$7:$Q$306,"*Operator*")&gt;0),"OPERATOR DOUBLE-COUNT",IF(AND(O111="Plant",AE111="Yes",COUNTIFS($B$7:$B$306,B111,$Q$7:$Q$306,"*Fuel*")&gt;0),"FUEL DOUBLE-COUNT",IF(AH111&lt;&gt;"Yes","VERIFY","OK"))))))</x:f>
      </x:c>
      <x:c r="AJ111" s="54"/>
      <x:c r="AK111" s="473"/>
      <x:c r="AL111" s="473"/>
      <x:c r="AM111" s="473"/>
      <x:c r="AN111" s="500" t="n">
        <x:f>IF(AND(AK111="Yes",OR(O111="Labour",O111="Plant")),Z111,0)</x:f>
        <x:v>0</x:v>
      </x:c>
    </x:row>
    <x:row r="112" ht="22.049999237060547" customHeight="1">
      <x:c r="A112" s="80" t="str">
        <x:f>IF(B112="","",B112&amp;"-"&amp;TEXT(COUNTIF($B$7:B112,B112),"000"))</x:f>
      </x:c>
      <x:c r="B112" s="53"/>
      <x:c r="C112" s="81" t="str">
        <x:f>IFERROR(INDEX('QS Takeoff'!$A$3:$A$194,MATCH(B112,'QS Takeoff'!$B$3:$B$194,0)),"")</x:f>
      </x:c>
      <x:c r="D112" s="81" t="str">
        <x:f>IFERROR(INDEX('QS Takeoff'!$C$3:$C$194,MATCH(B112,'QS Takeoff'!$B$3:$B$194,0)),"")</x:f>
      </x:c>
      <x:c r="E112" s="81" t="str">
        <x:f>IFERROR(INDEX('QS Takeoff'!$E$3:$E$194,MATCH(B112,'QS Takeoff'!$B$3:$B$194,0)),"")</x:f>
      </x:c>
      <x:c r="F112" s="81" t="str">
        <x:f>IFERROR(INDEX('QS Takeoff'!$D$3:$D$194,MATCH(B112,'QS Takeoff'!$B$3:$B$194,0)),"")</x:f>
      </x:c>
      <x:c r="G112" s="81" t="str">
        <x:f>IFERROR(INDEX('QS Takeoff'!$J$3:$J$194,MATCH(B112,'QS Takeoff'!$B$3:$B$194,0)),"")</x:f>
      </x:c>
      <x:c r="H112" s="53"/>
      <x:c r="I112" s="60"/>
      <x:c r="J112" s="60"/>
      <x:c r="K112" s="82" t="str">
        <x:f t="shared" si="6">IF(OR(B112="",I112="",I112=0),"",E112/I112)</x:f>
      </x:c>
      <x:c r="L112" s="60"/>
      <x:c r="M112" s="82" t="str">
        <x:f t="shared" si="7">IF(L112&gt;0,L112,K112)</x:f>
      </x:c>
      <x:c r="N112" s="53"/>
      <x:c r="O112" s="53"/>
      <x:c r="P112" s="53"/>
      <x:c r="Q112" s="81" t="str">
        <x:f>IFERROR(INDEX('Resource Rate Library'!$C$5:$C$85,MATCH(P112,'Resource Rate Library'!$A$5:$A$85,0)),"")</x:f>
      </x:c>
      <x:c r="R112" s="53"/>
      <x:c r="S112" s="53"/>
      <x:c r="T112" s="81" t="str">
        <x:f>IFERROR(INDEX('Resource Rate Library'!$E$5:$E$85,MATCH(P112,'Resource Rate Library'!$A$5:$A$85,0)),"")</x:f>
      </x:c>
      <x:c r="U112" s="62"/>
      <x:c r="V112" s="62"/>
      <x:c r="W112" s="83" t="n">
        <x:f>IFERROR(INDEX('Resource Rate Library'!$I$5:$I$85,MATCH(P112,'Resource Rate Library'!$A$5:$A$85,0)),0)</x:f>
        <x:v>0</x:v>
      </x:c>
      <x:c r="X112" s="52"/>
      <x:c r="Y112" s="83" t="n">
        <x:f t="shared" si="8">IF(X112&gt;0,X112,W112)</x:f>
        <x:v>0</x:v>
      </x:c>
      <x:c r="Z112" s="83" t="str">
        <x:f t="shared" si="9">IF(B112="","",IF(N112="Time x Count",M112*R112*IF(U112="",1,U112)*Y112,IF(N112="QS Qty x Factor",E112*R112*(1+IF(V112="",0,V112))*Y112,IF(N112="Direct Qty",S112*(1+IF(V112="",0,V112))*Y112,IF(N112="Lump Sum / Quote",S112*Y112,0)))))</x:f>
      </x:c>
      <x:c r="AA112" s="81" t="str">
        <x:f>IFERROR(INDEX('Resource Rate Library'!$N$5:$N$85,MATCH(P112,'Resource Rate Library'!$A$5:$A$85,0)),"")</x:f>
      </x:c>
      <x:c r="AB112" s="53"/>
      <x:c r="AC112" s="59"/>
      <x:c r="AD112" s="81" t="str">
        <x:f>IFERROR(INDEX('Resource Rate Library'!$G$5:$G$85,MATCH(P112,'Resource Rate Library'!$A$5:$A$85,0)),"")</x:f>
      </x:c>
      <x:c r="AE112" s="81" t="str">
        <x:f>IFERROR(INDEX('Resource Rate Library'!$H$5:$H$85,MATCH(P112,'Resource Rate Library'!$A$5:$A$85,0)),"")</x:f>
      </x:c>
      <x:c r="AF112" s="53"/>
      <x:c r="AG112" s="53"/>
      <x:c r="AH112" s="53"/>
      <x:c r="AI112" s="81" t="str">
        <x:f t="shared" si="10">IF(B112="","",IF(AND(P112="",N112&lt;&gt;"Lump Sum / Quote"),"RESOURCE CODE",IF(Y112=0,"RATE MISSING",IF(AND(O112="Plant",AD112="Yes",COUNTIFS($B$7:$B$306,B112,$O$7:$O$306,"Labour",$Q$7:$Q$306,"*Operator*")&gt;0),"OPERATOR DOUBLE-COUNT",IF(AND(O112="Plant",AE112="Yes",COUNTIFS($B$7:$B$306,B112,$Q$7:$Q$306,"*Fuel*")&gt;0),"FUEL DOUBLE-COUNT",IF(AH112&lt;&gt;"Yes","VERIFY","OK"))))))</x:f>
      </x:c>
      <x:c r="AJ112" s="54"/>
      <x:c r="AK112" s="473"/>
      <x:c r="AL112" s="473"/>
      <x:c r="AM112" s="473"/>
      <x:c r="AN112" s="500" t="n">
        <x:f>IF(AND(AK112="Yes",OR(O112="Labour",O112="Plant")),Z112,0)</x:f>
        <x:v>0</x:v>
      </x:c>
    </x:row>
    <x:row r="113" ht="22.049999237060547" customHeight="1">
      <x:c r="A113" s="80" t="str">
        <x:f>IF(B113="","",B113&amp;"-"&amp;TEXT(COUNTIF($B$7:B113,B113),"000"))</x:f>
      </x:c>
      <x:c r="B113" s="53"/>
      <x:c r="C113" s="81" t="str">
        <x:f>IFERROR(INDEX('QS Takeoff'!$A$3:$A$194,MATCH(B113,'QS Takeoff'!$B$3:$B$194,0)),"")</x:f>
      </x:c>
      <x:c r="D113" s="81" t="str">
        <x:f>IFERROR(INDEX('QS Takeoff'!$C$3:$C$194,MATCH(B113,'QS Takeoff'!$B$3:$B$194,0)),"")</x:f>
      </x:c>
      <x:c r="E113" s="81" t="str">
        <x:f>IFERROR(INDEX('QS Takeoff'!$E$3:$E$194,MATCH(B113,'QS Takeoff'!$B$3:$B$194,0)),"")</x:f>
      </x:c>
      <x:c r="F113" s="81" t="str">
        <x:f>IFERROR(INDEX('QS Takeoff'!$D$3:$D$194,MATCH(B113,'QS Takeoff'!$B$3:$B$194,0)),"")</x:f>
      </x:c>
      <x:c r="G113" s="81" t="str">
        <x:f>IFERROR(INDEX('QS Takeoff'!$J$3:$J$194,MATCH(B113,'QS Takeoff'!$B$3:$B$194,0)),"")</x:f>
      </x:c>
      <x:c r="H113" s="53"/>
      <x:c r="I113" s="60"/>
      <x:c r="J113" s="60"/>
      <x:c r="K113" s="82" t="str">
        <x:f t="shared" si="6">IF(OR(B113="",I113="",I113=0),"",E113/I113)</x:f>
      </x:c>
      <x:c r="L113" s="60"/>
      <x:c r="M113" s="82" t="str">
        <x:f t="shared" si="7">IF(L113&gt;0,L113,K113)</x:f>
      </x:c>
      <x:c r="N113" s="53"/>
      <x:c r="O113" s="53"/>
      <x:c r="P113" s="53"/>
      <x:c r="Q113" s="81" t="str">
        <x:f>IFERROR(INDEX('Resource Rate Library'!$C$5:$C$85,MATCH(P113,'Resource Rate Library'!$A$5:$A$85,0)),"")</x:f>
      </x:c>
      <x:c r="R113" s="53"/>
      <x:c r="S113" s="53"/>
      <x:c r="T113" s="81" t="str">
        <x:f>IFERROR(INDEX('Resource Rate Library'!$E$5:$E$85,MATCH(P113,'Resource Rate Library'!$A$5:$A$85,0)),"")</x:f>
      </x:c>
      <x:c r="U113" s="62"/>
      <x:c r="V113" s="62"/>
      <x:c r="W113" s="83" t="n">
        <x:f>IFERROR(INDEX('Resource Rate Library'!$I$5:$I$85,MATCH(P113,'Resource Rate Library'!$A$5:$A$85,0)),0)</x:f>
        <x:v>0</x:v>
      </x:c>
      <x:c r="X113" s="52"/>
      <x:c r="Y113" s="83" t="n">
        <x:f t="shared" si="8">IF(X113&gt;0,X113,W113)</x:f>
        <x:v>0</x:v>
      </x:c>
      <x:c r="Z113" s="83" t="str">
        <x:f t="shared" si="9">IF(B113="","",IF(N113="Time x Count",M113*R113*IF(U113="",1,U113)*Y113,IF(N113="QS Qty x Factor",E113*R113*(1+IF(V113="",0,V113))*Y113,IF(N113="Direct Qty",S113*(1+IF(V113="",0,V113))*Y113,IF(N113="Lump Sum / Quote",S113*Y113,0)))))</x:f>
      </x:c>
      <x:c r="AA113" s="81" t="str">
        <x:f>IFERROR(INDEX('Resource Rate Library'!$N$5:$N$85,MATCH(P113,'Resource Rate Library'!$A$5:$A$85,0)),"")</x:f>
      </x:c>
      <x:c r="AB113" s="53"/>
      <x:c r="AC113" s="59"/>
      <x:c r="AD113" s="81" t="str">
        <x:f>IFERROR(INDEX('Resource Rate Library'!$G$5:$G$85,MATCH(P113,'Resource Rate Library'!$A$5:$A$85,0)),"")</x:f>
      </x:c>
      <x:c r="AE113" s="81" t="str">
        <x:f>IFERROR(INDEX('Resource Rate Library'!$H$5:$H$85,MATCH(P113,'Resource Rate Library'!$A$5:$A$85,0)),"")</x:f>
      </x:c>
      <x:c r="AF113" s="53"/>
      <x:c r="AG113" s="53"/>
      <x:c r="AH113" s="53"/>
      <x:c r="AI113" s="81" t="str">
        <x:f t="shared" si="10">IF(B113="","",IF(AND(P113="",N113&lt;&gt;"Lump Sum / Quote"),"RESOURCE CODE",IF(Y113=0,"RATE MISSING",IF(AND(O113="Plant",AD113="Yes",COUNTIFS($B$7:$B$306,B113,$O$7:$O$306,"Labour",$Q$7:$Q$306,"*Operator*")&gt;0),"OPERATOR DOUBLE-COUNT",IF(AND(O113="Plant",AE113="Yes",COUNTIFS($B$7:$B$306,B113,$Q$7:$Q$306,"*Fuel*")&gt;0),"FUEL DOUBLE-COUNT",IF(AH113&lt;&gt;"Yes","VERIFY","OK"))))))</x:f>
      </x:c>
      <x:c r="AJ113" s="54"/>
      <x:c r="AK113" s="473"/>
      <x:c r="AL113" s="473"/>
      <x:c r="AM113" s="473"/>
      <x:c r="AN113" s="500" t="n">
        <x:f>IF(AND(AK113="Yes",OR(O113="Labour",O113="Plant")),Z113,0)</x:f>
        <x:v>0</x:v>
      </x:c>
    </x:row>
    <x:row r="114" ht="22.049999237060547" customHeight="1">
      <x:c r="A114" s="80" t="str">
        <x:f>IF(B114="","",B114&amp;"-"&amp;TEXT(COUNTIF($B$7:B114,B114),"000"))</x:f>
      </x:c>
      <x:c r="B114" s="53"/>
      <x:c r="C114" s="81" t="str">
        <x:f>IFERROR(INDEX('QS Takeoff'!$A$3:$A$194,MATCH(B114,'QS Takeoff'!$B$3:$B$194,0)),"")</x:f>
      </x:c>
      <x:c r="D114" s="81" t="str">
        <x:f>IFERROR(INDEX('QS Takeoff'!$C$3:$C$194,MATCH(B114,'QS Takeoff'!$B$3:$B$194,0)),"")</x:f>
      </x:c>
      <x:c r="E114" s="81" t="str">
        <x:f>IFERROR(INDEX('QS Takeoff'!$E$3:$E$194,MATCH(B114,'QS Takeoff'!$B$3:$B$194,0)),"")</x:f>
      </x:c>
      <x:c r="F114" s="81" t="str">
        <x:f>IFERROR(INDEX('QS Takeoff'!$D$3:$D$194,MATCH(B114,'QS Takeoff'!$B$3:$B$194,0)),"")</x:f>
      </x:c>
      <x:c r="G114" s="81" t="str">
        <x:f>IFERROR(INDEX('QS Takeoff'!$J$3:$J$194,MATCH(B114,'QS Takeoff'!$B$3:$B$194,0)),"")</x:f>
      </x:c>
      <x:c r="H114" s="53"/>
      <x:c r="I114" s="60"/>
      <x:c r="J114" s="60"/>
      <x:c r="K114" s="82" t="str">
        <x:f t="shared" si="6">IF(OR(B114="",I114="",I114=0),"",E114/I114)</x:f>
      </x:c>
      <x:c r="L114" s="60"/>
      <x:c r="M114" s="82" t="str">
        <x:f t="shared" si="7">IF(L114&gt;0,L114,K114)</x:f>
      </x:c>
      <x:c r="N114" s="53"/>
      <x:c r="O114" s="53"/>
      <x:c r="P114" s="53"/>
      <x:c r="Q114" s="81" t="str">
        <x:f>IFERROR(INDEX('Resource Rate Library'!$C$5:$C$85,MATCH(P114,'Resource Rate Library'!$A$5:$A$85,0)),"")</x:f>
      </x:c>
      <x:c r="R114" s="53"/>
      <x:c r="S114" s="53"/>
      <x:c r="T114" s="81" t="str">
        <x:f>IFERROR(INDEX('Resource Rate Library'!$E$5:$E$85,MATCH(P114,'Resource Rate Library'!$A$5:$A$85,0)),"")</x:f>
      </x:c>
      <x:c r="U114" s="62"/>
      <x:c r="V114" s="62"/>
      <x:c r="W114" s="83" t="n">
        <x:f>IFERROR(INDEX('Resource Rate Library'!$I$5:$I$85,MATCH(P114,'Resource Rate Library'!$A$5:$A$85,0)),0)</x:f>
        <x:v>0</x:v>
      </x:c>
      <x:c r="X114" s="52"/>
      <x:c r="Y114" s="83" t="n">
        <x:f t="shared" si="8">IF(X114&gt;0,X114,W114)</x:f>
        <x:v>0</x:v>
      </x:c>
      <x:c r="Z114" s="83" t="str">
        <x:f t="shared" si="9">IF(B114="","",IF(N114="Time x Count",M114*R114*IF(U114="",1,U114)*Y114,IF(N114="QS Qty x Factor",E114*R114*(1+IF(V114="",0,V114))*Y114,IF(N114="Direct Qty",S114*(1+IF(V114="",0,V114))*Y114,IF(N114="Lump Sum / Quote",S114*Y114,0)))))</x:f>
      </x:c>
      <x:c r="AA114" s="81" t="str">
        <x:f>IFERROR(INDEX('Resource Rate Library'!$N$5:$N$85,MATCH(P114,'Resource Rate Library'!$A$5:$A$85,0)),"")</x:f>
      </x:c>
      <x:c r="AB114" s="53"/>
      <x:c r="AC114" s="59"/>
      <x:c r="AD114" s="81" t="str">
        <x:f>IFERROR(INDEX('Resource Rate Library'!$G$5:$G$85,MATCH(P114,'Resource Rate Library'!$A$5:$A$85,0)),"")</x:f>
      </x:c>
      <x:c r="AE114" s="81" t="str">
        <x:f>IFERROR(INDEX('Resource Rate Library'!$H$5:$H$85,MATCH(P114,'Resource Rate Library'!$A$5:$A$85,0)),"")</x:f>
      </x:c>
      <x:c r="AF114" s="53"/>
      <x:c r="AG114" s="53"/>
      <x:c r="AH114" s="53"/>
      <x:c r="AI114" s="81" t="str">
        <x:f t="shared" si="10">IF(B114="","",IF(AND(P114="",N114&lt;&gt;"Lump Sum / Quote"),"RESOURCE CODE",IF(Y114=0,"RATE MISSING",IF(AND(O114="Plant",AD114="Yes",COUNTIFS($B$7:$B$306,B114,$O$7:$O$306,"Labour",$Q$7:$Q$306,"*Operator*")&gt;0),"OPERATOR DOUBLE-COUNT",IF(AND(O114="Plant",AE114="Yes",COUNTIFS($B$7:$B$306,B114,$Q$7:$Q$306,"*Fuel*")&gt;0),"FUEL DOUBLE-COUNT",IF(AH114&lt;&gt;"Yes","VERIFY","OK"))))))</x:f>
      </x:c>
      <x:c r="AJ114" s="54"/>
      <x:c r="AK114" s="473"/>
      <x:c r="AL114" s="473"/>
      <x:c r="AM114" s="473"/>
      <x:c r="AN114" s="500" t="n">
        <x:f>IF(AND(AK114="Yes",OR(O114="Labour",O114="Plant")),Z114,0)</x:f>
        <x:v>0</x:v>
      </x:c>
    </x:row>
    <x:row r="115" ht="22.049999237060547" customHeight="1">
      <x:c r="A115" s="80" t="str">
        <x:f>IF(B115="","",B115&amp;"-"&amp;TEXT(COUNTIF($B$7:B115,B115),"000"))</x:f>
      </x:c>
      <x:c r="B115" s="53"/>
      <x:c r="C115" s="81" t="str">
        <x:f>IFERROR(INDEX('QS Takeoff'!$A$3:$A$194,MATCH(B115,'QS Takeoff'!$B$3:$B$194,0)),"")</x:f>
      </x:c>
      <x:c r="D115" s="81" t="str">
        <x:f>IFERROR(INDEX('QS Takeoff'!$C$3:$C$194,MATCH(B115,'QS Takeoff'!$B$3:$B$194,0)),"")</x:f>
      </x:c>
      <x:c r="E115" s="81" t="str">
        <x:f>IFERROR(INDEX('QS Takeoff'!$E$3:$E$194,MATCH(B115,'QS Takeoff'!$B$3:$B$194,0)),"")</x:f>
      </x:c>
      <x:c r="F115" s="81" t="str">
        <x:f>IFERROR(INDEX('QS Takeoff'!$D$3:$D$194,MATCH(B115,'QS Takeoff'!$B$3:$B$194,0)),"")</x:f>
      </x:c>
      <x:c r="G115" s="81" t="str">
        <x:f>IFERROR(INDEX('QS Takeoff'!$J$3:$J$194,MATCH(B115,'QS Takeoff'!$B$3:$B$194,0)),"")</x:f>
      </x:c>
      <x:c r="H115" s="53"/>
      <x:c r="I115" s="60"/>
      <x:c r="J115" s="60"/>
      <x:c r="K115" s="82" t="str">
        <x:f t="shared" si="6">IF(OR(B115="",I115="",I115=0),"",E115/I115)</x:f>
      </x:c>
      <x:c r="L115" s="60"/>
      <x:c r="M115" s="82" t="str">
        <x:f t="shared" si="7">IF(L115&gt;0,L115,K115)</x:f>
      </x:c>
      <x:c r="N115" s="53"/>
      <x:c r="O115" s="53"/>
      <x:c r="P115" s="53"/>
      <x:c r="Q115" s="81" t="str">
        <x:f>IFERROR(INDEX('Resource Rate Library'!$C$5:$C$85,MATCH(P115,'Resource Rate Library'!$A$5:$A$85,0)),"")</x:f>
      </x:c>
      <x:c r="R115" s="53"/>
      <x:c r="S115" s="53"/>
      <x:c r="T115" s="81" t="str">
        <x:f>IFERROR(INDEX('Resource Rate Library'!$E$5:$E$85,MATCH(P115,'Resource Rate Library'!$A$5:$A$85,0)),"")</x:f>
      </x:c>
      <x:c r="U115" s="62"/>
      <x:c r="V115" s="62"/>
      <x:c r="W115" s="83" t="n">
        <x:f>IFERROR(INDEX('Resource Rate Library'!$I$5:$I$85,MATCH(P115,'Resource Rate Library'!$A$5:$A$85,0)),0)</x:f>
        <x:v>0</x:v>
      </x:c>
      <x:c r="X115" s="52"/>
      <x:c r="Y115" s="83" t="n">
        <x:f t="shared" si="8">IF(X115&gt;0,X115,W115)</x:f>
        <x:v>0</x:v>
      </x:c>
      <x:c r="Z115" s="83" t="str">
        <x:f t="shared" si="9">IF(B115="","",IF(N115="Time x Count",M115*R115*IF(U115="",1,U115)*Y115,IF(N115="QS Qty x Factor",E115*R115*(1+IF(V115="",0,V115))*Y115,IF(N115="Direct Qty",S115*(1+IF(V115="",0,V115))*Y115,IF(N115="Lump Sum / Quote",S115*Y115,0)))))</x:f>
      </x:c>
      <x:c r="AA115" s="81" t="str">
        <x:f>IFERROR(INDEX('Resource Rate Library'!$N$5:$N$85,MATCH(P115,'Resource Rate Library'!$A$5:$A$85,0)),"")</x:f>
      </x:c>
      <x:c r="AB115" s="53"/>
      <x:c r="AC115" s="59"/>
      <x:c r="AD115" s="81" t="str">
        <x:f>IFERROR(INDEX('Resource Rate Library'!$G$5:$G$85,MATCH(P115,'Resource Rate Library'!$A$5:$A$85,0)),"")</x:f>
      </x:c>
      <x:c r="AE115" s="81" t="str">
        <x:f>IFERROR(INDEX('Resource Rate Library'!$H$5:$H$85,MATCH(P115,'Resource Rate Library'!$A$5:$A$85,0)),"")</x:f>
      </x:c>
      <x:c r="AF115" s="53"/>
      <x:c r="AG115" s="53"/>
      <x:c r="AH115" s="53"/>
      <x:c r="AI115" s="81" t="str">
        <x:f t="shared" si="10">IF(B115="","",IF(AND(P115="",N115&lt;&gt;"Lump Sum / Quote"),"RESOURCE CODE",IF(Y115=0,"RATE MISSING",IF(AND(O115="Plant",AD115="Yes",COUNTIFS($B$7:$B$306,B115,$O$7:$O$306,"Labour",$Q$7:$Q$306,"*Operator*")&gt;0),"OPERATOR DOUBLE-COUNT",IF(AND(O115="Plant",AE115="Yes",COUNTIFS($B$7:$B$306,B115,$Q$7:$Q$306,"*Fuel*")&gt;0),"FUEL DOUBLE-COUNT",IF(AH115&lt;&gt;"Yes","VERIFY","OK"))))))</x:f>
      </x:c>
      <x:c r="AJ115" s="54"/>
      <x:c r="AK115" s="473"/>
      <x:c r="AL115" s="473"/>
      <x:c r="AM115" s="473"/>
      <x:c r="AN115" s="500" t="n">
        <x:f>IF(AND(AK115="Yes",OR(O115="Labour",O115="Plant")),Z115,0)</x:f>
        <x:v>0</x:v>
      </x:c>
    </x:row>
    <x:row r="116" ht="22.049999237060547" customHeight="1">
      <x:c r="A116" s="80" t="str">
        <x:f>IF(B116="","",B116&amp;"-"&amp;TEXT(COUNTIF($B$7:B116,B116),"000"))</x:f>
      </x:c>
      <x:c r="B116" s="53"/>
      <x:c r="C116" s="81" t="str">
        <x:f>IFERROR(INDEX('QS Takeoff'!$A$3:$A$194,MATCH(B116,'QS Takeoff'!$B$3:$B$194,0)),"")</x:f>
      </x:c>
      <x:c r="D116" s="81" t="str">
        <x:f>IFERROR(INDEX('QS Takeoff'!$C$3:$C$194,MATCH(B116,'QS Takeoff'!$B$3:$B$194,0)),"")</x:f>
      </x:c>
      <x:c r="E116" s="81" t="str">
        <x:f>IFERROR(INDEX('QS Takeoff'!$E$3:$E$194,MATCH(B116,'QS Takeoff'!$B$3:$B$194,0)),"")</x:f>
      </x:c>
      <x:c r="F116" s="81" t="str">
        <x:f>IFERROR(INDEX('QS Takeoff'!$D$3:$D$194,MATCH(B116,'QS Takeoff'!$B$3:$B$194,0)),"")</x:f>
      </x:c>
      <x:c r="G116" s="81" t="str">
        <x:f>IFERROR(INDEX('QS Takeoff'!$J$3:$J$194,MATCH(B116,'QS Takeoff'!$B$3:$B$194,0)),"")</x:f>
      </x:c>
      <x:c r="H116" s="53"/>
      <x:c r="I116" s="60"/>
      <x:c r="J116" s="60"/>
      <x:c r="K116" s="82" t="str">
        <x:f t="shared" si="6">IF(OR(B116="",I116="",I116=0),"",E116/I116)</x:f>
      </x:c>
      <x:c r="L116" s="60"/>
      <x:c r="M116" s="82" t="str">
        <x:f t="shared" si="7">IF(L116&gt;0,L116,K116)</x:f>
      </x:c>
      <x:c r="N116" s="53"/>
      <x:c r="O116" s="53"/>
      <x:c r="P116" s="53"/>
      <x:c r="Q116" s="81" t="str">
        <x:f>IFERROR(INDEX('Resource Rate Library'!$C$5:$C$85,MATCH(P116,'Resource Rate Library'!$A$5:$A$85,0)),"")</x:f>
      </x:c>
      <x:c r="R116" s="53"/>
      <x:c r="S116" s="53"/>
      <x:c r="T116" s="81" t="str">
        <x:f>IFERROR(INDEX('Resource Rate Library'!$E$5:$E$85,MATCH(P116,'Resource Rate Library'!$A$5:$A$85,0)),"")</x:f>
      </x:c>
      <x:c r="U116" s="62"/>
      <x:c r="V116" s="62"/>
      <x:c r="W116" s="83" t="n">
        <x:f>IFERROR(INDEX('Resource Rate Library'!$I$5:$I$85,MATCH(P116,'Resource Rate Library'!$A$5:$A$85,0)),0)</x:f>
        <x:v>0</x:v>
      </x:c>
      <x:c r="X116" s="52"/>
      <x:c r="Y116" s="83" t="n">
        <x:f t="shared" si="8">IF(X116&gt;0,X116,W116)</x:f>
        <x:v>0</x:v>
      </x:c>
      <x:c r="Z116" s="83" t="str">
        <x:f t="shared" si="9">IF(B116="","",IF(N116="Time x Count",M116*R116*IF(U116="",1,U116)*Y116,IF(N116="QS Qty x Factor",E116*R116*(1+IF(V116="",0,V116))*Y116,IF(N116="Direct Qty",S116*(1+IF(V116="",0,V116))*Y116,IF(N116="Lump Sum / Quote",S116*Y116,0)))))</x:f>
      </x:c>
      <x:c r="AA116" s="81" t="str">
        <x:f>IFERROR(INDEX('Resource Rate Library'!$N$5:$N$85,MATCH(P116,'Resource Rate Library'!$A$5:$A$85,0)),"")</x:f>
      </x:c>
      <x:c r="AB116" s="53"/>
      <x:c r="AC116" s="59"/>
      <x:c r="AD116" s="81" t="str">
        <x:f>IFERROR(INDEX('Resource Rate Library'!$G$5:$G$85,MATCH(P116,'Resource Rate Library'!$A$5:$A$85,0)),"")</x:f>
      </x:c>
      <x:c r="AE116" s="81" t="str">
        <x:f>IFERROR(INDEX('Resource Rate Library'!$H$5:$H$85,MATCH(P116,'Resource Rate Library'!$A$5:$A$85,0)),"")</x:f>
      </x:c>
      <x:c r="AF116" s="53"/>
      <x:c r="AG116" s="53"/>
      <x:c r="AH116" s="53"/>
      <x:c r="AI116" s="81" t="str">
        <x:f t="shared" si="10">IF(B116="","",IF(AND(P116="",N116&lt;&gt;"Lump Sum / Quote"),"RESOURCE CODE",IF(Y116=0,"RATE MISSING",IF(AND(O116="Plant",AD116="Yes",COUNTIFS($B$7:$B$306,B116,$O$7:$O$306,"Labour",$Q$7:$Q$306,"*Operator*")&gt;0),"OPERATOR DOUBLE-COUNT",IF(AND(O116="Plant",AE116="Yes",COUNTIFS($B$7:$B$306,B116,$Q$7:$Q$306,"*Fuel*")&gt;0),"FUEL DOUBLE-COUNT",IF(AH116&lt;&gt;"Yes","VERIFY","OK"))))))</x:f>
      </x:c>
      <x:c r="AJ116" s="54"/>
      <x:c r="AK116" s="473"/>
      <x:c r="AL116" s="473"/>
      <x:c r="AM116" s="473"/>
      <x:c r="AN116" s="500" t="n">
        <x:f>IF(AND(AK116="Yes",OR(O116="Labour",O116="Plant")),Z116,0)</x:f>
        <x:v>0</x:v>
      </x:c>
    </x:row>
    <x:row r="117" ht="22.049999237060547" customHeight="1">
      <x:c r="A117" s="80" t="str">
        <x:f>IF(B117="","",B117&amp;"-"&amp;TEXT(COUNTIF($B$7:B117,B117),"000"))</x:f>
      </x:c>
      <x:c r="B117" s="53"/>
      <x:c r="C117" s="81" t="str">
        <x:f>IFERROR(INDEX('QS Takeoff'!$A$3:$A$194,MATCH(B117,'QS Takeoff'!$B$3:$B$194,0)),"")</x:f>
      </x:c>
      <x:c r="D117" s="81" t="str">
        <x:f>IFERROR(INDEX('QS Takeoff'!$C$3:$C$194,MATCH(B117,'QS Takeoff'!$B$3:$B$194,0)),"")</x:f>
      </x:c>
      <x:c r="E117" s="81" t="str">
        <x:f>IFERROR(INDEX('QS Takeoff'!$E$3:$E$194,MATCH(B117,'QS Takeoff'!$B$3:$B$194,0)),"")</x:f>
      </x:c>
      <x:c r="F117" s="81" t="str">
        <x:f>IFERROR(INDEX('QS Takeoff'!$D$3:$D$194,MATCH(B117,'QS Takeoff'!$B$3:$B$194,0)),"")</x:f>
      </x:c>
      <x:c r="G117" s="81" t="str">
        <x:f>IFERROR(INDEX('QS Takeoff'!$J$3:$J$194,MATCH(B117,'QS Takeoff'!$B$3:$B$194,0)),"")</x:f>
      </x:c>
      <x:c r="H117" s="53"/>
      <x:c r="I117" s="60"/>
      <x:c r="J117" s="60"/>
      <x:c r="K117" s="82" t="str">
        <x:f t="shared" si="6">IF(OR(B117="",I117="",I117=0),"",E117/I117)</x:f>
      </x:c>
      <x:c r="L117" s="60"/>
      <x:c r="M117" s="82" t="str">
        <x:f t="shared" si="7">IF(L117&gt;0,L117,K117)</x:f>
      </x:c>
      <x:c r="N117" s="53"/>
      <x:c r="O117" s="53"/>
      <x:c r="P117" s="53"/>
      <x:c r="Q117" s="81" t="str">
        <x:f>IFERROR(INDEX('Resource Rate Library'!$C$5:$C$85,MATCH(P117,'Resource Rate Library'!$A$5:$A$85,0)),"")</x:f>
      </x:c>
      <x:c r="R117" s="53"/>
      <x:c r="S117" s="53"/>
      <x:c r="T117" s="81" t="str">
        <x:f>IFERROR(INDEX('Resource Rate Library'!$E$5:$E$85,MATCH(P117,'Resource Rate Library'!$A$5:$A$85,0)),"")</x:f>
      </x:c>
      <x:c r="U117" s="62"/>
      <x:c r="V117" s="62"/>
      <x:c r="W117" s="83" t="n">
        <x:f>IFERROR(INDEX('Resource Rate Library'!$I$5:$I$85,MATCH(P117,'Resource Rate Library'!$A$5:$A$85,0)),0)</x:f>
        <x:v>0</x:v>
      </x:c>
      <x:c r="X117" s="52"/>
      <x:c r="Y117" s="83" t="n">
        <x:f t="shared" si="8">IF(X117&gt;0,X117,W117)</x:f>
        <x:v>0</x:v>
      </x:c>
      <x:c r="Z117" s="83" t="str">
        <x:f t="shared" si="9">IF(B117="","",IF(N117="Time x Count",M117*R117*IF(U117="",1,U117)*Y117,IF(N117="QS Qty x Factor",E117*R117*(1+IF(V117="",0,V117))*Y117,IF(N117="Direct Qty",S117*(1+IF(V117="",0,V117))*Y117,IF(N117="Lump Sum / Quote",S117*Y117,0)))))</x:f>
      </x:c>
      <x:c r="AA117" s="81" t="str">
        <x:f>IFERROR(INDEX('Resource Rate Library'!$N$5:$N$85,MATCH(P117,'Resource Rate Library'!$A$5:$A$85,0)),"")</x:f>
      </x:c>
      <x:c r="AB117" s="53"/>
      <x:c r="AC117" s="59"/>
      <x:c r="AD117" s="81" t="str">
        <x:f>IFERROR(INDEX('Resource Rate Library'!$G$5:$G$85,MATCH(P117,'Resource Rate Library'!$A$5:$A$85,0)),"")</x:f>
      </x:c>
      <x:c r="AE117" s="81" t="str">
        <x:f>IFERROR(INDEX('Resource Rate Library'!$H$5:$H$85,MATCH(P117,'Resource Rate Library'!$A$5:$A$85,0)),"")</x:f>
      </x:c>
      <x:c r="AF117" s="53"/>
      <x:c r="AG117" s="53"/>
      <x:c r="AH117" s="53"/>
      <x:c r="AI117" s="81" t="str">
        <x:f t="shared" si="10">IF(B117="","",IF(AND(P117="",N117&lt;&gt;"Lump Sum / Quote"),"RESOURCE CODE",IF(Y117=0,"RATE MISSING",IF(AND(O117="Plant",AD117="Yes",COUNTIFS($B$7:$B$306,B117,$O$7:$O$306,"Labour",$Q$7:$Q$306,"*Operator*")&gt;0),"OPERATOR DOUBLE-COUNT",IF(AND(O117="Plant",AE117="Yes",COUNTIFS($B$7:$B$306,B117,$Q$7:$Q$306,"*Fuel*")&gt;0),"FUEL DOUBLE-COUNT",IF(AH117&lt;&gt;"Yes","VERIFY","OK"))))))</x:f>
      </x:c>
      <x:c r="AJ117" s="54"/>
      <x:c r="AK117" s="473"/>
      <x:c r="AL117" s="473"/>
      <x:c r="AM117" s="473"/>
      <x:c r="AN117" s="500" t="n">
        <x:f>IF(AND(AK117="Yes",OR(O117="Labour",O117="Plant")),Z117,0)</x:f>
        <x:v>0</x:v>
      </x:c>
    </x:row>
    <x:row r="118" ht="22.049999237060547" customHeight="1">
      <x:c r="A118" s="80" t="str">
        <x:f>IF(B118="","",B118&amp;"-"&amp;TEXT(COUNTIF($B$7:B118,B118),"000"))</x:f>
      </x:c>
      <x:c r="B118" s="53"/>
      <x:c r="C118" s="81" t="str">
        <x:f>IFERROR(INDEX('QS Takeoff'!$A$3:$A$194,MATCH(B118,'QS Takeoff'!$B$3:$B$194,0)),"")</x:f>
      </x:c>
      <x:c r="D118" s="81" t="str">
        <x:f>IFERROR(INDEX('QS Takeoff'!$C$3:$C$194,MATCH(B118,'QS Takeoff'!$B$3:$B$194,0)),"")</x:f>
      </x:c>
      <x:c r="E118" s="81" t="str">
        <x:f>IFERROR(INDEX('QS Takeoff'!$E$3:$E$194,MATCH(B118,'QS Takeoff'!$B$3:$B$194,0)),"")</x:f>
      </x:c>
      <x:c r="F118" s="81" t="str">
        <x:f>IFERROR(INDEX('QS Takeoff'!$D$3:$D$194,MATCH(B118,'QS Takeoff'!$B$3:$B$194,0)),"")</x:f>
      </x:c>
      <x:c r="G118" s="81" t="str">
        <x:f>IFERROR(INDEX('QS Takeoff'!$J$3:$J$194,MATCH(B118,'QS Takeoff'!$B$3:$B$194,0)),"")</x:f>
      </x:c>
      <x:c r="H118" s="53"/>
      <x:c r="I118" s="60"/>
      <x:c r="J118" s="60"/>
      <x:c r="K118" s="82" t="str">
        <x:f t="shared" si="6">IF(OR(B118="",I118="",I118=0),"",E118/I118)</x:f>
      </x:c>
      <x:c r="L118" s="60"/>
      <x:c r="M118" s="82" t="str">
        <x:f t="shared" si="7">IF(L118&gt;0,L118,K118)</x:f>
      </x:c>
      <x:c r="N118" s="53"/>
      <x:c r="O118" s="53"/>
      <x:c r="P118" s="53"/>
      <x:c r="Q118" s="81" t="str">
        <x:f>IFERROR(INDEX('Resource Rate Library'!$C$5:$C$85,MATCH(P118,'Resource Rate Library'!$A$5:$A$85,0)),"")</x:f>
      </x:c>
      <x:c r="R118" s="53"/>
      <x:c r="S118" s="53"/>
      <x:c r="T118" s="81" t="str">
        <x:f>IFERROR(INDEX('Resource Rate Library'!$E$5:$E$85,MATCH(P118,'Resource Rate Library'!$A$5:$A$85,0)),"")</x:f>
      </x:c>
      <x:c r="U118" s="62"/>
      <x:c r="V118" s="62"/>
      <x:c r="W118" s="83" t="n">
        <x:f>IFERROR(INDEX('Resource Rate Library'!$I$5:$I$85,MATCH(P118,'Resource Rate Library'!$A$5:$A$85,0)),0)</x:f>
        <x:v>0</x:v>
      </x:c>
      <x:c r="X118" s="52"/>
      <x:c r="Y118" s="83" t="n">
        <x:f t="shared" si="8">IF(X118&gt;0,X118,W118)</x:f>
        <x:v>0</x:v>
      </x:c>
      <x:c r="Z118" s="83" t="str">
        <x:f t="shared" si="9">IF(B118="","",IF(N118="Time x Count",M118*R118*IF(U118="",1,U118)*Y118,IF(N118="QS Qty x Factor",E118*R118*(1+IF(V118="",0,V118))*Y118,IF(N118="Direct Qty",S118*(1+IF(V118="",0,V118))*Y118,IF(N118="Lump Sum / Quote",S118*Y118,0)))))</x:f>
      </x:c>
      <x:c r="AA118" s="81" t="str">
        <x:f>IFERROR(INDEX('Resource Rate Library'!$N$5:$N$85,MATCH(P118,'Resource Rate Library'!$A$5:$A$85,0)),"")</x:f>
      </x:c>
      <x:c r="AB118" s="53"/>
      <x:c r="AC118" s="59"/>
      <x:c r="AD118" s="81" t="str">
        <x:f>IFERROR(INDEX('Resource Rate Library'!$G$5:$G$85,MATCH(P118,'Resource Rate Library'!$A$5:$A$85,0)),"")</x:f>
      </x:c>
      <x:c r="AE118" s="81" t="str">
        <x:f>IFERROR(INDEX('Resource Rate Library'!$H$5:$H$85,MATCH(P118,'Resource Rate Library'!$A$5:$A$85,0)),"")</x:f>
      </x:c>
      <x:c r="AF118" s="53"/>
      <x:c r="AG118" s="53"/>
      <x:c r="AH118" s="53"/>
      <x:c r="AI118" s="81" t="str">
        <x:f t="shared" si="10">IF(B118="","",IF(AND(P118="",N118&lt;&gt;"Lump Sum / Quote"),"RESOURCE CODE",IF(Y118=0,"RATE MISSING",IF(AND(O118="Plant",AD118="Yes",COUNTIFS($B$7:$B$306,B118,$O$7:$O$306,"Labour",$Q$7:$Q$306,"*Operator*")&gt;0),"OPERATOR DOUBLE-COUNT",IF(AND(O118="Plant",AE118="Yes",COUNTIFS($B$7:$B$306,B118,$Q$7:$Q$306,"*Fuel*")&gt;0),"FUEL DOUBLE-COUNT",IF(AH118&lt;&gt;"Yes","VERIFY","OK"))))))</x:f>
      </x:c>
      <x:c r="AJ118" s="54"/>
      <x:c r="AK118" s="473"/>
      <x:c r="AL118" s="473"/>
      <x:c r="AM118" s="473"/>
      <x:c r="AN118" s="500" t="n">
        <x:f>IF(AND(AK118="Yes",OR(O118="Labour",O118="Plant")),Z118,0)</x:f>
        <x:v>0</x:v>
      </x:c>
    </x:row>
    <x:row r="119" ht="22.049999237060547" customHeight="1">
      <x:c r="A119" s="80" t="str">
        <x:f>IF(B119="","",B119&amp;"-"&amp;TEXT(COUNTIF($B$7:B119,B119),"000"))</x:f>
      </x:c>
      <x:c r="B119" s="53"/>
      <x:c r="C119" s="81" t="str">
        <x:f>IFERROR(INDEX('QS Takeoff'!$A$3:$A$194,MATCH(B119,'QS Takeoff'!$B$3:$B$194,0)),"")</x:f>
      </x:c>
      <x:c r="D119" s="81" t="str">
        <x:f>IFERROR(INDEX('QS Takeoff'!$C$3:$C$194,MATCH(B119,'QS Takeoff'!$B$3:$B$194,0)),"")</x:f>
      </x:c>
      <x:c r="E119" s="81" t="str">
        <x:f>IFERROR(INDEX('QS Takeoff'!$E$3:$E$194,MATCH(B119,'QS Takeoff'!$B$3:$B$194,0)),"")</x:f>
      </x:c>
      <x:c r="F119" s="81" t="str">
        <x:f>IFERROR(INDEX('QS Takeoff'!$D$3:$D$194,MATCH(B119,'QS Takeoff'!$B$3:$B$194,0)),"")</x:f>
      </x:c>
      <x:c r="G119" s="81" t="str">
        <x:f>IFERROR(INDEX('QS Takeoff'!$J$3:$J$194,MATCH(B119,'QS Takeoff'!$B$3:$B$194,0)),"")</x:f>
      </x:c>
      <x:c r="H119" s="53"/>
      <x:c r="I119" s="60"/>
      <x:c r="J119" s="60"/>
      <x:c r="K119" s="82" t="str">
        <x:f t="shared" si="6">IF(OR(B119="",I119="",I119=0),"",E119/I119)</x:f>
      </x:c>
      <x:c r="L119" s="60"/>
      <x:c r="M119" s="82" t="str">
        <x:f t="shared" si="7">IF(L119&gt;0,L119,K119)</x:f>
      </x:c>
      <x:c r="N119" s="53"/>
      <x:c r="O119" s="53"/>
      <x:c r="P119" s="53"/>
      <x:c r="Q119" s="81" t="str">
        <x:f>IFERROR(INDEX('Resource Rate Library'!$C$5:$C$85,MATCH(P119,'Resource Rate Library'!$A$5:$A$85,0)),"")</x:f>
      </x:c>
      <x:c r="R119" s="53"/>
      <x:c r="S119" s="53"/>
      <x:c r="T119" s="81" t="str">
        <x:f>IFERROR(INDEX('Resource Rate Library'!$E$5:$E$85,MATCH(P119,'Resource Rate Library'!$A$5:$A$85,0)),"")</x:f>
      </x:c>
      <x:c r="U119" s="62"/>
      <x:c r="V119" s="62"/>
      <x:c r="W119" s="83" t="n">
        <x:f>IFERROR(INDEX('Resource Rate Library'!$I$5:$I$85,MATCH(P119,'Resource Rate Library'!$A$5:$A$85,0)),0)</x:f>
        <x:v>0</x:v>
      </x:c>
      <x:c r="X119" s="52"/>
      <x:c r="Y119" s="83" t="n">
        <x:f t="shared" si="8">IF(X119&gt;0,X119,W119)</x:f>
        <x:v>0</x:v>
      </x:c>
      <x:c r="Z119" s="83" t="str">
        <x:f t="shared" si="9">IF(B119="","",IF(N119="Time x Count",M119*R119*IF(U119="",1,U119)*Y119,IF(N119="QS Qty x Factor",E119*R119*(1+IF(V119="",0,V119))*Y119,IF(N119="Direct Qty",S119*(1+IF(V119="",0,V119))*Y119,IF(N119="Lump Sum / Quote",S119*Y119,0)))))</x:f>
      </x:c>
      <x:c r="AA119" s="81" t="str">
        <x:f>IFERROR(INDEX('Resource Rate Library'!$N$5:$N$85,MATCH(P119,'Resource Rate Library'!$A$5:$A$85,0)),"")</x:f>
      </x:c>
      <x:c r="AB119" s="53"/>
      <x:c r="AC119" s="59"/>
      <x:c r="AD119" s="81" t="str">
        <x:f>IFERROR(INDEX('Resource Rate Library'!$G$5:$G$85,MATCH(P119,'Resource Rate Library'!$A$5:$A$85,0)),"")</x:f>
      </x:c>
      <x:c r="AE119" s="81" t="str">
        <x:f>IFERROR(INDEX('Resource Rate Library'!$H$5:$H$85,MATCH(P119,'Resource Rate Library'!$A$5:$A$85,0)),"")</x:f>
      </x:c>
      <x:c r="AF119" s="53"/>
      <x:c r="AG119" s="53"/>
      <x:c r="AH119" s="53"/>
      <x:c r="AI119" s="81" t="str">
        <x:f t="shared" si="10">IF(B119="","",IF(AND(P119="",N119&lt;&gt;"Lump Sum / Quote"),"RESOURCE CODE",IF(Y119=0,"RATE MISSING",IF(AND(O119="Plant",AD119="Yes",COUNTIFS($B$7:$B$306,B119,$O$7:$O$306,"Labour",$Q$7:$Q$306,"*Operator*")&gt;0),"OPERATOR DOUBLE-COUNT",IF(AND(O119="Plant",AE119="Yes",COUNTIFS($B$7:$B$306,B119,$Q$7:$Q$306,"*Fuel*")&gt;0),"FUEL DOUBLE-COUNT",IF(AH119&lt;&gt;"Yes","VERIFY","OK"))))))</x:f>
      </x:c>
      <x:c r="AJ119" s="54"/>
      <x:c r="AK119" s="473"/>
      <x:c r="AL119" s="473"/>
      <x:c r="AM119" s="473"/>
      <x:c r="AN119" s="500" t="n">
        <x:f>IF(AND(AK119="Yes",OR(O119="Labour",O119="Plant")),Z119,0)</x:f>
        <x:v>0</x:v>
      </x:c>
    </x:row>
    <x:row r="120" ht="22.049999237060547" customHeight="1">
      <x:c r="A120" s="80" t="str">
        <x:f>IF(B120="","",B120&amp;"-"&amp;TEXT(COUNTIF($B$7:B120,B120),"000"))</x:f>
      </x:c>
      <x:c r="B120" s="53"/>
      <x:c r="C120" s="81" t="str">
        <x:f>IFERROR(INDEX('QS Takeoff'!$A$3:$A$194,MATCH(B120,'QS Takeoff'!$B$3:$B$194,0)),"")</x:f>
      </x:c>
      <x:c r="D120" s="81" t="str">
        <x:f>IFERROR(INDEX('QS Takeoff'!$C$3:$C$194,MATCH(B120,'QS Takeoff'!$B$3:$B$194,0)),"")</x:f>
      </x:c>
      <x:c r="E120" s="81" t="str">
        <x:f>IFERROR(INDEX('QS Takeoff'!$E$3:$E$194,MATCH(B120,'QS Takeoff'!$B$3:$B$194,0)),"")</x:f>
      </x:c>
      <x:c r="F120" s="81" t="str">
        <x:f>IFERROR(INDEX('QS Takeoff'!$D$3:$D$194,MATCH(B120,'QS Takeoff'!$B$3:$B$194,0)),"")</x:f>
      </x:c>
      <x:c r="G120" s="81" t="str">
        <x:f>IFERROR(INDEX('QS Takeoff'!$J$3:$J$194,MATCH(B120,'QS Takeoff'!$B$3:$B$194,0)),"")</x:f>
      </x:c>
      <x:c r="H120" s="53"/>
      <x:c r="I120" s="60"/>
      <x:c r="J120" s="60"/>
      <x:c r="K120" s="82" t="str">
        <x:f t="shared" si="6">IF(OR(B120="",I120="",I120=0),"",E120/I120)</x:f>
      </x:c>
      <x:c r="L120" s="60"/>
      <x:c r="M120" s="82" t="str">
        <x:f t="shared" si="7">IF(L120&gt;0,L120,K120)</x:f>
      </x:c>
      <x:c r="N120" s="53"/>
      <x:c r="O120" s="53"/>
      <x:c r="P120" s="53"/>
      <x:c r="Q120" s="81" t="str">
        <x:f>IFERROR(INDEX('Resource Rate Library'!$C$5:$C$85,MATCH(P120,'Resource Rate Library'!$A$5:$A$85,0)),"")</x:f>
      </x:c>
      <x:c r="R120" s="53"/>
      <x:c r="S120" s="53"/>
      <x:c r="T120" s="81" t="str">
        <x:f>IFERROR(INDEX('Resource Rate Library'!$E$5:$E$85,MATCH(P120,'Resource Rate Library'!$A$5:$A$85,0)),"")</x:f>
      </x:c>
      <x:c r="U120" s="62"/>
      <x:c r="V120" s="62"/>
      <x:c r="W120" s="83" t="n">
        <x:f>IFERROR(INDEX('Resource Rate Library'!$I$5:$I$85,MATCH(P120,'Resource Rate Library'!$A$5:$A$85,0)),0)</x:f>
        <x:v>0</x:v>
      </x:c>
      <x:c r="X120" s="52"/>
      <x:c r="Y120" s="83" t="n">
        <x:f t="shared" si="8">IF(X120&gt;0,X120,W120)</x:f>
        <x:v>0</x:v>
      </x:c>
      <x:c r="Z120" s="83" t="str">
        <x:f t="shared" si="9">IF(B120="","",IF(N120="Time x Count",M120*R120*IF(U120="",1,U120)*Y120,IF(N120="QS Qty x Factor",E120*R120*(1+IF(V120="",0,V120))*Y120,IF(N120="Direct Qty",S120*(1+IF(V120="",0,V120))*Y120,IF(N120="Lump Sum / Quote",S120*Y120,0)))))</x:f>
      </x:c>
      <x:c r="AA120" s="81" t="str">
        <x:f>IFERROR(INDEX('Resource Rate Library'!$N$5:$N$85,MATCH(P120,'Resource Rate Library'!$A$5:$A$85,0)),"")</x:f>
      </x:c>
      <x:c r="AB120" s="53"/>
      <x:c r="AC120" s="59"/>
      <x:c r="AD120" s="81" t="str">
        <x:f>IFERROR(INDEX('Resource Rate Library'!$G$5:$G$85,MATCH(P120,'Resource Rate Library'!$A$5:$A$85,0)),"")</x:f>
      </x:c>
      <x:c r="AE120" s="81" t="str">
        <x:f>IFERROR(INDEX('Resource Rate Library'!$H$5:$H$85,MATCH(P120,'Resource Rate Library'!$A$5:$A$85,0)),"")</x:f>
      </x:c>
      <x:c r="AF120" s="53"/>
      <x:c r="AG120" s="53"/>
      <x:c r="AH120" s="53"/>
      <x:c r="AI120" s="81" t="str">
        <x:f>IF(B120="","",IF(AND(P120="",N120&lt;&gt;"Lump Sum / Quote"),"RESOURCE CODE",IF(Y120=0,"RATE MISSING",IF(AND(O120="Plant",AD120="Yes",COUNTIFS($B$7:$B$306,B120,$O$7:$O$306,"Labour",$Q$7:$Q$306,"*Operator*")&gt;0),"OPERATOR DOUBLE-COUNT",IF(AND(O120="Plant",AE120="Yes",COUNTIFS($B$7:$B$306,B120,$Q$7:$Q$306,"*Fuel*")&gt;0),"FUEL DOUBLE-COUNT",IF(AH120&lt;&gt;"Yes","VERIFY","OK"))))))</x:f>
      </x:c>
      <x:c r="AJ120" s="54"/>
      <x:c r="AK120" s="473"/>
      <x:c r="AL120" s="473"/>
      <x:c r="AM120" s="473"/>
      <x:c r="AN120" s="500" t="n">
        <x:f>IF(AND(AK120="Yes",OR(O120="Labour",O120="Plant")),Z120,0)</x:f>
        <x:v>0</x:v>
      </x:c>
    </x:row>
    <x:row r="121" ht="22.049999237060547" customHeight="1">
      <x:c r="A121" s="80" t="str">
        <x:f>IF(B121="","",B121&amp;"-"&amp;TEXT(COUNTIF($B$7:B121,B121),"000"))</x:f>
      </x:c>
      <x:c r="B121" s="53"/>
      <x:c r="C121" s="81" t="str">
        <x:f>IFERROR(INDEX('QS Takeoff'!$A$3:$A$194,MATCH(B121,'QS Takeoff'!$B$3:$B$194,0)),"")</x:f>
      </x:c>
      <x:c r="D121" s="81" t="str">
        <x:f>IFERROR(INDEX('QS Takeoff'!$C$3:$C$194,MATCH(B121,'QS Takeoff'!$B$3:$B$194,0)),"")</x:f>
      </x:c>
      <x:c r="E121" s="81" t="str">
        <x:f>IFERROR(INDEX('QS Takeoff'!$E$3:$E$194,MATCH(B121,'QS Takeoff'!$B$3:$B$194,0)),"")</x:f>
      </x:c>
      <x:c r="F121" s="81" t="str">
        <x:f>IFERROR(INDEX('QS Takeoff'!$D$3:$D$194,MATCH(B121,'QS Takeoff'!$B$3:$B$194,0)),"")</x:f>
      </x:c>
      <x:c r="G121" s="81" t="str">
        <x:f>IFERROR(INDEX('QS Takeoff'!$J$3:$J$194,MATCH(B121,'QS Takeoff'!$B$3:$B$194,0)),"")</x:f>
      </x:c>
      <x:c r="H121" s="53"/>
      <x:c r="I121" s="60"/>
      <x:c r="J121" s="60"/>
      <x:c r="K121" s="82" t="str">
        <x:f t="shared" si="6">IF(OR(B121="",I121="",I121=0),"",E121/I121)</x:f>
      </x:c>
      <x:c r="L121" s="60"/>
      <x:c r="M121" s="82" t="str">
        <x:f t="shared" si="7">IF(L121&gt;0,L121,K121)</x:f>
      </x:c>
      <x:c r="N121" s="53"/>
      <x:c r="O121" s="53"/>
      <x:c r="P121" s="53"/>
      <x:c r="Q121" s="81" t="str">
        <x:f>IFERROR(INDEX('Resource Rate Library'!$C$5:$C$85,MATCH(P121,'Resource Rate Library'!$A$5:$A$85,0)),"")</x:f>
      </x:c>
      <x:c r="R121" s="53"/>
      <x:c r="S121" s="53"/>
      <x:c r="T121" s="81" t="str">
        <x:f>IFERROR(INDEX('Resource Rate Library'!$E$5:$E$85,MATCH(P121,'Resource Rate Library'!$A$5:$A$85,0)),"")</x:f>
      </x:c>
      <x:c r="U121" s="62"/>
      <x:c r="V121" s="62"/>
      <x:c r="W121" s="83" t="n">
        <x:f>IFERROR(INDEX('Resource Rate Library'!$I$5:$I$85,MATCH(P121,'Resource Rate Library'!$A$5:$A$85,0)),0)</x:f>
        <x:v>0</x:v>
      </x:c>
      <x:c r="X121" s="52"/>
      <x:c r="Y121" s="83" t="n">
        <x:f t="shared" si="8">IF(X121&gt;0,X121,W121)</x:f>
        <x:v>0</x:v>
      </x:c>
      <x:c r="Z121" s="83" t="str">
        <x:f t="shared" si="9">IF(B121="","",IF(N121="Time x Count",M121*R121*IF(U121="",1,U121)*Y121,IF(N121="QS Qty x Factor",E121*R121*(1+IF(V121="",0,V121))*Y121,IF(N121="Direct Qty",S121*(1+IF(V121="",0,V121))*Y121,IF(N121="Lump Sum / Quote",S121*Y121,0)))))</x:f>
      </x:c>
      <x:c r="AA121" s="81" t="str">
        <x:f>IFERROR(INDEX('Resource Rate Library'!$N$5:$N$85,MATCH(P121,'Resource Rate Library'!$A$5:$A$85,0)),"")</x:f>
      </x:c>
      <x:c r="AB121" s="53"/>
      <x:c r="AC121" s="59"/>
      <x:c r="AD121" s="81" t="str">
        <x:f>IFERROR(INDEX('Resource Rate Library'!$G$5:$G$85,MATCH(P121,'Resource Rate Library'!$A$5:$A$85,0)),"")</x:f>
      </x:c>
      <x:c r="AE121" s="81" t="str">
        <x:f>IFERROR(INDEX('Resource Rate Library'!$H$5:$H$85,MATCH(P121,'Resource Rate Library'!$A$5:$A$85,0)),"")</x:f>
      </x:c>
      <x:c r="AF121" s="53"/>
      <x:c r="AG121" s="53"/>
      <x:c r="AH121" s="53"/>
      <x:c r="AI121" s="81" t="str">
        <x:f t="shared" ref="AI121:AI152" si="11">IF(B121="","",IF(AND(P121="",N121&lt;&gt;"Lump Sum / Quote"),"RESOURCE CODE",IF(Y121=0,"RATE MISSING",IF(AND(O121="Plant",AD121="Yes",COUNTIFS($B$7:$B$306,B121,$O$7:$O$306,"Labour",$Q$7:$Q$306,"*Operator*")&gt;0),"OPERATOR DOUBLE-COUNT",IF(AND(O121="Plant",AE121="Yes",COUNTIFS($B$7:$B$306,B121,$Q$7:$Q$306,"*Fuel*")&gt;0),"FUEL DOUBLE-COUNT",IF(AH121&lt;&gt;"Yes","VERIFY","OK"))))))</x:f>
      </x:c>
      <x:c r="AJ121" s="54"/>
      <x:c r="AK121" s="473"/>
      <x:c r="AL121" s="473"/>
      <x:c r="AM121" s="473"/>
      <x:c r="AN121" s="500" t="n">
        <x:f>IF(AND(AK121="Yes",OR(O121="Labour",O121="Plant")),Z121,0)</x:f>
        <x:v>0</x:v>
      </x:c>
    </x:row>
    <x:row r="122" ht="22.049999237060547" customHeight="1">
      <x:c r="A122" s="80" t="str">
        <x:f>IF(B122="","",B122&amp;"-"&amp;TEXT(COUNTIF($B$7:B122,B122),"000"))</x:f>
      </x:c>
      <x:c r="B122" s="53"/>
      <x:c r="C122" s="81" t="str">
        <x:f>IFERROR(INDEX('QS Takeoff'!$A$3:$A$194,MATCH(B122,'QS Takeoff'!$B$3:$B$194,0)),"")</x:f>
      </x:c>
      <x:c r="D122" s="81" t="str">
        <x:f>IFERROR(INDEX('QS Takeoff'!$C$3:$C$194,MATCH(B122,'QS Takeoff'!$B$3:$B$194,0)),"")</x:f>
      </x:c>
      <x:c r="E122" s="81" t="str">
        <x:f>IFERROR(INDEX('QS Takeoff'!$E$3:$E$194,MATCH(B122,'QS Takeoff'!$B$3:$B$194,0)),"")</x:f>
      </x:c>
      <x:c r="F122" s="81" t="str">
        <x:f>IFERROR(INDEX('QS Takeoff'!$D$3:$D$194,MATCH(B122,'QS Takeoff'!$B$3:$B$194,0)),"")</x:f>
      </x:c>
      <x:c r="G122" s="81" t="str">
        <x:f>IFERROR(INDEX('QS Takeoff'!$J$3:$J$194,MATCH(B122,'QS Takeoff'!$B$3:$B$194,0)),"")</x:f>
      </x:c>
      <x:c r="H122" s="53"/>
      <x:c r="I122" s="60"/>
      <x:c r="J122" s="60"/>
      <x:c r="K122" s="82" t="str">
        <x:f t="shared" si="6">IF(OR(B122="",I122="",I122=0),"",E122/I122)</x:f>
      </x:c>
      <x:c r="L122" s="60"/>
      <x:c r="M122" s="82" t="str">
        <x:f t="shared" si="7">IF(L122&gt;0,L122,K122)</x:f>
      </x:c>
      <x:c r="N122" s="53"/>
      <x:c r="O122" s="53"/>
      <x:c r="P122" s="53"/>
      <x:c r="Q122" s="81" t="str">
        <x:f>IFERROR(INDEX('Resource Rate Library'!$C$5:$C$85,MATCH(P122,'Resource Rate Library'!$A$5:$A$85,0)),"")</x:f>
      </x:c>
      <x:c r="R122" s="53"/>
      <x:c r="S122" s="53"/>
      <x:c r="T122" s="81" t="str">
        <x:f>IFERROR(INDEX('Resource Rate Library'!$E$5:$E$85,MATCH(P122,'Resource Rate Library'!$A$5:$A$85,0)),"")</x:f>
      </x:c>
      <x:c r="U122" s="62"/>
      <x:c r="V122" s="62"/>
      <x:c r="W122" s="83" t="n">
        <x:f>IFERROR(INDEX('Resource Rate Library'!$I$5:$I$85,MATCH(P122,'Resource Rate Library'!$A$5:$A$85,0)),0)</x:f>
        <x:v>0</x:v>
      </x:c>
      <x:c r="X122" s="52"/>
      <x:c r="Y122" s="83" t="n">
        <x:f t="shared" si="8">IF(X122&gt;0,X122,W122)</x:f>
        <x:v>0</x:v>
      </x:c>
      <x:c r="Z122" s="83" t="str">
        <x:f t="shared" si="9">IF(B122="","",IF(N122="Time x Count",M122*R122*IF(U122="",1,U122)*Y122,IF(N122="QS Qty x Factor",E122*R122*(1+IF(V122="",0,V122))*Y122,IF(N122="Direct Qty",S122*(1+IF(V122="",0,V122))*Y122,IF(N122="Lump Sum / Quote",S122*Y122,0)))))</x:f>
      </x:c>
      <x:c r="AA122" s="81" t="str">
        <x:f>IFERROR(INDEX('Resource Rate Library'!$N$5:$N$85,MATCH(P122,'Resource Rate Library'!$A$5:$A$85,0)),"")</x:f>
      </x:c>
      <x:c r="AB122" s="53"/>
      <x:c r="AC122" s="59"/>
      <x:c r="AD122" s="81" t="str">
        <x:f>IFERROR(INDEX('Resource Rate Library'!$G$5:$G$85,MATCH(P122,'Resource Rate Library'!$A$5:$A$85,0)),"")</x:f>
      </x:c>
      <x:c r="AE122" s="81" t="str">
        <x:f>IFERROR(INDEX('Resource Rate Library'!$H$5:$H$85,MATCH(P122,'Resource Rate Library'!$A$5:$A$85,0)),"")</x:f>
      </x:c>
      <x:c r="AF122" s="53"/>
      <x:c r="AG122" s="53"/>
      <x:c r="AH122" s="53"/>
      <x:c r="AI122" s="81" t="str">
        <x:f t="shared" si="11">IF(B122="","",IF(AND(P122="",N122&lt;&gt;"Lump Sum / Quote"),"RESOURCE CODE",IF(Y122=0,"RATE MISSING",IF(AND(O122="Plant",AD122="Yes",COUNTIFS($B$7:$B$306,B122,$O$7:$O$306,"Labour",$Q$7:$Q$306,"*Operator*")&gt;0),"OPERATOR DOUBLE-COUNT",IF(AND(O122="Plant",AE122="Yes",COUNTIFS($B$7:$B$306,B122,$Q$7:$Q$306,"*Fuel*")&gt;0),"FUEL DOUBLE-COUNT",IF(AH122&lt;&gt;"Yes","VERIFY","OK"))))))</x:f>
      </x:c>
      <x:c r="AJ122" s="54"/>
      <x:c r="AK122" s="473"/>
      <x:c r="AL122" s="473"/>
      <x:c r="AM122" s="473"/>
      <x:c r="AN122" s="500" t="n">
        <x:f>IF(AND(AK122="Yes",OR(O122="Labour",O122="Plant")),Z122,0)</x:f>
        <x:v>0</x:v>
      </x:c>
    </x:row>
    <x:row r="123" ht="22.049999237060547" customHeight="1">
      <x:c r="A123" s="80" t="str">
        <x:f>IF(B123="","",B123&amp;"-"&amp;TEXT(COUNTIF($B$7:B123,B123),"000"))</x:f>
      </x:c>
      <x:c r="B123" s="53"/>
      <x:c r="C123" s="81" t="str">
        <x:f>IFERROR(INDEX('QS Takeoff'!$A$3:$A$194,MATCH(B123,'QS Takeoff'!$B$3:$B$194,0)),"")</x:f>
      </x:c>
      <x:c r="D123" s="81" t="str">
        <x:f>IFERROR(INDEX('QS Takeoff'!$C$3:$C$194,MATCH(B123,'QS Takeoff'!$B$3:$B$194,0)),"")</x:f>
      </x:c>
      <x:c r="E123" s="81" t="str">
        <x:f>IFERROR(INDEX('QS Takeoff'!$E$3:$E$194,MATCH(B123,'QS Takeoff'!$B$3:$B$194,0)),"")</x:f>
      </x:c>
      <x:c r="F123" s="81" t="str">
        <x:f>IFERROR(INDEX('QS Takeoff'!$D$3:$D$194,MATCH(B123,'QS Takeoff'!$B$3:$B$194,0)),"")</x:f>
      </x:c>
      <x:c r="G123" s="81" t="str">
        <x:f>IFERROR(INDEX('QS Takeoff'!$J$3:$J$194,MATCH(B123,'QS Takeoff'!$B$3:$B$194,0)),"")</x:f>
      </x:c>
      <x:c r="H123" s="53"/>
      <x:c r="I123" s="60"/>
      <x:c r="J123" s="60"/>
      <x:c r="K123" s="82" t="str">
        <x:f t="shared" si="6">IF(OR(B123="",I123="",I123=0),"",E123/I123)</x:f>
      </x:c>
      <x:c r="L123" s="60"/>
      <x:c r="M123" s="82" t="str">
        <x:f t="shared" si="7">IF(L123&gt;0,L123,K123)</x:f>
      </x:c>
      <x:c r="N123" s="53"/>
      <x:c r="O123" s="53"/>
      <x:c r="P123" s="53"/>
      <x:c r="Q123" s="81" t="str">
        <x:f>IFERROR(INDEX('Resource Rate Library'!$C$5:$C$85,MATCH(P123,'Resource Rate Library'!$A$5:$A$85,0)),"")</x:f>
      </x:c>
      <x:c r="R123" s="53"/>
      <x:c r="S123" s="53"/>
      <x:c r="T123" s="81" t="str">
        <x:f>IFERROR(INDEX('Resource Rate Library'!$E$5:$E$85,MATCH(P123,'Resource Rate Library'!$A$5:$A$85,0)),"")</x:f>
      </x:c>
      <x:c r="U123" s="62"/>
      <x:c r="V123" s="62"/>
      <x:c r="W123" s="83" t="n">
        <x:f>IFERROR(INDEX('Resource Rate Library'!$I$5:$I$85,MATCH(P123,'Resource Rate Library'!$A$5:$A$85,0)),0)</x:f>
        <x:v>0</x:v>
      </x:c>
      <x:c r="X123" s="52"/>
      <x:c r="Y123" s="83" t="n">
        <x:f t="shared" si="8">IF(X123&gt;0,X123,W123)</x:f>
        <x:v>0</x:v>
      </x:c>
      <x:c r="Z123" s="83" t="str">
        <x:f t="shared" si="9">IF(B123="","",IF(N123="Time x Count",M123*R123*IF(U123="",1,U123)*Y123,IF(N123="QS Qty x Factor",E123*R123*(1+IF(V123="",0,V123))*Y123,IF(N123="Direct Qty",S123*(1+IF(V123="",0,V123))*Y123,IF(N123="Lump Sum / Quote",S123*Y123,0)))))</x:f>
      </x:c>
      <x:c r="AA123" s="81" t="str">
        <x:f>IFERROR(INDEX('Resource Rate Library'!$N$5:$N$85,MATCH(P123,'Resource Rate Library'!$A$5:$A$85,0)),"")</x:f>
      </x:c>
      <x:c r="AB123" s="53"/>
      <x:c r="AC123" s="59"/>
      <x:c r="AD123" s="81" t="str">
        <x:f>IFERROR(INDEX('Resource Rate Library'!$G$5:$G$85,MATCH(P123,'Resource Rate Library'!$A$5:$A$85,0)),"")</x:f>
      </x:c>
      <x:c r="AE123" s="81" t="str">
        <x:f>IFERROR(INDEX('Resource Rate Library'!$H$5:$H$85,MATCH(P123,'Resource Rate Library'!$A$5:$A$85,0)),"")</x:f>
      </x:c>
      <x:c r="AF123" s="53"/>
      <x:c r="AG123" s="53"/>
      <x:c r="AH123" s="53"/>
      <x:c r="AI123" s="81" t="str">
        <x:f t="shared" si="11">IF(B123="","",IF(AND(P123="",N123&lt;&gt;"Lump Sum / Quote"),"RESOURCE CODE",IF(Y123=0,"RATE MISSING",IF(AND(O123="Plant",AD123="Yes",COUNTIFS($B$7:$B$306,B123,$O$7:$O$306,"Labour",$Q$7:$Q$306,"*Operator*")&gt;0),"OPERATOR DOUBLE-COUNT",IF(AND(O123="Plant",AE123="Yes",COUNTIFS($B$7:$B$306,B123,$Q$7:$Q$306,"*Fuel*")&gt;0),"FUEL DOUBLE-COUNT",IF(AH123&lt;&gt;"Yes","VERIFY","OK"))))))</x:f>
      </x:c>
      <x:c r="AJ123" s="54"/>
      <x:c r="AK123" s="473"/>
      <x:c r="AL123" s="473"/>
      <x:c r="AM123" s="473"/>
      <x:c r="AN123" s="500" t="n">
        <x:f>IF(AND(AK123="Yes",OR(O123="Labour",O123="Plant")),Z123,0)</x:f>
        <x:v>0</x:v>
      </x:c>
    </x:row>
    <x:row r="124" ht="22.049999237060547" customHeight="1">
      <x:c r="A124" s="80" t="str">
        <x:f>IF(B124="","",B124&amp;"-"&amp;TEXT(COUNTIF($B$7:B124,B124),"000"))</x:f>
      </x:c>
      <x:c r="B124" s="53"/>
      <x:c r="C124" s="81" t="str">
        <x:f>IFERROR(INDEX('QS Takeoff'!$A$3:$A$194,MATCH(B124,'QS Takeoff'!$B$3:$B$194,0)),"")</x:f>
      </x:c>
      <x:c r="D124" s="81" t="str">
        <x:f>IFERROR(INDEX('QS Takeoff'!$C$3:$C$194,MATCH(B124,'QS Takeoff'!$B$3:$B$194,0)),"")</x:f>
      </x:c>
      <x:c r="E124" s="81" t="str">
        <x:f>IFERROR(INDEX('QS Takeoff'!$E$3:$E$194,MATCH(B124,'QS Takeoff'!$B$3:$B$194,0)),"")</x:f>
      </x:c>
      <x:c r="F124" s="81" t="str">
        <x:f>IFERROR(INDEX('QS Takeoff'!$D$3:$D$194,MATCH(B124,'QS Takeoff'!$B$3:$B$194,0)),"")</x:f>
      </x:c>
      <x:c r="G124" s="81" t="str">
        <x:f>IFERROR(INDEX('QS Takeoff'!$J$3:$J$194,MATCH(B124,'QS Takeoff'!$B$3:$B$194,0)),"")</x:f>
      </x:c>
      <x:c r="H124" s="53"/>
      <x:c r="I124" s="60"/>
      <x:c r="J124" s="60"/>
      <x:c r="K124" s="82" t="str">
        <x:f t="shared" si="6">IF(OR(B124="",I124="",I124=0),"",E124/I124)</x:f>
      </x:c>
      <x:c r="L124" s="60"/>
      <x:c r="M124" s="82" t="str">
        <x:f t="shared" si="7">IF(L124&gt;0,L124,K124)</x:f>
      </x:c>
      <x:c r="N124" s="53"/>
      <x:c r="O124" s="53"/>
      <x:c r="P124" s="53"/>
      <x:c r="Q124" s="81" t="str">
        <x:f>IFERROR(INDEX('Resource Rate Library'!$C$5:$C$85,MATCH(P124,'Resource Rate Library'!$A$5:$A$85,0)),"")</x:f>
      </x:c>
      <x:c r="R124" s="53"/>
      <x:c r="S124" s="53"/>
      <x:c r="T124" s="81" t="str">
        <x:f>IFERROR(INDEX('Resource Rate Library'!$E$5:$E$85,MATCH(P124,'Resource Rate Library'!$A$5:$A$85,0)),"")</x:f>
      </x:c>
      <x:c r="U124" s="62"/>
      <x:c r="V124" s="62"/>
      <x:c r="W124" s="83" t="n">
        <x:f>IFERROR(INDEX('Resource Rate Library'!$I$5:$I$85,MATCH(P124,'Resource Rate Library'!$A$5:$A$85,0)),0)</x:f>
        <x:v>0</x:v>
      </x:c>
      <x:c r="X124" s="52"/>
      <x:c r="Y124" s="83" t="n">
        <x:f t="shared" si="8">IF(X124&gt;0,X124,W124)</x:f>
        <x:v>0</x:v>
      </x:c>
      <x:c r="Z124" s="83" t="str">
        <x:f t="shared" si="9">IF(B124="","",IF(N124="Time x Count",M124*R124*IF(U124="",1,U124)*Y124,IF(N124="QS Qty x Factor",E124*R124*(1+IF(V124="",0,V124))*Y124,IF(N124="Direct Qty",S124*(1+IF(V124="",0,V124))*Y124,IF(N124="Lump Sum / Quote",S124*Y124,0)))))</x:f>
      </x:c>
      <x:c r="AA124" s="81" t="str">
        <x:f>IFERROR(INDEX('Resource Rate Library'!$N$5:$N$85,MATCH(P124,'Resource Rate Library'!$A$5:$A$85,0)),"")</x:f>
      </x:c>
      <x:c r="AB124" s="53"/>
      <x:c r="AC124" s="59"/>
      <x:c r="AD124" s="81" t="str">
        <x:f>IFERROR(INDEX('Resource Rate Library'!$G$5:$G$85,MATCH(P124,'Resource Rate Library'!$A$5:$A$85,0)),"")</x:f>
      </x:c>
      <x:c r="AE124" s="81" t="str">
        <x:f>IFERROR(INDEX('Resource Rate Library'!$H$5:$H$85,MATCH(P124,'Resource Rate Library'!$A$5:$A$85,0)),"")</x:f>
      </x:c>
      <x:c r="AF124" s="53"/>
      <x:c r="AG124" s="53"/>
      <x:c r="AH124" s="53"/>
      <x:c r="AI124" s="81" t="str">
        <x:f t="shared" si="11">IF(B124="","",IF(AND(P124="",N124&lt;&gt;"Lump Sum / Quote"),"RESOURCE CODE",IF(Y124=0,"RATE MISSING",IF(AND(O124="Plant",AD124="Yes",COUNTIFS($B$7:$B$306,B124,$O$7:$O$306,"Labour",$Q$7:$Q$306,"*Operator*")&gt;0),"OPERATOR DOUBLE-COUNT",IF(AND(O124="Plant",AE124="Yes",COUNTIFS($B$7:$B$306,B124,$Q$7:$Q$306,"*Fuel*")&gt;0),"FUEL DOUBLE-COUNT",IF(AH124&lt;&gt;"Yes","VERIFY","OK"))))))</x:f>
      </x:c>
      <x:c r="AJ124" s="54"/>
      <x:c r="AK124" s="473"/>
      <x:c r="AL124" s="473"/>
      <x:c r="AM124" s="473"/>
      <x:c r="AN124" s="500" t="n">
        <x:f>IF(AND(AK124="Yes",OR(O124="Labour",O124="Plant")),Z124,0)</x:f>
        <x:v>0</x:v>
      </x:c>
    </x:row>
    <x:row r="125" ht="22.049999237060547" customHeight="1">
      <x:c r="A125" s="80" t="str">
        <x:f>IF(B125="","",B125&amp;"-"&amp;TEXT(COUNTIF($B$7:B125,B125),"000"))</x:f>
      </x:c>
      <x:c r="B125" s="53"/>
      <x:c r="C125" s="81" t="str">
        <x:f>IFERROR(INDEX('QS Takeoff'!$A$3:$A$194,MATCH(B125,'QS Takeoff'!$B$3:$B$194,0)),"")</x:f>
      </x:c>
      <x:c r="D125" s="81" t="str">
        <x:f>IFERROR(INDEX('QS Takeoff'!$C$3:$C$194,MATCH(B125,'QS Takeoff'!$B$3:$B$194,0)),"")</x:f>
      </x:c>
      <x:c r="E125" s="81" t="str">
        <x:f>IFERROR(INDEX('QS Takeoff'!$E$3:$E$194,MATCH(B125,'QS Takeoff'!$B$3:$B$194,0)),"")</x:f>
      </x:c>
      <x:c r="F125" s="81" t="str">
        <x:f>IFERROR(INDEX('QS Takeoff'!$D$3:$D$194,MATCH(B125,'QS Takeoff'!$B$3:$B$194,0)),"")</x:f>
      </x:c>
      <x:c r="G125" s="81" t="str">
        <x:f>IFERROR(INDEX('QS Takeoff'!$J$3:$J$194,MATCH(B125,'QS Takeoff'!$B$3:$B$194,0)),"")</x:f>
      </x:c>
      <x:c r="H125" s="53"/>
      <x:c r="I125" s="60"/>
      <x:c r="J125" s="60"/>
      <x:c r="K125" s="82" t="str">
        <x:f t="shared" si="6">IF(OR(B125="",I125="",I125=0),"",E125/I125)</x:f>
      </x:c>
      <x:c r="L125" s="60"/>
      <x:c r="M125" s="82" t="str">
        <x:f t="shared" si="7">IF(L125&gt;0,L125,K125)</x:f>
      </x:c>
      <x:c r="N125" s="53"/>
      <x:c r="O125" s="53"/>
      <x:c r="P125" s="53"/>
      <x:c r="Q125" s="81" t="str">
        <x:f>IFERROR(INDEX('Resource Rate Library'!$C$5:$C$85,MATCH(P125,'Resource Rate Library'!$A$5:$A$85,0)),"")</x:f>
      </x:c>
      <x:c r="R125" s="53"/>
      <x:c r="S125" s="53"/>
      <x:c r="T125" s="81" t="str">
        <x:f>IFERROR(INDEX('Resource Rate Library'!$E$5:$E$85,MATCH(P125,'Resource Rate Library'!$A$5:$A$85,0)),"")</x:f>
      </x:c>
      <x:c r="U125" s="62"/>
      <x:c r="V125" s="62"/>
      <x:c r="W125" s="83" t="n">
        <x:f>IFERROR(INDEX('Resource Rate Library'!$I$5:$I$85,MATCH(P125,'Resource Rate Library'!$A$5:$A$85,0)),0)</x:f>
        <x:v>0</x:v>
      </x:c>
      <x:c r="X125" s="52"/>
      <x:c r="Y125" s="83" t="n">
        <x:f t="shared" si="8">IF(X125&gt;0,X125,W125)</x:f>
        <x:v>0</x:v>
      </x:c>
      <x:c r="Z125" s="83" t="str">
        <x:f t="shared" si="9">IF(B125="","",IF(N125="Time x Count",M125*R125*IF(U125="",1,U125)*Y125,IF(N125="QS Qty x Factor",E125*R125*(1+IF(V125="",0,V125))*Y125,IF(N125="Direct Qty",S125*(1+IF(V125="",0,V125))*Y125,IF(N125="Lump Sum / Quote",S125*Y125,0)))))</x:f>
      </x:c>
      <x:c r="AA125" s="81" t="str">
        <x:f>IFERROR(INDEX('Resource Rate Library'!$N$5:$N$85,MATCH(P125,'Resource Rate Library'!$A$5:$A$85,0)),"")</x:f>
      </x:c>
      <x:c r="AB125" s="53"/>
      <x:c r="AC125" s="59"/>
      <x:c r="AD125" s="81" t="str">
        <x:f>IFERROR(INDEX('Resource Rate Library'!$G$5:$G$85,MATCH(P125,'Resource Rate Library'!$A$5:$A$85,0)),"")</x:f>
      </x:c>
      <x:c r="AE125" s="81" t="str">
        <x:f>IFERROR(INDEX('Resource Rate Library'!$H$5:$H$85,MATCH(P125,'Resource Rate Library'!$A$5:$A$85,0)),"")</x:f>
      </x:c>
      <x:c r="AF125" s="53"/>
      <x:c r="AG125" s="53"/>
      <x:c r="AH125" s="53"/>
      <x:c r="AI125" s="81" t="str">
        <x:f t="shared" si="11">IF(B125="","",IF(AND(P125="",N125&lt;&gt;"Lump Sum / Quote"),"RESOURCE CODE",IF(Y125=0,"RATE MISSING",IF(AND(O125="Plant",AD125="Yes",COUNTIFS($B$7:$B$306,B125,$O$7:$O$306,"Labour",$Q$7:$Q$306,"*Operator*")&gt;0),"OPERATOR DOUBLE-COUNT",IF(AND(O125="Plant",AE125="Yes",COUNTIFS($B$7:$B$306,B125,$Q$7:$Q$306,"*Fuel*")&gt;0),"FUEL DOUBLE-COUNT",IF(AH125&lt;&gt;"Yes","VERIFY","OK"))))))</x:f>
      </x:c>
      <x:c r="AJ125" s="54"/>
      <x:c r="AK125" s="473"/>
      <x:c r="AL125" s="473"/>
      <x:c r="AM125" s="473"/>
      <x:c r="AN125" s="500" t="n">
        <x:f>IF(AND(AK125="Yes",OR(O125="Labour",O125="Plant")),Z125,0)</x:f>
        <x:v>0</x:v>
      </x:c>
    </x:row>
    <x:row r="126" ht="22.049999237060547" customHeight="1">
      <x:c r="A126" s="80" t="str">
        <x:f>IF(B126="","",B126&amp;"-"&amp;TEXT(COUNTIF($B$7:B126,B126),"000"))</x:f>
      </x:c>
      <x:c r="B126" s="53"/>
      <x:c r="C126" s="81" t="str">
        <x:f>IFERROR(INDEX('QS Takeoff'!$A$3:$A$194,MATCH(B126,'QS Takeoff'!$B$3:$B$194,0)),"")</x:f>
      </x:c>
      <x:c r="D126" s="81" t="str">
        <x:f>IFERROR(INDEX('QS Takeoff'!$C$3:$C$194,MATCH(B126,'QS Takeoff'!$B$3:$B$194,0)),"")</x:f>
      </x:c>
      <x:c r="E126" s="81" t="str">
        <x:f>IFERROR(INDEX('QS Takeoff'!$E$3:$E$194,MATCH(B126,'QS Takeoff'!$B$3:$B$194,0)),"")</x:f>
      </x:c>
      <x:c r="F126" s="81" t="str">
        <x:f>IFERROR(INDEX('QS Takeoff'!$D$3:$D$194,MATCH(B126,'QS Takeoff'!$B$3:$B$194,0)),"")</x:f>
      </x:c>
      <x:c r="G126" s="81" t="str">
        <x:f>IFERROR(INDEX('QS Takeoff'!$J$3:$J$194,MATCH(B126,'QS Takeoff'!$B$3:$B$194,0)),"")</x:f>
      </x:c>
      <x:c r="H126" s="53"/>
      <x:c r="I126" s="60"/>
      <x:c r="J126" s="60"/>
      <x:c r="K126" s="82" t="str">
        <x:f t="shared" si="6">IF(OR(B126="",I126="",I126=0),"",E126/I126)</x:f>
      </x:c>
      <x:c r="L126" s="60"/>
      <x:c r="M126" s="82" t="str">
        <x:f t="shared" si="7">IF(L126&gt;0,L126,K126)</x:f>
      </x:c>
      <x:c r="N126" s="53"/>
      <x:c r="O126" s="53"/>
      <x:c r="P126" s="53"/>
      <x:c r="Q126" s="81" t="str">
        <x:f>IFERROR(INDEX('Resource Rate Library'!$C$5:$C$85,MATCH(P126,'Resource Rate Library'!$A$5:$A$85,0)),"")</x:f>
      </x:c>
      <x:c r="R126" s="53"/>
      <x:c r="S126" s="53"/>
      <x:c r="T126" s="81" t="str">
        <x:f>IFERROR(INDEX('Resource Rate Library'!$E$5:$E$85,MATCH(P126,'Resource Rate Library'!$A$5:$A$85,0)),"")</x:f>
      </x:c>
      <x:c r="U126" s="62"/>
      <x:c r="V126" s="62"/>
      <x:c r="W126" s="83" t="n">
        <x:f>IFERROR(INDEX('Resource Rate Library'!$I$5:$I$85,MATCH(P126,'Resource Rate Library'!$A$5:$A$85,0)),0)</x:f>
        <x:v>0</x:v>
      </x:c>
      <x:c r="X126" s="52"/>
      <x:c r="Y126" s="83" t="n">
        <x:f t="shared" si="8">IF(X126&gt;0,X126,W126)</x:f>
        <x:v>0</x:v>
      </x:c>
      <x:c r="Z126" s="83" t="str">
        <x:f t="shared" si="9">IF(B126="","",IF(N126="Time x Count",M126*R126*IF(U126="",1,U126)*Y126,IF(N126="QS Qty x Factor",E126*R126*(1+IF(V126="",0,V126))*Y126,IF(N126="Direct Qty",S126*(1+IF(V126="",0,V126))*Y126,IF(N126="Lump Sum / Quote",S126*Y126,0)))))</x:f>
      </x:c>
      <x:c r="AA126" s="81" t="str">
        <x:f>IFERROR(INDEX('Resource Rate Library'!$N$5:$N$85,MATCH(P126,'Resource Rate Library'!$A$5:$A$85,0)),"")</x:f>
      </x:c>
      <x:c r="AB126" s="53"/>
      <x:c r="AC126" s="59"/>
      <x:c r="AD126" s="81" t="str">
        <x:f>IFERROR(INDEX('Resource Rate Library'!$G$5:$G$85,MATCH(P126,'Resource Rate Library'!$A$5:$A$85,0)),"")</x:f>
      </x:c>
      <x:c r="AE126" s="81" t="str">
        <x:f>IFERROR(INDEX('Resource Rate Library'!$H$5:$H$85,MATCH(P126,'Resource Rate Library'!$A$5:$A$85,0)),"")</x:f>
      </x:c>
      <x:c r="AF126" s="53"/>
      <x:c r="AG126" s="53"/>
      <x:c r="AH126" s="53"/>
      <x:c r="AI126" s="81" t="str">
        <x:f t="shared" si="11">IF(B126="","",IF(AND(P126="",N126&lt;&gt;"Lump Sum / Quote"),"RESOURCE CODE",IF(Y126=0,"RATE MISSING",IF(AND(O126="Plant",AD126="Yes",COUNTIFS($B$7:$B$306,B126,$O$7:$O$306,"Labour",$Q$7:$Q$306,"*Operator*")&gt;0),"OPERATOR DOUBLE-COUNT",IF(AND(O126="Plant",AE126="Yes",COUNTIFS($B$7:$B$306,B126,$Q$7:$Q$306,"*Fuel*")&gt;0),"FUEL DOUBLE-COUNT",IF(AH126&lt;&gt;"Yes","VERIFY","OK"))))))</x:f>
      </x:c>
      <x:c r="AJ126" s="54"/>
      <x:c r="AK126" s="473"/>
      <x:c r="AL126" s="473"/>
      <x:c r="AM126" s="473"/>
      <x:c r="AN126" s="500" t="n">
        <x:f>IF(AND(AK126="Yes",OR(O126="Labour",O126="Plant")),Z126,0)</x:f>
        <x:v>0</x:v>
      </x:c>
    </x:row>
    <x:row r="127" ht="22.049999237060547" customHeight="1">
      <x:c r="A127" s="80" t="str">
        <x:f>IF(B127="","",B127&amp;"-"&amp;TEXT(COUNTIF($B$7:B127,B127),"000"))</x:f>
      </x:c>
      <x:c r="B127" s="53"/>
      <x:c r="C127" s="81" t="str">
        <x:f>IFERROR(INDEX('QS Takeoff'!$A$3:$A$194,MATCH(B127,'QS Takeoff'!$B$3:$B$194,0)),"")</x:f>
      </x:c>
      <x:c r="D127" s="81" t="str">
        <x:f>IFERROR(INDEX('QS Takeoff'!$C$3:$C$194,MATCH(B127,'QS Takeoff'!$B$3:$B$194,0)),"")</x:f>
      </x:c>
      <x:c r="E127" s="81" t="str">
        <x:f>IFERROR(INDEX('QS Takeoff'!$E$3:$E$194,MATCH(B127,'QS Takeoff'!$B$3:$B$194,0)),"")</x:f>
      </x:c>
      <x:c r="F127" s="81" t="str">
        <x:f>IFERROR(INDEX('QS Takeoff'!$D$3:$D$194,MATCH(B127,'QS Takeoff'!$B$3:$B$194,0)),"")</x:f>
      </x:c>
      <x:c r="G127" s="81" t="str">
        <x:f>IFERROR(INDEX('QS Takeoff'!$J$3:$J$194,MATCH(B127,'QS Takeoff'!$B$3:$B$194,0)),"")</x:f>
      </x:c>
      <x:c r="H127" s="53"/>
      <x:c r="I127" s="60"/>
      <x:c r="J127" s="60"/>
      <x:c r="K127" s="82" t="str">
        <x:f t="shared" si="6">IF(OR(B127="",I127="",I127=0),"",E127/I127)</x:f>
      </x:c>
      <x:c r="L127" s="60"/>
      <x:c r="M127" s="82" t="str">
        <x:f t="shared" si="7">IF(L127&gt;0,L127,K127)</x:f>
      </x:c>
      <x:c r="N127" s="53"/>
      <x:c r="O127" s="53"/>
      <x:c r="P127" s="53"/>
      <x:c r="Q127" s="81" t="str">
        <x:f>IFERROR(INDEX('Resource Rate Library'!$C$5:$C$85,MATCH(P127,'Resource Rate Library'!$A$5:$A$85,0)),"")</x:f>
      </x:c>
      <x:c r="R127" s="53"/>
      <x:c r="S127" s="53"/>
      <x:c r="T127" s="81" t="str">
        <x:f>IFERROR(INDEX('Resource Rate Library'!$E$5:$E$85,MATCH(P127,'Resource Rate Library'!$A$5:$A$85,0)),"")</x:f>
      </x:c>
      <x:c r="U127" s="62"/>
      <x:c r="V127" s="62"/>
      <x:c r="W127" s="83" t="n">
        <x:f>IFERROR(INDEX('Resource Rate Library'!$I$5:$I$85,MATCH(P127,'Resource Rate Library'!$A$5:$A$85,0)),0)</x:f>
        <x:v>0</x:v>
      </x:c>
      <x:c r="X127" s="52"/>
      <x:c r="Y127" s="83" t="n">
        <x:f t="shared" si="8">IF(X127&gt;0,X127,W127)</x:f>
        <x:v>0</x:v>
      </x:c>
      <x:c r="Z127" s="83" t="str">
        <x:f t="shared" si="9">IF(B127="","",IF(N127="Time x Count",M127*R127*IF(U127="",1,U127)*Y127,IF(N127="QS Qty x Factor",E127*R127*(1+IF(V127="",0,V127))*Y127,IF(N127="Direct Qty",S127*(1+IF(V127="",0,V127))*Y127,IF(N127="Lump Sum / Quote",S127*Y127,0)))))</x:f>
      </x:c>
      <x:c r="AA127" s="81" t="str">
        <x:f>IFERROR(INDEX('Resource Rate Library'!$N$5:$N$85,MATCH(P127,'Resource Rate Library'!$A$5:$A$85,0)),"")</x:f>
      </x:c>
      <x:c r="AB127" s="53"/>
      <x:c r="AC127" s="59"/>
      <x:c r="AD127" s="81" t="str">
        <x:f>IFERROR(INDEX('Resource Rate Library'!$G$5:$G$85,MATCH(P127,'Resource Rate Library'!$A$5:$A$85,0)),"")</x:f>
      </x:c>
      <x:c r="AE127" s="81" t="str">
        <x:f>IFERROR(INDEX('Resource Rate Library'!$H$5:$H$85,MATCH(P127,'Resource Rate Library'!$A$5:$A$85,0)),"")</x:f>
      </x:c>
      <x:c r="AF127" s="53"/>
      <x:c r="AG127" s="53"/>
      <x:c r="AH127" s="53"/>
      <x:c r="AI127" s="81" t="str">
        <x:f t="shared" si="11">IF(B127="","",IF(AND(P127="",N127&lt;&gt;"Lump Sum / Quote"),"RESOURCE CODE",IF(Y127=0,"RATE MISSING",IF(AND(O127="Plant",AD127="Yes",COUNTIFS($B$7:$B$306,B127,$O$7:$O$306,"Labour",$Q$7:$Q$306,"*Operator*")&gt;0),"OPERATOR DOUBLE-COUNT",IF(AND(O127="Plant",AE127="Yes",COUNTIFS($B$7:$B$306,B127,$Q$7:$Q$306,"*Fuel*")&gt;0),"FUEL DOUBLE-COUNT",IF(AH127&lt;&gt;"Yes","VERIFY","OK"))))))</x:f>
      </x:c>
      <x:c r="AJ127" s="54"/>
      <x:c r="AK127" s="473"/>
      <x:c r="AL127" s="473"/>
      <x:c r="AM127" s="473"/>
      <x:c r="AN127" s="500" t="n">
        <x:f>IF(AND(AK127="Yes",OR(O127="Labour",O127="Plant")),Z127,0)</x:f>
        <x:v>0</x:v>
      </x:c>
    </x:row>
    <x:row r="128" ht="22.049999237060547" customHeight="1">
      <x:c r="A128" s="80" t="str">
        <x:f>IF(B128="","",B128&amp;"-"&amp;TEXT(COUNTIF($B$7:B128,B128),"000"))</x:f>
      </x:c>
      <x:c r="B128" s="53"/>
      <x:c r="C128" s="81" t="str">
        <x:f>IFERROR(INDEX('QS Takeoff'!$A$3:$A$194,MATCH(B128,'QS Takeoff'!$B$3:$B$194,0)),"")</x:f>
      </x:c>
      <x:c r="D128" s="81" t="str">
        <x:f>IFERROR(INDEX('QS Takeoff'!$C$3:$C$194,MATCH(B128,'QS Takeoff'!$B$3:$B$194,0)),"")</x:f>
      </x:c>
      <x:c r="E128" s="81" t="str">
        <x:f>IFERROR(INDEX('QS Takeoff'!$E$3:$E$194,MATCH(B128,'QS Takeoff'!$B$3:$B$194,0)),"")</x:f>
      </x:c>
      <x:c r="F128" s="81" t="str">
        <x:f>IFERROR(INDEX('QS Takeoff'!$D$3:$D$194,MATCH(B128,'QS Takeoff'!$B$3:$B$194,0)),"")</x:f>
      </x:c>
      <x:c r="G128" s="81" t="str">
        <x:f>IFERROR(INDEX('QS Takeoff'!$J$3:$J$194,MATCH(B128,'QS Takeoff'!$B$3:$B$194,0)),"")</x:f>
      </x:c>
      <x:c r="H128" s="53"/>
      <x:c r="I128" s="60"/>
      <x:c r="J128" s="60"/>
      <x:c r="K128" s="82" t="str">
        <x:f t="shared" si="6">IF(OR(B128="",I128="",I128=0),"",E128/I128)</x:f>
      </x:c>
      <x:c r="L128" s="60"/>
      <x:c r="M128" s="82" t="str">
        <x:f t="shared" si="7">IF(L128&gt;0,L128,K128)</x:f>
      </x:c>
      <x:c r="N128" s="53"/>
      <x:c r="O128" s="53"/>
      <x:c r="P128" s="53"/>
      <x:c r="Q128" s="81" t="str">
        <x:f>IFERROR(INDEX('Resource Rate Library'!$C$5:$C$85,MATCH(P128,'Resource Rate Library'!$A$5:$A$85,0)),"")</x:f>
      </x:c>
      <x:c r="R128" s="53"/>
      <x:c r="S128" s="53"/>
      <x:c r="T128" s="81" t="str">
        <x:f>IFERROR(INDEX('Resource Rate Library'!$E$5:$E$85,MATCH(P128,'Resource Rate Library'!$A$5:$A$85,0)),"")</x:f>
      </x:c>
      <x:c r="U128" s="62"/>
      <x:c r="V128" s="62"/>
      <x:c r="W128" s="83" t="n">
        <x:f>IFERROR(INDEX('Resource Rate Library'!$I$5:$I$85,MATCH(P128,'Resource Rate Library'!$A$5:$A$85,0)),0)</x:f>
        <x:v>0</x:v>
      </x:c>
      <x:c r="X128" s="52"/>
      <x:c r="Y128" s="83" t="n">
        <x:f t="shared" si="8">IF(X128&gt;0,X128,W128)</x:f>
        <x:v>0</x:v>
      </x:c>
      <x:c r="Z128" s="83" t="str">
        <x:f t="shared" si="9">IF(B128="","",IF(N128="Time x Count",M128*R128*IF(U128="",1,U128)*Y128,IF(N128="QS Qty x Factor",E128*R128*(1+IF(V128="",0,V128))*Y128,IF(N128="Direct Qty",S128*(1+IF(V128="",0,V128))*Y128,IF(N128="Lump Sum / Quote",S128*Y128,0)))))</x:f>
      </x:c>
      <x:c r="AA128" s="81" t="str">
        <x:f>IFERROR(INDEX('Resource Rate Library'!$N$5:$N$85,MATCH(P128,'Resource Rate Library'!$A$5:$A$85,0)),"")</x:f>
      </x:c>
      <x:c r="AB128" s="53"/>
      <x:c r="AC128" s="59"/>
      <x:c r="AD128" s="81" t="str">
        <x:f>IFERROR(INDEX('Resource Rate Library'!$G$5:$G$85,MATCH(P128,'Resource Rate Library'!$A$5:$A$85,0)),"")</x:f>
      </x:c>
      <x:c r="AE128" s="81" t="str">
        <x:f>IFERROR(INDEX('Resource Rate Library'!$H$5:$H$85,MATCH(P128,'Resource Rate Library'!$A$5:$A$85,0)),"")</x:f>
      </x:c>
      <x:c r="AF128" s="53"/>
      <x:c r="AG128" s="53"/>
      <x:c r="AH128" s="53"/>
      <x:c r="AI128" s="81" t="str">
        <x:f t="shared" si="11">IF(B128="","",IF(AND(P128="",N128&lt;&gt;"Lump Sum / Quote"),"RESOURCE CODE",IF(Y128=0,"RATE MISSING",IF(AND(O128="Plant",AD128="Yes",COUNTIFS($B$7:$B$306,B128,$O$7:$O$306,"Labour",$Q$7:$Q$306,"*Operator*")&gt;0),"OPERATOR DOUBLE-COUNT",IF(AND(O128="Plant",AE128="Yes",COUNTIFS($B$7:$B$306,B128,$Q$7:$Q$306,"*Fuel*")&gt;0),"FUEL DOUBLE-COUNT",IF(AH128&lt;&gt;"Yes","VERIFY","OK"))))))</x:f>
      </x:c>
      <x:c r="AJ128" s="54"/>
      <x:c r="AK128" s="473"/>
      <x:c r="AL128" s="473"/>
      <x:c r="AM128" s="473"/>
      <x:c r="AN128" s="500" t="n">
        <x:f>IF(AND(AK128="Yes",OR(O128="Labour",O128="Plant")),Z128,0)</x:f>
        <x:v>0</x:v>
      </x:c>
    </x:row>
    <x:row r="129" ht="22.049999237060547" customHeight="1">
      <x:c r="A129" s="80" t="str">
        <x:f>IF(B129="","",B129&amp;"-"&amp;TEXT(COUNTIF($B$7:B129,B129),"000"))</x:f>
      </x:c>
      <x:c r="B129" s="53"/>
      <x:c r="C129" s="81" t="str">
        <x:f>IFERROR(INDEX('QS Takeoff'!$A$3:$A$194,MATCH(B129,'QS Takeoff'!$B$3:$B$194,0)),"")</x:f>
      </x:c>
      <x:c r="D129" s="81" t="str">
        <x:f>IFERROR(INDEX('QS Takeoff'!$C$3:$C$194,MATCH(B129,'QS Takeoff'!$B$3:$B$194,0)),"")</x:f>
      </x:c>
      <x:c r="E129" s="81" t="str">
        <x:f>IFERROR(INDEX('QS Takeoff'!$E$3:$E$194,MATCH(B129,'QS Takeoff'!$B$3:$B$194,0)),"")</x:f>
      </x:c>
      <x:c r="F129" s="81" t="str">
        <x:f>IFERROR(INDEX('QS Takeoff'!$D$3:$D$194,MATCH(B129,'QS Takeoff'!$B$3:$B$194,0)),"")</x:f>
      </x:c>
      <x:c r="G129" s="81" t="str">
        <x:f>IFERROR(INDEX('QS Takeoff'!$J$3:$J$194,MATCH(B129,'QS Takeoff'!$B$3:$B$194,0)),"")</x:f>
      </x:c>
      <x:c r="H129" s="53"/>
      <x:c r="I129" s="60"/>
      <x:c r="J129" s="60"/>
      <x:c r="K129" s="82" t="str">
        <x:f t="shared" si="6">IF(OR(B129="",I129="",I129=0),"",E129/I129)</x:f>
      </x:c>
      <x:c r="L129" s="60"/>
      <x:c r="M129" s="82" t="str">
        <x:f t="shared" si="7">IF(L129&gt;0,L129,K129)</x:f>
      </x:c>
      <x:c r="N129" s="53"/>
      <x:c r="O129" s="53"/>
      <x:c r="P129" s="53"/>
      <x:c r="Q129" s="81" t="str">
        <x:f>IFERROR(INDEX('Resource Rate Library'!$C$5:$C$85,MATCH(P129,'Resource Rate Library'!$A$5:$A$85,0)),"")</x:f>
      </x:c>
      <x:c r="R129" s="53"/>
      <x:c r="S129" s="53"/>
      <x:c r="T129" s="81" t="str">
        <x:f>IFERROR(INDEX('Resource Rate Library'!$E$5:$E$85,MATCH(P129,'Resource Rate Library'!$A$5:$A$85,0)),"")</x:f>
      </x:c>
      <x:c r="U129" s="62"/>
      <x:c r="V129" s="62"/>
      <x:c r="W129" s="83" t="n">
        <x:f>IFERROR(INDEX('Resource Rate Library'!$I$5:$I$85,MATCH(P129,'Resource Rate Library'!$A$5:$A$85,0)),0)</x:f>
        <x:v>0</x:v>
      </x:c>
      <x:c r="X129" s="52"/>
      <x:c r="Y129" s="83" t="n">
        <x:f t="shared" si="8">IF(X129&gt;0,X129,W129)</x:f>
        <x:v>0</x:v>
      </x:c>
      <x:c r="Z129" s="83" t="str">
        <x:f t="shared" si="9">IF(B129="","",IF(N129="Time x Count",M129*R129*IF(U129="",1,U129)*Y129,IF(N129="QS Qty x Factor",E129*R129*(1+IF(V129="",0,V129))*Y129,IF(N129="Direct Qty",S129*(1+IF(V129="",0,V129))*Y129,IF(N129="Lump Sum / Quote",S129*Y129,0)))))</x:f>
      </x:c>
      <x:c r="AA129" s="81" t="str">
        <x:f>IFERROR(INDEX('Resource Rate Library'!$N$5:$N$85,MATCH(P129,'Resource Rate Library'!$A$5:$A$85,0)),"")</x:f>
      </x:c>
      <x:c r="AB129" s="53"/>
      <x:c r="AC129" s="59"/>
      <x:c r="AD129" s="81" t="str">
        <x:f>IFERROR(INDEX('Resource Rate Library'!$G$5:$G$85,MATCH(P129,'Resource Rate Library'!$A$5:$A$85,0)),"")</x:f>
      </x:c>
      <x:c r="AE129" s="81" t="str">
        <x:f>IFERROR(INDEX('Resource Rate Library'!$H$5:$H$85,MATCH(P129,'Resource Rate Library'!$A$5:$A$85,0)),"")</x:f>
      </x:c>
      <x:c r="AF129" s="53"/>
      <x:c r="AG129" s="53"/>
      <x:c r="AH129" s="53"/>
      <x:c r="AI129" s="81" t="str">
        <x:f t="shared" si="11">IF(B129="","",IF(AND(P129="",N129&lt;&gt;"Lump Sum / Quote"),"RESOURCE CODE",IF(Y129=0,"RATE MISSING",IF(AND(O129="Plant",AD129="Yes",COUNTIFS($B$7:$B$306,B129,$O$7:$O$306,"Labour",$Q$7:$Q$306,"*Operator*")&gt;0),"OPERATOR DOUBLE-COUNT",IF(AND(O129="Plant",AE129="Yes",COUNTIFS($B$7:$B$306,B129,$Q$7:$Q$306,"*Fuel*")&gt;0),"FUEL DOUBLE-COUNT",IF(AH129&lt;&gt;"Yes","VERIFY","OK"))))))</x:f>
      </x:c>
      <x:c r="AJ129" s="54"/>
      <x:c r="AK129" s="473"/>
      <x:c r="AL129" s="473"/>
      <x:c r="AM129" s="473"/>
      <x:c r="AN129" s="500" t="n">
        <x:f>IF(AND(AK129="Yes",OR(O129="Labour",O129="Plant")),Z129,0)</x:f>
        <x:v>0</x:v>
      </x:c>
    </x:row>
    <x:row r="130" ht="22.049999237060547" customHeight="1">
      <x:c r="A130" s="80" t="str">
        <x:f>IF(B130="","",B130&amp;"-"&amp;TEXT(COUNTIF($B$7:B130,B130),"000"))</x:f>
      </x:c>
      <x:c r="B130" s="53"/>
      <x:c r="C130" s="81" t="str">
        <x:f>IFERROR(INDEX('QS Takeoff'!$A$3:$A$194,MATCH(B130,'QS Takeoff'!$B$3:$B$194,0)),"")</x:f>
      </x:c>
      <x:c r="D130" s="81" t="str">
        <x:f>IFERROR(INDEX('QS Takeoff'!$C$3:$C$194,MATCH(B130,'QS Takeoff'!$B$3:$B$194,0)),"")</x:f>
      </x:c>
      <x:c r="E130" s="81" t="str">
        <x:f>IFERROR(INDEX('QS Takeoff'!$E$3:$E$194,MATCH(B130,'QS Takeoff'!$B$3:$B$194,0)),"")</x:f>
      </x:c>
      <x:c r="F130" s="81" t="str">
        <x:f>IFERROR(INDEX('QS Takeoff'!$D$3:$D$194,MATCH(B130,'QS Takeoff'!$B$3:$B$194,0)),"")</x:f>
      </x:c>
      <x:c r="G130" s="81" t="str">
        <x:f>IFERROR(INDEX('QS Takeoff'!$J$3:$J$194,MATCH(B130,'QS Takeoff'!$B$3:$B$194,0)),"")</x:f>
      </x:c>
      <x:c r="H130" s="53"/>
      <x:c r="I130" s="60"/>
      <x:c r="J130" s="60"/>
      <x:c r="K130" s="82" t="str">
        <x:f t="shared" si="6">IF(OR(B130="",I130="",I130=0),"",E130/I130)</x:f>
      </x:c>
      <x:c r="L130" s="60"/>
      <x:c r="M130" s="82" t="str">
        <x:f t="shared" si="7">IF(L130&gt;0,L130,K130)</x:f>
      </x:c>
      <x:c r="N130" s="53"/>
      <x:c r="O130" s="53"/>
      <x:c r="P130" s="53"/>
      <x:c r="Q130" s="81" t="str">
        <x:f>IFERROR(INDEX('Resource Rate Library'!$C$5:$C$85,MATCH(P130,'Resource Rate Library'!$A$5:$A$85,0)),"")</x:f>
      </x:c>
      <x:c r="R130" s="53"/>
      <x:c r="S130" s="53"/>
      <x:c r="T130" s="81" t="str">
        <x:f>IFERROR(INDEX('Resource Rate Library'!$E$5:$E$85,MATCH(P130,'Resource Rate Library'!$A$5:$A$85,0)),"")</x:f>
      </x:c>
      <x:c r="U130" s="62"/>
      <x:c r="V130" s="62"/>
      <x:c r="W130" s="83" t="n">
        <x:f>IFERROR(INDEX('Resource Rate Library'!$I$5:$I$85,MATCH(P130,'Resource Rate Library'!$A$5:$A$85,0)),0)</x:f>
        <x:v>0</x:v>
      </x:c>
      <x:c r="X130" s="52"/>
      <x:c r="Y130" s="83" t="n">
        <x:f t="shared" si="8">IF(X130&gt;0,X130,W130)</x:f>
        <x:v>0</x:v>
      </x:c>
      <x:c r="Z130" s="83" t="str">
        <x:f t="shared" si="9">IF(B130="","",IF(N130="Time x Count",M130*R130*IF(U130="",1,U130)*Y130,IF(N130="QS Qty x Factor",E130*R130*(1+IF(V130="",0,V130))*Y130,IF(N130="Direct Qty",S130*(1+IF(V130="",0,V130))*Y130,IF(N130="Lump Sum / Quote",S130*Y130,0)))))</x:f>
      </x:c>
      <x:c r="AA130" s="81" t="str">
        <x:f>IFERROR(INDEX('Resource Rate Library'!$N$5:$N$85,MATCH(P130,'Resource Rate Library'!$A$5:$A$85,0)),"")</x:f>
      </x:c>
      <x:c r="AB130" s="53"/>
      <x:c r="AC130" s="59"/>
      <x:c r="AD130" s="81" t="str">
        <x:f>IFERROR(INDEX('Resource Rate Library'!$G$5:$G$85,MATCH(P130,'Resource Rate Library'!$A$5:$A$85,0)),"")</x:f>
      </x:c>
      <x:c r="AE130" s="81" t="str">
        <x:f>IFERROR(INDEX('Resource Rate Library'!$H$5:$H$85,MATCH(P130,'Resource Rate Library'!$A$5:$A$85,0)),"")</x:f>
      </x:c>
      <x:c r="AF130" s="53"/>
      <x:c r="AG130" s="53"/>
      <x:c r="AH130" s="53"/>
      <x:c r="AI130" s="81" t="str">
        <x:f t="shared" si="11">IF(B130="","",IF(AND(P130="",N130&lt;&gt;"Lump Sum / Quote"),"RESOURCE CODE",IF(Y130=0,"RATE MISSING",IF(AND(O130="Plant",AD130="Yes",COUNTIFS($B$7:$B$306,B130,$O$7:$O$306,"Labour",$Q$7:$Q$306,"*Operator*")&gt;0),"OPERATOR DOUBLE-COUNT",IF(AND(O130="Plant",AE130="Yes",COUNTIFS($B$7:$B$306,B130,$Q$7:$Q$306,"*Fuel*")&gt;0),"FUEL DOUBLE-COUNT",IF(AH130&lt;&gt;"Yes","VERIFY","OK"))))))</x:f>
      </x:c>
      <x:c r="AJ130" s="54"/>
      <x:c r="AK130" s="473"/>
      <x:c r="AL130" s="473"/>
      <x:c r="AM130" s="473"/>
      <x:c r="AN130" s="500" t="n">
        <x:f>IF(AND(AK130="Yes",OR(O130="Labour",O130="Plant")),Z130,0)</x:f>
        <x:v>0</x:v>
      </x:c>
    </x:row>
    <x:row r="131" ht="22.049999237060547" customHeight="1">
      <x:c r="A131" s="80" t="str">
        <x:f>IF(B131="","",B131&amp;"-"&amp;TEXT(COUNTIF($B$7:B131,B131),"000"))</x:f>
      </x:c>
      <x:c r="B131" s="53"/>
      <x:c r="C131" s="81" t="str">
        <x:f>IFERROR(INDEX('QS Takeoff'!$A$3:$A$194,MATCH(B131,'QS Takeoff'!$B$3:$B$194,0)),"")</x:f>
      </x:c>
      <x:c r="D131" s="81" t="str">
        <x:f>IFERROR(INDEX('QS Takeoff'!$C$3:$C$194,MATCH(B131,'QS Takeoff'!$B$3:$B$194,0)),"")</x:f>
      </x:c>
      <x:c r="E131" s="81" t="str">
        <x:f>IFERROR(INDEX('QS Takeoff'!$E$3:$E$194,MATCH(B131,'QS Takeoff'!$B$3:$B$194,0)),"")</x:f>
      </x:c>
      <x:c r="F131" s="81" t="str">
        <x:f>IFERROR(INDEX('QS Takeoff'!$D$3:$D$194,MATCH(B131,'QS Takeoff'!$B$3:$B$194,0)),"")</x:f>
      </x:c>
      <x:c r="G131" s="81" t="str">
        <x:f>IFERROR(INDEX('QS Takeoff'!$J$3:$J$194,MATCH(B131,'QS Takeoff'!$B$3:$B$194,0)),"")</x:f>
      </x:c>
      <x:c r="H131" s="53"/>
      <x:c r="I131" s="60"/>
      <x:c r="J131" s="60"/>
      <x:c r="K131" s="82" t="str">
        <x:f t="shared" si="6">IF(OR(B131="",I131="",I131=0),"",E131/I131)</x:f>
      </x:c>
      <x:c r="L131" s="60"/>
      <x:c r="M131" s="82" t="str">
        <x:f t="shared" si="7">IF(L131&gt;0,L131,K131)</x:f>
      </x:c>
      <x:c r="N131" s="53"/>
      <x:c r="O131" s="53"/>
      <x:c r="P131" s="53"/>
      <x:c r="Q131" s="81" t="str">
        <x:f>IFERROR(INDEX('Resource Rate Library'!$C$5:$C$85,MATCH(P131,'Resource Rate Library'!$A$5:$A$85,0)),"")</x:f>
      </x:c>
      <x:c r="R131" s="53"/>
      <x:c r="S131" s="53"/>
      <x:c r="T131" s="81" t="str">
        <x:f>IFERROR(INDEX('Resource Rate Library'!$E$5:$E$85,MATCH(P131,'Resource Rate Library'!$A$5:$A$85,0)),"")</x:f>
      </x:c>
      <x:c r="U131" s="62"/>
      <x:c r="V131" s="62"/>
      <x:c r="W131" s="83" t="n">
        <x:f>IFERROR(INDEX('Resource Rate Library'!$I$5:$I$85,MATCH(P131,'Resource Rate Library'!$A$5:$A$85,0)),0)</x:f>
        <x:v>0</x:v>
      </x:c>
      <x:c r="X131" s="52"/>
      <x:c r="Y131" s="83" t="n">
        <x:f t="shared" si="8">IF(X131&gt;0,X131,W131)</x:f>
        <x:v>0</x:v>
      </x:c>
      <x:c r="Z131" s="83" t="str">
        <x:f t="shared" si="9">IF(B131="","",IF(N131="Time x Count",M131*R131*IF(U131="",1,U131)*Y131,IF(N131="QS Qty x Factor",E131*R131*(1+IF(V131="",0,V131))*Y131,IF(N131="Direct Qty",S131*(1+IF(V131="",0,V131))*Y131,IF(N131="Lump Sum / Quote",S131*Y131,0)))))</x:f>
      </x:c>
      <x:c r="AA131" s="81" t="str">
        <x:f>IFERROR(INDEX('Resource Rate Library'!$N$5:$N$85,MATCH(P131,'Resource Rate Library'!$A$5:$A$85,0)),"")</x:f>
      </x:c>
      <x:c r="AB131" s="53"/>
      <x:c r="AC131" s="59"/>
      <x:c r="AD131" s="81" t="str">
        <x:f>IFERROR(INDEX('Resource Rate Library'!$G$5:$G$85,MATCH(P131,'Resource Rate Library'!$A$5:$A$85,0)),"")</x:f>
      </x:c>
      <x:c r="AE131" s="81" t="str">
        <x:f>IFERROR(INDEX('Resource Rate Library'!$H$5:$H$85,MATCH(P131,'Resource Rate Library'!$A$5:$A$85,0)),"")</x:f>
      </x:c>
      <x:c r="AF131" s="53"/>
      <x:c r="AG131" s="53"/>
      <x:c r="AH131" s="53"/>
      <x:c r="AI131" s="81" t="str">
        <x:f t="shared" si="11">IF(B131="","",IF(AND(P131="",N131&lt;&gt;"Lump Sum / Quote"),"RESOURCE CODE",IF(Y131=0,"RATE MISSING",IF(AND(O131="Plant",AD131="Yes",COUNTIFS($B$7:$B$306,B131,$O$7:$O$306,"Labour",$Q$7:$Q$306,"*Operator*")&gt;0),"OPERATOR DOUBLE-COUNT",IF(AND(O131="Plant",AE131="Yes",COUNTIFS($B$7:$B$306,B131,$Q$7:$Q$306,"*Fuel*")&gt;0),"FUEL DOUBLE-COUNT",IF(AH131&lt;&gt;"Yes","VERIFY","OK"))))))</x:f>
      </x:c>
      <x:c r="AJ131" s="54"/>
      <x:c r="AK131" s="473"/>
      <x:c r="AL131" s="473"/>
      <x:c r="AM131" s="473"/>
      <x:c r="AN131" s="500" t="n">
        <x:f>IF(AND(AK131="Yes",OR(O131="Labour",O131="Plant")),Z131,0)</x:f>
        <x:v>0</x:v>
      </x:c>
    </x:row>
    <x:row r="132" ht="22.049999237060547" customHeight="1">
      <x:c r="A132" s="80" t="str">
        <x:f>IF(B132="","",B132&amp;"-"&amp;TEXT(COUNTIF($B$7:B132,B132),"000"))</x:f>
      </x:c>
      <x:c r="B132" s="53"/>
      <x:c r="C132" s="81" t="str">
        <x:f>IFERROR(INDEX('QS Takeoff'!$A$3:$A$194,MATCH(B132,'QS Takeoff'!$B$3:$B$194,0)),"")</x:f>
      </x:c>
      <x:c r="D132" s="81" t="str">
        <x:f>IFERROR(INDEX('QS Takeoff'!$C$3:$C$194,MATCH(B132,'QS Takeoff'!$B$3:$B$194,0)),"")</x:f>
      </x:c>
      <x:c r="E132" s="81" t="str">
        <x:f>IFERROR(INDEX('QS Takeoff'!$E$3:$E$194,MATCH(B132,'QS Takeoff'!$B$3:$B$194,0)),"")</x:f>
      </x:c>
      <x:c r="F132" s="81" t="str">
        <x:f>IFERROR(INDEX('QS Takeoff'!$D$3:$D$194,MATCH(B132,'QS Takeoff'!$B$3:$B$194,0)),"")</x:f>
      </x:c>
      <x:c r="G132" s="81" t="str">
        <x:f>IFERROR(INDEX('QS Takeoff'!$J$3:$J$194,MATCH(B132,'QS Takeoff'!$B$3:$B$194,0)),"")</x:f>
      </x:c>
      <x:c r="H132" s="53"/>
      <x:c r="I132" s="60"/>
      <x:c r="J132" s="60"/>
      <x:c r="K132" s="82" t="str">
        <x:f t="shared" si="6">IF(OR(B132="",I132="",I132=0),"",E132/I132)</x:f>
      </x:c>
      <x:c r="L132" s="60"/>
      <x:c r="M132" s="82" t="str">
        <x:f t="shared" si="7">IF(L132&gt;0,L132,K132)</x:f>
      </x:c>
      <x:c r="N132" s="53"/>
      <x:c r="O132" s="53"/>
      <x:c r="P132" s="53"/>
      <x:c r="Q132" s="81" t="str">
        <x:f>IFERROR(INDEX('Resource Rate Library'!$C$5:$C$85,MATCH(P132,'Resource Rate Library'!$A$5:$A$85,0)),"")</x:f>
      </x:c>
      <x:c r="R132" s="53"/>
      <x:c r="S132" s="53"/>
      <x:c r="T132" s="81" t="str">
        <x:f>IFERROR(INDEX('Resource Rate Library'!$E$5:$E$85,MATCH(P132,'Resource Rate Library'!$A$5:$A$85,0)),"")</x:f>
      </x:c>
      <x:c r="U132" s="62"/>
      <x:c r="V132" s="62"/>
      <x:c r="W132" s="83" t="n">
        <x:f>IFERROR(INDEX('Resource Rate Library'!$I$5:$I$85,MATCH(P132,'Resource Rate Library'!$A$5:$A$85,0)),0)</x:f>
        <x:v>0</x:v>
      </x:c>
      <x:c r="X132" s="52"/>
      <x:c r="Y132" s="83" t="n">
        <x:f t="shared" si="8">IF(X132&gt;0,X132,W132)</x:f>
        <x:v>0</x:v>
      </x:c>
      <x:c r="Z132" s="83" t="str">
        <x:f t="shared" si="9">IF(B132="","",IF(N132="Time x Count",M132*R132*IF(U132="",1,U132)*Y132,IF(N132="QS Qty x Factor",E132*R132*(1+IF(V132="",0,V132))*Y132,IF(N132="Direct Qty",S132*(1+IF(V132="",0,V132))*Y132,IF(N132="Lump Sum / Quote",S132*Y132,0)))))</x:f>
      </x:c>
      <x:c r="AA132" s="81" t="str">
        <x:f>IFERROR(INDEX('Resource Rate Library'!$N$5:$N$85,MATCH(P132,'Resource Rate Library'!$A$5:$A$85,0)),"")</x:f>
      </x:c>
      <x:c r="AB132" s="53"/>
      <x:c r="AC132" s="59"/>
      <x:c r="AD132" s="81" t="str">
        <x:f>IFERROR(INDEX('Resource Rate Library'!$G$5:$G$85,MATCH(P132,'Resource Rate Library'!$A$5:$A$85,0)),"")</x:f>
      </x:c>
      <x:c r="AE132" s="81" t="str">
        <x:f>IFERROR(INDEX('Resource Rate Library'!$H$5:$H$85,MATCH(P132,'Resource Rate Library'!$A$5:$A$85,0)),"")</x:f>
      </x:c>
      <x:c r="AF132" s="53"/>
      <x:c r="AG132" s="53"/>
      <x:c r="AH132" s="53"/>
      <x:c r="AI132" s="81" t="str">
        <x:f t="shared" si="11">IF(B132="","",IF(AND(P132="",N132&lt;&gt;"Lump Sum / Quote"),"RESOURCE CODE",IF(Y132=0,"RATE MISSING",IF(AND(O132="Plant",AD132="Yes",COUNTIFS($B$7:$B$306,B132,$O$7:$O$306,"Labour",$Q$7:$Q$306,"*Operator*")&gt;0),"OPERATOR DOUBLE-COUNT",IF(AND(O132="Plant",AE132="Yes",COUNTIFS($B$7:$B$306,B132,$Q$7:$Q$306,"*Fuel*")&gt;0),"FUEL DOUBLE-COUNT",IF(AH132&lt;&gt;"Yes","VERIFY","OK"))))))</x:f>
      </x:c>
      <x:c r="AJ132" s="54"/>
      <x:c r="AK132" s="473"/>
      <x:c r="AL132" s="473"/>
      <x:c r="AM132" s="473"/>
      <x:c r="AN132" s="500" t="n">
        <x:f>IF(AND(AK132="Yes",OR(O132="Labour",O132="Plant")),Z132,0)</x:f>
        <x:v>0</x:v>
      </x:c>
    </x:row>
    <x:row r="133" ht="22.049999237060547" customHeight="1">
      <x:c r="A133" s="80" t="str">
        <x:f>IF(B133="","",B133&amp;"-"&amp;TEXT(COUNTIF($B$7:B133,B133),"000"))</x:f>
      </x:c>
      <x:c r="B133" s="53"/>
      <x:c r="C133" s="81" t="str">
        <x:f>IFERROR(INDEX('QS Takeoff'!$A$3:$A$194,MATCH(B133,'QS Takeoff'!$B$3:$B$194,0)),"")</x:f>
      </x:c>
      <x:c r="D133" s="81" t="str">
        <x:f>IFERROR(INDEX('QS Takeoff'!$C$3:$C$194,MATCH(B133,'QS Takeoff'!$B$3:$B$194,0)),"")</x:f>
      </x:c>
      <x:c r="E133" s="81" t="str">
        <x:f>IFERROR(INDEX('QS Takeoff'!$E$3:$E$194,MATCH(B133,'QS Takeoff'!$B$3:$B$194,0)),"")</x:f>
      </x:c>
      <x:c r="F133" s="81" t="str">
        <x:f>IFERROR(INDEX('QS Takeoff'!$D$3:$D$194,MATCH(B133,'QS Takeoff'!$B$3:$B$194,0)),"")</x:f>
      </x:c>
      <x:c r="G133" s="81" t="str">
        <x:f>IFERROR(INDEX('QS Takeoff'!$J$3:$J$194,MATCH(B133,'QS Takeoff'!$B$3:$B$194,0)),"")</x:f>
      </x:c>
      <x:c r="H133" s="53"/>
      <x:c r="I133" s="60"/>
      <x:c r="J133" s="60"/>
      <x:c r="K133" s="82" t="str">
        <x:f t="shared" si="6">IF(OR(B133="",I133="",I133=0),"",E133/I133)</x:f>
      </x:c>
      <x:c r="L133" s="60"/>
      <x:c r="M133" s="82" t="str">
        <x:f t="shared" si="7">IF(L133&gt;0,L133,K133)</x:f>
      </x:c>
      <x:c r="N133" s="53"/>
      <x:c r="O133" s="53"/>
      <x:c r="P133" s="53"/>
      <x:c r="Q133" s="81" t="str">
        <x:f>IFERROR(INDEX('Resource Rate Library'!$C$5:$C$85,MATCH(P133,'Resource Rate Library'!$A$5:$A$85,0)),"")</x:f>
      </x:c>
      <x:c r="R133" s="53"/>
      <x:c r="S133" s="53"/>
      <x:c r="T133" s="81" t="str">
        <x:f>IFERROR(INDEX('Resource Rate Library'!$E$5:$E$85,MATCH(P133,'Resource Rate Library'!$A$5:$A$85,0)),"")</x:f>
      </x:c>
      <x:c r="U133" s="62"/>
      <x:c r="V133" s="62"/>
      <x:c r="W133" s="83" t="n">
        <x:f>IFERROR(INDEX('Resource Rate Library'!$I$5:$I$85,MATCH(P133,'Resource Rate Library'!$A$5:$A$85,0)),0)</x:f>
        <x:v>0</x:v>
      </x:c>
      <x:c r="X133" s="52"/>
      <x:c r="Y133" s="83" t="n">
        <x:f t="shared" si="8">IF(X133&gt;0,X133,W133)</x:f>
        <x:v>0</x:v>
      </x:c>
      <x:c r="Z133" s="83" t="str">
        <x:f t="shared" si="9">IF(B133="","",IF(N133="Time x Count",M133*R133*IF(U133="",1,U133)*Y133,IF(N133="QS Qty x Factor",E133*R133*(1+IF(V133="",0,V133))*Y133,IF(N133="Direct Qty",S133*(1+IF(V133="",0,V133))*Y133,IF(N133="Lump Sum / Quote",S133*Y133,0)))))</x:f>
      </x:c>
      <x:c r="AA133" s="81" t="str">
        <x:f>IFERROR(INDEX('Resource Rate Library'!$N$5:$N$85,MATCH(P133,'Resource Rate Library'!$A$5:$A$85,0)),"")</x:f>
      </x:c>
      <x:c r="AB133" s="53"/>
      <x:c r="AC133" s="59"/>
      <x:c r="AD133" s="81" t="str">
        <x:f>IFERROR(INDEX('Resource Rate Library'!$G$5:$G$85,MATCH(P133,'Resource Rate Library'!$A$5:$A$85,0)),"")</x:f>
      </x:c>
      <x:c r="AE133" s="81" t="str">
        <x:f>IFERROR(INDEX('Resource Rate Library'!$H$5:$H$85,MATCH(P133,'Resource Rate Library'!$A$5:$A$85,0)),"")</x:f>
      </x:c>
      <x:c r="AF133" s="53"/>
      <x:c r="AG133" s="53"/>
      <x:c r="AH133" s="53"/>
      <x:c r="AI133" s="81" t="str">
        <x:f t="shared" si="11">IF(B133="","",IF(AND(P133="",N133&lt;&gt;"Lump Sum / Quote"),"RESOURCE CODE",IF(Y133=0,"RATE MISSING",IF(AND(O133="Plant",AD133="Yes",COUNTIFS($B$7:$B$306,B133,$O$7:$O$306,"Labour",$Q$7:$Q$306,"*Operator*")&gt;0),"OPERATOR DOUBLE-COUNT",IF(AND(O133="Plant",AE133="Yes",COUNTIFS($B$7:$B$306,B133,$Q$7:$Q$306,"*Fuel*")&gt;0),"FUEL DOUBLE-COUNT",IF(AH133&lt;&gt;"Yes","VERIFY","OK"))))))</x:f>
      </x:c>
      <x:c r="AJ133" s="54"/>
      <x:c r="AK133" s="473"/>
      <x:c r="AL133" s="473"/>
      <x:c r="AM133" s="473"/>
      <x:c r="AN133" s="500" t="n">
        <x:f>IF(AND(AK133="Yes",OR(O133="Labour",O133="Plant")),Z133,0)</x:f>
        <x:v>0</x:v>
      </x:c>
    </x:row>
    <x:row r="134" ht="22.049999237060547" customHeight="1">
      <x:c r="A134" s="80" t="str">
        <x:f>IF(B134="","",B134&amp;"-"&amp;TEXT(COUNTIF($B$7:B134,B134),"000"))</x:f>
      </x:c>
      <x:c r="B134" s="53"/>
      <x:c r="C134" s="81" t="str">
        <x:f>IFERROR(INDEX('QS Takeoff'!$A$3:$A$194,MATCH(B134,'QS Takeoff'!$B$3:$B$194,0)),"")</x:f>
      </x:c>
      <x:c r="D134" s="81" t="str">
        <x:f>IFERROR(INDEX('QS Takeoff'!$C$3:$C$194,MATCH(B134,'QS Takeoff'!$B$3:$B$194,0)),"")</x:f>
      </x:c>
      <x:c r="E134" s="81" t="str">
        <x:f>IFERROR(INDEX('QS Takeoff'!$E$3:$E$194,MATCH(B134,'QS Takeoff'!$B$3:$B$194,0)),"")</x:f>
      </x:c>
      <x:c r="F134" s="81" t="str">
        <x:f>IFERROR(INDEX('QS Takeoff'!$D$3:$D$194,MATCH(B134,'QS Takeoff'!$B$3:$B$194,0)),"")</x:f>
      </x:c>
      <x:c r="G134" s="81" t="str">
        <x:f>IFERROR(INDEX('QS Takeoff'!$J$3:$J$194,MATCH(B134,'QS Takeoff'!$B$3:$B$194,0)),"")</x:f>
      </x:c>
      <x:c r="H134" s="53"/>
      <x:c r="I134" s="60"/>
      <x:c r="J134" s="60"/>
      <x:c r="K134" s="82" t="str">
        <x:f t="shared" si="6">IF(OR(B134="",I134="",I134=0),"",E134/I134)</x:f>
      </x:c>
      <x:c r="L134" s="60"/>
      <x:c r="M134" s="82" t="str">
        <x:f t="shared" si="7">IF(L134&gt;0,L134,K134)</x:f>
      </x:c>
      <x:c r="N134" s="53"/>
      <x:c r="O134" s="53"/>
      <x:c r="P134" s="53"/>
      <x:c r="Q134" s="81" t="str">
        <x:f>IFERROR(INDEX('Resource Rate Library'!$C$5:$C$85,MATCH(P134,'Resource Rate Library'!$A$5:$A$85,0)),"")</x:f>
      </x:c>
      <x:c r="R134" s="53"/>
      <x:c r="S134" s="53"/>
      <x:c r="T134" s="81" t="str">
        <x:f>IFERROR(INDEX('Resource Rate Library'!$E$5:$E$85,MATCH(P134,'Resource Rate Library'!$A$5:$A$85,0)),"")</x:f>
      </x:c>
      <x:c r="U134" s="62"/>
      <x:c r="V134" s="62"/>
      <x:c r="W134" s="83" t="n">
        <x:f>IFERROR(INDEX('Resource Rate Library'!$I$5:$I$85,MATCH(P134,'Resource Rate Library'!$A$5:$A$85,0)),0)</x:f>
        <x:v>0</x:v>
      </x:c>
      <x:c r="X134" s="52"/>
      <x:c r="Y134" s="83" t="n">
        <x:f t="shared" si="8">IF(X134&gt;0,X134,W134)</x:f>
        <x:v>0</x:v>
      </x:c>
      <x:c r="Z134" s="83" t="str">
        <x:f t="shared" si="9">IF(B134="","",IF(N134="Time x Count",M134*R134*IF(U134="",1,U134)*Y134,IF(N134="QS Qty x Factor",E134*R134*(1+IF(V134="",0,V134))*Y134,IF(N134="Direct Qty",S134*(1+IF(V134="",0,V134))*Y134,IF(N134="Lump Sum / Quote",S134*Y134,0)))))</x:f>
      </x:c>
      <x:c r="AA134" s="81" t="str">
        <x:f>IFERROR(INDEX('Resource Rate Library'!$N$5:$N$85,MATCH(P134,'Resource Rate Library'!$A$5:$A$85,0)),"")</x:f>
      </x:c>
      <x:c r="AB134" s="53"/>
      <x:c r="AC134" s="59"/>
      <x:c r="AD134" s="81" t="str">
        <x:f>IFERROR(INDEX('Resource Rate Library'!$G$5:$G$85,MATCH(P134,'Resource Rate Library'!$A$5:$A$85,0)),"")</x:f>
      </x:c>
      <x:c r="AE134" s="81" t="str">
        <x:f>IFERROR(INDEX('Resource Rate Library'!$H$5:$H$85,MATCH(P134,'Resource Rate Library'!$A$5:$A$85,0)),"")</x:f>
      </x:c>
      <x:c r="AF134" s="53"/>
      <x:c r="AG134" s="53"/>
      <x:c r="AH134" s="53"/>
      <x:c r="AI134" s="81" t="str">
        <x:f t="shared" si="11">IF(B134="","",IF(AND(P134="",N134&lt;&gt;"Lump Sum / Quote"),"RESOURCE CODE",IF(Y134=0,"RATE MISSING",IF(AND(O134="Plant",AD134="Yes",COUNTIFS($B$7:$B$306,B134,$O$7:$O$306,"Labour",$Q$7:$Q$306,"*Operator*")&gt;0),"OPERATOR DOUBLE-COUNT",IF(AND(O134="Plant",AE134="Yes",COUNTIFS($B$7:$B$306,B134,$Q$7:$Q$306,"*Fuel*")&gt;0),"FUEL DOUBLE-COUNT",IF(AH134&lt;&gt;"Yes","VERIFY","OK"))))))</x:f>
      </x:c>
      <x:c r="AJ134" s="54"/>
      <x:c r="AK134" s="473"/>
      <x:c r="AL134" s="473"/>
      <x:c r="AM134" s="473"/>
      <x:c r="AN134" s="500" t="n">
        <x:f>IF(AND(AK134="Yes",OR(O134="Labour",O134="Plant")),Z134,0)</x:f>
        <x:v>0</x:v>
      </x:c>
    </x:row>
    <x:row r="135" ht="22.049999237060547" customHeight="1">
      <x:c r="A135" s="80" t="str">
        <x:f>IF(B135="","",B135&amp;"-"&amp;TEXT(COUNTIF($B$7:B135,B135),"000"))</x:f>
      </x:c>
      <x:c r="B135" s="53"/>
      <x:c r="C135" s="81" t="str">
        <x:f>IFERROR(INDEX('QS Takeoff'!$A$3:$A$194,MATCH(B135,'QS Takeoff'!$B$3:$B$194,0)),"")</x:f>
      </x:c>
      <x:c r="D135" s="81" t="str">
        <x:f>IFERROR(INDEX('QS Takeoff'!$C$3:$C$194,MATCH(B135,'QS Takeoff'!$B$3:$B$194,0)),"")</x:f>
      </x:c>
      <x:c r="E135" s="81" t="str">
        <x:f>IFERROR(INDEX('QS Takeoff'!$E$3:$E$194,MATCH(B135,'QS Takeoff'!$B$3:$B$194,0)),"")</x:f>
      </x:c>
      <x:c r="F135" s="81" t="str">
        <x:f>IFERROR(INDEX('QS Takeoff'!$D$3:$D$194,MATCH(B135,'QS Takeoff'!$B$3:$B$194,0)),"")</x:f>
      </x:c>
      <x:c r="G135" s="81" t="str">
        <x:f>IFERROR(INDEX('QS Takeoff'!$J$3:$J$194,MATCH(B135,'QS Takeoff'!$B$3:$B$194,0)),"")</x:f>
      </x:c>
      <x:c r="H135" s="53"/>
      <x:c r="I135" s="60"/>
      <x:c r="J135" s="60"/>
      <x:c r="K135" s="82" t="str">
        <x:f t="shared" ref="K135:K198" si="12">IF(OR(B135="",I135="",I135=0),"",E135/I135)</x:f>
      </x:c>
      <x:c r="L135" s="60"/>
      <x:c r="M135" s="82" t="str">
        <x:f t="shared" ref="M135:M198" si="13">IF(L135&gt;0,L135,K135)</x:f>
      </x:c>
      <x:c r="N135" s="53"/>
      <x:c r="O135" s="53"/>
      <x:c r="P135" s="53"/>
      <x:c r="Q135" s="81" t="str">
        <x:f>IFERROR(INDEX('Resource Rate Library'!$C$5:$C$85,MATCH(P135,'Resource Rate Library'!$A$5:$A$85,0)),"")</x:f>
      </x:c>
      <x:c r="R135" s="53"/>
      <x:c r="S135" s="53"/>
      <x:c r="T135" s="81" t="str">
        <x:f>IFERROR(INDEX('Resource Rate Library'!$E$5:$E$85,MATCH(P135,'Resource Rate Library'!$A$5:$A$85,0)),"")</x:f>
      </x:c>
      <x:c r="U135" s="62"/>
      <x:c r="V135" s="62"/>
      <x:c r="W135" s="83" t="n">
        <x:f>IFERROR(INDEX('Resource Rate Library'!$I$5:$I$85,MATCH(P135,'Resource Rate Library'!$A$5:$A$85,0)),0)</x:f>
        <x:v>0</x:v>
      </x:c>
      <x:c r="X135" s="52"/>
      <x:c r="Y135" s="83" t="n">
        <x:f t="shared" ref="Y135:Y198" si="14">IF(X135&gt;0,X135,W135)</x:f>
        <x:v>0</x:v>
      </x:c>
      <x:c r="Z135" s="83" t="str">
        <x:f t="shared" ref="Z135:Z198" si="15">IF(B135="","",IF(N135="Time x Count",M135*R135*IF(U135="",1,U135)*Y135,IF(N135="QS Qty x Factor",E135*R135*(1+IF(V135="",0,V135))*Y135,IF(N135="Direct Qty",S135*(1+IF(V135="",0,V135))*Y135,IF(N135="Lump Sum / Quote",S135*Y135,0)))))</x:f>
      </x:c>
      <x:c r="AA135" s="81" t="str">
        <x:f>IFERROR(INDEX('Resource Rate Library'!$N$5:$N$85,MATCH(P135,'Resource Rate Library'!$A$5:$A$85,0)),"")</x:f>
      </x:c>
      <x:c r="AB135" s="53"/>
      <x:c r="AC135" s="59"/>
      <x:c r="AD135" s="81" t="str">
        <x:f>IFERROR(INDEX('Resource Rate Library'!$G$5:$G$85,MATCH(P135,'Resource Rate Library'!$A$5:$A$85,0)),"")</x:f>
      </x:c>
      <x:c r="AE135" s="81" t="str">
        <x:f>IFERROR(INDEX('Resource Rate Library'!$H$5:$H$85,MATCH(P135,'Resource Rate Library'!$A$5:$A$85,0)),"")</x:f>
      </x:c>
      <x:c r="AF135" s="53"/>
      <x:c r="AG135" s="53"/>
      <x:c r="AH135" s="53"/>
      <x:c r="AI135" s="81" t="str">
        <x:f t="shared" si="11">IF(B135="","",IF(AND(P135="",N135&lt;&gt;"Lump Sum / Quote"),"RESOURCE CODE",IF(Y135=0,"RATE MISSING",IF(AND(O135="Plant",AD135="Yes",COUNTIFS($B$7:$B$306,B135,$O$7:$O$306,"Labour",$Q$7:$Q$306,"*Operator*")&gt;0),"OPERATOR DOUBLE-COUNT",IF(AND(O135="Plant",AE135="Yes",COUNTIFS($B$7:$B$306,B135,$Q$7:$Q$306,"*Fuel*")&gt;0),"FUEL DOUBLE-COUNT",IF(AH135&lt;&gt;"Yes","VERIFY","OK"))))))</x:f>
      </x:c>
      <x:c r="AJ135" s="54"/>
      <x:c r="AK135" s="473"/>
      <x:c r="AL135" s="473"/>
      <x:c r="AM135" s="473"/>
      <x:c r="AN135" s="500" t="n">
        <x:f>IF(AND(AK135="Yes",OR(O135="Labour",O135="Plant")),Z135,0)</x:f>
        <x:v>0</x:v>
      </x:c>
    </x:row>
    <x:row r="136">
      <x:c r="A136" s="80" t="str">
        <x:f>IF(B136="","",B136&amp;"-"&amp;TEXT(COUNTIF($B$7:B136,B136),"000"))</x:f>
      </x:c>
      <x:c r="B136" s="53"/>
      <x:c r="C136" s="81" t="str">
        <x:f>IFERROR(INDEX('QS Takeoff'!$A$3:$A$194,MATCH(B136,'QS Takeoff'!$B$3:$B$194,0)),"")</x:f>
      </x:c>
      <x:c r="D136" s="81" t="str">
        <x:f>IFERROR(INDEX('QS Takeoff'!$C$3:$C$194,MATCH(B136,'QS Takeoff'!$B$3:$B$194,0)),"")</x:f>
      </x:c>
      <x:c r="E136" s="81" t="str">
        <x:f>IFERROR(INDEX('QS Takeoff'!$E$3:$E$194,MATCH(B136,'QS Takeoff'!$B$3:$B$194,0)),"")</x:f>
      </x:c>
      <x:c r="F136" s="81" t="str">
        <x:f>IFERROR(INDEX('QS Takeoff'!$D$3:$D$194,MATCH(B136,'QS Takeoff'!$B$3:$B$194,0)),"")</x:f>
      </x:c>
      <x:c r="G136" s="81" t="str">
        <x:f>IFERROR(INDEX('QS Takeoff'!$J$3:$J$194,MATCH(B136,'QS Takeoff'!$B$3:$B$194,0)),"")</x:f>
      </x:c>
      <x:c r="H136" s="53"/>
      <x:c r="I136" s="60"/>
      <x:c r="J136" s="60"/>
      <x:c r="K136" s="82" t="str">
        <x:f t="shared" si="12">IF(OR(B136="",I136="",I136=0),"",E136/I136)</x:f>
      </x:c>
      <x:c r="L136" s="60"/>
      <x:c r="M136" s="82" t="str">
        <x:f t="shared" si="13">IF(L136&gt;0,L136,K136)</x:f>
      </x:c>
      <x:c r="N136" s="53"/>
      <x:c r="O136" s="53"/>
      <x:c r="P136" s="53"/>
      <x:c r="Q136" s="81" t="str">
        <x:f>IFERROR(INDEX('Resource Rate Library'!$C$5:$C$85,MATCH(P136,'Resource Rate Library'!$A$5:$A$85,0)),"")</x:f>
      </x:c>
      <x:c r="R136" s="53"/>
      <x:c r="S136" s="53"/>
      <x:c r="T136" s="81" t="str">
        <x:f>IFERROR(INDEX('Resource Rate Library'!$E$5:$E$85,MATCH(P136,'Resource Rate Library'!$A$5:$A$85,0)),"")</x:f>
      </x:c>
      <x:c r="U136" s="62"/>
      <x:c r="V136" s="62"/>
      <x:c r="W136" s="83" t="n">
        <x:f>IFERROR(INDEX('Resource Rate Library'!$I$5:$I$85,MATCH(P136,'Resource Rate Library'!$A$5:$A$85,0)),0)</x:f>
        <x:v>0</x:v>
      </x:c>
      <x:c r="X136" s="52"/>
      <x:c r="Y136" s="83" t="n">
        <x:f t="shared" si="14">IF(X136&gt;0,X136,W136)</x:f>
        <x:v>0</x:v>
      </x:c>
      <x:c r="Z136" s="83" t="str">
        <x:f t="shared" si="15">IF(B136="","",IF(N136="Time x Count",M136*R136*IF(U136="",1,U136)*Y136,IF(N136="QS Qty x Factor",E136*R136*(1+IF(V136="",0,V136))*Y136,IF(N136="Direct Qty",S136*(1+IF(V136="",0,V136))*Y136,IF(N136="Lump Sum / Quote",S136*Y136,0)))))</x:f>
      </x:c>
      <x:c r="AA136" s="81" t="str">
        <x:f>IFERROR(INDEX('Resource Rate Library'!$N$5:$N$85,MATCH(P136,'Resource Rate Library'!$A$5:$A$85,0)),"")</x:f>
      </x:c>
      <x:c r="AB136" s="53"/>
      <x:c r="AC136" s="59"/>
      <x:c r="AD136" s="81" t="str">
        <x:f>IFERROR(INDEX('Resource Rate Library'!$G$5:$G$85,MATCH(P136,'Resource Rate Library'!$A$5:$A$85,0)),"")</x:f>
      </x:c>
      <x:c r="AE136" s="81" t="str">
        <x:f>IFERROR(INDEX('Resource Rate Library'!$H$5:$H$85,MATCH(P136,'Resource Rate Library'!$A$5:$A$85,0)),"")</x:f>
      </x:c>
      <x:c r="AF136" s="53"/>
      <x:c r="AG136" s="53"/>
      <x:c r="AH136" s="53"/>
      <x:c r="AI136" s="81" t="str">
        <x:f t="shared" si="11">IF(B136="","",IF(AND(P136="",N136&lt;&gt;"Lump Sum / Quote"),"RESOURCE CODE",IF(Y136=0,"RATE MISSING",IF(AND(O136="Plant",AD136="Yes",COUNTIFS($B$7:$B$306,B136,$O$7:$O$306,"Labour",$Q$7:$Q$306,"*Operator*")&gt;0),"OPERATOR DOUBLE-COUNT",IF(AND(O136="Plant",AE136="Yes",COUNTIFS($B$7:$B$306,B136,$Q$7:$Q$306,"*Fuel*")&gt;0),"FUEL DOUBLE-COUNT",IF(AH136&lt;&gt;"Yes","VERIFY","OK"))))))</x:f>
      </x:c>
      <x:c r="AJ136" s="54"/>
      <x:c r="AK136" s="473"/>
      <x:c r="AL136" s="473"/>
      <x:c r="AM136" s="473"/>
      <x:c r="AN136" s="500" t="n">
        <x:f>IF(AND(AK136="Yes",OR(O136="Labour",O136="Plant")),Z136,0)</x:f>
        <x:v>0</x:v>
      </x:c>
    </x:row>
    <x:row r="137">
      <x:c r="A137" s="80" t="str">
        <x:f>IF(B137="","",B137&amp;"-"&amp;TEXT(COUNTIF($B$7:B137,B137),"000"))</x:f>
      </x:c>
      <x:c r="B137" s="53"/>
      <x:c r="C137" s="81" t="str">
        <x:f>IFERROR(INDEX('QS Takeoff'!$A$3:$A$194,MATCH(B137,'QS Takeoff'!$B$3:$B$194,0)),"")</x:f>
      </x:c>
      <x:c r="D137" s="81" t="str">
        <x:f>IFERROR(INDEX('QS Takeoff'!$C$3:$C$194,MATCH(B137,'QS Takeoff'!$B$3:$B$194,0)),"")</x:f>
      </x:c>
      <x:c r="E137" s="81" t="str">
        <x:f>IFERROR(INDEX('QS Takeoff'!$E$3:$E$194,MATCH(B137,'QS Takeoff'!$B$3:$B$194,0)),"")</x:f>
      </x:c>
      <x:c r="F137" s="81" t="str">
        <x:f>IFERROR(INDEX('QS Takeoff'!$D$3:$D$194,MATCH(B137,'QS Takeoff'!$B$3:$B$194,0)),"")</x:f>
      </x:c>
      <x:c r="G137" s="81" t="str">
        <x:f>IFERROR(INDEX('QS Takeoff'!$J$3:$J$194,MATCH(B137,'QS Takeoff'!$B$3:$B$194,0)),"")</x:f>
      </x:c>
      <x:c r="H137" s="53"/>
      <x:c r="I137" s="60"/>
      <x:c r="J137" s="60"/>
      <x:c r="K137" s="82" t="str">
        <x:f t="shared" si="12">IF(OR(B137="",I137="",I137=0),"",E137/I137)</x:f>
      </x:c>
      <x:c r="L137" s="60"/>
      <x:c r="M137" s="82" t="str">
        <x:f t="shared" si="13">IF(L137&gt;0,L137,K137)</x:f>
      </x:c>
      <x:c r="N137" s="53"/>
      <x:c r="O137" s="53"/>
      <x:c r="P137" s="53"/>
      <x:c r="Q137" s="81" t="str">
        <x:f>IFERROR(INDEX('Resource Rate Library'!$C$5:$C$85,MATCH(P137,'Resource Rate Library'!$A$5:$A$85,0)),"")</x:f>
      </x:c>
      <x:c r="R137" s="53"/>
      <x:c r="S137" s="53"/>
      <x:c r="T137" s="81" t="str">
        <x:f>IFERROR(INDEX('Resource Rate Library'!$E$5:$E$85,MATCH(P137,'Resource Rate Library'!$A$5:$A$85,0)),"")</x:f>
      </x:c>
      <x:c r="U137" s="62"/>
      <x:c r="V137" s="62"/>
      <x:c r="W137" s="83" t="n">
        <x:f>IFERROR(INDEX('Resource Rate Library'!$I$5:$I$85,MATCH(P137,'Resource Rate Library'!$A$5:$A$85,0)),0)</x:f>
        <x:v>0</x:v>
      </x:c>
      <x:c r="X137" s="52"/>
      <x:c r="Y137" s="83" t="n">
        <x:f t="shared" si="14">IF(X137&gt;0,X137,W137)</x:f>
        <x:v>0</x:v>
      </x:c>
      <x:c r="Z137" s="83" t="str">
        <x:f t="shared" si="15">IF(B137="","",IF(N137="Time x Count",M137*R137*IF(U137="",1,U137)*Y137,IF(N137="QS Qty x Factor",E137*R137*(1+IF(V137="",0,V137))*Y137,IF(N137="Direct Qty",S137*(1+IF(V137="",0,V137))*Y137,IF(N137="Lump Sum / Quote",S137*Y137,0)))))</x:f>
      </x:c>
      <x:c r="AA137" s="81" t="str">
        <x:f>IFERROR(INDEX('Resource Rate Library'!$N$5:$N$85,MATCH(P137,'Resource Rate Library'!$A$5:$A$85,0)),"")</x:f>
      </x:c>
      <x:c r="AB137" s="53"/>
      <x:c r="AC137" s="59"/>
      <x:c r="AD137" s="81" t="str">
        <x:f>IFERROR(INDEX('Resource Rate Library'!$G$5:$G$85,MATCH(P137,'Resource Rate Library'!$A$5:$A$85,0)),"")</x:f>
      </x:c>
      <x:c r="AE137" s="81" t="str">
        <x:f>IFERROR(INDEX('Resource Rate Library'!$H$5:$H$85,MATCH(P137,'Resource Rate Library'!$A$5:$A$85,0)),"")</x:f>
      </x:c>
      <x:c r="AF137" s="53"/>
      <x:c r="AG137" s="53"/>
      <x:c r="AH137" s="53"/>
      <x:c r="AI137" s="81" t="str">
        <x:f t="shared" si="11">IF(B137="","",IF(AND(P137="",N137&lt;&gt;"Lump Sum / Quote"),"RESOURCE CODE",IF(Y137=0,"RATE MISSING",IF(AND(O137="Plant",AD137="Yes",COUNTIFS($B$7:$B$306,B137,$O$7:$O$306,"Labour",$Q$7:$Q$306,"*Operator*")&gt;0),"OPERATOR DOUBLE-COUNT",IF(AND(O137="Plant",AE137="Yes",COUNTIFS($B$7:$B$306,B137,$Q$7:$Q$306,"*Fuel*")&gt;0),"FUEL DOUBLE-COUNT",IF(AH137&lt;&gt;"Yes","VERIFY","OK"))))))</x:f>
      </x:c>
      <x:c r="AJ137" s="54"/>
      <x:c r="AK137" s="473"/>
      <x:c r="AL137" s="473"/>
      <x:c r="AM137" s="473"/>
      <x:c r="AN137" s="500" t="n">
        <x:f>IF(AND(AK137="Yes",OR(O137="Labour",O137="Plant")),Z137,0)</x:f>
        <x:v>0</x:v>
      </x:c>
    </x:row>
    <x:row r="138">
      <x:c r="A138" s="80" t="str">
        <x:f>IF(B138="","",B138&amp;"-"&amp;TEXT(COUNTIF($B$7:B138,B138),"000"))</x:f>
      </x:c>
      <x:c r="B138" s="53"/>
      <x:c r="C138" s="81" t="str">
        <x:f>IFERROR(INDEX('QS Takeoff'!$A$3:$A$194,MATCH(B138,'QS Takeoff'!$B$3:$B$194,0)),"")</x:f>
      </x:c>
      <x:c r="D138" s="81" t="str">
        <x:f>IFERROR(INDEX('QS Takeoff'!$C$3:$C$194,MATCH(B138,'QS Takeoff'!$B$3:$B$194,0)),"")</x:f>
      </x:c>
      <x:c r="E138" s="81" t="str">
        <x:f>IFERROR(INDEX('QS Takeoff'!$E$3:$E$194,MATCH(B138,'QS Takeoff'!$B$3:$B$194,0)),"")</x:f>
      </x:c>
      <x:c r="F138" s="81" t="str">
        <x:f>IFERROR(INDEX('QS Takeoff'!$D$3:$D$194,MATCH(B138,'QS Takeoff'!$B$3:$B$194,0)),"")</x:f>
      </x:c>
      <x:c r="G138" s="81" t="str">
        <x:f>IFERROR(INDEX('QS Takeoff'!$J$3:$J$194,MATCH(B138,'QS Takeoff'!$B$3:$B$194,0)),"")</x:f>
      </x:c>
      <x:c r="H138" s="53"/>
      <x:c r="I138" s="60"/>
      <x:c r="J138" s="60"/>
      <x:c r="K138" s="82" t="str">
        <x:f t="shared" si="12">IF(OR(B138="",I138="",I138=0),"",E138/I138)</x:f>
      </x:c>
      <x:c r="L138" s="60"/>
      <x:c r="M138" s="82" t="str">
        <x:f t="shared" si="13">IF(L138&gt;0,L138,K138)</x:f>
      </x:c>
      <x:c r="N138" s="53"/>
      <x:c r="O138" s="53"/>
      <x:c r="P138" s="53"/>
      <x:c r="Q138" s="81" t="str">
        <x:f>IFERROR(INDEX('Resource Rate Library'!$C$5:$C$85,MATCH(P138,'Resource Rate Library'!$A$5:$A$85,0)),"")</x:f>
      </x:c>
      <x:c r="R138" s="53"/>
      <x:c r="S138" s="53"/>
      <x:c r="T138" s="81" t="str">
        <x:f>IFERROR(INDEX('Resource Rate Library'!$E$5:$E$85,MATCH(P138,'Resource Rate Library'!$A$5:$A$85,0)),"")</x:f>
      </x:c>
      <x:c r="U138" s="62"/>
      <x:c r="V138" s="62"/>
      <x:c r="W138" s="83" t="n">
        <x:f>IFERROR(INDEX('Resource Rate Library'!$I$5:$I$85,MATCH(P138,'Resource Rate Library'!$A$5:$A$85,0)),0)</x:f>
        <x:v>0</x:v>
      </x:c>
      <x:c r="X138" s="52"/>
      <x:c r="Y138" s="83" t="n">
        <x:f t="shared" si="14">IF(X138&gt;0,X138,W138)</x:f>
        <x:v>0</x:v>
      </x:c>
      <x:c r="Z138" s="83" t="str">
        <x:f t="shared" si="15">IF(B138="","",IF(N138="Time x Count",M138*R138*IF(U138="",1,U138)*Y138,IF(N138="QS Qty x Factor",E138*R138*(1+IF(V138="",0,V138))*Y138,IF(N138="Direct Qty",S138*(1+IF(V138="",0,V138))*Y138,IF(N138="Lump Sum / Quote",S138*Y138,0)))))</x:f>
      </x:c>
      <x:c r="AA138" s="81" t="str">
        <x:f>IFERROR(INDEX('Resource Rate Library'!$N$5:$N$85,MATCH(P138,'Resource Rate Library'!$A$5:$A$85,0)),"")</x:f>
      </x:c>
      <x:c r="AB138" s="53"/>
      <x:c r="AC138" s="59"/>
      <x:c r="AD138" s="81" t="str">
        <x:f>IFERROR(INDEX('Resource Rate Library'!$G$5:$G$85,MATCH(P138,'Resource Rate Library'!$A$5:$A$85,0)),"")</x:f>
      </x:c>
      <x:c r="AE138" s="81" t="str">
        <x:f>IFERROR(INDEX('Resource Rate Library'!$H$5:$H$85,MATCH(P138,'Resource Rate Library'!$A$5:$A$85,0)),"")</x:f>
      </x:c>
      <x:c r="AF138" s="53"/>
      <x:c r="AG138" s="53"/>
      <x:c r="AH138" s="53"/>
      <x:c r="AI138" s="81" t="str">
        <x:f t="shared" si="11">IF(B138="","",IF(AND(P138="",N138&lt;&gt;"Lump Sum / Quote"),"RESOURCE CODE",IF(Y138=0,"RATE MISSING",IF(AND(O138="Plant",AD138="Yes",COUNTIFS($B$7:$B$306,B138,$O$7:$O$306,"Labour",$Q$7:$Q$306,"*Operator*")&gt;0),"OPERATOR DOUBLE-COUNT",IF(AND(O138="Plant",AE138="Yes",COUNTIFS($B$7:$B$306,B138,$Q$7:$Q$306,"*Fuel*")&gt;0),"FUEL DOUBLE-COUNT",IF(AH138&lt;&gt;"Yes","VERIFY","OK"))))))</x:f>
      </x:c>
      <x:c r="AJ138" s="54"/>
      <x:c r="AK138" s="473"/>
      <x:c r="AL138" s="473"/>
      <x:c r="AM138" s="473"/>
      <x:c r="AN138" s="500" t="n">
        <x:f>IF(AND(AK138="Yes",OR(O138="Labour",O138="Plant")),Z138,0)</x:f>
        <x:v>0</x:v>
      </x:c>
    </x:row>
    <x:row r="139">
      <x:c r="A139" s="80" t="str">
        <x:f>IF(B139="","",B139&amp;"-"&amp;TEXT(COUNTIF($B$7:B139,B139),"000"))</x:f>
      </x:c>
      <x:c r="B139" s="53"/>
      <x:c r="C139" s="81" t="str">
        <x:f>IFERROR(INDEX('QS Takeoff'!$A$3:$A$194,MATCH(B139,'QS Takeoff'!$B$3:$B$194,0)),"")</x:f>
      </x:c>
      <x:c r="D139" s="81" t="str">
        <x:f>IFERROR(INDEX('QS Takeoff'!$C$3:$C$194,MATCH(B139,'QS Takeoff'!$B$3:$B$194,0)),"")</x:f>
      </x:c>
      <x:c r="E139" s="81" t="str">
        <x:f>IFERROR(INDEX('QS Takeoff'!$E$3:$E$194,MATCH(B139,'QS Takeoff'!$B$3:$B$194,0)),"")</x:f>
      </x:c>
      <x:c r="F139" s="81" t="str">
        <x:f>IFERROR(INDEX('QS Takeoff'!$D$3:$D$194,MATCH(B139,'QS Takeoff'!$B$3:$B$194,0)),"")</x:f>
      </x:c>
      <x:c r="G139" s="81" t="str">
        <x:f>IFERROR(INDEX('QS Takeoff'!$J$3:$J$194,MATCH(B139,'QS Takeoff'!$B$3:$B$194,0)),"")</x:f>
      </x:c>
      <x:c r="H139" s="53"/>
      <x:c r="I139" s="60"/>
      <x:c r="J139" s="60"/>
      <x:c r="K139" s="82" t="str">
        <x:f t="shared" si="12">IF(OR(B139="",I139="",I139=0),"",E139/I139)</x:f>
      </x:c>
      <x:c r="L139" s="60"/>
      <x:c r="M139" s="82" t="str">
        <x:f t="shared" si="13">IF(L139&gt;0,L139,K139)</x:f>
      </x:c>
      <x:c r="N139" s="53"/>
      <x:c r="O139" s="53"/>
      <x:c r="P139" s="53"/>
      <x:c r="Q139" s="81" t="str">
        <x:f>IFERROR(INDEX('Resource Rate Library'!$C$5:$C$85,MATCH(P139,'Resource Rate Library'!$A$5:$A$85,0)),"")</x:f>
      </x:c>
      <x:c r="R139" s="53"/>
      <x:c r="S139" s="53"/>
      <x:c r="T139" s="81" t="str">
        <x:f>IFERROR(INDEX('Resource Rate Library'!$E$5:$E$85,MATCH(P139,'Resource Rate Library'!$A$5:$A$85,0)),"")</x:f>
      </x:c>
      <x:c r="U139" s="62"/>
      <x:c r="V139" s="62"/>
      <x:c r="W139" s="83" t="n">
        <x:f>IFERROR(INDEX('Resource Rate Library'!$I$5:$I$85,MATCH(P139,'Resource Rate Library'!$A$5:$A$85,0)),0)</x:f>
        <x:v>0</x:v>
      </x:c>
      <x:c r="X139" s="52"/>
      <x:c r="Y139" s="83" t="n">
        <x:f t="shared" si="14">IF(X139&gt;0,X139,W139)</x:f>
        <x:v>0</x:v>
      </x:c>
      <x:c r="Z139" s="83" t="str">
        <x:f t="shared" si="15">IF(B139="","",IF(N139="Time x Count",M139*R139*IF(U139="",1,U139)*Y139,IF(N139="QS Qty x Factor",E139*R139*(1+IF(V139="",0,V139))*Y139,IF(N139="Direct Qty",S139*(1+IF(V139="",0,V139))*Y139,IF(N139="Lump Sum / Quote",S139*Y139,0)))))</x:f>
      </x:c>
      <x:c r="AA139" s="81" t="str">
        <x:f>IFERROR(INDEX('Resource Rate Library'!$N$5:$N$85,MATCH(P139,'Resource Rate Library'!$A$5:$A$85,0)),"")</x:f>
      </x:c>
      <x:c r="AB139" s="53"/>
      <x:c r="AC139" s="59"/>
      <x:c r="AD139" s="81" t="str">
        <x:f>IFERROR(INDEX('Resource Rate Library'!$G$5:$G$85,MATCH(P139,'Resource Rate Library'!$A$5:$A$85,0)),"")</x:f>
      </x:c>
      <x:c r="AE139" s="81" t="str">
        <x:f>IFERROR(INDEX('Resource Rate Library'!$H$5:$H$85,MATCH(P139,'Resource Rate Library'!$A$5:$A$85,0)),"")</x:f>
      </x:c>
      <x:c r="AF139" s="53"/>
      <x:c r="AG139" s="53"/>
      <x:c r="AH139" s="53"/>
      <x:c r="AI139" s="81" t="str">
        <x:f t="shared" si="11">IF(B139="","",IF(AND(P139="",N139&lt;&gt;"Lump Sum / Quote"),"RESOURCE CODE",IF(Y139=0,"RATE MISSING",IF(AND(O139="Plant",AD139="Yes",COUNTIFS($B$7:$B$306,B139,$O$7:$O$306,"Labour",$Q$7:$Q$306,"*Operator*")&gt;0),"OPERATOR DOUBLE-COUNT",IF(AND(O139="Plant",AE139="Yes",COUNTIFS($B$7:$B$306,B139,$Q$7:$Q$306,"*Fuel*")&gt;0),"FUEL DOUBLE-COUNT",IF(AH139&lt;&gt;"Yes","VERIFY","OK"))))))</x:f>
      </x:c>
      <x:c r="AJ139" s="54"/>
      <x:c r="AK139" s="473"/>
      <x:c r="AL139" s="473"/>
      <x:c r="AM139" s="473"/>
      <x:c r="AN139" s="500" t="n">
        <x:f>IF(AND(AK139="Yes",OR(O139="Labour",O139="Plant")),Z139,0)</x:f>
        <x:v>0</x:v>
      </x:c>
    </x:row>
    <x:row r="140">
      <x:c r="A140" s="80" t="str">
        <x:f>IF(B140="","",B140&amp;"-"&amp;TEXT(COUNTIF($B$7:B140,B140),"000"))</x:f>
      </x:c>
      <x:c r="B140" s="53"/>
      <x:c r="C140" s="81" t="str">
        <x:f>IFERROR(INDEX('QS Takeoff'!$A$3:$A$194,MATCH(B140,'QS Takeoff'!$B$3:$B$194,0)),"")</x:f>
      </x:c>
      <x:c r="D140" s="81" t="str">
        <x:f>IFERROR(INDEX('QS Takeoff'!$C$3:$C$194,MATCH(B140,'QS Takeoff'!$B$3:$B$194,0)),"")</x:f>
      </x:c>
      <x:c r="E140" s="81" t="str">
        <x:f>IFERROR(INDEX('QS Takeoff'!$E$3:$E$194,MATCH(B140,'QS Takeoff'!$B$3:$B$194,0)),"")</x:f>
      </x:c>
      <x:c r="F140" s="81" t="str">
        <x:f>IFERROR(INDEX('QS Takeoff'!$D$3:$D$194,MATCH(B140,'QS Takeoff'!$B$3:$B$194,0)),"")</x:f>
      </x:c>
      <x:c r="G140" s="81" t="str">
        <x:f>IFERROR(INDEX('QS Takeoff'!$J$3:$J$194,MATCH(B140,'QS Takeoff'!$B$3:$B$194,0)),"")</x:f>
      </x:c>
      <x:c r="H140" s="53"/>
      <x:c r="I140" s="60"/>
      <x:c r="J140" s="60"/>
      <x:c r="K140" s="82" t="str">
        <x:f t="shared" si="12">IF(OR(B140="",I140="",I140=0),"",E140/I140)</x:f>
      </x:c>
      <x:c r="L140" s="60"/>
      <x:c r="M140" s="82" t="str">
        <x:f t="shared" si="13">IF(L140&gt;0,L140,K140)</x:f>
      </x:c>
      <x:c r="N140" s="53"/>
      <x:c r="O140" s="53"/>
      <x:c r="P140" s="53"/>
      <x:c r="Q140" s="81" t="str">
        <x:f>IFERROR(INDEX('Resource Rate Library'!$C$5:$C$85,MATCH(P140,'Resource Rate Library'!$A$5:$A$85,0)),"")</x:f>
      </x:c>
      <x:c r="R140" s="53"/>
      <x:c r="S140" s="53"/>
      <x:c r="T140" s="81" t="str">
        <x:f>IFERROR(INDEX('Resource Rate Library'!$E$5:$E$85,MATCH(P140,'Resource Rate Library'!$A$5:$A$85,0)),"")</x:f>
      </x:c>
      <x:c r="U140" s="62"/>
      <x:c r="V140" s="62"/>
      <x:c r="W140" s="83" t="n">
        <x:f>IFERROR(INDEX('Resource Rate Library'!$I$5:$I$85,MATCH(P140,'Resource Rate Library'!$A$5:$A$85,0)),0)</x:f>
        <x:v>0</x:v>
      </x:c>
      <x:c r="X140" s="52"/>
      <x:c r="Y140" s="83" t="n">
        <x:f t="shared" si="14">IF(X140&gt;0,X140,W140)</x:f>
        <x:v>0</x:v>
      </x:c>
      <x:c r="Z140" s="83" t="str">
        <x:f t="shared" si="15">IF(B140="","",IF(N140="Time x Count",M140*R140*IF(U140="",1,U140)*Y140,IF(N140="QS Qty x Factor",E140*R140*(1+IF(V140="",0,V140))*Y140,IF(N140="Direct Qty",S140*(1+IF(V140="",0,V140))*Y140,IF(N140="Lump Sum / Quote",S140*Y140,0)))))</x:f>
      </x:c>
      <x:c r="AA140" s="81" t="str">
        <x:f>IFERROR(INDEX('Resource Rate Library'!$N$5:$N$85,MATCH(P140,'Resource Rate Library'!$A$5:$A$85,0)),"")</x:f>
      </x:c>
      <x:c r="AB140" s="53"/>
      <x:c r="AC140" s="59"/>
      <x:c r="AD140" s="81" t="str">
        <x:f>IFERROR(INDEX('Resource Rate Library'!$G$5:$G$85,MATCH(P140,'Resource Rate Library'!$A$5:$A$85,0)),"")</x:f>
      </x:c>
      <x:c r="AE140" s="81" t="str">
        <x:f>IFERROR(INDEX('Resource Rate Library'!$H$5:$H$85,MATCH(P140,'Resource Rate Library'!$A$5:$A$85,0)),"")</x:f>
      </x:c>
      <x:c r="AF140" s="53"/>
      <x:c r="AG140" s="53"/>
      <x:c r="AH140" s="53"/>
      <x:c r="AI140" s="81" t="str">
        <x:f t="shared" si="11">IF(B140="","",IF(AND(P140="",N140&lt;&gt;"Lump Sum / Quote"),"RESOURCE CODE",IF(Y140=0,"RATE MISSING",IF(AND(O140="Plant",AD140="Yes",COUNTIFS($B$7:$B$306,B140,$O$7:$O$306,"Labour",$Q$7:$Q$306,"*Operator*")&gt;0),"OPERATOR DOUBLE-COUNT",IF(AND(O140="Plant",AE140="Yes",COUNTIFS($B$7:$B$306,B140,$Q$7:$Q$306,"*Fuel*")&gt;0),"FUEL DOUBLE-COUNT",IF(AH140&lt;&gt;"Yes","VERIFY","OK"))))))</x:f>
      </x:c>
      <x:c r="AJ140" s="54"/>
      <x:c r="AK140" s="473"/>
      <x:c r="AL140" s="473"/>
      <x:c r="AM140" s="473"/>
      <x:c r="AN140" s="500" t="n">
        <x:f>IF(AND(AK140="Yes",OR(O140="Labour",O140="Plant")),Z140,0)</x:f>
        <x:v>0</x:v>
      </x:c>
    </x:row>
    <x:row r="141">
      <x:c r="A141" s="80" t="str">
        <x:f>IF(B141="","",B141&amp;"-"&amp;TEXT(COUNTIF($B$7:B141,B141),"000"))</x:f>
      </x:c>
      <x:c r="B141" s="53"/>
      <x:c r="C141" s="81" t="str">
        <x:f>IFERROR(INDEX('QS Takeoff'!$A$3:$A$194,MATCH(B141,'QS Takeoff'!$B$3:$B$194,0)),"")</x:f>
      </x:c>
      <x:c r="D141" s="81" t="str">
        <x:f>IFERROR(INDEX('QS Takeoff'!$C$3:$C$194,MATCH(B141,'QS Takeoff'!$B$3:$B$194,0)),"")</x:f>
      </x:c>
      <x:c r="E141" s="81" t="str">
        <x:f>IFERROR(INDEX('QS Takeoff'!$E$3:$E$194,MATCH(B141,'QS Takeoff'!$B$3:$B$194,0)),"")</x:f>
      </x:c>
      <x:c r="F141" s="81" t="str">
        <x:f>IFERROR(INDEX('QS Takeoff'!$D$3:$D$194,MATCH(B141,'QS Takeoff'!$B$3:$B$194,0)),"")</x:f>
      </x:c>
      <x:c r="G141" s="81" t="str">
        <x:f>IFERROR(INDEX('QS Takeoff'!$J$3:$J$194,MATCH(B141,'QS Takeoff'!$B$3:$B$194,0)),"")</x:f>
      </x:c>
      <x:c r="H141" s="53"/>
      <x:c r="I141" s="60"/>
      <x:c r="J141" s="60"/>
      <x:c r="K141" s="82" t="str">
        <x:f t="shared" si="12">IF(OR(B141="",I141="",I141=0),"",E141/I141)</x:f>
      </x:c>
      <x:c r="L141" s="60"/>
      <x:c r="M141" s="82" t="str">
        <x:f t="shared" si="13">IF(L141&gt;0,L141,K141)</x:f>
      </x:c>
      <x:c r="N141" s="53"/>
      <x:c r="O141" s="53"/>
      <x:c r="P141" s="53"/>
      <x:c r="Q141" s="81" t="str">
        <x:f>IFERROR(INDEX('Resource Rate Library'!$C$5:$C$85,MATCH(P141,'Resource Rate Library'!$A$5:$A$85,0)),"")</x:f>
      </x:c>
      <x:c r="R141" s="53"/>
      <x:c r="S141" s="53"/>
      <x:c r="T141" s="81" t="str">
        <x:f>IFERROR(INDEX('Resource Rate Library'!$E$5:$E$85,MATCH(P141,'Resource Rate Library'!$A$5:$A$85,0)),"")</x:f>
      </x:c>
      <x:c r="U141" s="62"/>
      <x:c r="V141" s="62"/>
      <x:c r="W141" s="83" t="n">
        <x:f>IFERROR(INDEX('Resource Rate Library'!$I$5:$I$85,MATCH(P141,'Resource Rate Library'!$A$5:$A$85,0)),0)</x:f>
        <x:v>0</x:v>
      </x:c>
      <x:c r="X141" s="52"/>
      <x:c r="Y141" s="83" t="n">
        <x:f t="shared" si="14">IF(X141&gt;0,X141,W141)</x:f>
        <x:v>0</x:v>
      </x:c>
      <x:c r="Z141" s="83" t="str">
        <x:f t="shared" si="15">IF(B141="","",IF(N141="Time x Count",M141*R141*IF(U141="",1,U141)*Y141,IF(N141="QS Qty x Factor",E141*R141*(1+IF(V141="",0,V141))*Y141,IF(N141="Direct Qty",S141*(1+IF(V141="",0,V141))*Y141,IF(N141="Lump Sum / Quote",S141*Y141,0)))))</x:f>
      </x:c>
      <x:c r="AA141" s="81" t="str">
        <x:f>IFERROR(INDEX('Resource Rate Library'!$N$5:$N$85,MATCH(P141,'Resource Rate Library'!$A$5:$A$85,0)),"")</x:f>
      </x:c>
      <x:c r="AB141" s="53"/>
      <x:c r="AC141" s="59"/>
      <x:c r="AD141" s="81" t="str">
        <x:f>IFERROR(INDEX('Resource Rate Library'!$G$5:$G$85,MATCH(P141,'Resource Rate Library'!$A$5:$A$85,0)),"")</x:f>
      </x:c>
      <x:c r="AE141" s="81" t="str">
        <x:f>IFERROR(INDEX('Resource Rate Library'!$H$5:$H$85,MATCH(P141,'Resource Rate Library'!$A$5:$A$85,0)),"")</x:f>
      </x:c>
      <x:c r="AF141" s="53"/>
      <x:c r="AG141" s="53"/>
      <x:c r="AH141" s="53"/>
      <x:c r="AI141" s="81" t="str">
        <x:f t="shared" si="11">IF(B141="","",IF(AND(P141="",N141&lt;&gt;"Lump Sum / Quote"),"RESOURCE CODE",IF(Y141=0,"RATE MISSING",IF(AND(O141="Plant",AD141="Yes",COUNTIFS($B$7:$B$306,B141,$O$7:$O$306,"Labour",$Q$7:$Q$306,"*Operator*")&gt;0),"OPERATOR DOUBLE-COUNT",IF(AND(O141="Plant",AE141="Yes",COUNTIFS($B$7:$B$306,B141,$Q$7:$Q$306,"*Fuel*")&gt;0),"FUEL DOUBLE-COUNT",IF(AH141&lt;&gt;"Yes","VERIFY","OK"))))))</x:f>
      </x:c>
      <x:c r="AJ141" s="54"/>
      <x:c r="AK141" s="473"/>
      <x:c r="AL141" s="473"/>
      <x:c r="AM141" s="473"/>
      <x:c r="AN141" s="500" t="n">
        <x:f>IF(AND(AK141="Yes",OR(O141="Labour",O141="Plant")),Z141,0)</x:f>
        <x:v>0</x:v>
      </x:c>
    </x:row>
    <x:row r="142">
      <x:c r="A142" s="80" t="str">
        <x:f>IF(B142="","",B142&amp;"-"&amp;TEXT(COUNTIF($B$7:B142,B142),"000"))</x:f>
      </x:c>
      <x:c r="B142" s="53"/>
      <x:c r="C142" s="81" t="str">
        <x:f>IFERROR(INDEX('QS Takeoff'!$A$3:$A$194,MATCH(B142,'QS Takeoff'!$B$3:$B$194,0)),"")</x:f>
      </x:c>
      <x:c r="D142" s="81" t="str">
        <x:f>IFERROR(INDEX('QS Takeoff'!$C$3:$C$194,MATCH(B142,'QS Takeoff'!$B$3:$B$194,0)),"")</x:f>
      </x:c>
      <x:c r="E142" s="81" t="str">
        <x:f>IFERROR(INDEX('QS Takeoff'!$E$3:$E$194,MATCH(B142,'QS Takeoff'!$B$3:$B$194,0)),"")</x:f>
      </x:c>
      <x:c r="F142" s="81" t="str">
        <x:f>IFERROR(INDEX('QS Takeoff'!$D$3:$D$194,MATCH(B142,'QS Takeoff'!$B$3:$B$194,0)),"")</x:f>
      </x:c>
      <x:c r="G142" s="81" t="str">
        <x:f>IFERROR(INDEX('QS Takeoff'!$J$3:$J$194,MATCH(B142,'QS Takeoff'!$B$3:$B$194,0)),"")</x:f>
      </x:c>
      <x:c r="H142" s="53"/>
      <x:c r="I142" s="60"/>
      <x:c r="J142" s="60"/>
      <x:c r="K142" s="82" t="str">
        <x:f t="shared" si="12">IF(OR(B142="",I142="",I142=0),"",E142/I142)</x:f>
      </x:c>
      <x:c r="L142" s="60"/>
      <x:c r="M142" s="82" t="str">
        <x:f t="shared" si="13">IF(L142&gt;0,L142,K142)</x:f>
      </x:c>
      <x:c r="N142" s="53"/>
      <x:c r="O142" s="53"/>
      <x:c r="P142" s="53"/>
      <x:c r="Q142" s="81" t="str">
        <x:f>IFERROR(INDEX('Resource Rate Library'!$C$5:$C$85,MATCH(P142,'Resource Rate Library'!$A$5:$A$85,0)),"")</x:f>
      </x:c>
      <x:c r="R142" s="53"/>
      <x:c r="S142" s="53"/>
      <x:c r="T142" s="81" t="str">
        <x:f>IFERROR(INDEX('Resource Rate Library'!$E$5:$E$85,MATCH(P142,'Resource Rate Library'!$A$5:$A$85,0)),"")</x:f>
      </x:c>
      <x:c r="U142" s="62"/>
      <x:c r="V142" s="62"/>
      <x:c r="W142" s="83" t="n">
        <x:f>IFERROR(INDEX('Resource Rate Library'!$I$5:$I$85,MATCH(P142,'Resource Rate Library'!$A$5:$A$85,0)),0)</x:f>
        <x:v>0</x:v>
      </x:c>
      <x:c r="X142" s="52"/>
      <x:c r="Y142" s="83" t="n">
        <x:f t="shared" si="14">IF(X142&gt;0,X142,W142)</x:f>
        <x:v>0</x:v>
      </x:c>
      <x:c r="Z142" s="83" t="str">
        <x:f t="shared" si="15">IF(B142="","",IF(N142="Time x Count",M142*R142*IF(U142="",1,U142)*Y142,IF(N142="QS Qty x Factor",E142*R142*(1+IF(V142="",0,V142))*Y142,IF(N142="Direct Qty",S142*(1+IF(V142="",0,V142))*Y142,IF(N142="Lump Sum / Quote",S142*Y142,0)))))</x:f>
      </x:c>
      <x:c r="AA142" s="81" t="str">
        <x:f>IFERROR(INDEX('Resource Rate Library'!$N$5:$N$85,MATCH(P142,'Resource Rate Library'!$A$5:$A$85,0)),"")</x:f>
      </x:c>
      <x:c r="AB142" s="53"/>
      <x:c r="AC142" s="59"/>
      <x:c r="AD142" s="81" t="str">
        <x:f>IFERROR(INDEX('Resource Rate Library'!$G$5:$G$85,MATCH(P142,'Resource Rate Library'!$A$5:$A$85,0)),"")</x:f>
      </x:c>
      <x:c r="AE142" s="81" t="str">
        <x:f>IFERROR(INDEX('Resource Rate Library'!$H$5:$H$85,MATCH(P142,'Resource Rate Library'!$A$5:$A$85,0)),"")</x:f>
      </x:c>
      <x:c r="AF142" s="53"/>
      <x:c r="AG142" s="53"/>
      <x:c r="AH142" s="53"/>
      <x:c r="AI142" s="81" t="str">
        <x:f t="shared" si="11">IF(B142="","",IF(AND(P142="",N142&lt;&gt;"Lump Sum / Quote"),"RESOURCE CODE",IF(Y142=0,"RATE MISSING",IF(AND(O142="Plant",AD142="Yes",COUNTIFS($B$7:$B$306,B142,$O$7:$O$306,"Labour",$Q$7:$Q$306,"*Operator*")&gt;0),"OPERATOR DOUBLE-COUNT",IF(AND(O142="Plant",AE142="Yes",COUNTIFS($B$7:$B$306,B142,$Q$7:$Q$306,"*Fuel*")&gt;0),"FUEL DOUBLE-COUNT",IF(AH142&lt;&gt;"Yes","VERIFY","OK"))))))</x:f>
      </x:c>
      <x:c r="AJ142" s="54"/>
      <x:c r="AK142" s="473"/>
      <x:c r="AL142" s="473"/>
      <x:c r="AM142" s="473"/>
      <x:c r="AN142" s="500" t="n">
        <x:f>IF(AND(AK142="Yes",OR(O142="Labour",O142="Plant")),Z142,0)</x:f>
        <x:v>0</x:v>
      </x:c>
    </x:row>
    <x:row r="143">
      <x:c r="A143" s="80" t="str">
        <x:f>IF(B143="","",B143&amp;"-"&amp;TEXT(COUNTIF($B$7:B143,B143),"000"))</x:f>
      </x:c>
      <x:c r="B143" s="53"/>
      <x:c r="C143" s="81" t="str">
        <x:f>IFERROR(INDEX('QS Takeoff'!$A$3:$A$194,MATCH(B143,'QS Takeoff'!$B$3:$B$194,0)),"")</x:f>
      </x:c>
      <x:c r="D143" s="81" t="str">
        <x:f>IFERROR(INDEX('QS Takeoff'!$C$3:$C$194,MATCH(B143,'QS Takeoff'!$B$3:$B$194,0)),"")</x:f>
      </x:c>
      <x:c r="E143" s="81" t="str">
        <x:f>IFERROR(INDEX('QS Takeoff'!$E$3:$E$194,MATCH(B143,'QS Takeoff'!$B$3:$B$194,0)),"")</x:f>
      </x:c>
      <x:c r="F143" s="81" t="str">
        <x:f>IFERROR(INDEX('QS Takeoff'!$D$3:$D$194,MATCH(B143,'QS Takeoff'!$B$3:$B$194,0)),"")</x:f>
      </x:c>
      <x:c r="G143" s="81" t="str">
        <x:f>IFERROR(INDEX('QS Takeoff'!$J$3:$J$194,MATCH(B143,'QS Takeoff'!$B$3:$B$194,0)),"")</x:f>
      </x:c>
      <x:c r="H143" s="53"/>
      <x:c r="I143" s="60"/>
      <x:c r="J143" s="60"/>
      <x:c r="K143" s="82" t="str">
        <x:f t="shared" si="12">IF(OR(B143="",I143="",I143=0),"",E143/I143)</x:f>
      </x:c>
      <x:c r="L143" s="60"/>
      <x:c r="M143" s="82" t="str">
        <x:f t="shared" si="13">IF(L143&gt;0,L143,K143)</x:f>
      </x:c>
      <x:c r="N143" s="53"/>
      <x:c r="O143" s="53"/>
      <x:c r="P143" s="53"/>
      <x:c r="Q143" s="81" t="str">
        <x:f>IFERROR(INDEX('Resource Rate Library'!$C$5:$C$85,MATCH(P143,'Resource Rate Library'!$A$5:$A$85,0)),"")</x:f>
      </x:c>
      <x:c r="R143" s="53"/>
      <x:c r="S143" s="53"/>
      <x:c r="T143" s="81" t="str">
        <x:f>IFERROR(INDEX('Resource Rate Library'!$E$5:$E$85,MATCH(P143,'Resource Rate Library'!$A$5:$A$85,0)),"")</x:f>
      </x:c>
      <x:c r="U143" s="62"/>
      <x:c r="V143" s="62"/>
      <x:c r="W143" s="83" t="n">
        <x:f>IFERROR(INDEX('Resource Rate Library'!$I$5:$I$85,MATCH(P143,'Resource Rate Library'!$A$5:$A$85,0)),0)</x:f>
        <x:v>0</x:v>
      </x:c>
      <x:c r="X143" s="52"/>
      <x:c r="Y143" s="83" t="n">
        <x:f t="shared" si="14">IF(X143&gt;0,X143,W143)</x:f>
        <x:v>0</x:v>
      </x:c>
      <x:c r="Z143" s="83" t="str">
        <x:f t="shared" si="15">IF(B143="","",IF(N143="Time x Count",M143*R143*IF(U143="",1,U143)*Y143,IF(N143="QS Qty x Factor",E143*R143*(1+IF(V143="",0,V143))*Y143,IF(N143="Direct Qty",S143*(1+IF(V143="",0,V143))*Y143,IF(N143="Lump Sum / Quote",S143*Y143,0)))))</x:f>
      </x:c>
      <x:c r="AA143" s="81" t="str">
        <x:f>IFERROR(INDEX('Resource Rate Library'!$N$5:$N$85,MATCH(P143,'Resource Rate Library'!$A$5:$A$85,0)),"")</x:f>
      </x:c>
      <x:c r="AB143" s="53"/>
      <x:c r="AC143" s="59"/>
      <x:c r="AD143" s="81" t="str">
        <x:f>IFERROR(INDEX('Resource Rate Library'!$G$5:$G$85,MATCH(P143,'Resource Rate Library'!$A$5:$A$85,0)),"")</x:f>
      </x:c>
      <x:c r="AE143" s="81" t="str">
        <x:f>IFERROR(INDEX('Resource Rate Library'!$H$5:$H$85,MATCH(P143,'Resource Rate Library'!$A$5:$A$85,0)),"")</x:f>
      </x:c>
      <x:c r="AF143" s="53"/>
      <x:c r="AG143" s="53"/>
      <x:c r="AH143" s="53"/>
      <x:c r="AI143" s="81" t="str">
        <x:f t="shared" si="11">IF(B143="","",IF(AND(P143="",N143&lt;&gt;"Lump Sum / Quote"),"RESOURCE CODE",IF(Y143=0,"RATE MISSING",IF(AND(O143="Plant",AD143="Yes",COUNTIFS($B$7:$B$306,B143,$O$7:$O$306,"Labour",$Q$7:$Q$306,"*Operator*")&gt;0),"OPERATOR DOUBLE-COUNT",IF(AND(O143="Plant",AE143="Yes",COUNTIFS($B$7:$B$306,B143,$Q$7:$Q$306,"*Fuel*")&gt;0),"FUEL DOUBLE-COUNT",IF(AH143&lt;&gt;"Yes","VERIFY","OK"))))))</x:f>
      </x:c>
      <x:c r="AJ143" s="54"/>
      <x:c r="AK143" s="473"/>
      <x:c r="AL143" s="473"/>
      <x:c r="AM143" s="473"/>
      <x:c r="AN143" s="500" t="n">
        <x:f>IF(AND(AK143="Yes",OR(O143="Labour",O143="Plant")),Z143,0)</x:f>
        <x:v>0</x:v>
      </x:c>
    </x:row>
    <x:row r="144">
      <x:c r="A144" s="80" t="str">
        <x:f>IF(B144="","",B144&amp;"-"&amp;TEXT(COUNTIF($B$7:B144,B144),"000"))</x:f>
      </x:c>
      <x:c r="B144" s="53"/>
      <x:c r="C144" s="81" t="str">
        <x:f>IFERROR(INDEX('QS Takeoff'!$A$3:$A$194,MATCH(B144,'QS Takeoff'!$B$3:$B$194,0)),"")</x:f>
      </x:c>
      <x:c r="D144" s="81" t="str">
        <x:f>IFERROR(INDEX('QS Takeoff'!$C$3:$C$194,MATCH(B144,'QS Takeoff'!$B$3:$B$194,0)),"")</x:f>
      </x:c>
      <x:c r="E144" s="81" t="str">
        <x:f>IFERROR(INDEX('QS Takeoff'!$E$3:$E$194,MATCH(B144,'QS Takeoff'!$B$3:$B$194,0)),"")</x:f>
      </x:c>
      <x:c r="F144" s="81" t="str">
        <x:f>IFERROR(INDEX('QS Takeoff'!$D$3:$D$194,MATCH(B144,'QS Takeoff'!$B$3:$B$194,0)),"")</x:f>
      </x:c>
      <x:c r="G144" s="81" t="str">
        <x:f>IFERROR(INDEX('QS Takeoff'!$J$3:$J$194,MATCH(B144,'QS Takeoff'!$B$3:$B$194,0)),"")</x:f>
      </x:c>
      <x:c r="H144" s="53"/>
      <x:c r="I144" s="60"/>
      <x:c r="J144" s="60"/>
      <x:c r="K144" s="82" t="str">
        <x:f t="shared" si="12">IF(OR(B144="",I144="",I144=0),"",E144/I144)</x:f>
      </x:c>
      <x:c r="L144" s="60"/>
      <x:c r="M144" s="82" t="str">
        <x:f t="shared" si="13">IF(L144&gt;0,L144,K144)</x:f>
      </x:c>
      <x:c r="N144" s="53"/>
      <x:c r="O144" s="53"/>
      <x:c r="P144" s="53"/>
      <x:c r="Q144" s="81" t="str">
        <x:f>IFERROR(INDEX('Resource Rate Library'!$C$5:$C$85,MATCH(P144,'Resource Rate Library'!$A$5:$A$85,0)),"")</x:f>
      </x:c>
      <x:c r="R144" s="53"/>
      <x:c r="S144" s="53"/>
      <x:c r="T144" s="81" t="str">
        <x:f>IFERROR(INDEX('Resource Rate Library'!$E$5:$E$85,MATCH(P144,'Resource Rate Library'!$A$5:$A$85,0)),"")</x:f>
      </x:c>
      <x:c r="U144" s="62"/>
      <x:c r="V144" s="62"/>
      <x:c r="W144" s="83" t="n">
        <x:f>IFERROR(INDEX('Resource Rate Library'!$I$5:$I$85,MATCH(P144,'Resource Rate Library'!$A$5:$A$85,0)),0)</x:f>
        <x:v>0</x:v>
      </x:c>
      <x:c r="X144" s="52"/>
      <x:c r="Y144" s="83" t="n">
        <x:f t="shared" si="14">IF(X144&gt;0,X144,W144)</x:f>
        <x:v>0</x:v>
      </x:c>
      <x:c r="Z144" s="83" t="str">
        <x:f t="shared" si="15">IF(B144="","",IF(N144="Time x Count",M144*R144*IF(U144="",1,U144)*Y144,IF(N144="QS Qty x Factor",E144*R144*(1+IF(V144="",0,V144))*Y144,IF(N144="Direct Qty",S144*(1+IF(V144="",0,V144))*Y144,IF(N144="Lump Sum / Quote",S144*Y144,0)))))</x:f>
      </x:c>
      <x:c r="AA144" s="81" t="str">
        <x:f>IFERROR(INDEX('Resource Rate Library'!$N$5:$N$85,MATCH(P144,'Resource Rate Library'!$A$5:$A$85,0)),"")</x:f>
      </x:c>
      <x:c r="AB144" s="53"/>
      <x:c r="AC144" s="59"/>
      <x:c r="AD144" s="81" t="str">
        <x:f>IFERROR(INDEX('Resource Rate Library'!$G$5:$G$85,MATCH(P144,'Resource Rate Library'!$A$5:$A$85,0)),"")</x:f>
      </x:c>
      <x:c r="AE144" s="81" t="str">
        <x:f>IFERROR(INDEX('Resource Rate Library'!$H$5:$H$85,MATCH(P144,'Resource Rate Library'!$A$5:$A$85,0)),"")</x:f>
      </x:c>
      <x:c r="AF144" s="53"/>
      <x:c r="AG144" s="53"/>
      <x:c r="AH144" s="53"/>
      <x:c r="AI144" s="81" t="str">
        <x:f t="shared" si="11">IF(B144="","",IF(AND(P144="",N144&lt;&gt;"Lump Sum / Quote"),"RESOURCE CODE",IF(Y144=0,"RATE MISSING",IF(AND(O144="Plant",AD144="Yes",COUNTIFS($B$7:$B$306,B144,$O$7:$O$306,"Labour",$Q$7:$Q$306,"*Operator*")&gt;0),"OPERATOR DOUBLE-COUNT",IF(AND(O144="Plant",AE144="Yes",COUNTIFS($B$7:$B$306,B144,$Q$7:$Q$306,"*Fuel*")&gt;0),"FUEL DOUBLE-COUNT",IF(AH144&lt;&gt;"Yes","VERIFY","OK"))))))</x:f>
      </x:c>
      <x:c r="AJ144" s="54"/>
      <x:c r="AK144" s="473"/>
      <x:c r="AL144" s="473"/>
      <x:c r="AM144" s="473"/>
      <x:c r="AN144" s="500" t="n">
        <x:f>IF(AND(AK144="Yes",OR(O144="Labour",O144="Plant")),Z144,0)</x:f>
        <x:v>0</x:v>
      </x:c>
    </x:row>
    <x:row r="145">
      <x:c r="A145" s="80" t="str">
        <x:f>IF(B145="","",B145&amp;"-"&amp;TEXT(COUNTIF($B$7:B145,B145),"000"))</x:f>
      </x:c>
      <x:c r="B145" s="53"/>
      <x:c r="C145" s="81" t="str">
        <x:f>IFERROR(INDEX('QS Takeoff'!$A$3:$A$194,MATCH(B145,'QS Takeoff'!$B$3:$B$194,0)),"")</x:f>
      </x:c>
      <x:c r="D145" s="81" t="str">
        <x:f>IFERROR(INDEX('QS Takeoff'!$C$3:$C$194,MATCH(B145,'QS Takeoff'!$B$3:$B$194,0)),"")</x:f>
      </x:c>
      <x:c r="E145" s="81" t="str">
        <x:f>IFERROR(INDEX('QS Takeoff'!$E$3:$E$194,MATCH(B145,'QS Takeoff'!$B$3:$B$194,0)),"")</x:f>
      </x:c>
      <x:c r="F145" s="81" t="str">
        <x:f>IFERROR(INDEX('QS Takeoff'!$D$3:$D$194,MATCH(B145,'QS Takeoff'!$B$3:$B$194,0)),"")</x:f>
      </x:c>
      <x:c r="G145" s="81" t="str">
        <x:f>IFERROR(INDEX('QS Takeoff'!$J$3:$J$194,MATCH(B145,'QS Takeoff'!$B$3:$B$194,0)),"")</x:f>
      </x:c>
      <x:c r="H145" s="53"/>
      <x:c r="I145" s="60"/>
      <x:c r="J145" s="60"/>
      <x:c r="K145" s="82" t="str">
        <x:f t="shared" si="12">IF(OR(B145="",I145="",I145=0),"",E145/I145)</x:f>
      </x:c>
      <x:c r="L145" s="60"/>
      <x:c r="M145" s="82" t="str">
        <x:f t="shared" si="13">IF(L145&gt;0,L145,K145)</x:f>
      </x:c>
      <x:c r="N145" s="53"/>
      <x:c r="O145" s="53"/>
      <x:c r="P145" s="53"/>
      <x:c r="Q145" s="81" t="str">
        <x:f>IFERROR(INDEX('Resource Rate Library'!$C$5:$C$85,MATCH(P145,'Resource Rate Library'!$A$5:$A$85,0)),"")</x:f>
      </x:c>
      <x:c r="R145" s="53"/>
      <x:c r="S145" s="53"/>
      <x:c r="T145" s="81" t="str">
        <x:f>IFERROR(INDEX('Resource Rate Library'!$E$5:$E$85,MATCH(P145,'Resource Rate Library'!$A$5:$A$85,0)),"")</x:f>
      </x:c>
      <x:c r="U145" s="62"/>
      <x:c r="V145" s="62"/>
      <x:c r="W145" s="83" t="n">
        <x:f>IFERROR(INDEX('Resource Rate Library'!$I$5:$I$85,MATCH(P145,'Resource Rate Library'!$A$5:$A$85,0)),0)</x:f>
        <x:v>0</x:v>
      </x:c>
      <x:c r="X145" s="52"/>
      <x:c r="Y145" s="83" t="n">
        <x:f t="shared" si="14">IF(X145&gt;0,X145,W145)</x:f>
        <x:v>0</x:v>
      </x:c>
      <x:c r="Z145" s="83" t="str">
        <x:f t="shared" si="15">IF(B145="","",IF(N145="Time x Count",M145*R145*IF(U145="",1,U145)*Y145,IF(N145="QS Qty x Factor",E145*R145*(1+IF(V145="",0,V145))*Y145,IF(N145="Direct Qty",S145*(1+IF(V145="",0,V145))*Y145,IF(N145="Lump Sum / Quote",S145*Y145,0)))))</x:f>
      </x:c>
      <x:c r="AA145" s="81" t="str">
        <x:f>IFERROR(INDEX('Resource Rate Library'!$N$5:$N$85,MATCH(P145,'Resource Rate Library'!$A$5:$A$85,0)),"")</x:f>
      </x:c>
      <x:c r="AB145" s="53"/>
      <x:c r="AC145" s="59"/>
      <x:c r="AD145" s="81" t="str">
        <x:f>IFERROR(INDEX('Resource Rate Library'!$G$5:$G$85,MATCH(P145,'Resource Rate Library'!$A$5:$A$85,0)),"")</x:f>
      </x:c>
      <x:c r="AE145" s="81" t="str">
        <x:f>IFERROR(INDEX('Resource Rate Library'!$H$5:$H$85,MATCH(P145,'Resource Rate Library'!$A$5:$A$85,0)),"")</x:f>
      </x:c>
      <x:c r="AF145" s="53"/>
      <x:c r="AG145" s="53"/>
      <x:c r="AH145" s="53"/>
      <x:c r="AI145" s="81" t="str">
        <x:f t="shared" si="11">IF(B145="","",IF(AND(P145="",N145&lt;&gt;"Lump Sum / Quote"),"RESOURCE CODE",IF(Y145=0,"RATE MISSING",IF(AND(O145="Plant",AD145="Yes",COUNTIFS($B$7:$B$306,B145,$O$7:$O$306,"Labour",$Q$7:$Q$306,"*Operator*")&gt;0),"OPERATOR DOUBLE-COUNT",IF(AND(O145="Plant",AE145="Yes",COUNTIFS($B$7:$B$306,B145,$Q$7:$Q$306,"*Fuel*")&gt;0),"FUEL DOUBLE-COUNT",IF(AH145&lt;&gt;"Yes","VERIFY","OK"))))))</x:f>
      </x:c>
      <x:c r="AJ145" s="54"/>
      <x:c r="AK145" s="473"/>
      <x:c r="AL145" s="473"/>
      <x:c r="AM145" s="473"/>
      <x:c r="AN145" s="500" t="n">
        <x:f>IF(AND(AK145="Yes",OR(O145="Labour",O145="Plant")),Z145,0)</x:f>
        <x:v>0</x:v>
      </x:c>
    </x:row>
    <x:row r="146">
      <x:c r="A146" s="80" t="str">
        <x:f>IF(B146="","",B146&amp;"-"&amp;TEXT(COUNTIF($B$7:B146,B146),"000"))</x:f>
      </x:c>
      <x:c r="B146" s="53"/>
      <x:c r="C146" s="81" t="str">
        <x:f>IFERROR(INDEX('QS Takeoff'!$A$3:$A$194,MATCH(B146,'QS Takeoff'!$B$3:$B$194,0)),"")</x:f>
      </x:c>
      <x:c r="D146" s="81" t="str">
        <x:f>IFERROR(INDEX('QS Takeoff'!$C$3:$C$194,MATCH(B146,'QS Takeoff'!$B$3:$B$194,0)),"")</x:f>
      </x:c>
      <x:c r="E146" s="81" t="str">
        <x:f>IFERROR(INDEX('QS Takeoff'!$E$3:$E$194,MATCH(B146,'QS Takeoff'!$B$3:$B$194,0)),"")</x:f>
      </x:c>
      <x:c r="F146" s="81" t="str">
        <x:f>IFERROR(INDEX('QS Takeoff'!$D$3:$D$194,MATCH(B146,'QS Takeoff'!$B$3:$B$194,0)),"")</x:f>
      </x:c>
      <x:c r="G146" s="81" t="str">
        <x:f>IFERROR(INDEX('QS Takeoff'!$J$3:$J$194,MATCH(B146,'QS Takeoff'!$B$3:$B$194,0)),"")</x:f>
      </x:c>
      <x:c r="H146" s="53"/>
      <x:c r="I146" s="60"/>
      <x:c r="J146" s="60"/>
      <x:c r="K146" s="82" t="str">
        <x:f t="shared" si="12">IF(OR(B146="",I146="",I146=0),"",E146/I146)</x:f>
      </x:c>
      <x:c r="L146" s="60"/>
      <x:c r="M146" s="82" t="str">
        <x:f t="shared" si="13">IF(L146&gt;0,L146,K146)</x:f>
      </x:c>
      <x:c r="N146" s="53"/>
      <x:c r="O146" s="53"/>
      <x:c r="P146" s="53"/>
      <x:c r="Q146" s="81" t="str">
        <x:f>IFERROR(INDEX('Resource Rate Library'!$C$5:$C$85,MATCH(P146,'Resource Rate Library'!$A$5:$A$85,0)),"")</x:f>
      </x:c>
      <x:c r="R146" s="53"/>
      <x:c r="S146" s="53"/>
      <x:c r="T146" s="81" t="str">
        <x:f>IFERROR(INDEX('Resource Rate Library'!$E$5:$E$85,MATCH(P146,'Resource Rate Library'!$A$5:$A$85,0)),"")</x:f>
      </x:c>
      <x:c r="U146" s="62"/>
      <x:c r="V146" s="62"/>
      <x:c r="W146" s="83" t="n">
        <x:f>IFERROR(INDEX('Resource Rate Library'!$I$5:$I$85,MATCH(P146,'Resource Rate Library'!$A$5:$A$85,0)),0)</x:f>
        <x:v>0</x:v>
      </x:c>
      <x:c r="X146" s="52"/>
      <x:c r="Y146" s="83" t="n">
        <x:f t="shared" si="14">IF(X146&gt;0,X146,W146)</x:f>
        <x:v>0</x:v>
      </x:c>
      <x:c r="Z146" s="83" t="str">
        <x:f t="shared" si="15">IF(B146="","",IF(N146="Time x Count",M146*R146*IF(U146="",1,U146)*Y146,IF(N146="QS Qty x Factor",E146*R146*(1+IF(V146="",0,V146))*Y146,IF(N146="Direct Qty",S146*(1+IF(V146="",0,V146))*Y146,IF(N146="Lump Sum / Quote",S146*Y146,0)))))</x:f>
      </x:c>
      <x:c r="AA146" s="81" t="str">
        <x:f>IFERROR(INDEX('Resource Rate Library'!$N$5:$N$85,MATCH(P146,'Resource Rate Library'!$A$5:$A$85,0)),"")</x:f>
      </x:c>
      <x:c r="AB146" s="53"/>
      <x:c r="AC146" s="59"/>
      <x:c r="AD146" s="81" t="str">
        <x:f>IFERROR(INDEX('Resource Rate Library'!$G$5:$G$85,MATCH(P146,'Resource Rate Library'!$A$5:$A$85,0)),"")</x:f>
      </x:c>
      <x:c r="AE146" s="81" t="str">
        <x:f>IFERROR(INDEX('Resource Rate Library'!$H$5:$H$85,MATCH(P146,'Resource Rate Library'!$A$5:$A$85,0)),"")</x:f>
      </x:c>
      <x:c r="AF146" s="53"/>
      <x:c r="AG146" s="53"/>
      <x:c r="AH146" s="53"/>
      <x:c r="AI146" s="81" t="str">
        <x:f t="shared" si="11">IF(B146="","",IF(AND(P146="",N146&lt;&gt;"Lump Sum / Quote"),"RESOURCE CODE",IF(Y146=0,"RATE MISSING",IF(AND(O146="Plant",AD146="Yes",COUNTIFS($B$7:$B$306,B146,$O$7:$O$306,"Labour",$Q$7:$Q$306,"*Operator*")&gt;0),"OPERATOR DOUBLE-COUNT",IF(AND(O146="Plant",AE146="Yes",COUNTIFS($B$7:$B$306,B146,$Q$7:$Q$306,"*Fuel*")&gt;0),"FUEL DOUBLE-COUNT",IF(AH146&lt;&gt;"Yes","VERIFY","OK"))))))</x:f>
      </x:c>
      <x:c r="AJ146" s="54"/>
      <x:c r="AK146" s="473"/>
      <x:c r="AL146" s="473"/>
      <x:c r="AM146" s="473"/>
      <x:c r="AN146" s="500" t="n">
        <x:f>IF(AND(AK146="Yes",OR(O146="Labour",O146="Plant")),Z146,0)</x:f>
        <x:v>0</x:v>
      </x:c>
    </x:row>
    <x:row r="147">
      <x:c r="A147" s="80" t="str">
        <x:f>IF(B147="","",B147&amp;"-"&amp;TEXT(COUNTIF($B$7:B147,B147),"000"))</x:f>
      </x:c>
      <x:c r="B147" s="53"/>
      <x:c r="C147" s="81" t="str">
        <x:f>IFERROR(INDEX('QS Takeoff'!$A$3:$A$194,MATCH(B147,'QS Takeoff'!$B$3:$B$194,0)),"")</x:f>
      </x:c>
      <x:c r="D147" s="81" t="str">
        <x:f>IFERROR(INDEX('QS Takeoff'!$C$3:$C$194,MATCH(B147,'QS Takeoff'!$B$3:$B$194,0)),"")</x:f>
      </x:c>
      <x:c r="E147" s="81" t="str">
        <x:f>IFERROR(INDEX('QS Takeoff'!$E$3:$E$194,MATCH(B147,'QS Takeoff'!$B$3:$B$194,0)),"")</x:f>
      </x:c>
      <x:c r="F147" s="81" t="str">
        <x:f>IFERROR(INDEX('QS Takeoff'!$D$3:$D$194,MATCH(B147,'QS Takeoff'!$B$3:$B$194,0)),"")</x:f>
      </x:c>
      <x:c r="G147" s="81" t="str">
        <x:f>IFERROR(INDEX('QS Takeoff'!$J$3:$J$194,MATCH(B147,'QS Takeoff'!$B$3:$B$194,0)),"")</x:f>
      </x:c>
      <x:c r="H147" s="53"/>
      <x:c r="I147" s="60"/>
      <x:c r="J147" s="60"/>
      <x:c r="K147" s="82" t="str">
        <x:f t="shared" si="12">IF(OR(B147="",I147="",I147=0),"",E147/I147)</x:f>
      </x:c>
      <x:c r="L147" s="60"/>
      <x:c r="M147" s="82" t="str">
        <x:f t="shared" si="13">IF(L147&gt;0,L147,K147)</x:f>
      </x:c>
      <x:c r="N147" s="53"/>
      <x:c r="O147" s="53"/>
      <x:c r="P147" s="53"/>
      <x:c r="Q147" s="81" t="str">
        <x:f>IFERROR(INDEX('Resource Rate Library'!$C$5:$C$85,MATCH(P147,'Resource Rate Library'!$A$5:$A$85,0)),"")</x:f>
      </x:c>
      <x:c r="R147" s="53"/>
      <x:c r="S147" s="53"/>
      <x:c r="T147" s="81" t="str">
        <x:f>IFERROR(INDEX('Resource Rate Library'!$E$5:$E$85,MATCH(P147,'Resource Rate Library'!$A$5:$A$85,0)),"")</x:f>
      </x:c>
      <x:c r="U147" s="62"/>
      <x:c r="V147" s="62"/>
      <x:c r="W147" s="83" t="n">
        <x:f>IFERROR(INDEX('Resource Rate Library'!$I$5:$I$85,MATCH(P147,'Resource Rate Library'!$A$5:$A$85,0)),0)</x:f>
        <x:v>0</x:v>
      </x:c>
      <x:c r="X147" s="52"/>
      <x:c r="Y147" s="83" t="n">
        <x:f t="shared" si="14">IF(X147&gt;0,X147,W147)</x:f>
        <x:v>0</x:v>
      </x:c>
      <x:c r="Z147" s="83" t="str">
        <x:f t="shared" si="15">IF(B147="","",IF(N147="Time x Count",M147*R147*IF(U147="",1,U147)*Y147,IF(N147="QS Qty x Factor",E147*R147*(1+IF(V147="",0,V147))*Y147,IF(N147="Direct Qty",S147*(1+IF(V147="",0,V147))*Y147,IF(N147="Lump Sum / Quote",S147*Y147,0)))))</x:f>
      </x:c>
      <x:c r="AA147" s="81" t="str">
        <x:f>IFERROR(INDEX('Resource Rate Library'!$N$5:$N$85,MATCH(P147,'Resource Rate Library'!$A$5:$A$85,0)),"")</x:f>
      </x:c>
      <x:c r="AB147" s="53"/>
      <x:c r="AC147" s="59"/>
      <x:c r="AD147" s="81" t="str">
        <x:f>IFERROR(INDEX('Resource Rate Library'!$G$5:$G$85,MATCH(P147,'Resource Rate Library'!$A$5:$A$85,0)),"")</x:f>
      </x:c>
      <x:c r="AE147" s="81" t="str">
        <x:f>IFERROR(INDEX('Resource Rate Library'!$H$5:$H$85,MATCH(P147,'Resource Rate Library'!$A$5:$A$85,0)),"")</x:f>
      </x:c>
      <x:c r="AF147" s="53"/>
      <x:c r="AG147" s="53"/>
      <x:c r="AH147" s="53"/>
      <x:c r="AI147" s="81" t="str">
        <x:f t="shared" si="11">IF(B147="","",IF(AND(P147="",N147&lt;&gt;"Lump Sum / Quote"),"RESOURCE CODE",IF(Y147=0,"RATE MISSING",IF(AND(O147="Plant",AD147="Yes",COUNTIFS($B$7:$B$306,B147,$O$7:$O$306,"Labour",$Q$7:$Q$306,"*Operator*")&gt;0),"OPERATOR DOUBLE-COUNT",IF(AND(O147="Plant",AE147="Yes",COUNTIFS($B$7:$B$306,B147,$Q$7:$Q$306,"*Fuel*")&gt;0),"FUEL DOUBLE-COUNT",IF(AH147&lt;&gt;"Yes","VERIFY","OK"))))))</x:f>
      </x:c>
      <x:c r="AJ147" s="54"/>
      <x:c r="AK147" s="473"/>
      <x:c r="AL147" s="473"/>
      <x:c r="AM147" s="473"/>
      <x:c r="AN147" s="500" t="n">
        <x:f>IF(AND(AK147="Yes",OR(O147="Labour",O147="Plant")),Z147,0)</x:f>
        <x:v>0</x:v>
      </x:c>
    </x:row>
    <x:row r="148">
      <x:c r="A148" s="80" t="str">
        <x:f>IF(B148="","",B148&amp;"-"&amp;TEXT(COUNTIF($B$7:B148,B148),"000"))</x:f>
      </x:c>
      <x:c r="B148" s="53"/>
      <x:c r="C148" s="81" t="str">
        <x:f>IFERROR(INDEX('QS Takeoff'!$A$3:$A$194,MATCH(B148,'QS Takeoff'!$B$3:$B$194,0)),"")</x:f>
      </x:c>
      <x:c r="D148" s="81" t="str">
        <x:f>IFERROR(INDEX('QS Takeoff'!$C$3:$C$194,MATCH(B148,'QS Takeoff'!$B$3:$B$194,0)),"")</x:f>
      </x:c>
      <x:c r="E148" s="81" t="str">
        <x:f>IFERROR(INDEX('QS Takeoff'!$E$3:$E$194,MATCH(B148,'QS Takeoff'!$B$3:$B$194,0)),"")</x:f>
      </x:c>
      <x:c r="F148" s="81" t="str">
        <x:f>IFERROR(INDEX('QS Takeoff'!$D$3:$D$194,MATCH(B148,'QS Takeoff'!$B$3:$B$194,0)),"")</x:f>
      </x:c>
      <x:c r="G148" s="81" t="str">
        <x:f>IFERROR(INDEX('QS Takeoff'!$J$3:$J$194,MATCH(B148,'QS Takeoff'!$B$3:$B$194,0)),"")</x:f>
      </x:c>
      <x:c r="H148" s="53"/>
      <x:c r="I148" s="60"/>
      <x:c r="J148" s="60"/>
      <x:c r="K148" s="82" t="str">
        <x:f t="shared" si="12">IF(OR(B148="",I148="",I148=0),"",E148/I148)</x:f>
      </x:c>
      <x:c r="L148" s="60"/>
      <x:c r="M148" s="82" t="str">
        <x:f t="shared" si="13">IF(L148&gt;0,L148,K148)</x:f>
      </x:c>
      <x:c r="N148" s="53"/>
      <x:c r="O148" s="53"/>
      <x:c r="P148" s="53"/>
      <x:c r="Q148" s="81" t="str">
        <x:f>IFERROR(INDEX('Resource Rate Library'!$C$5:$C$85,MATCH(P148,'Resource Rate Library'!$A$5:$A$85,0)),"")</x:f>
      </x:c>
      <x:c r="R148" s="53"/>
      <x:c r="S148" s="53"/>
      <x:c r="T148" s="81" t="str">
        <x:f>IFERROR(INDEX('Resource Rate Library'!$E$5:$E$85,MATCH(P148,'Resource Rate Library'!$A$5:$A$85,0)),"")</x:f>
      </x:c>
      <x:c r="U148" s="62"/>
      <x:c r="V148" s="62"/>
      <x:c r="W148" s="83" t="n">
        <x:f>IFERROR(INDEX('Resource Rate Library'!$I$5:$I$85,MATCH(P148,'Resource Rate Library'!$A$5:$A$85,0)),0)</x:f>
        <x:v>0</x:v>
      </x:c>
      <x:c r="X148" s="52"/>
      <x:c r="Y148" s="83" t="n">
        <x:f t="shared" si="14">IF(X148&gt;0,X148,W148)</x:f>
        <x:v>0</x:v>
      </x:c>
      <x:c r="Z148" s="83" t="str">
        <x:f t="shared" si="15">IF(B148="","",IF(N148="Time x Count",M148*R148*IF(U148="",1,U148)*Y148,IF(N148="QS Qty x Factor",E148*R148*(1+IF(V148="",0,V148))*Y148,IF(N148="Direct Qty",S148*(1+IF(V148="",0,V148))*Y148,IF(N148="Lump Sum / Quote",S148*Y148,0)))))</x:f>
      </x:c>
      <x:c r="AA148" s="81" t="str">
        <x:f>IFERROR(INDEX('Resource Rate Library'!$N$5:$N$85,MATCH(P148,'Resource Rate Library'!$A$5:$A$85,0)),"")</x:f>
      </x:c>
      <x:c r="AB148" s="53"/>
      <x:c r="AC148" s="59"/>
      <x:c r="AD148" s="81" t="str">
        <x:f>IFERROR(INDEX('Resource Rate Library'!$G$5:$G$85,MATCH(P148,'Resource Rate Library'!$A$5:$A$85,0)),"")</x:f>
      </x:c>
      <x:c r="AE148" s="81" t="str">
        <x:f>IFERROR(INDEX('Resource Rate Library'!$H$5:$H$85,MATCH(P148,'Resource Rate Library'!$A$5:$A$85,0)),"")</x:f>
      </x:c>
      <x:c r="AF148" s="53"/>
      <x:c r="AG148" s="53"/>
      <x:c r="AH148" s="53"/>
      <x:c r="AI148" s="81" t="str">
        <x:f t="shared" si="11">IF(B148="","",IF(AND(P148="",N148&lt;&gt;"Lump Sum / Quote"),"RESOURCE CODE",IF(Y148=0,"RATE MISSING",IF(AND(O148="Plant",AD148="Yes",COUNTIFS($B$7:$B$306,B148,$O$7:$O$306,"Labour",$Q$7:$Q$306,"*Operator*")&gt;0),"OPERATOR DOUBLE-COUNT",IF(AND(O148="Plant",AE148="Yes",COUNTIFS($B$7:$B$306,B148,$Q$7:$Q$306,"*Fuel*")&gt;0),"FUEL DOUBLE-COUNT",IF(AH148&lt;&gt;"Yes","VERIFY","OK"))))))</x:f>
      </x:c>
      <x:c r="AJ148" s="54"/>
      <x:c r="AK148" s="473"/>
      <x:c r="AL148" s="473"/>
      <x:c r="AM148" s="473"/>
      <x:c r="AN148" s="500" t="n">
        <x:f>IF(AND(AK148="Yes",OR(O148="Labour",O148="Plant")),Z148,0)</x:f>
        <x:v>0</x:v>
      </x:c>
    </x:row>
    <x:row r="149">
      <x:c r="A149" s="80" t="str">
        <x:f>IF(B149="","",B149&amp;"-"&amp;TEXT(COUNTIF($B$7:B149,B149),"000"))</x:f>
      </x:c>
      <x:c r="B149" s="53"/>
      <x:c r="C149" s="81" t="str">
        <x:f>IFERROR(INDEX('QS Takeoff'!$A$3:$A$194,MATCH(B149,'QS Takeoff'!$B$3:$B$194,0)),"")</x:f>
      </x:c>
      <x:c r="D149" s="81" t="str">
        <x:f>IFERROR(INDEX('QS Takeoff'!$C$3:$C$194,MATCH(B149,'QS Takeoff'!$B$3:$B$194,0)),"")</x:f>
      </x:c>
      <x:c r="E149" s="81" t="str">
        <x:f>IFERROR(INDEX('QS Takeoff'!$E$3:$E$194,MATCH(B149,'QS Takeoff'!$B$3:$B$194,0)),"")</x:f>
      </x:c>
      <x:c r="F149" s="81" t="str">
        <x:f>IFERROR(INDEX('QS Takeoff'!$D$3:$D$194,MATCH(B149,'QS Takeoff'!$B$3:$B$194,0)),"")</x:f>
      </x:c>
      <x:c r="G149" s="81" t="str">
        <x:f>IFERROR(INDEX('QS Takeoff'!$J$3:$J$194,MATCH(B149,'QS Takeoff'!$B$3:$B$194,0)),"")</x:f>
      </x:c>
      <x:c r="H149" s="53"/>
      <x:c r="I149" s="60"/>
      <x:c r="J149" s="60"/>
      <x:c r="K149" s="82" t="str">
        <x:f t="shared" si="12">IF(OR(B149="",I149="",I149=0),"",E149/I149)</x:f>
      </x:c>
      <x:c r="L149" s="60"/>
      <x:c r="M149" s="82" t="str">
        <x:f t="shared" si="13">IF(L149&gt;0,L149,K149)</x:f>
      </x:c>
      <x:c r="N149" s="53"/>
      <x:c r="O149" s="53"/>
      <x:c r="P149" s="53"/>
      <x:c r="Q149" s="81" t="str">
        <x:f>IFERROR(INDEX('Resource Rate Library'!$C$5:$C$85,MATCH(P149,'Resource Rate Library'!$A$5:$A$85,0)),"")</x:f>
      </x:c>
      <x:c r="R149" s="53"/>
      <x:c r="S149" s="53"/>
      <x:c r="T149" s="81" t="str">
        <x:f>IFERROR(INDEX('Resource Rate Library'!$E$5:$E$85,MATCH(P149,'Resource Rate Library'!$A$5:$A$85,0)),"")</x:f>
      </x:c>
      <x:c r="U149" s="62"/>
      <x:c r="V149" s="62"/>
      <x:c r="W149" s="83" t="n">
        <x:f>IFERROR(INDEX('Resource Rate Library'!$I$5:$I$85,MATCH(P149,'Resource Rate Library'!$A$5:$A$85,0)),0)</x:f>
        <x:v>0</x:v>
      </x:c>
      <x:c r="X149" s="52"/>
      <x:c r="Y149" s="83" t="n">
        <x:f t="shared" si="14">IF(X149&gt;0,X149,W149)</x:f>
        <x:v>0</x:v>
      </x:c>
      <x:c r="Z149" s="83" t="str">
        <x:f t="shared" si="15">IF(B149="","",IF(N149="Time x Count",M149*R149*IF(U149="",1,U149)*Y149,IF(N149="QS Qty x Factor",E149*R149*(1+IF(V149="",0,V149))*Y149,IF(N149="Direct Qty",S149*(1+IF(V149="",0,V149))*Y149,IF(N149="Lump Sum / Quote",S149*Y149,0)))))</x:f>
      </x:c>
      <x:c r="AA149" s="81" t="str">
        <x:f>IFERROR(INDEX('Resource Rate Library'!$N$5:$N$85,MATCH(P149,'Resource Rate Library'!$A$5:$A$85,0)),"")</x:f>
      </x:c>
      <x:c r="AB149" s="53"/>
      <x:c r="AC149" s="59"/>
      <x:c r="AD149" s="81" t="str">
        <x:f>IFERROR(INDEX('Resource Rate Library'!$G$5:$G$85,MATCH(P149,'Resource Rate Library'!$A$5:$A$85,0)),"")</x:f>
      </x:c>
      <x:c r="AE149" s="81" t="str">
        <x:f>IFERROR(INDEX('Resource Rate Library'!$H$5:$H$85,MATCH(P149,'Resource Rate Library'!$A$5:$A$85,0)),"")</x:f>
      </x:c>
      <x:c r="AF149" s="53"/>
      <x:c r="AG149" s="53"/>
      <x:c r="AH149" s="53"/>
      <x:c r="AI149" s="81" t="str">
        <x:f t="shared" si="11">IF(B149="","",IF(AND(P149="",N149&lt;&gt;"Lump Sum / Quote"),"RESOURCE CODE",IF(Y149=0,"RATE MISSING",IF(AND(O149="Plant",AD149="Yes",COUNTIFS($B$7:$B$306,B149,$O$7:$O$306,"Labour",$Q$7:$Q$306,"*Operator*")&gt;0),"OPERATOR DOUBLE-COUNT",IF(AND(O149="Plant",AE149="Yes",COUNTIFS($B$7:$B$306,B149,$Q$7:$Q$306,"*Fuel*")&gt;0),"FUEL DOUBLE-COUNT",IF(AH149&lt;&gt;"Yes","VERIFY","OK"))))))</x:f>
      </x:c>
      <x:c r="AJ149" s="54"/>
      <x:c r="AK149" s="473"/>
      <x:c r="AL149" s="473"/>
      <x:c r="AM149" s="473"/>
      <x:c r="AN149" s="500" t="n">
        <x:f>IF(AND(AK149="Yes",OR(O149="Labour",O149="Plant")),Z149,0)</x:f>
        <x:v>0</x:v>
      </x:c>
    </x:row>
    <x:row r="150">
      <x:c r="A150" s="80" t="str">
        <x:f>IF(B150="","",B150&amp;"-"&amp;TEXT(COUNTIF($B$7:B150,B150),"000"))</x:f>
      </x:c>
      <x:c r="B150" s="53"/>
      <x:c r="C150" s="81" t="str">
        <x:f>IFERROR(INDEX('QS Takeoff'!$A$3:$A$194,MATCH(B150,'QS Takeoff'!$B$3:$B$194,0)),"")</x:f>
      </x:c>
      <x:c r="D150" s="81" t="str">
        <x:f>IFERROR(INDEX('QS Takeoff'!$C$3:$C$194,MATCH(B150,'QS Takeoff'!$B$3:$B$194,0)),"")</x:f>
      </x:c>
      <x:c r="E150" s="81" t="str">
        <x:f>IFERROR(INDEX('QS Takeoff'!$E$3:$E$194,MATCH(B150,'QS Takeoff'!$B$3:$B$194,0)),"")</x:f>
      </x:c>
      <x:c r="F150" s="81" t="str">
        <x:f>IFERROR(INDEX('QS Takeoff'!$D$3:$D$194,MATCH(B150,'QS Takeoff'!$B$3:$B$194,0)),"")</x:f>
      </x:c>
      <x:c r="G150" s="81" t="str">
        <x:f>IFERROR(INDEX('QS Takeoff'!$J$3:$J$194,MATCH(B150,'QS Takeoff'!$B$3:$B$194,0)),"")</x:f>
      </x:c>
      <x:c r="H150" s="53"/>
      <x:c r="I150" s="60"/>
      <x:c r="J150" s="60"/>
      <x:c r="K150" s="82" t="str">
        <x:f t="shared" si="12">IF(OR(B150="",I150="",I150=0),"",E150/I150)</x:f>
      </x:c>
      <x:c r="L150" s="60"/>
      <x:c r="M150" s="82" t="str">
        <x:f t="shared" si="13">IF(L150&gt;0,L150,K150)</x:f>
      </x:c>
      <x:c r="N150" s="53"/>
      <x:c r="O150" s="53"/>
      <x:c r="P150" s="53"/>
      <x:c r="Q150" s="81" t="str">
        <x:f>IFERROR(INDEX('Resource Rate Library'!$C$5:$C$85,MATCH(P150,'Resource Rate Library'!$A$5:$A$85,0)),"")</x:f>
      </x:c>
      <x:c r="R150" s="53"/>
      <x:c r="S150" s="53"/>
      <x:c r="T150" s="81" t="str">
        <x:f>IFERROR(INDEX('Resource Rate Library'!$E$5:$E$85,MATCH(P150,'Resource Rate Library'!$A$5:$A$85,0)),"")</x:f>
      </x:c>
      <x:c r="U150" s="62"/>
      <x:c r="V150" s="62"/>
      <x:c r="W150" s="83" t="n">
        <x:f>IFERROR(INDEX('Resource Rate Library'!$I$5:$I$85,MATCH(P150,'Resource Rate Library'!$A$5:$A$85,0)),0)</x:f>
        <x:v>0</x:v>
      </x:c>
      <x:c r="X150" s="52"/>
      <x:c r="Y150" s="83" t="n">
        <x:f t="shared" si="14">IF(X150&gt;0,X150,W150)</x:f>
        <x:v>0</x:v>
      </x:c>
      <x:c r="Z150" s="83" t="str">
        <x:f t="shared" si="15">IF(B150="","",IF(N150="Time x Count",M150*R150*IF(U150="",1,U150)*Y150,IF(N150="QS Qty x Factor",E150*R150*(1+IF(V150="",0,V150))*Y150,IF(N150="Direct Qty",S150*(1+IF(V150="",0,V150))*Y150,IF(N150="Lump Sum / Quote",S150*Y150,0)))))</x:f>
      </x:c>
      <x:c r="AA150" s="81" t="str">
        <x:f>IFERROR(INDEX('Resource Rate Library'!$N$5:$N$85,MATCH(P150,'Resource Rate Library'!$A$5:$A$85,0)),"")</x:f>
      </x:c>
      <x:c r="AB150" s="53"/>
      <x:c r="AC150" s="59"/>
      <x:c r="AD150" s="81" t="str">
        <x:f>IFERROR(INDEX('Resource Rate Library'!$G$5:$G$85,MATCH(P150,'Resource Rate Library'!$A$5:$A$85,0)),"")</x:f>
      </x:c>
      <x:c r="AE150" s="81" t="str">
        <x:f>IFERROR(INDEX('Resource Rate Library'!$H$5:$H$85,MATCH(P150,'Resource Rate Library'!$A$5:$A$85,0)),"")</x:f>
      </x:c>
      <x:c r="AF150" s="53"/>
      <x:c r="AG150" s="53"/>
      <x:c r="AH150" s="53"/>
      <x:c r="AI150" s="81" t="str">
        <x:f t="shared" si="11">IF(B150="","",IF(AND(P150="",N150&lt;&gt;"Lump Sum / Quote"),"RESOURCE CODE",IF(Y150=0,"RATE MISSING",IF(AND(O150="Plant",AD150="Yes",COUNTIFS($B$7:$B$306,B150,$O$7:$O$306,"Labour",$Q$7:$Q$306,"*Operator*")&gt;0),"OPERATOR DOUBLE-COUNT",IF(AND(O150="Plant",AE150="Yes",COUNTIFS($B$7:$B$306,B150,$Q$7:$Q$306,"*Fuel*")&gt;0),"FUEL DOUBLE-COUNT",IF(AH150&lt;&gt;"Yes","VERIFY","OK"))))))</x:f>
      </x:c>
      <x:c r="AJ150" s="54"/>
      <x:c r="AK150" s="473"/>
      <x:c r="AL150" s="473"/>
      <x:c r="AM150" s="473"/>
      <x:c r="AN150" s="500" t="n">
        <x:f>IF(AND(AK150="Yes",OR(O150="Labour",O150="Plant")),Z150,0)</x:f>
        <x:v>0</x:v>
      </x:c>
    </x:row>
    <x:row r="151">
      <x:c r="A151" s="80" t="str">
        <x:f>IF(B151="","",B151&amp;"-"&amp;TEXT(COUNTIF($B$7:B151,B151),"000"))</x:f>
      </x:c>
      <x:c r="B151" s="53"/>
      <x:c r="C151" s="81" t="str">
        <x:f>IFERROR(INDEX('QS Takeoff'!$A$3:$A$194,MATCH(B151,'QS Takeoff'!$B$3:$B$194,0)),"")</x:f>
      </x:c>
      <x:c r="D151" s="81" t="str">
        <x:f>IFERROR(INDEX('QS Takeoff'!$C$3:$C$194,MATCH(B151,'QS Takeoff'!$B$3:$B$194,0)),"")</x:f>
      </x:c>
      <x:c r="E151" s="81" t="str">
        <x:f>IFERROR(INDEX('QS Takeoff'!$E$3:$E$194,MATCH(B151,'QS Takeoff'!$B$3:$B$194,0)),"")</x:f>
      </x:c>
      <x:c r="F151" s="81" t="str">
        <x:f>IFERROR(INDEX('QS Takeoff'!$D$3:$D$194,MATCH(B151,'QS Takeoff'!$B$3:$B$194,0)),"")</x:f>
      </x:c>
      <x:c r="G151" s="81" t="str">
        <x:f>IFERROR(INDEX('QS Takeoff'!$J$3:$J$194,MATCH(B151,'QS Takeoff'!$B$3:$B$194,0)),"")</x:f>
      </x:c>
      <x:c r="H151" s="53"/>
      <x:c r="I151" s="60"/>
      <x:c r="J151" s="60"/>
      <x:c r="K151" s="82" t="str">
        <x:f t="shared" si="12">IF(OR(B151="",I151="",I151=0),"",E151/I151)</x:f>
      </x:c>
      <x:c r="L151" s="60"/>
      <x:c r="M151" s="82" t="str">
        <x:f t="shared" si="13">IF(L151&gt;0,L151,K151)</x:f>
      </x:c>
      <x:c r="N151" s="53"/>
      <x:c r="O151" s="53"/>
      <x:c r="P151" s="53"/>
      <x:c r="Q151" s="81" t="str">
        <x:f>IFERROR(INDEX('Resource Rate Library'!$C$5:$C$85,MATCH(P151,'Resource Rate Library'!$A$5:$A$85,0)),"")</x:f>
      </x:c>
      <x:c r="R151" s="53"/>
      <x:c r="S151" s="53"/>
      <x:c r="T151" s="81" t="str">
        <x:f>IFERROR(INDEX('Resource Rate Library'!$E$5:$E$85,MATCH(P151,'Resource Rate Library'!$A$5:$A$85,0)),"")</x:f>
      </x:c>
      <x:c r="U151" s="62"/>
      <x:c r="V151" s="62"/>
      <x:c r="W151" s="83" t="n">
        <x:f>IFERROR(INDEX('Resource Rate Library'!$I$5:$I$85,MATCH(P151,'Resource Rate Library'!$A$5:$A$85,0)),0)</x:f>
        <x:v>0</x:v>
      </x:c>
      <x:c r="X151" s="52"/>
      <x:c r="Y151" s="83" t="n">
        <x:f t="shared" si="14">IF(X151&gt;0,X151,W151)</x:f>
        <x:v>0</x:v>
      </x:c>
      <x:c r="Z151" s="83" t="str">
        <x:f t="shared" si="15">IF(B151="","",IF(N151="Time x Count",M151*R151*IF(U151="",1,U151)*Y151,IF(N151="QS Qty x Factor",E151*R151*(1+IF(V151="",0,V151))*Y151,IF(N151="Direct Qty",S151*(1+IF(V151="",0,V151))*Y151,IF(N151="Lump Sum / Quote",S151*Y151,0)))))</x:f>
      </x:c>
      <x:c r="AA151" s="81" t="str">
        <x:f>IFERROR(INDEX('Resource Rate Library'!$N$5:$N$85,MATCH(P151,'Resource Rate Library'!$A$5:$A$85,0)),"")</x:f>
      </x:c>
      <x:c r="AB151" s="53"/>
      <x:c r="AC151" s="59"/>
      <x:c r="AD151" s="81" t="str">
        <x:f>IFERROR(INDEX('Resource Rate Library'!$G$5:$G$85,MATCH(P151,'Resource Rate Library'!$A$5:$A$85,0)),"")</x:f>
      </x:c>
      <x:c r="AE151" s="81" t="str">
        <x:f>IFERROR(INDEX('Resource Rate Library'!$H$5:$H$85,MATCH(P151,'Resource Rate Library'!$A$5:$A$85,0)),"")</x:f>
      </x:c>
      <x:c r="AF151" s="53"/>
      <x:c r="AG151" s="53"/>
      <x:c r="AH151" s="53"/>
      <x:c r="AI151" s="81" t="str">
        <x:f t="shared" si="11">IF(B151="","",IF(AND(P151="",N151&lt;&gt;"Lump Sum / Quote"),"RESOURCE CODE",IF(Y151=0,"RATE MISSING",IF(AND(O151="Plant",AD151="Yes",COUNTIFS($B$7:$B$306,B151,$O$7:$O$306,"Labour",$Q$7:$Q$306,"*Operator*")&gt;0),"OPERATOR DOUBLE-COUNT",IF(AND(O151="Plant",AE151="Yes",COUNTIFS($B$7:$B$306,B151,$Q$7:$Q$306,"*Fuel*")&gt;0),"FUEL DOUBLE-COUNT",IF(AH151&lt;&gt;"Yes","VERIFY","OK"))))))</x:f>
      </x:c>
      <x:c r="AJ151" s="54"/>
      <x:c r="AK151" s="473"/>
      <x:c r="AL151" s="473"/>
      <x:c r="AM151" s="473"/>
      <x:c r="AN151" s="500" t="n">
        <x:f>IF(AND(AK151="Yes",OR(O151="Labour",O151="Plant")),Z151,0)</x:f>
        <x:v>0</x:v>
      </x:c>
    </x:row>
    <x:row r="152">
      <x:c r="A152" s="80" t="str">
        <x:f>IF(B152="","",B152&amp;"-"&amp;TEXT(COUNTIF($B$7:B152,B152),"000"))</x:f>
      </x:c>
      <x:c r="B152" s="53"/>
      <x:c r="C152" s="81" t="str">
        <x:f>IFERROR(INDEX('QS Takeoff'!$A$3:$A$194,MATCH(B152,'QS Takeoff'!$B$3:$B$194,0)),"")</x:f>
      </x:c>
      <x:c r="D152" s="81" t="str">
        <x:f>IFERROR(INDEX('QS Takeoff'!$C$3:$C$194,MATCH(B152,'QS Takeoff'!$B$3:$B$194,0)),"")</x:f>
      </x:c>
      <x:c r="E152" s="81" t="str">
        <x:f>IFERROR(INDEX('QS Takeoff'!$E$3:$E$194,MATCH(B152,'QS Takeoff'!$B$3:$B$194,0)),"")</x:f>
      </x:c>
      <x:c r="F152" s="81" t="str">
        <x:f>IFERROR(INDEX('QS Takeoff'!$D$3:$D$194,MATCH(B152,'QS Takeoff'!$B$3:$B$194,0)),"")</x:f>
      </x:c>
      <x:c r="G152" s="81" t="str">
        <x:f>IFERROR(INDEX('QS Takeoff'!$J$3:$J$194,MATCH(B152,'QS Takeoff'!$B$3:$B$194,0)),"")</x:f>
      </x:c>
      <x:c r="H152" s="53"/>
      <x:c r="I152" s="60"/>
      <x:c r="J152" s="60"/>
      <x:c r="K152" s="82" t="str">
        <x:f t="shared" si="12">IF(OR(B152="",I152="",I152=0),"",E152/I152)</x:f>
      </x:c>
      <x:c r="L152" s="60"/>
      <x:c r="M152" s="82" t="str">
        <x:f t="shared" si="13">IF(L152&gt;0,L152,K152)</x:f>
      </x:c>
      <x:c r="N152" s="53"/>
      <x:c r="O152" s="53"/>
      <x:c r="P152" s="53"/>
      <x:c r="Q152" s="81" t="str">
        <x:f>IFERROR(INDEX('Resource Rate Library'!$C$5:$C$85,MATCH(P152,'Resource Rate Library'!$A$5:$A$85,0)),"")</x:f>
      </x:c>
      <x:c r="R152" s="53"/>
      <x:c r="S152" s="53"/>
      <x:c r="T152" s="81" t="str">
        <x:f>IFERROR(INDEX('Resource Rate Library'!$E$5:$E$85,MATCH(P152,'Resource Rate Library'!$A$5:$A$85,0)),"")</x:f>
      </x:c>
      <x:c r="U152" s="62"/>
      <x:c r="V152" s="62"/>
      <x:c r="W152" s="83" t="n">
        <x:f>IFERROR(INDEX('Resource Rate Library'!$I$5:$I$85,MATCH(P152,'Resource Rate Library'!$A$5:$A$85,0)),0)</x:f>
        <x:v>0</x:v>
      </x:c>
      <x:c r="X152" s="52"/>
      <x:c r="Y152" s="83" t="n">
        <x:f t="shared" si="14">IF(X152&gt;0,X152,W152)</x:f>
        <x:v>0</x:v>
      </x:c>
      <x:c r="Z152" s="83" t="str">
        <x:f t="shared" si="15">IF(B152="","",IF(N152="Time x Count",M152*R152*IF(U152="",1,U152)*Y152,IF(N152="QS Qty x Factor",E152*R152*(1+IF(V152="",0,V152))*Y152,IF(N152="Direct Qty",S152*(1+IF(V152="",0,V152))*Y152,IF(N152="Lump Sum / Quote",S152*Y152,0)))))</x:f>
      </x:c>
      <x:c r="AA152" s="81" t="str">
        <x:f>IFERROR(INDEX('Resource Rate Library'!$N$5:$N$85,MATCH(P152,'Resource Rate Library'!$A$5:$A$85,0)),"")</x:f>
      </x:c>
      <x:c r="AB152" s="53"/>
      <x:c r="AC152" s="59"/>
      <x:c r="AD152" s="81" t="str">
        <x:f>IFERROR(INDEX('Resource Rate Library'!$G$5:$G$85,MATCH(P152,'Resource Rate Library'!$A$5:$A$85,0)),"")</x:f>
      </x:c>
      <x:c r="AE152" s="81" t="str">
        <x:f>IFERROR(INDEX('Resource Rate Library'!$H$5:$H$85,MATCH(P152,'Resource Rate Library'!$A$5:$A$85,0)),"")</x:f>
      </x:c>
      <x:c r="AF152" s="53"/>
      <x:c r="AG152" s="53"/>
      <x:c r="AH152" s="53"/>
      <x:c r="AI152" s="81" t="str">
        <x:f t="shared" si="11">IF(B152="","",IF(AND(P152="",N152&lt;&gt;"Lump Sum / Quote"),"RESOURCE CODE",IF(Y152=0,"RATE MISSING",IF(AND(O152="Plant",AD152="Yes",COUNTIFS($B$7:$B$306,B152,$O$7:$O$306,"Labour",$Q$7:$Q$306,"*Operator*")&gt;0),"OPERATOR DOUBLE-COUNT",IF(AND(O152="Plant",AE152="Yes",COUNTIFS($B$7:$B$306,B152,$Q$7:$Q$306,"*Fuel*")&gt;0),"FUEL DOUBLE-COUNT",IF(AH152&lt;&gt;"Yes","VERIFY","OK"))))))</x:f>
      </x:c>
      <x:c r="AJ152" s="54"/>
      <x:c r="AK152" s="473"/>
      <x:c r="AL152" s="473"/>
      <x:c r="AM152" s="473"/>
      <x:c r="AN152" s="500" t="n">
        <x:f>IF(AND(AK152="Yes",OR(O152="Labour",O152="Plant")),Z152,0)</x:f>
        <x:v>0</x:v>
      </x:c>
    </x:row>
    <x:row r="153">
      <x:c r="A153" s="80" t="str">
        <x:f>IF(B153="","",B153&amp;"-"&amp;TEXT(COUNTIF($B$7:B153,B153),"000"))</x:f>
      </x:c>
      <x:c r="B153" s="53"/>
      <x:c r="C153" s="81" t="str">
        <x:f>IFERROR(INDEX('QS Takeoff'!$A$3:$A$194,MATCH(B153,'QS Takeoff'!$B$3:$B$194,0)),"")</x:f>
      </x:c>
      <x:c r="D153" s="81" t="str">
        <x:f>IFERROR(INDEX('QS Takeoff'!$C$3:$C$194,MATCH(B153,'QS Takeoff'!$B$3:$B$194,0)),"")</x:f>
      </x:c>
      <x:c r="E153" s="81" t="str">
        <x:f>IFERROR(INDEX('QS Takeoff'!$E$3:$E$194,MATCH(B153,'QS Takeoff'!$B$3:$B$194,0)),"")</x:f>
      </x:c>
      <x:c r="F153" s="81" t="str">
        <x:f>IFERROR(INDEX('QS Takeoff'!$D$3:$D$194,MATCH(B153,'QS Takeoff'!$B$3:$B$194,0)),"")</x:f>
      </x:c>
      <x:c r="G153" s="81" t="str">
        <x:f>IFERROR(INDEX('QS Takeoff'!$J$3:$J$194,MATCH(B153,'QS Takeoff'!$B$3:$B$194,0)),"")</x:f>
      </x:c>
      <x:c r="H153" s="53"/>
      <x:c r="I153" s="60"/>
      <x:c r="J153" s="60"/>
      <x:c r="K153" s="82" t="str">
        <x:f t="shared" si="12">IF(OR(B153="",I153="",I153=0),"",E153/I153)</x:f>
      </x:c>
      <x:c r="L153" s="60"/>
      <x:c r="M153" s="82" t="str">
        <x:f t="shared" si="13">IF(L153&gt;0,L153,K153)</x:f>
      </x:c>
      <x:c r="N153" s="53"/>
      <x:c r="O153" s="53"/>
      <x:c r="P153" s="53"/>
      <x:c r="Q153" s="81" t="str">
        <x:f>IFERROR(INDEX('Resource Rate Library'!$C$5:$C$85,MATCH(P153,'Resource Rate Library'!$A$5:$A$85,0)),"")</x:f>
      </x:c>
      <x:c r="R153" s="53"/>
      <x:c r="S153" s="53"/>
      <x:c r="T153" s="81" t="str">
        <x:f>IFERROR(INDEX('Resource Rate Library'!$E$5:$E$85,MATCH(P153,'Resource Rate Library'!$A$5:$A$85,0)),"")</x:f>
      </x:c>
      <x:c r="U153" s="62"/>
      <x:c r="V153" s="62"/>
      <x:c r="W153" s="83" t="n">
        <x:f>IFERROR(INDEX('Resource Rate Library'!$I$5:$I$85,MATCH(P153,'Resource Rate Library'!$A$5:$A$85,0)),0)</x:f>
        <x:v>0</x:v>
      </x:c>
      <x:c r="X153" s="52"/>
      <x:c r="Y153" s="83" t="n">
        <x:f t="shared" si="14">IF(X153&gt;0,X153,W153)</x:f>
        <x:v>0</x:v>
      </x:c>
      <x:c r="Z153" s="83" t="str">
        <x:f t="shared" si="15">IF(B153="","",IF(N153="Time x Count",M153*R153*IF(U153="",1,U153)*Y153,IF(N153="QS Qty x Factor",E153*R153*(1+IF(V153="",0,V153))*Y153,IF(N153="Direct Qty",S153*(1+IF(V153="",0,V153))*Y153,IF(N153="Lump Sum / Quote",S153*Y153,0)))))</x:f>
      </x:c>
      <x:c r="AA153" s="81" t="str">
        <x:f>IFERROR(INDEX('Resource Rate Library'!$N$5:$N$85,MATCH(P153,'Resource Rate Library'!$A$5:$A$85,0)),"")</x:f>
      </x:c>
      <x:c r="AB153" s="53"/>
      <x:c r="AC153" s="59"/>
      <x:c r="AD153" s="81" t="str">
        <x:f>IFERROR(INDEX('Resource Rate Library'!$G$5:$G$85,MATCH(P153,'Resource Rate Library'!$A$5:$A$85,0)),"")</x:f>
      </x:c>
      <x:c r="AE153" s="81" t="str">
        <x:f>IFERROR(INDEX('Resource Rate Library'!$H$5:$H$85,MATCH(P153,'Resource Rate Library'!$A$5:$A$85,0)),"")</x:f>
      </x:c>
      <x:c r="AF153" s="53"/>
      <x:c r="AG153" s="53"/>
      <x:c r="AH153" s="53"/>
      <x:c r="AI153" s="81" t="str">
        <x:f t="shared" ref="AI153:AI184" si="16">IF(B153="","",IF(AND(P153="",N153&lt;&gt;"Lump Sum / Quote"),"RESOURCE CODE",IF(Y153=0,"RATE MISSING",IF(AND(O153="Plant",AD153="Yes",COUNTIFS($B$7:$B$306,B153,$O$7:$O$306,"Labour",$Q$7:$Q$306,"*Operator*")&gt;0),"OPERATOR DOUBLE-COUNT",IF(AND(O153="Plant",AE153="Yes",COUNTIFS($B$7:$B$306,B153,$Q$7:$Q$306,"*Fuel*")&gt;0),"FUEL DOUBLE-COUNT",IF(AH153&lt;&gt;"Yes","VERIFY","OK"))))))</x:f>
      </x:c>
      <x:c r="AJ153" s="54"/>
      <x:c r="AK153" s="473"/>
      <x:c r="AL153" s="473"/>
      <x:c r="AM153" s="473"/>
      <x:c r="AN153" s="500" t="n">
        <x:f>IF(AND(AK153="Yes",OR(O153="Labour",O153="Plant")),Z153,0)</x:f>
        <x:v>0</x:v>
      </x:c>
    </x:row>
    <x:row r="154">
      <x:c r="A154" s="80" t="str">
        <x:f>IF(B154="","",B154&amp;"-"&amp;TEXT(COUNTIF($B$7:B154,B154),"000"))</x:f>
      </x:c>
      <x:c r="B154" s="53"/>
      <x:c r="C154" s="81" t="str">
        <x:f>IFERROR(INDEX('QS Takeoff'!$A$3:$A$194,MATCH(B154,'QS Takeoff'!$B$3:$B$194,0)),"")</x:f>
      </x:c>
      <x:c r="D154" s="81" t="str">
        <x:f>IFERROR(INDEX('QS Takeoff'!$C$3:$C$194,MATCH(B154,'QS Takeoff'!$B$3:$B$194,0)),"")</x:f>
      </x:c>
      <x:c r="E154" s="81" t="str">
        <x:f>IFERROR(INDEX('QS Takeoff'!$E$3:$E$194,MATCH(B154,'QS Takeoff'!$B$3:$B$194,0)),"")</x:f>
      </x:c>
      <x:c r="F154" s="81" t="str">
        <x:f>IFERROR(INDEX('QS Takeoff'!$D$3:$D$194,MATCH(B154,'QS Takeoff'!$B$3:$B$194,0)),"")</x:f>
      </x:c>
      <x:c r="G154" s="81" t="str">
        <x:f>IFERROR(INDEX('QS Takeoff'!$J$3:$J$194,MATCH(B154,'QS Takeoff'!$B$3:$B$194,0)),"")</x:f>
      </x:c>
      <x:c r="H154" s="53"/>
      <x:c r="I154" s="60"/>
      <x:c r="J154" s="60"/>
      <x:c r="K154" s="82" t="str">
        <x:f t="shared" si="12">IF(OR(B154="",I154="",I154=0),"",E154/I154)</x:f>
      </x:c>
      <x:c r="L154" s="60"/>
      <x:c r="M154" s="82" t="str">
        <x:f t="shared" si="13">IF(L154&gt;0,L154,K154)</x:f>
      </x:c>
      <x:c r="N154" s="53"/>
      <x:c r="O154" s="53"/>
      <x:c r="P154" s="53"/>
      <x:c r="Q154" s="81" t="str">
        <x:f>IFERROR(INDEX('Resource Rate Library'!$C$5:$C$85,MATCH(P154,'Resource Rate Library'!$A$5:$A$85,0)),"")</x:f>
      </x:c>
      <x:c r="R154" s="53"/>
      <x:c r="S154" s="53"/>
      <x:c r="T154" s="81" t="str">
        <x:f>IFERROR(INDEX('Resource Rate Library'!$E$5:$E$85,MATCH(P154,'Resource Rate Library'!$A$5:$A$85,0)),"")</x:f>
      </x:c>
      <x:c r="U154" s="62"/>
      <x:c r="V154" s="62"/>
      <x:c r="W154" s="83" t="n">
        <x:f>IFERROR(INDEX('Resource Rate Library'!$I$5:$I$85,MATCH(P154,'Resource Rate Library'!$A$5:$A$85,0)),0)</x:f>
        <x:v>0</x:v>
      </x:c>
      <x:c r="X154" s="52"/>
      <x:c r="Y154" s="83" t="n">
        <x:f t="shared" si="14">IF(X154&gt;0,X154,W154)</x:f>
        <x:v>0</x:v>
      </x:c>
      <x:c r="Z154" s="83" t="str">
        <x:f t="shared" si="15">IF(B154="","",IF(N154="Time x Count",M154*R154*IF(U154="",1,U154)*Y154,IF(N154="QS Qty x Factor",E154*R154*(1+IF(V154="",0,V154))*Y154,IF(N154="Direct Qty",S154*(1+IF(V154="",0,V154))*Y154,IF(N154="Lump Sum / Quote",S154*Y154,0)))))</x:f>
      </x:c>
      <x:c r="AA154" s="81" t="str">
        <x:f>IFERROR(INDEX('Resource Rate Library'!$N$5:$N$85,MATCH(P154,'Resource Rate Library'!$A$5:$A$85,0)),"")</x:f>
      </x:c>
      <x:c r="AB154" s="53"/>
      <x:c r="AC154" s="59"/>
      <x:c r="AD154" s="81" t="str">
        <x:f>IFERROR(INDEX('Resource Rate Library'!$G$5:$G$85,MATCH(P154,'Resource Rate Library'!$A$5:$A$85,0)),"")</x:f>
      </x:c>
      <x:c r="AE154" s="81" t="str">
        <x:f>IFERROR(INDEX('Resource Rate Library'!$H$5:$H$85,MATCH(P154,'Resource Rate Library'!$A$5:$A$85,0)),"")</x:f>
      </x:c>
      <x:c r="AF154" s="53"/>
      <x:c r="AG154" s="53"/>
      <x:c r="AH154" s="53"/>
      <x:c r="AI154" s="81" t="str">
        <x:f t="shared" si="16">IF(B154="","",IF(AND(P154="",N154&lt;&gt;"Lump Sum / Quote"),"RESOURCE CODE",IF(Y154=0,"RATE MISSING",IF(AND(O154="Plant",AD154="Yes",COUNTIFS($B$7:$B$306,B154,$O$7:$O$306,"Labour",$Q$7:$Q$306,"*Operator*")&gt;0),"OPERATOR DOUBLE-COUNT",IF(AND(O154="Plant",AE154="Yes",COUNTIFS($B$7:$B$306,B154,$Q$7:$Q$306,"*Fuel*")&gt;0),"FUEL DOUBLE-COUNT",IF(AH154&lt;&gt;"Yes","VERIFY","OK"))))))</x:f>
      </x:c>
      <x:c r="AJ154" s="54"/>
      <x:c r="AK154" s="473"/>
      <x:c r="AL154" s="473"/>
      <x:c r="AM154" s="473"/>
      <x:c r="AN154" s="500" t="n">
        <x:f>IF(AND(AK154="Yes",OR(O154="Labour",O154="Plant")),Z154,0)</x:f>
        <x:v>0</x:v>
      </x:c>
    </x:row>
    <x:row r="155">
      <x:c r="A155" s="80" t="str">
        <x:f>IF(B155="","",B155&amp;"-"&amp;TEXT(COUNTIF($B$7:B155,B155),"000"))</x:f>
      </x:c>
      <x:c r="B155" s="53"/>
      <x:c r="C155" s="81" t="str">
        <x:f>IFERROR(INDEX('QS Takeoff'!$A$3:$A$194,MATCH(B155,'QS Takeoff'!$B$3:$B$194,0)),"")</x:f>
      </x:c>
      <x:c r="D155" s="81" t="str">
        <x:f>IFERROR(INDEX('QS Takeoff'!$C$3:$C$194,MATCH(B155,'QS Takeoff'!$B$3:$B$194,0)),"")</x:f>
      </x:c>
      <x:c r="E155" s="81" t="str">
        <x:f>IFERROR(INDEX('QS Takeoff'!$E$3:$E$194,MATCH(B155,'QS Takeoff'!$B$3:$B$194,0)),"")</x:f>
      </x:c>
      <x:c r="F155" s="81" t="str">
        <x:f>IFERROR(INDEX('QS Takeoff'!$D$3:$D$194,MATCH(B155,'QS Takeoff'!$B$3:$B$194,0)),"")</x:f>
      </x:c>
      <x:c r="G155" s="81" t="str">
        <x:f>IFERROR(INDEX('QS Takeoff'!$J$3:$J$194,MATCH(B155,'QS Takeoff'!$B$3:$B$194,0)),"")</x:f>
      </x:c>
      <x:c r="H155" s="53"/>
      <x:c r="I155" s="60"/>
      <x:c r="J155" s="60"/>
      <x:c r="K155" s="82" t="str">
        <x:f t="shared" si="12">IF(OR(B155="",I155="",I155=0),"",E155/I155)</x:f>
      </x:c>
      <x:c r="L155" s="60"/>
      <x:c r="M155" s="82" t="str">
        <x:f t="shared" si="13">IF(L155&gt;0,L155,K155)</x:f>
      </x:c>
      <x:c r="N155" s="53"/>
      <x:c r="O155" s="53"/>
      <x:c r="P155" s="53"/>
      <x:c r="Q155" s="81" t="str">
        <x:f>IFERROR(INDEX('Resource Rate Library'!$C$5:$C$85,MATCH(P155,'Resource Rate Library'!$A$5:$A$85,0)),"")</x:f>
      </x:c>
      <x:c r="R155" s="53"/>
      <x:c r="S155" s="53"/>
      <x:c r="T155" s="81" t="str">
        <x:f>IFERROR(INDEX('Resource Rate Library'!$E$5:$E$85,MATCH(P155,'Resource Rate Library'!$A$5:$A$85,0)),"")</x:f>
      </x:c>
      <x:c r="U155" s="62"/>
      <x:c r="V155" s="62"/>
      <x:c r="W155" s="83" t="n">
        <x:f>IFERROR(INDEX('Resource Rate Library'!$I$5:$I$85,MATCH(P155,'Resource Rate Library'!$A$5:$A$85,0)),0)</x:f>
        <x:v>0</x:v>
      </x:c>
      <x:c r="X155" s="52"/>
      <x:c r="Y155" s="83" t="n">
        <x:f t="shared" si="14">IF(X155&gt;0,X155,W155)</x:f>
        <x:v>0</x:v>
      </x:c>
      <x:c r="Z155" s="83" t="str">
        <x:f t="shared" si="15">IF(B155="","",IF(N155="Time x Count",M155*R155*IF(U155="",1,U155)*Y155,IF(N155="QS Qty x Factor",E155*R155*(1+IF(V155="",0,V155))*Y155,IF(N155="Direct Qty",S155*(1+IF(V155="",0,V155))*Y155,IF(N155="Lump Sum / Quote",S155*Y155,0)))))</x:f>
      </x:c>
      <x:c r="AA155" s="81" t="str">
        <x:f>IFERROR(INDEX('Resource Rate Library'!$N$5:$N$85,MATCH(P155,'Resource Rate Library'!$A$5:$A$85,0)),"")</x:f>
      </x:c>
      <x:c r="AB155" s="53"/>
      <x:c r="AC155" s="59"/>
      <x:c r="AD155" s="81" t="str">
        <x:f>IFERROR(INDEX('Resource Rate Library'!$G$5:$G$85,MATCH(P155,'Resource Rate Library'!$A$5:$A$85,0)),"")</x:f>
      </x:c>
      <x:c r="AE155" s="81" t="str">
        <x:f>IFERROR(INDEX('Resource Rate Library'!$H$5:$H$85,MATCH(P155,'Resource Rate Library'!$A$5:$A$85,0)),"")</x:f>
      </x:c>
      <x:c r="AF155" s="53"/>
      <x:c r="AG155" s="53"/>
      <x:c r="AH155" s="53"/>
      <x:c r="AI155" s="81" t="str">
        <x:f t="shared" si="16">IF(B155="","",IF(AND(P155="",N155&lt;&gt;"Lump Sum / Quote"),"RESOURCE CODE",IF(Y155=0,"RATE MISSING",IF(AND(O155="Plant",AD155="Yes",COUNTIFS($B$7:$B$306,B155,$O$7:$O$306,"Labour",$Q$7:$Q$306,"*Operator*")&gt;0),"OPERATOR DOUBLE-COUNT",IF(AND(O155="Plant",AE155="Yes",COUNTIFS($B$7:$B$306,B155,$Q$7:$Q$306,"*Fuel*")&gt;0),"FUEL DOUBLE-COUNT",IF(AH155&lt;&gt;"Yes","VERIFY","OK"))))))</x:f>
      </x:c>
      <x:c r="AJ155" s="54"/>
      <x:c r="AK155" s="473"/>
      <x:c r="AL155" s="473"/>
      <x:c r="AM155" s="473"/>
      <x:c r="AN155" s="500" t="n">
        <x:f>IF(AND(AK155="Yes",OR(O155="Labour",O155="Plant")),Z155,0)</x:f>
        <x:v>0</x:v>
      </x:c>
    </x:row>
    <x:row r="156">
      <x:c r="A156" s="80" t="str">
        <x:f>IF(B156="","",B156&amp;"-"&amp;TEXT(COUNTIF($B$7:B156,B156),"000"))</x:f>
      </x:c>
      <x:c r="B156" s="53"/>
      <x:c r="C156" s="81" t="str">
        <x:f>IFERROR(INDEX('QS Takeoff'!$A$3:$A$194,MATCH(B156,'QS Takeoff'!$B$3:$B$194,0)),"")</x:f>
      </x:c>
      <x:c r="D156" s="81" t="str">
        <x:f>IFERROR(INDEX('QS Takeoff'!$C$3:$C$194,MATCH(B156,'QS Takeoff'!$B$3:$B$194,0)),"")</x:f>
      </x:c>
      <x:c r="E156" s="81" t="str">
        <x:f>IFERROR(INDEX('QS Takeoff'!$E$3:$E$194,MATCH(B156,'QS Takeoff'!$B$3:$B$194,0)),"")</x:f>
      </x:c>
      <x:c r="F156" s="81" t="str">
        <x:f>IFERROR(INDEX('QS Takeoff'!$D$3:$D$194,MATCH(B156,'QS Takeoff'!$B$3:$B$194,0)),"")</x:f>
      </x:c>
      <x:c r="G156" s="81" t="str">
        <x:f>IFERROR(INDEX('QS Takeoff'!$J$3:$J$194,MATCH(B156,'QS Takeoff'!$B$3:$B$194,0)),"")</x:f>
      </x:c>
      <x:c r="H156" s="53"/>
      <x:c r="I156" s="60"/>
      <x:c r="J156" s="60"/>
      <x:c r="K156" s="82" t="str">
        <x:f t="shared" si="12">IF(OR(B156="",I156="",I156=0),"",E156/I156)</x:f>
      </x:c>
      <x:c r="L156" s="60"/>
      <x:c r="M156" s="82" t="str">
        <x:f t="shared" si="13">IF(L156&gt;0,L156,K156)</x:f>
      </x:c>
      <x:c r="N156" s="53"/>
      <x:c r="O156" s="53"/>
      <x:c r="P156" s="53"/>
      <x:c r="Q156" s="81" t="str">
        <x:f>IFERROR(INDEX('Resource Rate Library'!$C$5:$C$85,MATCH(P156,'Resource Rate Library'!$A$5:$A$85,0)),"")</x:f>
      </x:c>
      <x:c r="R156" s="53"/>
      <x:c r="S156" s="53"/>
      <x:c r="T156" s="81" t="str">
        <x:f>IFERROR(INDEX('Resource Rate Library'!$E$5:$E$85,MATCH(P156,'Resource Rate Library'!$A$5:$A$85,0)),"")</x:f>
      </x:c>
      <x:c r="U156" s="62"/>
      <x:c r="V156" s="62"/>
      <x:c r="W156" s="83" t="n">
        <x:f>IFERROR(INDEX('Resource Rate Library'!$I$5:$I$85,MATCH(P156,'Resource Rate Library'!$A$5:$A$85,0)),0)</x:f>
        <x:v>0</x:v>
      </x:c>
      <x:c r="X156" s="52"/>
      <x:c r="Y156" s="83" t="n">
        <x:f t="shared" si="14">IF(X156&gt;0,X156,W156)</x:f>
        <x:v>0</x:v>
      </x:c>
      <x:c r="Z156" s="83" t="str">
        <x:f t="shared" si="15">IF(B156="","",IF(N156="Time x Count",M156*R156*IF(U156="",1,U156)*Y156,IF(N156="QS Qty x Factor",E156*R156*(1+IF(V156="",0,V156))*Y156,IF(N156="Direct Qty",S156*(1+IF(V156="",0,V156))*Y156,IF(N156="Lump Sum / Quote",S156*Y156,0)))))</x:f>
      </x:c>
      <x:c r="AA156" s="81" t="str">
        <x:f>IFERROR(INDEX('Resource Rate Library'!$N$5:$N$85,MATCH(P156,'Resource Rate Library'!$A$5:$A$85,0)),"")</x:f>
      </x:c>
      <x:c r="AB156" s="53"/>
      <x:c r="AC156" s="59"/>
      <x:c r="AD156" s="81" t="str">
        <x:f>IFERROR(INDEX('Resource Rate Library'!$G$5:$G$85,MATCH(P156,'Resource Rate Library'!$A$5:$A$85,0)),"")</x:f>
      </x:c>
      <x:c r="AE156" s="81" t="str">
        <x:f>IFERROR(INDEX('Resource Rate Library'!$H$5:$H$85,MATCH(P156,'Resource Rate Library'!$A$5:$A$85,0)),"")</x:f>
      </x:c>
      <x:c r="AF156" s="53"/>
      <x:c r="AG156" s="53"/>
      <x:c r="AH156" s="53"/>
      <x:c r="AI156" s="81" t="str">
        <x:f t="shared" si="16">IF(B156="","",IF(AND(P156="",N156&lt;&gt;"Lump Sum / Quote"),"RESOURCE CODE",IF(Y156=0,"RATE MISSING",IF(AND(O156="Plant",AD156="Yes",COUNTIFS($B$7:$B$306,B156,$O$7:$O$306,"Labour",$Q$7:$Q$306,"*Operator*")&gt;0),"OPERATOR DOUBLE-COUNT",IF(AND(O156="Plant",AE156="Yes",COUNTIFS($B$7:$B$306,B156,$Q$7:$Q$306,"*Fuel*")&gt;0),"FUEL DOUBLE-COUNT",IF(AH156&lt;&gt;"Yes","VERIFY","OK"))))))</x:f>
      </x:c>
      <x:c r="AJ156" s="54"/>
      <x:c r="AK156" s="473"/>
      <x:c r="AL156" s="473"/>
      <x:c r="AM156" s="473"/>
      <x:c r="AN156" s="500" t="n">
        <x:f>IF(AND(AK156="Yes",OR(O156="Labour",O156="Plant")),Z156,0)</x:f>
        <x:v>0</x:v>
      </x:c>
    </x:row>
    <x:row r="157">
      <x:c r="A157" s="80" t="str">
        <x:f>IF(B157="","",B157&amp;"-"&amp;TEXT(COUNTIF($B$7:B157,B157),"000"))</x:f>
      </x:c>
      <x:c r="B157" s="53"/>
      <x:c r="C157" s="81" t="str">
        <x:f>IFERROR(INDEX('QS Takeoff'!$A$3:$A$194,MATCH(B157,'QS Takeoff'!$B$3:$B$194,0)),"")</x:f>
      </x:c>
      <x:c r="D157" s="81" t="str">
        <x:f>IFERROR(INDEX('QS Takeoff'!$C$3:$C$194,MATCH(B157,'QS Takeoff'!$B$3:$B$194,0)),"")</x:f>
      </x:c>
      <x:c r="E157" s="81" t="str">
        <x:f>IFERROR(INDEX('QS Takeoff'!$E$3:$E$194,MATCH(B157,'QS Takeoff'!$B$3:$B$194,0)),"")</x:f>
      </x:c>
      <x:c r="F157" s="81" t="str">
        <x:f>IFERROR(INDEX('QS Takeoff'!$D$3:$D$194,MATCH(B157,'QS Takeoff'!$B$3:$B$194,0)),"")</x:f>
      </x:c>
      <x:c r="G157" s="81" t="str">
        <x:f>IFERROR(INDEX('QS Takeoff'!$J$3:$J$194,MATCH(B157,'QS Takeoff'!$B$3:$B$194,0)),"")</x:f>
      </x:c>
      <x:c r="H157" s="53"/>
      <x:c r="I157" s="60"/>
      <x:c r="J157" s="60"/>
      <x:c r="K157" s="82" t="str">
        <x:f t="shared" si="12">IF(OR(B157="",I157="",I157=0),"",E157/I157)</x:f>
      </x:c>
      <x:c r="L157" s="60"/>
      <x:c r="M157" s="82" t="str">
        <x:f t="shared" si="13">IF(L157&gt;0,L157,K157)</x:f>
      </x:c>
      <x:c r="N157" s="53"/>
      <x:c r="O157" s="53"/>
      <x:c r="P157" s="53"/>
      <x:c r="Q157" s="81" t="str">
        <x:f>IFERROR(INDEX('Resource Rate Library'!$C$5:$C$85,MATCH(P157,'Resource Rate Library'!$A$5:$A$85,0)),"")</x:f>
      </x:c>
      <x:c r="R157" s="53"/>
      <x:c r="S157" s="53"/>
      <x:c r="T157" s="81" t="str">
        <x:f>IFERROR(INDEX('Resource Rate Library'!$E$5:$E$85,MATCH(P157,'Resource Rate Library'!$A$5:$A$85,0)),"")</x:f>
      </x:c>
      <x:c r="U157" s="62"/>
      <x:c r="V157" s="62"/>
      <x:c r="W157" s="83" t="n">
        <x:f>IFERROR(INDEX('Resource Rate Library'!$I$5:$I$85,MATCH(P157,'Resource Rate Library'!$A$5:$A$85,0)),0)</x:f>
        <x:v>0</x:v>
      </x:c>
      <x:c r="X157" s="52"/>
      <x:c r="Y157" s="83" t="n">
        <x:f t="shared" si="14">IF(X157&gt;0,X157,W157)</x:f>
        <x:v>0</x:v>
      </x:c>
      <x:c r="Z157" s="83" t="str">
        <x:f t="shared" si="15">IF(B157="","",IF(N157="Time x Count",M157*R157*IF(U157="",1,U157)*Y157,IF(N157="QS Qty x Factor",E157*R157*(1+IF(V157="",0,V157))*Y157,IF(N157="Direct Qty",S157*(1+IF(V157="",0,V157))*Y157,IF(N157="Lump Sum / Quote",S157*Y157,0)))))</x:f>
      </x:c>
      <x:c r="AA157" s="81" t="str">
        <x:f>IFERROR(INDEX('Resource Rate Library'!$N$5:$N$85,MATCH(P157,'Resource Rate Library'!$A$5:$A$85,0)),"")</x:f>
      </x:c>
      <x:c r="AB157" s="53"/>
      <x:c r="AC157" s="59"/>
      <x:c r="AD157" s="81" t="str">
        <x:f>IFERROR(INDEX('Resource Rate Library'!$G$5:$G$85,MATCH(P157,'Resource Rate Library'!$A$5:$A$85,0)),"")</x:f>
      </x:c>
      <x:c r="AE157" s="81" t="str">
        <x:f>IFERROR(INDEX('Resource Rate Library'!$H$5:$H$85,MATCH(P157,'Resource Rate Library'!$A$5:$A$85,0)),"")</x:f>
      </x:c>
      <x:c r="AF157" s="53"/>
      <x:c r="AG157" s="53"/>
      <x:c r="AH157" s="53"/>
      <x:c r="AI157" s="81" t="str">
        <x:f t="shared" si="16">IF(B157="","",IF(AND(P157="",N157&lt;&gt;"Lump Sum / Quote"),"RESOURCE CODE",IF(Y157=0,"RATE MISSING",IF(AND(O157="Plant",AD157="Yes",COUNTIFS($B$7:$B$306,B157,$O$7:$O$306,"Labour",$Q$7:$Q$306,"*Operator*")&gt;0),"OPERATOR DOUBLE-COUNT",IF(AND(O157="Plant",AE157="Yes",COUNTIFS($B$7:$B$306,B157,$Q$7:$Q$306,"*Fuel*")&gt;0),"FUEL DOUBLE-COUNT",IF(AH157&lt;&gt;"Yes","VERIFY","OK"))))))</x:f>
      </x:c>
      <x:c r="AJ157" s="54"/>
      <x:c r="AK157" s="473"/>
      <x:c r="AL157" s="473"/>
      <x:c r="AM157" s="473"/>
      <x:c r="AN157" s="500" t="n">
        <x:f>IF(AND(AK157="Yes",OR(O157="Labour",O157="Plant")),Z157,0)</x:f>
        <x:v>0</x:v>
      </x:c>
    </x:row>
    <x:row r="158">
      <x:c r="A158" s="80" t="str">
        <x:f>IF(B158="","",B158&amp;"-"&amp;TEXT(COUNTIF($B$7:B158,B158),"000"))</x:f>
      </x:c>
      <x:c r="B158" s="53"/>
      <x:c r="C158" s="81" t="str">
        <x:f>IFERROR(INDEX('QS Takeoff'!$A$3:$A$194,MATCH(B158,'QS Takeoff'!$B$3:$B$194,0)),"")</x:f>
      </x:c>
      <x:c r="D158" s="81" t="str">
        <x:f>IFERROR(INDEX('QS Takeoff'!$C$3:$C$194,MATCH(B158,'QS Takeoff'!$B$3:$B$194,0)),"")</x:f>
      </x:c>
      <x:c r="E158" s="81" t="str">
        <x:f>IFERROR(INDEX('QS Takeoff'!$E$3:$E$194,MATCH(B158,'QS Takeoff'!$B$3:$B$194,0)),"")</x:f>
      </x:c>
      <x:c r="F158" s="81" t="str">
        <x:f>IFERROR(INDEX('QS Takeoff'!$D$3:$D$194,MATCH(B158,'QS Takeoff'!$B$3:$B$194,0)),"")</x:f>
      </x:c>
      <x:c r="G158" s="81" t="str">
        <x:f>IFERROR(INDEX('QS Takeoff'!$J$3:$J$194,MATCH(B158,'QS Takeoff'!$B$3:$B$194,0)),"")</x:f>
      </x:c>
      <x:c r="H158" s="53"/>
      <x:c r="I158" s="60"/>
      <x:c r="J158" s="60"/>
      <x:c r="K158" s="82" t="str">
        <x:f t="shared" si="12">IF(OR(B158="",I158="",I158=0),"",E158/I158)</x:f>
      </x:c>
      <x:c r="L158" s="60"/>
      <x:c r="M158" s="82" t="str">
        <x:f t="shared" si="13">IF(L158&gt;0,L158,K158)</x:f>
      </x:c>
      <x:c r="N158" s="53"/>
      <x:c r="O158" s="53"/>
      <x:c r="P158" s="53"/>
      <x:c r="Q158" s="81" t="str">
        <x:f>IFERROR(INDEX('Resource Rate Library'!$C$5:$C$85,MATCH(P158,'Resource Rate Library'!$A$5:$A$85,0)),"")</x:f>
      </x:c>
      <x:c r="R158" s="53"/>
      <x:c r="S158" s="53"/>
      <x:c r="T158" s="81" t="str">
        <x:f>IFERROR(INDEX('Resource Rate Library'!$E$5:$E$85,MATCH(P158,'Resource Rate Library'!$A$5:$A$85,0)),"")</x:f>
      </x:c>
      <x:c r="U158" s="62"/>
      <x:c r="V158" s="62"/>
      <x:c r="W158" s="83" t="n">
        <x:f>IFERROR(INDEX('Resource Rate Library'!$I$5:$I$85,MATCH(P158,'Resource Rate Library'!$A$5:$A$85,0)),0)</x:f>
        <x:v>0</x:v>
      </x:c>
      <x:c r="X158" s="52"/>
      <x:c r="Y158" s="83" t="n">
        <x:f t="shared" si="14">IF(X158&gt;0,X158,W158)</x:f>
        <x:v>0</x:v>
      </x:c>
      <x:c r="Z158" s="83" t="str">
        <x:f t="shared" si="15">IF(B158="","",IF(N158="Time x Count",M158*R158*IF(U158="",1,U158)*Y158,IF(N158="QS Qty x Factor",E158*R158*(1+IF(V158="",0,V158))*Y158,IF(N158="Direct Qty",S158*(1+IF(V158="",0,V158))*Y158,IF(N158="Lump Sum / Quote",S158*Y158,0)))))</x:f>
      </x:c>
      <x:c r="AA158" s="81" t="str">
        <x:f>IFERROR(INDEX('Resource Rate Library'!$N$5:$N$85,MATCH(P158,'Resource Rate Library'!$A$5:$A$85,0)),"")</x:f>
      </x:c>
      <x:c r="AB158" s="53"/>
      <x:c r="AC158" s="59"/>
      <x:c r="AD158" s="81" t="str">
        <x:f>IFERROR(INDEX('Resource Rate Library'!$G$5:$G$85,MATCH(P158,'Resource Rate Library'!$A$5:$A$85,0)),"")</x:f>
      </x:c>
      <x:c r="AE158" s="81" t="str">
        <x:f>IFERROR(INDEX('Resource Rate Library'!$H$5:$H$85,MATCH(P158,'Resource Rate Library'!$A$5:$A$85,0)),"")</x:f>
      </x:c>
      <x:c r="AF158" s="53"/>
      <x:c r="AG158" s="53"/>
      <x:c r="AH158" s="53"/>
      <x:c r="AI158" s="81" t="str">
        <x:f t="shared" si="16">IF(B158="","",IF(AND(P158="",N158&lt;&gt;"Lump Sum / Quote"),"RESOURCE CODE",IF(Y158=0,"RATE MISSING",IF(AND(O158="Plant",AD158="Yes",COUNTIFS($B$7:$B$306,B158,$O$7:$O$306,"Labour",$Q$7:$Q$306,"*Operator*")&gt;0),"OPERATOR DOUBLE-COUNT",IF(AND(O158="Plant",AE158="Yes",COUNTIFS($B$7:$B$306,B158,$Q$7:$Q$306,"*Fuel*")&gt;0),"FUEL DOUBLE-COUNT",IF(AH158&lt;&gt;"Yes","VERIFY","OK"))))))</x:f>
      </x:c>
      <x:c r="AJ158" s="54"/>
      <x:c r="AK158" s="473"/>
      <x:c r="AL158" s="473"/>
      <x:c r="AM158" s="473"/>
      <x:c r="AN158" s="500" t="n">
        <x:f>IF(AND(AK158="Yes",OR(O158="Labour",O158="Plant")),Z158,0)</x:f>
        <x:v>0</x:v>
      </x:c>
    </x:row>
    <x:row r="159">
      <x:c r="A159" s="80" t="str">
        <x:f>IF(B159="","",B159&amp;"-"&amp;TEXT(COUNTIF($B$7:B159,B159),"000"))</x:f>
      </x:c>
      <x:c r="B159" s="53"/>
      <x:c r="C159" s="81" t="str">
        <x:f>IFERROR(INDEX('QS Takeoff'!$A$3:$A$194,MATCH(B159,'QS Takeoff'!$B$3:$B$194,0)),"")</x:f>
      </x:c>
      <x:c r="D159" s="81" t="str">
        <x:f>IFERROR(INDEX('QS Takeoff'!$C$3:$C$194,MATCH(B159,'QS Takeoff'!$B$3:$B$194,0)),"")</x:f>
      </x:c>
      <x:c r="E159" s="81" t="str">
        <x:f>IFERROR(INDEX('QS Takeoff'!$E$3:$E$194,MATCH(B159,'QS Takeoff'!$B$3:$B$194,0)),"")</x:f>
      </x:c>
      <x:c r="F159" s="81" t="str">
        <x:f>IFERROR(INDEX('QS Takeoff'!$D$3:$D$194,MATCH(B159,'QS Takeoff'!$B$3:$B$194,0)),"")</x:f>
      </x:c>
      <x:c r="G159" s="81" t="str">
        <x:f>IFERROR(INDEX('QS Takeoff'!$J$3:$J$194,MATCH(B159,'QS Takeoff'!$B$3:$B$194,0)),"")</x:f>
      </x:c>
      <x:c r="H159" s="53"/>
      <x:c r="I159" s="60"/>
      <x:c r="J159" s="60"/>
      <x:c r="K159" s="82" t="str">
        <x:f t="shared" si="12">IF(OR(B159="",I159="",I159=0),"",E159/I159)</x:f>
      </x:c>
      <x:c r="L159" s="60"/>
      <x:c r="M159" s="82" t="str">
        <x:f t="shared" si="13">IF(L159&gt;0,L159,K159)</x:f>
      </x:c>
      <x:c r="N159" s="53"/>
      <x:c r="O159" s="53"/>
      <x:c r="P159" s="53"/>
      <x:c r="Q159" s="81" t="str">
        <x:f>IFERROR(INDEX('Resource Rate Library'!$C$5:$C$85,MATCH(P159,'Resource Rate Library'!$A$5:$A$85,0)),"")</x:f>
      </x:c>
      <x:c r="R159" s="53"/>
      <x:c r="S159" s="53"/>
      <x:c r="T159" s="81" t="str">
        <x:f>IFERROR(INDEX('Resource Rate Library'!$E$5:$E$85,MATCH(P159,'Resource Rate Library'!$A$5:$A$85,0)),"")</x:f>
      </x:c>
      <x:c r="U159" s="62"/>
      <x:c r="V159" s="62"/>
      <x:c r="W159" s="83" t="n">
        <x:f>IFERROR(INDEX('Resource Rate Library'!$I$5:$I$85,MATCH(P159,'Resource Rate Library'!$A$5:$A$85,0)),0)</x:f>
        <x:v>0</x:v>
      </x:c>
      <x:c r="X159" s="52"/>
      <x:c r="Y159" s="83" t="n">
        <x:f t="shared" si="14">IF(X159&gt;0,X159,W159)</x:f>
        <x:v>0</x:v>
      </x:c>
      <x:c r="Z159" s="83" t="str">
        <x:f t="shared" si="15">IF(B159="","",IF(N159="Time x Count",M159*R159*IF(U159="",1,U159)*Y159,IF(N159="QS Qty x Factor",E159*R159*(1+IF(V159="",0,V159))*Y159,IF(N159="Direct Qty",S159*(1+IF(V159="",0,V159))*Y159,IF(N159="Lump Sum / Quote",S159*Y159,0)))))</x:f>
      </x:c>
      <x:c r="AA159" s="81" t="str">
        <x:f>IFERROR(INDEX('Resource Rate Library'!$N$5:$N$85,MATCH(P159,'Resource Rate Library'!$A$5:$A$85,0)),"")</x:f>
      </x:c>
      <x:c r="AB159" s="53"/>
      <x:c r="AC159" s="59"/>
      <x:c r="AD159" s="81" t="str">
        <x:f>IFERROR(INDEX('Resource Rate Library'!$G$5:$G$85,MATCH(P159,'Resource Rate Library'!$A$5:$A$85,0)),"")</x:f>
      </x:c>
      <x:c r="AE159" s="81" t="str">
        <x:f>IFERROR(INDEX('Resource Rate Library'!$H$5:$H$85,MATCH(P159,'Resource Rate Library'!$A$5:$A$85,0)),"")</x:f>
      </x:c>
      <x:c r="AF159" s="53"/>
      <x:c r="AG159" s="53"/>
      <x:c r="AH159" s="53"/>
      <x:c r="AI159" s="81" t="str">
        <x:f t="shared" si="16">IF(B159="","",IF(AND(P159="",N159&lt;&gt;"Lump Sum / Quote"),"RESOURCE CODE",IF(Y159=0,"RATE MISSING",IF(AND(O159="Plant",AD159="Yes",COUNTIFS($B$7:$B$306,B159,$O$7:$O$306,"Labour",$Q$7:$Q$306,"*Operator*")&gt;0),"OPERATOR DOUBLE-COUNT",IF(AND(O159="Plant",AE159="Yes",COUNTIFS($B$7:$B$306,B159,$Q$7:$Q$306,"*Fuel*")&gt;0),"FUEL DOUBLE-COUNT",IF(AH159&lt;&gt;"Yes","VERIFY","OK"))))))</x:f>
      </x:c>
      <x:c r="AJ159" s="54"/>
      <x:c r="AK159" s="473"/>
      <x:c r="AL159" s="473"/>
      <x:c r="AM159" s="473"/>
      <x:c r="AN159" s="500" t="n">
        <x:f>IF(AND(AK159="Yes",OR(O159="Labour",O159="Plant")),Z159,0)</x:f>
        <x:v>0</x:v>
      </x:c>
    </x:row>
    <x:row r="160">
      <x:c r="A160" s="80" t="str">
        <x:f>IF(B160="","",B160&amp;"-"&amp;TEXT(COUNTIF($B$7:B160,B160),"000"))</x:f>
      </x:c>
      <x:c r="B160" s="53"/>
      <x:c r="C160" s="81" t="str">
        <x:f>IFERROR(INDEX('QS Takeoff'!$A$3:$A$194,MATCH(B160,'QS Takeoff'!$B$3:$B$194,0)),"")</x:f>
      </x:c>
      <x:c r="D160" s="81" t="str">
        <x:f>IFERROR(INDEX('QS Takeoff'!$C$3:$C$194,MATCH(B160,'QS Takeoff'!$B$3:$B$194,0)),"")</x:f>
      </x:c>
      <x:c r="E160" s="81" t="str">
        <x:f>IFERROR(INDEX('QS Takeoff'!$E$3:$E$194,MATCH(B160,'QS Takeoff'!$B$3:$B$194,0)),"")</x:f>
      </x:c>
      <x:c r="F160" s="81" t="str">
        <x:f>IFERROR(INDEX('QS Takeoff'!$D$3:$D$194,MATCH(B160,'QS Takeoff'!$B$3:$B$194,0)),"")</x:f>
      </x:c>
      <x:c r="G160" s="81" t="str">
        <x:f>IFERROR(INDEX('QS Takeoff'!$J$3:$J$194,MATCH(B160,'QS Takeoff'!$B$3:$B$194,0)),"")</x:f>
      </x:c>
      <x:c r="H160" s="53"/>
      <x:c r="I160" s="60"/>
      <x:c r="J160" s="60"/>
      <x:c r="K160" s="82" t="str">
        <x:f t="shared" si="12">IF(OR(B160="",I160="",I160=0),"",E160/I160)</x:f>
      </x:c>
      <x:c r="L160" s="60"/>
      <x:c r="M160" s="82" t="str">
        <x:f t="shared" si="13">IF(L160&gt;0,L160,K160)</x:f>
      </x:c>
      <x:c r="N160" s="53"/>
      <x:c r="O160" s="53"/>
      <x:c r="P160" s="53"/>
      <x:c r="Q160" s="81" t="str">
        <x:f>IFERROR(INDEX('Resource Rate Library'!$C$5:$C$85,MATCH(P160,'Resource Rate Library'!$A$5:$A$85,0)),"")</x:f>
      </x:c>
      <x:c r="R160" s="53"/>
      <x:c r="S160" s="53"/>
      <x:c r="T160" s="81" t="str">
        <x:f>IFERROR(INDEX('Resource Rate Library'!$E$5:$E$85,MATCH(P160,'Resource Rate Library'!$A$5:$A$85,0)),"")</x:f>
      </x:c>
      <x:c r="U160" s="62"/>
      <x:c r="V160" s="62"/>
      <x:c r="W160" s="83" t="n">
        <x:f>IFERROR(INDEX('Resource Rate Library'!$I$5:$I$85,MATCH(P160,'Resource Rate Library'!$A$5:$A$85,0)),0)</x:f>
        <x:v>0</x:v>
      </x:c>
      <x:c r="X160" s="52"/>
      <x:c r="Y160" s="83" t="n">
        <x:f t="shared" si="14">IF(X160&gt;0,X160,W160)</x:f>
        <x:v>0</x:v>
      </x:c>
      <x:c r="Z160" s="83" t="str">
        <x:f t="shared" si="15">IF(B160="","",IF(N160="Time x Count",M160*R160*IF(U160="",1,U160)*Y160,IF(N160="QS Qty x Factor",E160*R160*(1+IF(V160="",0,V160))*Y160,IF(N160="Direct Qty",S160*(1+IF(V160="",0,V160))*Y160,IF(N160="Lump Sum / Quote",S160*Y160,0)))))</x:f>
      </x:c>
      <x:c r="AA160" s="81" t="str">
        <x:f>IFERROR(INDEX('Resource Rate Library'!$N$5:$N$85,MATCH(P160,'Resource Rate Library'!$A$5:$A$85,0)),"")</x:f>
      </x:c>
      <x:c r="AB160" s="53"/>
      <x:c r="AC160" s="59"/>
      <x:c r="AD160" s="81" t="str">
        <x:f>IFERROR(INDEX('Resource Rate Library'!$G$5:$G$85,MATCH(P160,'Resource Rate Library'!$A$5:$A$85,0)),"")</x:f>
      </x:c>
      <x:c r="AE160" s="81" t="str">
        <x:f>IFERROR(INDEX('Resource Rate Library'!$H$5:$H$85,MATCH(P160,'Resource Rate Library'!$A$5:$A$85,0)),"")</x:f>
      </x:c>
      <x:c r="AF160" s="53"/>
      <x:c r="AG160" s="53"/>
      <x:c r="AH160" s="53"/>
      <x:c r="AI160" s="81" t="str">
        <x:f t="shared" si="16">IF(B160="","",IF(AND(P160="",N160&lt;&gt;"Lump Sum / Quote"),"RESOURCE CODE",IF(Y160=0,"RATE MISSING",IF(AND(O160="Plant",AD160="Yes",COUNTIFS($B$7:$B$306,B160,$O$7:$O$306,"Labour",$Q$7:$Q$306,"*Operator*")&gt;0),"OPERATOR DOUBLE-COUNT",IF(AND(O160="Plant",AE160="Yes",COUNTIFS($B$7:$B$306,B160,$Q$7:$Q$306,"*Fuel*")&gt;0),"FUEL DOUBLE-COUNT",IF(AH160&lt;&gt;"Yes","VERIFY","OK"))))))</x:f>
      </x:c>
      <x:c r="AJ160" s="54"/>
      <x:c r="AK160" s="473"/>
      <x:c r="AL160" s="473"/>
      <x:c r="AM160" s="473"/>
      <x:c r="AN160" s="500" t="n">
        <x:f>IF(AND(AK160="Yes",OR(O160="Labour",O160="Plant")),Z160,0)</x:f>
        <x:v>0</x:v>
      </x:c>
    </x:row>
    <x:row r="161">
      <x:c r="A161" s="80" t="str">
        <x:f>IF(B161="","",B161&amp;"-"&amp;TEXT(COUNTIF($B$7:B161,B161),"000"))</x:f>
      </x:c>
      <x:c r="B161" s="53"/>
      <x:c r="C161" s="81" t="str">
        <x:f>IFERROR(INDEX('QS Takeoff'!$A$3:$A$194,MATCH(B161,'QS Takeoff'!$B$3:$B$194,0)),"")</x:f>
      </x:c>
      <x:c r="D161" s="81" t="str">
        <x:f>IFERROR(INDEX('QS Takeoff'!$C$3:$C$194,MATCH(B161,'QS Takeoff'!$B$3:$B$194,0)),"")</x:f>
      </x:c>
      <x:c r="E161" s="81" t="str">
        <x:f>IFERROR(INDEX('QS Takeoff'!$E$3:$E$194,MATCH(B161,'QS Takeoff'!$B$3:$B$194,0)),"")</x:f>
      </x:c>
      <x:c r="F161" s="81" t="str">
        <x:f>IFERROR(INDEX('QS Takeoff'!$D$3:$D$194,MATCH(B161,'QS Takeoff'!$B$3:$B$194,0)),"")</x:f>
      </x:c>
      <x:c r="G161" s="81" t="str">
        <x:f>IFERROR(INDEX('QS Takeoff'!$J$3:$J$194,MATCH(B161,'QS Takeoff'!$B$3:$B$194,0)),"")</x:f>
      </x:c>
      <x:c r="H161" s="53"/>
      <x:c r="I161" s="60"/>
      <x:c r="J161" s="60"/>
      <x:c r="K161" s="82" t="str">
        <x:f t="shared" si="12">IF(OR(B161="",I161="",I161=0),"",E161/I161)</x:f>
      </x:c>
      <x:c r="L161" s="60"/>
      <x:c r="M161" s="82" t="str">
        <x:f t="shared" si="13">IF(L161&gt;0,L161,K161)</x:f>
      </x:c>
      <x:c r="N161" s="53"/>
      <x:c r="O161" s="53"/>
      <x:c r="P161" s="53"/>
      <x:c r="Q161" s="81" t="str">
        <x:f>IFERROR(INDEX('Resource Rate Library'!$C$5:$C$85,MATCH(P161,'Resource Rate Library'!$A$5:$A$85,0)),"")</x:f>
      </x:c>
      <x:c r="R161" s="53"/>
      <x:c r="S161" s="53"/>
      <x:c r="T161" s="81" t="str">
        <x:f>IFERROR(INDEX('Resource Rate Library'!$E$5:$E$85,MATCH(P161,'Resource Rate Library'!$A$5:$A$85,0)),"")</x:f>
      </x:c>
      <x:c r="U161" s="62"/>
      <x:c r="V161" s="62"/>
      <x:c r="W161" s="83" t="n">
        <x:f>IFERROR(INDEX('Resource Rate Library'!$I$5:$I$85,MATCH(P161,'Resource Rate Library'!$A$5:$A$85,0)),0)</x:f>
        <x:v>0</x:v>
      </x:c>
      <x:c r="X161" s="52"/>
      <x:c r="Y161" s="83" t="n">
        <x:f t="shared" si="14">IF(X161&gt;0,X161,W161)</x:f>
        <x:v>0</x:v>
      </x:c>
      <x:c r="Z161" s="83" t="str">
        <x:f t="shared" si="15">IF(B161="","",IF(N161="Time x Count",M161*R161*IF(U161="",1,U161)*Y161,IF(N161="QS Qty x Factor",E161*R161*(1+IF(V161="",0,V161))*Y161,IF(N161="Direct Qty",S161*(1+IF(V161="",0,V161))*Y161,IF(N161="Lump Sum / Quote",S161*Y161,0)))))</x:f>
      </x:c>
      <x:c r="AA161" s="81" t="str">
        <x:f>IFERROR(INDEX('Resource Rate Library'!$N$5:$N$85,MATCH(P161,'Resource Rate Library'!$A$5:$A$85,0)),"")</x:f>
      </x:c>
      <x:c r="AB161" s="53"/>
      <x:c r="AC161" s="59"/>
      <x:c r="AD161" s="81" t="str">
        <x:f>IFERROR(INDEX('Resource Rate Library'!$G$5:$G$85,MATCH(P161,'Resource Rate Library'!$A$5:$A$85,0)),"")</x:f>
      </x:c>
      <x:c r="AE161" s="81" t="str">
        <x:f>IFERROR(INDEX('Resource Rate Library'!$H$5:$H$85,MATCH(P161,'Resource Rate Library'!$A$5:$A$85,0)),"")</x:f>
      </x:c>
      <x:c r="AF161" s="53"/>
      <x:c r="AG161" s="53"/>
      <x:c r="AH161" s="53"/>
      <x:c r="AI161" s="81" t="str">
        <x:f t="shared" si="16">IF(B161="","",IF(AND(P161="",N161&lt;&gt;"Lump Sum / Quote"),"RESOURCE CODE",IF(Y161=0,"RATE MISSING",IF(AND(O161="Plant",AD161="Yes",COUNTIFS($B$7:$B$306,B161,$O$7:$O$306,"Labour",$Q$7:$Q$306,"*Operator*")&gt;0),"OPERATOR DOUBLE-COUNT",IF(AND(O161="Plant",AE161="Yes",COUNTIFS($B$7:$B$306,B161,$Q$7:$Q$306,"*Fuel*")&gt;0),"FUEL DOUBLE-COUNT",IF(AH161&lt;&gt;"Yes","VERIFY","OK"))))))</x:f>
      </x:c>
      <x:c r="AJ161" s="54"/>
      <x:c r="AK161" s="473"/>
      <x:c r="AL161" s="473"/>
      <x:c r="AM161" s="473"/>
      <x:c r="AN161" s="500" t="n">
        <x:f>IF(AND(AK161="Yes",OR(O161="Labour",O161="Plant")),Z161,0)</x:f>
        <x:v>0</x:v>
      </x:c>
    </x:row>
    <x:row r="162">
      <x:c r="A162" s="80" t="str">
        <x:f>IF(B162="","",B162&amp;"-"&amp;TEXT(COUNTIF($B$7:B162,B162),"000"))</x:f>
      </x:c>
      <x:c r="B162" s="53"/>
      <x:c r="C162" s="81" t="str">
        <x:f>IFERROR(INDEX('QS Takeoff'!$A$3:$A$194,MATCH(B162,'QS Takeoff'!$B$3:$B$194,0)),"")</x:f>
      </x:c>
      <x:c r="D162" s="81" t="str">
        <x:f>IFERROR(INDEX('QS Takeoff'!$C$3:$C$194,MATCH(B162,'QS Takeoff'!$B$3:$B$194,0)),"")</x:f>
      </x:c>
      <x:c r="E162" s="81" t="str">
        <x:f>IFERROR(INDEX('QS Takeoff'!$E$3:$E$194,MATCH(B162,'QS Takeoff'!$B$3:$B$194,0)),"")</x:f>
      </x:c>
      <x:c r="F162" s="81" t="str">
        <x:f>IFERROR(INDEX('QS Takeoff'!$D$3:$D$194,MATCH(B162,'QS Takeoff'!$B$3:$B$194,0)),"")</x:f>
      </x:c>
      <x:c r="G162" s="81" t="str">
        <x:f>IFERROR(INDEX('QS Takeoff'!$J$3:$J$194,MATCH(B162,'QS Takeoff'!$B$3:$B$194,0)),"")</x:f>
      </x:c>
      <x:c r="H162" s="53"/>
      <x:c r="I162" s="60"/>
      <x:c r="J162" s="60"/>
      <x:c r="K162" s="82" t="str">
        <x:f t="shared" si="12">IF(OR(B162="",I162="",I162=0),"",E162/I162)</x:f>
      </x:c>
      <x:c r="L162" s="60"/>
      <x:c r="M162" s="82" t="str">
        <x:f t="shared" si="13">IF(L162&gt;0,L162,K162)</x:f>
      </x:c>
      <x:c r="N162" s="53"/>
      <x:c r="O162" s="53"/>
      <x:c r="P162" s="53"/>
      <x:c r="Q162" s="81" t="str">
        <x:f>IFERROR(INDEX('Resource Rate Library'!$C$5:$C$85,MATCH(P162,'Resource Rate Library'!$A$5:$A$85,0)),"")</x:f>
      </x:c>
      <x:c r="R162" s="53"/>
      <x:c r="S162" s="53"/>
      <x:c r="T162" s="81" t="str">
        <x:f>IFERROR(INDEX('Resource Rate Library'!$E$5:$E$85,MATCH(P162,'Resource Rate Library'!$A$5:$A$85,0)),"")</x:f>
      </x:c>
      <x:c r="U162" s="62"/>
      <x:c r="V162" s="62"/>
      <x:c r="W162" s="83" t="n">
        <x:f>IFERROR(INDEX('Resource Rate Library'!$I$5:$I$85,MATCH(P162,'Resource Rate Library'!$A$5:$A$85,0)),0)</x:f>
        <x:v>0</x:v>
      </x:c>
      <x:c r="X162" s="52"/>
      <x:c r="Y162" s="83" t="n">
        <x:f t="shared" si="14">IF(X162&gt;0,X162,W162)</x:f>
        <x:v>0</x:v>
      </x:c>
      <x:c r="Z162" s="83" t="str">
        <x:f t="shared" si="15">IF(B162="","",IF(N162="Time x Count",M162*R162*IF(U162="",1,U162)*Y162,IF(N162="QS Qty x Factor",E162*R162*(1+IF(V162="",0,V162))*Y162,IF(N162="Direct Qty",S162*(1+IF(V162="",0,V162))*Y162,IF(N162="Lump Sum / Quote",S162*Y162,0)))))</x:f>
      </x:c>
      <x:c r="AA162" s="81" t="str">
        <x:f>IFERROR(INDEX('Resource Rate Library'!$N$5:$N$85,MATCH(P162,'Resource Rate Library'!$A$5:$A$85,0)),"")</x:f>
      </x:c>
      <x:c r="AB162" s="53"/>
      <x:c r="AC162" s="59"/>
      <x:c r="AD162" s="81" t="str">
        <x:f>IFERROR(INDEX('Resource Rate Library'!$G$5:$G$85,MATCH(P162,'Resource Rate Library'!$A$5:$A$85,0)),"")</x:f>
      </x:c>
      <x:c r="AE162" s="81" t="str">
        <x:f>IFERROR(INDEX('Resource Rate Library'!$H$5:$H$85,MATCH(P162,'Resource Rate Library'!$A$5:$A$85,0)),"")</x:f>
      </x:c>
      <x:c r="AF162" s="53"/>
      <x:c r="AG162" s="53"/>
      <x:c r="AH162" s="53"/>
      <x:c r="AI162" s="81" t="str">
        <x:f t="shared" si="16">IF(B162="","",IF(AND(P162="",N162&lt;&gt;"Lump Sum / Quote"),"RESOURCE CODE",IF(Y162=0,"RATE MISSING",IF(AND(O162="Plant",AD162="Yes",COUNTIFS($B$7:$B$306,B162,$O$7:$O$306,"Labour",$Q$7:$Q$306,"*Operator*")&gt;0),"OPERATOR DOUBLE-COUNT",IF(AND(O162="Plant",AE162="Yes",COUNTIFS($B$7:$B$306,B162,$Q$7:$Q$306,"*Fuel*")&gt;0),"FUEL DOUBLE-COUNT",IF(AH162&lt;&gt;"Yes","VERIFY","OK"))))))</x:f>
      </x:c>
      <x:c r="AJ162" s="54"/>
      <x:c r="AK162" s="473"/>
      <x:c r="AL162" s="473"/>
      <x:c r="AM162" s="473"/>
      <x:c r="AN162" s="500" t="n">
        <x:f>IF(AND(AK162="Yes",OR(O162="Labour",O162="Plant")),Z162,0)</x:f>
        <x:v>0</x:v>
      </x:c>
    </x:row>
    <x:row r="163">
      <x:c r="A163" s="80" t="str">
        <x:f>IF(B163="","",B163&amp;"-"&amp;TEXT(COUNTIF($B$7:B163,B163),"000"))</x:f>
      </x:c>
      <x:c r="B163" s="53"/>
      <x:c r="C163" s="81" t="str">
        <x:f>IFERROR(INDEX('QS Takeoff'!$A$3:$A$194,MATCH(B163,'QS Takeoff'!$B$3:$B$194,0)),"")</x:f>
      </x:c>
      <x:c r="D163" s="81" t="str">
        <x:f>IFERROR(INDEX('QS Takeoff'!$C$3:$C$194,MATCH(B163,'QS Takeoff'!$B$3:$B$194,0)),"")</x:f>
      </x:c>
      <x:c r="E163" s="81" t="str">
        <x:f>IFERROR(INDEX('QS Takeoff'!$E$3:$E$194,MATCH(B163,'QS Takeoff'!$B$3:$B$194,0)),"")</x:f>
      </x:c>
      <x:c r="F163" s="81" t="str">
        <x:f>IFERROR(INDEX('QS Takeoff'!$D$3:$D$194,MATCH(B163,'QS Takeoff'!$B$3:$B$194,0)),"")</x:f>
      </x:c>
      <x:c r="G163" s="81" t="str">
        <x:f>IFERROR(INDEX('QS Takeoff'!$J$3:$J$194,MATCH(B163,'QS Takeoff'!$B$3:$B$194,0)),"")</x:f>
      </x:c>
      <x:c r="H163" s="53"/>
      <x:c r="I163" s="60"/>
      <x:c r="J163" s="60"/>
      <x:c r="K163" s="82" t="str">
        <x:f t="shared" si="12">IF(OR(B163="",I163="",I163=0),"",E163/I163)</x:f>
      </x:c>
      <x:c r="L163" s="60"/>
      <x:c r="M163" s="82" t="str">
        <x:f t="shared" si="13">IF(L163&gt;0,L163,K163)</x:f>
      </x:c>
      <x:c r="N163" s="53"/>
      <x:c r="O163" s="53"/>
      <x:c r="P163" s="53"/>
      <x:c r="Q163" s="81" t="str">
        <x:f>IFERROR(INDEX('Resource Rate Library'!$C$5:$C$85,MATCH(P163,'Resource Rate Library'!$A$5:$A$85,0)),"")</x:f>
      </x:c>
      <x:c r="R163" s="53"/>
      <x:c r="S163" s="53"/>
      <x:c r="T163" s="81" t="str">
        <x:f>IFERROR(INDEX('Resource Rate Library'!$E$5:$E$85,MATCH(P163,'Resource Rate Library'!$A$5:$A$85,0)),"")</x:f>
      </x:c>
      <x:c r="U163" s="62"/>
      <x:c r="V163" s="62"/>
      <x:c r="W163" s="83" t="n">
        <x:f>IFERROR(INDEX('Resource Rate Library'!$I$5:$I$85,MATCH(P163,'Resource Rate Library'!$A$5:$A$85,0)),0)</x:f>
        <x:v>0</x:v>
      </x:c>
      <x:c r="X163" s="52"/>
      <x:c r="Y163" s="83" t="n">
        <x:f t="shared" si="14">IF(X163&gt;0,X163,W163)</x:f>
        <x:v>0</x:v>
      </x:c>
      <x:c r="Z163" s="83" t="str">
        <x:f t="shared" si="15">IF(B163="","",IF(N163="Time x Count",M163*R163*IF(U163="",1,U163)*Y163,IF(N163="QS Qty x Factor",E163*R163*(1+IF(V163="",0,V163))*Y163,IF(N163="Direct Qty",S163*(1+IF(V163="",0,V163))*Y163,IF(N163="Lump Sum / Quote",S163*Y163,0)))))</x:f>
      </x:c>
      <x:c r="AA163" s="81" t="str">
        <x:f>IFERROR(INDEX('Resource Rate Library'!$N$5:$N$85,MATCH(P163,'Resource Rate Library'!$A$5:$A$85,0)),"")</x:f>
      </x:c>
      <x:c r="AB163" s="53"/>
      <x:c r="AC163" s="59"/>
      <x:c r="AD163" s="81" t="str">
        <x:f>IFERROR(INDEX('Resource Rate Library'!$G$5:$G$85,MATCH(P163,'Resource Rate Library'!$A$5:$A$85,0)),"")</x:f>
      </x:c>
      <x:c r="AE163" s="81" t="str">
        <x:f>IFERROR(INDEX('Resource Rate Library'!$H$5:$H$85,MATCH(P163,'Resource Rate Library'!$A$5:$A$85,0)),"")</x:f>
      </x:c>
      <x:c r="AF163" s="53"/>
      <x:c r="AG163" s="53"/>
      <x:c r="AH163" s="53"/>
      <x:c r="AI163" s="81" t="str">
        <x:f t="shared" si="16">IF(B163="","",IF(AND(P163="",N163&lt;&gt;"Lump Sum / Quote"),"RESOURCE CODE",IF(Y163=0,"RATE MISSING",IF(AND(O163="Plant",AD163="Yes",COUNTIFS($B$7:$B$306,B163,$O$7:$O$306,"Labour",$Q$7:$Q$306,"*Operator*")&gt;0),"OPERATOR DOUBLE-COUNT",IF(AND(O163="Plant",AE163="Yes",COUNTIFS($B$7:$B$306,B163,$Q$7:$Q$306,"*Fuel*")&gt;0),"FUEL DOUBLE-COUNT",IF(AH163&lt;&gt;"Yes","VERIFY","OK"))))))</x:f>
      </x:c>
      <x:c r="AJ163" s="54"/>
      <x:c r="AK163" s="473"/>
      <x:c r="AL163" s="473"/>
      <x:c r="AM163" s="473"/>
      <x:c r="AN163" s="500" t="n">
        <x:f>IF(AND(AK163="Yes",OR(O163="Labour",O163="Plant")),Z163,0)</x:f>
        <x:v>0</x:v>
      </x:c>
    </x:row>
    <x:row r="164">
      <x:c r="A164" s="80" t="str">
        <x:f>IF(B164="","",B164&amp;"-"&amp;TEXT(COUNTIF($B$7:B164,B164),"000"))</x:f>
      </x:c>
      <x:c r="B164" s="53"/>
      <x:c r="C164" s="81" t="str">
        <x:f>IFERROR(INDEX('QS Takeoff'!$A$3:$A$194,MATCH(B164,'QS Takeoff'!$B$3:$B$194,0)),"")</x:f>
      </x:c>
      <x:c r="D164" s="81" t="str">
        <x:f>IFERROR(INDEX('QS Takeoff'!$C$3:$C$194,MATCH(B164,'QS Takeoff'!$B$3:$B$194,0)),"")</x:f>
      </x:c>
      <x:c r="E164" s="81" t="str">
        <x:f>IFERROR(INDEX('QS Takeoff'!$E$3:$E$194,MATCH(B164,'QS Takeoff'!$B$3:$B$194,0)),"")</x:f>
      </x:c>
      <x:c r="F164" s="81" t="str">
        <x:f>IFERROR(INDEX('QS Takeoff'!$D$3:$D$194,MATCH(B164,'QS Takeoff'!$B$3:$B$194,0)),"")</x:f>
      </x:c>
      <x:c r="G164" s="81" t="str">
        <x:f>IFERROR(INDEX('QS Takeoff'!$J$3:$J$194,MATCH(B164,'QS Takeoff'!$B$3:$B$194,0)),"")</x:f>
      </x:c>
      <x:c r="H164" s="53"/>
      <x:c r="I164" s="60"/>
      <x:c r="J164" s="60"/>
      <x:c r="K164" s="82" t="str">
        <x:f t="shared" si="12">IF(OR(B164="",I164="",I164=0),"",E164/I164)</x:f>
      </x:c>
      <x:c r="L164" s="60"/>
      <x:c r="M164" s="82" t="str">
        <x:f t="shared" si="13">IF(L164&gt;0,L164,K164)</x:f>
      </x:c>
      <x:c r="N164" s="53"/>
      <x:c r="O164" s="53"/>
      <x:c r="P164" s="53"/>
      <x:c r="Q164" s="81" t="str">
        <x:f>IFERROR(INDEX('Resource Rate Library'!$C$5:$C$85,MATCH(P164,'Resource Rate Library'!$A$5:$A$85,0)),"")</x:f>
      </x:c>
      <x:c r="R164" s="53"/>
      <x:c r="S164" s="53"/>
      <x:c r="T164" s="81" t="str">
        <x:f>IFERROR(INDEX('Resource Rate Library'!$E$5:$E$85,MATCH(P164,'Resource Rate Library'!$A$5:$A$85,0)),"")</x:f>
      </x:c>
      <x:c r="U164" s="62"/>
      <x:c r="V164" s="62"/>
      <x:c r="W164" s="83" t="n">
        <x:f>IFERROR(INDEX('Resource Rate Library'!$I$5:$I$85,MATCH(P164,'Resource Rate Library'!$A$5:$A$85,0)),0)</x:f>
        <x:v>0</x:v>
      </x:c>
      <x:c r="X164" s="52"/>
      <x:c r="Y164" s="83" t="n">
        <x:f t="shared" si="14">IF(X164&gt;0,X164,W164)</x:f>
        <x:v>0</x:v>
      </x:c>
      <x:c r="Z164" s="83" t="str">
        <x:f t="shared" si="15">IF(B164="","",IF(N164="Time x Count",M164*R164*IF(U164="",1,U164)*Y164,IF(N164="QS Qty x Factor",E164*R164*(1+IF(V164="",0,V164))*Y164,IF(N164="Direct Qty",S164*(1+IF(V164="",0,V164))*Y164,IF(N164="Lump Sum / Quote",S164*Y164,0)))))</x:f>
      </x:c>
      <x:c r="AA164" s="81" t="str">
        <x:f>IFERROR(INDEX('Resource Rate Library'!$N$5:$N$85,MATCH(P164,'Resource Rate Library'!$A$5:$A$85,0)),"")</x:f>
      </x:c>
      <x:c r="AB164" s="53"/>
      <x:c r="AC164" s="59"/>
      <x:c r="AD164" s="81" t="str">
        <x:f>IFERROR(INDEX('Resource Rate Library'!$G$5:$G$85,MATCH(P164,'Resource Rate Library'!$A$5:$A$85,0)),"")</x:f>
      </x:c>
      <x:c r="AE164" s="81" t="str">
        <x:f>IFERROR(INDEX('Resource Rate Library'!$H$5:$H$85,MATCH(P164,'Resource Rate Library'!$A$5:$A$85,0)),"")</x:f>
      </x:c>
      <x:c r="AF164" s="53"/>
      <x:c r="AG164" s="53"/>
      <x:c r="AH164" s="53"/>
      <x:c r="AI164" s="81" t="str">
        <x:f t="shared" si="16">IF(B164="","",IF(AND(P164="",N164&lt;&gt;"Lump Sum / Quote"),"RESOURCE CODE",IF(Y164=0,"RATE MISSING",IF(AND(O164="Plant",AD164="Yes",COUNTIFS($B$7:$B$306,B164,$O$7:$O$306,"Labour",$Q$7:$Q$306,"*Operator*")&gt;0),"OPERATOR DOUBLE-COUNT",IF(AND(O164="Plant",AE164="Yes",COUNTIFS($B$7:$B$306,B164,$Q$7:$Q$306,"*Fuel*")&gt;0),"FUEL DOUBLE-COUNT",IF(AH164&lt;&gt;"Yes","VERIFY","OK"))))))</x:f>
      </x:c>
      <x:c r="AJ164" s="54"/>
      <x:c r="AK164" s="473"/>
      <x:c r="AL164" s="473"/>
      <x:c r="AM164" s="473"/>
      <x:c r="AN164" s="500" t="n">
        <x:f>IF(AND(AK164="Yes",OR(O164="Labour",O164="Plant")),Z164,0)</x:f>
        <x:v>0</x:v>
      </x:c>
    </x:row>
    <x:row r="165">
      <x:c r="A165" s="80" t="str">
        <x:f>IF(B165="","",B165&amp;"-"&amp;TEXT(COUNTIF($B$7:B165,B165),"000"))</x:f>
      </x:c>
      <x:c r="B165" s="53"/>
      <x:c r="C165" s="81" t="str">
        <x:f>IFERROR(INDEX('QS Takeoff'!$A$3:$A$194,MATCH(B165,'QS Takeoff'!$B$3:$B$194,0)),"")</x:f>
      </x:c>
      <x:c r="D165" s="81" t="str">
        <x:f>IFERROR(INDEX('QS Takeoff'!$C$3:$C$194,MATCH(B165,'QS Takeoff'!$B$3:$B$194,0)),"")</x:f>
      </x:c>
      <x:c r="E165" s="81" t="str">
        <x:f>IFERROR(INDEX('QS Takeoff'!$E$3:$E$194,MATCH(B165,'QS Takeoff'!$B$3:$B$194,0)),"")</x:f>
      </x:c>
      <x:c r="F165" s="81" t="str">
        <x:f>IFERROR(INDEX('QS Takeoff'!$D$3:$D$194,MATCH(B165,'QS Takeoff'!$B$3:$B$194,0)),"")</x:f>
      </x:c>
      <x:c r="G165" s="81" t="str">
        <x:f>IFERROR(INDEX('QS Takeoff'!$J$3:$J$194,MATCH(B165,'QS Takeoff'!$B$3:$B$194,0)),"")</x:f>
      </x:c>
      <x:c r="H165" s="53"/>
      <x:c r="I165" s="60"/>
      <x:c r="J165" s="60"/>
      <x:c r="K165" s="82" t="str">
        <x:f t="shared" si="12">IF(OR(B165="",I165="",I165=0),"",E165/I165)</x:f>
      </x:c>
      <x:c r="L165" s="60"/>
      <x:c r="M165" s="82" t="str">
        <x:f t="shared" si="13">IF(L165&gt;0,L165,K165)</x:f>
      </x:c>
      <x:c r="N165" s="53"/>
      <x:c r="O165" s="53"/>
      <x:c r="P165" s="53"/>
      <x:c r="Q165" s="81" t="str">
        <x:f>IFERROR(INDEX('Resource Rate Library'!$C$5:$C$85,MATCH(P165,'Resource Rate Library'!$A$5:$A$85,0)),"")</x:f>
      </x:c>
      <x:c r="R165" s="53"/>
      <x:c r="S165" s="53"/>
      <x:c r="T165" s="81" t="str">
        <x:f>IFERROR(INDEX('Resource Rate Library'!$E$5:$E$85,MATCH(P165,'Resource Rate Library'!$A$5:$A$85,0)),"")</x:f>
      </x:c>
      <x:c r="U165" s="62"/>
      <x:c r="V165" s="62"/>
      <x:c r="W165" s="83" t="n">
        <x:f>IFERROR(INDEX('Resource Rate Library'!$I$5:$I$85,MATCH(P165,'Resource Rate Library'!$A$5:$A$85,0)),0)</x:f>
        <x:v>0</x:v>
      </x:c>
      <x:c r="X165" s="52"/>
      <x:c r="Y165" s="83" t="n">
        <x:f t="shared" si="14">IF(X165&gt;0,X165,W165)</x:f>
        <x:v>0</x:v>
      </x:c>
      <x:c r="Z165" s="83" t="str">
        <x:f t="shared" si="15">IF(B165="","",IF(N165="Time x Count",M165*R165*IF(U165="",1,U165)*Y165,IF(N165="QS Qty x Factor",E165*R165*(1+IF(V165="",0,V165))*Y165,IF(N165="Direct Qty",S165*(1+IF(V165="",0,V165))*Y165,IF(N165="Lump Sum / Quote",S165*Y165,0)))))</x:f>
      </x:c>
      <x:c r="AA165" s="81" t="str">
        <x:f>IFERROR(INDEX('Resource Rate Library'!$N$5:$N$85,MATCH(P165,'Resource Rate Library'!$A$5:$A$85,0)),"")</x:f>
      </x:c>
      <x:c r="AB165" s="53"/>
      <x:c r="AC165" s="59"/>
      <x:c r="AD165" s="81" t="str">
        <x:f>IFERROR(INDEX('Resource Rate Library'!$G$5:$G$85,MATCH(P165,'Resource Rate Library'!$A$5:$A$85,0)),"")</x:f>
      </x:c>
      <x:c r="AE165" s="81" t="str">
        <x:f>IFERROR(INDEX('Resource Rate Library'!$H$5:$H$85,MATCH(P165,'Resource Rate Library'!$A$5:$A$85,0)),"")</x:f>
      </x:c>
      <x:c r="AF165" s="53"/>
      <x:c r="AG165" s="53"/>
      <x:c r="AH165" s="53"/>
      <x:c r="AI165" s="81" t="str">
        <x:f t="shared" si="16">IF(B165="","",IF(AND(P165="",N165&lt;&gt;"Lump Sum / Quote"),"RESOURCE CODE",IF(Y165=0,"RATE MISSING",IF(AND(O165="Plant",AD165="Yes",COUNTIFS($B$7:$B$306,B165,$O$7:$O$306,"Labour",$Q$7:$Q$306,"*Operator*")&gt;0),"OPERATOR DOUBLE-COUNT",IF(AND(O165="Plant",AE165="Yes",COUNTIFS($B$7:$B$306,B165,$Q$7:$Q$306,"*Fuel*")&gt;0),"FUEL DOUBLE-COUNT",IF(AH165&lt;&gt;"Yes","VERIFY","OK"))))))</x:f>
      </x:c>
      <x:c r="AJ165" s="54"/>
      <x:c r="AK165" s="473"/>
      <x:c r="AL165" s="473"/>
      <x:c r="AM165" s="473"/>
      <x:c r="AN165" s="500" t="n">
        <x:f>IF(AND(AK165="Yes",OR(O165="Labour",O165="Plant")),Z165,0)</x:f>
        <x:v>0</x:v>
      </x:c>
    </x:row>
    <x:row r="166">
      <x:c r="A166" s="80" t="str">
        <x:f>IF(B166="","",B166&amp;"-"&amp;TEXT(COUNTIF($B$7:B166,B166),"000"))</x:f>
      </x:c>
      <x:c r="B166" s="53"/>
      <x:c r="C166" s="81" t="str">
        <x:f>IFERROR(INDEX('QS Takeoff'!$A$3:$A$194,MATCH(B166,'QS Takeoff'!$B$3:$B$194,0)),"")</x:f>
      </x:c>
      <x:c r="D166" s="81" t="str">
        <x:f>IFERROR(INDEX('QS Takeoff'!$C$3:$C$194,MATCH(B166,'QS Takeoff'!$B$3:$B$194,0)),"")</x:f>
      </x:c>
      <x:c r="E166" s="81" t="str">
        <x:f>IFERROR(INDEX('QS Takeoff'!$E$3:$E$194,MATCH(B166,'QS Takeoff'!$B$3:$B$194,0)),"")</x:f>
      </x:c>
      <x:c r="F166" s="81" t="str">
        <x:f>IFERROR(INDEX('QS Takeoff'!$D$3:$D$194,MATCH(B166,'QS Takeoff'!$B$3:$B$194,0)),"")</x:f>
      </x:c>
      <x:c r="G166" s="81" t="str">
        <x:f>IFERROR(INDEX('QS Takeoff'!$J$3:$J$194,MATCH(B166,'QS Takeoff'!$B$3:$B$194,0)),"")</x:f>
      </x:c>
      <x:c r="H166" s="53"/>
      <x:c r="I166" s="60"/>
      <x:c r="J166" s="60"/>
      <x:c r="K166" s="82" t="str">
        <x:f t="shared" si="12">IF(OR(B166="",I166="",I166=0),"",E166/I166)</x:f>
      </x:c>
      <x:c r="L166" s="60"/>
      <x:c r="M166" s="82" t="str">
        <x:f t="shared" si="13">IF(L166&gt;0,L166,K166)</x:f>
      </x:c>
      <x:c r="N166" s="53"/>
      <x:c r="O166" s="53"/>
      <x:c r="P166" s="53"/>
      <x:c r="Q166" s="81" t="str">
        <x:f>IFERROR(INDEX('Resource Rate Library'!$C$5:$C$85,MATCH(P166,'Resource Rate Library'!$A$5:$A$85,0)),"")</x:f>
      </x:c>
      <x:c r="R166" s="53"/>
      <x:c r="S166" s="53"/>
      <x:c r="T166" s="81" t="str">
        <x:f>IFERROR(INDEX('Resource Rate Library'!$E$5:$E$85,MATCH(P166,'Resource Rate Library'!$A$5:$A$85,0)),"")</x:f>
      </x:c>
      <x:c r="U166" s="62"/>
      <x:c r="V166" s="62"/>
      <x:c r="W166" s="83" t="n">
        <x:f>IFERROR(INDEX('Resource Rate Library'!$I$5:$I$85,MATCH(P166,'Resource Rate Library'!$A$5:$A$85,0)),0)</x:f>
        <x:v>0</x:v>
      </x:c>
      <x:c r="X166" s="52"/>
      <x:c r="Y166" s="83" t="n">
        <x:f t="shared" si="14">IF(X166&gt;0,X166,W166)</x:f>
        <x:v>0</x:v>
      </x:c>
      <x:c r="Z166" s="83" t="str">
        <x:f t="shared" si="15">IF(B166="","",IF(N166="Time x Count",M166*R166*IF(U166="",1,U166)*Y166,IF(N166="QS Qty x Factor",E166*R166*(1+IF(V166="",0,V166))*Y166,IF(N166="Direct Qty",S166*(1+IF(V166="",0,V166))*Y166,IF(N166="Lump Sum / Quote",S166*Y166,0)))))</x:f>
      </x:c>
      <x:c r="AA166" s="81" t="str">
        <x:f>IFERROR(INDEX('Resource Rate Library'!$N$5:$N$85,MATCH(P166,'Resource Rate Library'!$A$5:$A$85,0)),"")</x:f>
      </x:c>
      <x:c r="AB166" s="53"/>
      <x:c r="AC166" s="59"/>
      <x:c r="AD166" s="81" t="str">
        <x:f>IFERROR(INDEX('Resource Rate Library'!$G$5:$G$85,MATCH(P166,'Resource Rate Library'!$A$5:$A$85,0)),"")</x:f>
      </x:c>
      <x:c r="AE166" s="81" t="str">
        <x:f>IFERROR(INDEX('Resource Rate Library'!$H$5:$H$85,MATCH(P166,'Resource Rate Library'!$A$5:$A$85,0)),"")</x:f>
      </x:c>
      <x:c r="AF166" s="53"/>
      <x:c r="AG166" s="53"/>
      <x:c r="AH166" s="53"/>
      <x:c r="AI166" s="81" t="str">
        <x:f t="shared" si="16">IF(B166="","",IF(AND(P166="",N166&lt;&gt;"Lump Sum / Quote"),"RESOURCE CODE",IF(Y166=0,"RATE MISSING",IF(AND(O166="Plant",AD166="Yes",COUNTIFS($B$7:$B$306,B166,$O$7:$O$306,"Labour",$Q$7:$Q$306,"*Operator*")&gt;0),"OPERATOR DOUBLE-COUNT",IF(AND(O166="Plant",AE166="Yes",COUNTIFS($B$7:$B$306,B166,$Q$7:$Q$306,"*Fuel*")&gt;0),"FUEL DOUBLE-COUNT",IF(AH166&lt;&gt;"Yes","VERIFY","OK"))))))</x:f>
      </x:c>
      <x:c r="AJ166" s="54"/>
      <x:c r="AK166" s="473"/>
      <x:c r="AL166" s="473"/>
      <x:c r="AM166" s="473"/>
      <x:c r="AN166" s="500" t="n">
        <x:f>IF(AND(AK166="Yes",OR(O166="Labour",O166="Plant")),Z166,0)</x:f>
        <x:v>0</x:v>
      </x:c>
    </x:row>
    <x:row r="167">
      <x:c r="A167" s="80" t="str">
        <x:f>IF(B167="","",B167&amp;"-"&amp;TEXT(COUNTIF($B$7:B167,B167),"000"))</x:f>
      </x:c>
      <x:c r="B167" s="53"/>
      <x:c r="C167" s="81" t="str">
        <x:f>IFERROR(INDEX('QS Takeoff'!$A$3:$A$194,MATCH(B167,'QS Takeoff'!$B$3:$B$194,0)),"")</x:f>
      </x:c>
      <x:c r="D167" s="81" t="str">
        <x:f>IFERROR(INDEX('QS Takeoff'!$C$3:$C$194,MATCH(B167,'QS Takeoff'!$B$3:$B$194,0)),"")</x:f>
      </x:c>
      <x:c r="E167" s="81" t="str">
        <x:f>IFERROR(INDEX('QS Takeoff'!$E$3:$E$194,MATCH(B167,'QS Takeoff'!$B$3:$B$194,0)),"")</x:f>
      </x:c>
      <x:c r="F167" s="81" t="str">
        <x:f>IFERROR(INDEX('QS Takeoff'!$D$3:$D$194,MATCH(B167,'QS Takeoff'!$B$3:$B$194,0)),"")</x:f>
      </x:c>
      <x:c r="G167" s="81" t="str">
        <x:f>IFERROR(INDEX('QS Takeoff'!$J$3:$J$194,MATCH(B167,'QS Takeoff'!$B$3:$B$194,0)),"")</x:f>
      </x:c>
      <x:c r="H167" s="53"/>
      <x:c r="I167" s="60"/>
      <x:c r="J167" s="60"/>
      <x:c r="K167" s="82" t="str">
        <x:f t="shared" si="12">IF(OR(B167="",I167="",I167=0),"",E167/I167)</x:f>
      </x:c>
      <x:c r="L167" s="60"/>
      <x:c r="M167" s="82" t="str">
        <x:f t="shared" si="13">IF(L167&gt;0,L167,K167)</x:f>
      </x:c>
      <x:c r="N167" s="53"/>
      <x:c r="O167" s="53"/>
      <x:c r="P167" s="53"/>
      <x:c r="Q167" s="81" t="str">
        <x:f>IFERROR(INDEX('Resource Rate Library'!$C$5:$C$85,MATCH(P167,'Resource Rate Library'!$A$5:$A$85,0)),"")</x:f>
      </x:c>
      <x:c r="R167" s="53"/>
      <x:c r="S167" s="53"/>
      <x:c r="T167" s="81" t="str">
        <x:f>IFERROR(INDEX('Resource Rate Library'!$E$5:$E$85,MATCH(P167,'Resource Rate Library'!$A$5:$A$85,0)),"")</x:f>
      </x:c>
      <x:c r="U167" s="62"/>
      <x:c r="V167" s="62"/>
      <x:c r="W167" s="83" t="n">
        <x:f>IFERROR(INDEX('Resource Rate Library'!$I$5:$I$85,MATCH(P167,'Resource Rate Library'!$A$5:$A$85,0)),0)</x:f>
        <x:v>0</x:v>
      </x:c>
      <x:c r="X167" s="52"/>
      <x:c r="Y167" s="83" t="n">
        <x:f t="shared" si="14">IF(X167&gt;0,X167,W167)</x:f>
        <x:v>0</x:v>
      </x:c>
      <x:c r="Z167" s="83" t="str">
        <x:f t="shared" si="15">IF(B167="","",IF(N167="Time x Count",M167*R167*IF(U167="",1,U167)*Y167,IF(N167="QS Qty x Factor",E167*R167*(1+IF(V167="",0,V167))*Y167,IF(N167="Direct Qty",S167*(1+IF(V167="",0,V167))*Y167,IF(N167="Lump Sum / Quote",S167*Y167,0)))))</x:f>
      </x:c>
      <x:c r="AA167" s="81" t="str">
        <x:f>IFERROR(INDEX('Resource Rate Library'!$N$5:$N$85,MATCH(P167,'Resource Rate Library'!$A$5:$A$85,0)),"")</x:f>
      </x:c>
      <x:c r="AB167" s="53"/>
      <x:c r="AC167" s="59"/>
      <x:c r="AD167" s="81" t="str">
        <x:f>IFERROR(INDEX('Resource Rate Library'!$G$5:$G$85,MATCH(P167,'Resource Rate Library'!$A$5:$A$85,0)),"")</x:f>
      </x:c>
      <x:c r="AE167" s="81" t="str">
        <x:f>IFERROR(INDEX('Resource Rate Library'!$H$5:$H$85,MATCH(P167,'Resource Rate Library'!$A$5:$A$85,0)),"")</x:f>
      </x:c>
      <x:c r="AF167" s="53"/>
      <x:c r="AG167" s="53"/>
      <x:c r="AH167" s="53"/>
      <x:c r="AI167" s="81" t="str">
        <x:f t="shared" si="16">IF(B167="","",IF(AND(P167="",N167&lt;&gt;"Lump Sum / Quote"),"RESOURCE CODE",IF(Y167=0,"RATE MISSING",IF(AND(O167="Plant",AD167="Yes",COUNTIFS($B$7:$B$306,B167,$O$7:$O$306,"Labour",$Q$7:$Q$306,"*Operator*")&gt;0),"OPERATOR DOUBLE-COUNT",IF(AND(O167="Plant",AE167="Yes",COUNTIFS($B$7:$B$306,B167,$Q$7:$Q$306,"*Fuel*")&gt;0),"FUEL DOUBLE-COUNT",IF(AH167&lt;&gt;"Yes","VERIFY","OK"))))))</x:f>
      </x:c>
      <x:c r="AJ167" s="54"/>
      <x:c r="AK167" s="473"/>
      <x:c r="AL167" s="473"/>
      <x:c r="AM167" s="473"/>
      <x:c r="AN167" s="500" t="n">
        <x:f>IF(AND(AK167="Yes",OR(O167="Labour",O167="Plant")),Z167,0)</x:f>
        <x:v>0</x:v>
      </x:c>
    </x:row>
    <x:row r="168">
      <x:c r="A168" s="80" t="str">
        <x:f>IF(B168="","",B168&amp;"-"&amp;TEXT(COUNTIF($B$7:B168,B168),"000"))</x:f>
      </x:c>
      <x:c r="B168" s="53"/>
      <x:c r="C168" s="81" t="str">
        <x:f>IFERROR(INDEX('QS Takeoff'!$A$3:$A$194,MATCH(B168,'QS Takeoff'!$B$3:$B$194,0)),"")</x:f>
      </x:c>
      <x:c r="D168" s="81" t="str">
        <x:f>IFERROR(INDEX('QS Takeoff'!$C$3:$C$194,MATCH(B168,'QS Takeoff'!$B$3:$B$194,0)),"")</x:f>
      </x:c>
      <x:c r="E168" s="81" t="str">
        <x:f>IFERROR(INDEX('QS Takeoff'!$E$3:$E$194,MATCH(B168,'QS Takeoff'!$B$3:$B$194,0)),"")</x:f>
      </x:c>
      <x:c r="F168" s="81" t="str">
        <x:f>IFERROR(INDEX('QS Takeoff'!$D$3:$D$194,MATCH(B168,'QS Takeoff'!$B$3:$B$194,0)),"")</x:f>
      </x:c>
      <x:c r="G168" s="81" t="str">
        <x:f>IFERROR(INDEX('QS Takeoff'!$J$3:$J$194,MATCH(B168,'QS Takeoff'!$B$3:$B$194,0)),"")</x:f>
      </x:c>
      <x:c r="H168" s="53"/>
      <x:c r="I168" s="60"/>
      <x:c r="J168" s="60"/>
      <x:c r="K168" s="82" t="str">
        <x:f t="shared" si="12">IF(OR(B168="",I168="",I168=0),"",E168/I168)</x:f>
      </x:c>
      <x:c r="L168" s="60"/>
      <x:c r="M168" s="82" t="str">
        <x:f t="shared" si="13">IF(L168&gt;0,L168,K168)</x:f>
      </x:c>
      <x:c r="N168" s="53"/>
      <x:c r="O168" s="53"/>
      <x:c r="P168" s="53"/>
      <x:c r="Q168" s="81" t="str">
        <x:f>IFERROR(INDEX('Resource Rate Library'!$C$5:$C$85,MATCH(P168,'Resource Rate Library'!$A$5:$A$85,0)),"")</x:f>
      </x:c>
      <x:c r="R168" s="53"/>
      <x:c r="S168" s="53"/>
      <x:c r="T168" s="81" t="str">
        <x:f>IFERROR(INDEX('Resource Rate Library'!$E$5:$E$85,MATCH(P168,'Resource Rate Library'!$A$5:$A$85,0)),"")</x:f>
      </x:c>
      <x:c r="U168" s="62"/>
      <x:c r="V168" s="62"/>
      <x:c r="W168" s="83" t="n">
        <x:f>IFERROR(INDEX('Resource Rate Library'!$I$5:$I$85,MATCH(P168,'Resource Rate Library'!$A$5:$A$85,0)),0)</x:f>
        <x:v>0</x:v>
      </x:c>
      <x:c r="X168" s="52"/>
      <x:c r="Y168" s="83" t="n">
        <x:f t="shared" si="14">IF(X168&gt;0,X168,W168)</x:f>
        <x:v>0</x:v>
      </x:c>
      <x:c r="Z168" s="83" t="str">
        <x:f t="shared" si="15">IF(B168="","",IF(N168="Time x Count",M168*R168*IF(U168="",1,U168)*Y168,IF(N168="QS Qty x Factor",E168*R168*(1+IF(V168="",0,V168))*Y168,IF(N168="Direct Qty",S168*(1+IF(V168="",0,V168))*Y168,IF(N168="Lump Sum / Quote",S168*Y168,0)))))</x:f>
      </x:c>
      <x:c r="AA168" s="81" t="str">
        <x:f>IFERROR(INDEX('Resource Rate Library'!$N$5:$N$85,MATCH(P168,'Resource Rate Library'!$A$5:$A$85,0)),"")</x:f>
      </x:c>
      <x:c r="AB168" s="53"/>
      <x:c r="AC168" s="59"/>
      <x:c r="AD168" s="81" t="str">
        <x:f>IFERROR(INDEX('Resource Rate Library'!$G$5:$G$85,MATCH(P168,'Resource Rate Library'!$A$5:$A$85,0)),"")</x:f>
      </x:c>
      <x:c r="AE168" s="81" t="str">
        <x:f>IFERROR(INDEX('Resource Rate Library'!$H$5:$H$85,MATCH(P168,'Resource Rate Library'!$A$5:$A$85,0)),"")</x:f>
      </x:c>
      <x:c r="AF168" s="53"/>
      <x:c r="AG168" s="53"/>
      <x:c r="AH168" s="53"/>
      <x:c r="AI168" s="81" t="str">
        <x:f t="shared" si="16">IF(B168="","",IF(AND(P168="",N168&lt;&gt;"Lump Sum / Quote"),"RESOURCE CODE",IF(Y168=0,"RATE MISSING",IF(AND(O168="Plant",AD168="Yes",COUNTIFS($B$7:$B$306,B168,$O$7:$O$306,"Labour",$Q$7:$Q$306,"*Operator*")&gt;0),"OPERATOR DOUBLE-COUNT",IF(AND(O168="Plant",AE168="Yes",COUNTIFS($B$7:$B$306,B168,$Q$7:$Q$306,"*Fuel*")&gt;0),"FUEL DOUBLE-COUNT",IF(AH168&lt;&gt;"Yes","VERIFY","OK"))))))</x:f>
      </x:c>
      <x:c r="AJ168" s="54"/>
      <x:c r="AK168" s="473"/>
      <x:c r="AL168" s="473"/>
      <x:c r="AM168" s="473"/>
      <x:c r="AN168" s="500" t="n">
        <x:f>IF(AND(AK168="Yes",OR(O168="Labour",O168="Plant")),Z168,0)</x:f>
        <x:v>0</x:v>
      </x:c>
    </x:row>
    <x:row r="169">
      <x:c r="A169" s="80" t="str">
        <x:f>IF(B169="","",B169&amp;"-"&amp;TEXT(COUNTIF($B$7:B169,B169),"000"))</x:f>
      </x:c>
      <x:c r="B169" s="53"/>
      <x:c r="C169" s="81" t="str">
        <x:f>IFERROR(INDEX('QS Takeoff'!$A$3:$A$194,MATCH(B169,'QS Takeoff'!$B$3:$B$194,0)),"")</x:f>
      </x:c>
      <x:c r="D169" s="81" t="str">
        <x:f>IFERROR(INDEX('QS Takeoff'!$C$3:$C$194,MATCH(B169,'QS Takeoff'!$B$3:$B$194,0)),"")</x:f>
      </x:c>
      <x:c r="E169" s="81" t="str">
        <x:f>IFERROR(INDEX('QS Takeoff'!$E$3:$E$194,MATCH(B169,'QS Takeoff'!$B$3:$B$194,0)),"")</x:f>
      </x:c>
      <x:c r="F169" s="81" t="str">
        <x:f>IFERROR(INDEX('QS Takeoff'!$D$3:$D$194,MATCH(B169,'QS Takeoff'!$B$3:$B$194,0)),"")</x:f>
      </x:c>
      <x:c r="G169" s="81" t="str">
        <x:f>IFERROR(INDEX('QS Takeoff'!$J$3:$J$194,MATCH(B169,'QS Takeoff'!$B$3:$B$194,0)),"")</x:f>
      </x:c>
      <x:c r="H169" s="53"/>
      <x:c r="I169" s="60"/>
      <x:c r="J169" s="60"/>
      <x:c r="K169" s="82" t="str">
        <x:f t="shared" si="12">IF(OR(B169="",I169="",I169=0),"",E169/I169)</x:f>
      </x:c>
      <x:c r="L169" s="60"/>
      <x:c r="M169" s="82" t="str">
        <x:f t="shared" si="13">IF(L169&gt;0,L169,K169)</x:f>
      </x:c>
      <x:c r="N169" s="53"/>
      <x:c r="O169" s="53"/>
      <x:c r="P169" s="53"/>
      <x:c r="Q169" s="81" t="str">
        <x:f>IFERROR(INDEX('Resource Rate Library'!$C$5:$C$85,MATCH(P169,'Resource Rate Library'!$A$5:$A$85,0)),"")</x:f>
      </x:c>
      <x:c r="R169" s="53"/>
      <x:c r="S169" s="53"/>
      <x:c r="T169" s="81" t="str">
        <x:f>IFERROR(INDEX('Resource Rate Library'!$E$5:$E$85,MATCH(P169,'Resource Rate Library'!$A$5:$A$85,0)),"")</x:f>
      </x:c>
      <x:c r="U169" s="62"/>
      <x:c r="V169" s="62"/>
      <x:c r="W169" s="83" t="n">
        <x:f>IFERROR(INDEX('Resource Rate Library'!$I$5:$I$85,MATCH(P169,'Resource Rate Library'!$A$5:$A$85,0)),0)</x:f>
        <x:v>0</x:v>
      </x:c>
      <x:c r="X169" s="52"/>
      <x:c r="Y169" s="83" t="n">
        <x:f t="shared" si="14">IF(X169&gt;0,X169,W169)</x:f>
        <x:v>0</x:v>
      </x:c>
      <x:c r="Z169" s="83" t="str">
        <x:f t="shared" si="15">IF(B169="","",IF(N169="Time x Count",M169*R169*IF(U169="",1,U169)*Y169,IF(N169="QS Qty x Factor",E169*R169*(1+IF(V169="",0,V169))*Y169,IF(N169="Direct Qty",S169*(1+IF(V169="",0,V169))*Y169,IF(N169="Lump Sum / Quote",S169*Y169,0)))))</x:f>
      </x:c>
      <x:c r="AA169" s="81" t="str">
        <x:f>IFERROR(INDEX('Resource Rate Library'!$N$5:$N$85,MATCH(P169,'Resource Rate Library'!$A$5:$A$85,0)),"")</x:f>
      </x:c>
      <x:c r="AB169" s="53"/>
      <x:c r="AC169" s="59"/>
      <x:c r="AD169" s="81" t="str">
        <x:f>IFERROR(INDEX('Resource Rate Library'!$G$5:$G$85,MATCH(P169,'Resource Rate Library'!$A$5:$A$85,0)),"")</x:f>
      </x:c>
      <x:c r="AE169" s="81" t="str">
        <x:f>IFERROR(INDEX('Resource Rate Library'!$H$5:$H$85,MATCH(P169,'Resource Rate Library'!$A$5:$A$85,0)),"")</x:f>
      </x:c>
      <x:c r="AF169" s="53"/>
      <x:c r="AG169" s="53"/>
      <x:c r="AH169" s="53"/>
      <x:c r="AI169" s="81" t="str">
        <x:f t="shared" si="16">IF(B169="","",IF(AND(P169="",N169&lt;&gt;"Lump Sum / Quote"),"RESOURCE CODE",IF(Y169=0,"RATE MISSING",IF(AND(O169="Plant",AD169="Yes",COUNTIFS($B$7:$B$306,B169,$O$7:$O$306,"Labour",$Q$7:$Q$306,"*Operator*")&gt;0),"OPERATOR DOUBLE-COUNT",IF(AND(O169="Plant",AE169="Yes",COUNTIFS($B$7:$B$306,B169,$Q$7:$Q$306,"*Fuel*")&gt;0),"FUEL DOUBLE-COUNT",IF(AH169&lt;&gt;"Yes","VERIFY","OK"))))))</x:f>
      </x:c>
      <x:c r="AJ169" s="54"/>
      <x:c r="AK169" s="473"/>
      <x:c r="AL169" s="473"/>
      <x:c r="AM169" s="473"/>
      <x:c r="AN169" s="500" t="n">
        <x:f>IF(AND(AK169="Yes",OR(O169="Labour",O169="Plant")),Z169,0)</x:f>
        <x:v>0</x:v>
      </x:c>
    </x:row>
    <x:row r="170">
      <x:c r="A170" s="80" t="str">
        <x:f>IF(B170="","",B170&amp;"-"&amp;TEXT(COUNTIF($B$7:B170,B170),"000"))</x:f>
      </x:c>
      <x:c r="B170" s="53"/>
      <x:c r="C170" s="81" t="str">
        <x:f>IFERROR(INDEX('QS Takeoff'!$A$3:$A$194,MATCH(B170,'QS Takeoff'!$B$3:$B$194,0)),"")</x:f>
      </x:c>
      <x:c r="D170" s="81" t="str">
        <x:f>IFERROR(INDEX('QS Takeoff'!$C$3:$C$194,MATCH(B170,'QS Takeoff'!$B$3:$B$194,0)),"")</x:f>
      </x:c>
      <x:c r="E170" s="81" t="str">
        <x:f>IFERROR(INDEX('QS Takeoff'!$E$3:$E$194,MATCH(B170,'QS Takeoff'!$B$3:$B$194,0)),"")</x:f>
      </x:c>
      <x:c r="F170" s="81" t="str">
        <x:f>IFERROR(INDEX('QS Takeoff'!$D$3:$D$194,MATCH(B170,'QS Takeoff'!$B$3:$B$194,0)),"")</x:f>
      </x:c>
      <x:c r="G170" s="81" t="str">
        <x:f>IFERROR(INDEX('QS Takeoff'!$J$3:$J$194,MATCH(B170,'QS Takeoff'!$B$3:$B$194,0)),"")</x:f>
      </x:c>
      <x:c r="H170" s="53"/>
      <x:c r="I170" s="60"/>
      <x:c r="J170" s="60"/>
      <x:c r="K170" s="82" t="str">
        <x:f t="shared" si="12">IF(OR(B170="",I170="",I170=0),"",E170/I170)</x:f>
      </x:c>
      <x:c r="L170" s="60"/>
      <x:c r="M170" s="82" t="str">
        <x:f t="shared" si="13">IF(L170&gt;0,L170,K170)</x:f>
      </x:c>
      <x:c r="N170" s="53"/>
      <x:c r="O170" s="53"/>
      <x:c r="P170" s="53"/>
      <x:c r="Q170" s="81" t="str">
        <x:f>IFERROR(INDEX('Resource Rate Library'!$C$5:$C$85,MATCH(P170,'Resource Rate Library'!$A$5:$A$85,0)),"")</x:f>
      </x:c>
      <x:c r="R170" s="53"/>
      <x:c r="S170" s="53"/>
      <x:c r="T170" s="81" t="str">
        <x:f>IFERROR(INDEX('Resource Rate Library'!$E$5:$E$85,MATCH(P170,'Resource Rate Library'!$A$5:$A$85,0)),"")</x:f>
      </x:c>
      <x:c r="U170" s="62"/>
      <x:c r="V170" s="62"/>
      <x:c r="W170" s="83" t="n">
        <x:f>IFERROR(INDEX('Resource Rate Library'!$I$5:$I$85,MATCH(P170,'Resource Rate Library'!$A$5:$A$85,0)),0)</x:f>
        <x:v>0</x:v>
      </x:c>
      <x:c r="X170" s="52"/>
      <x:c r="Y170" s="83" t="n">
        <x:f t="shared" si="14">IF(X170&gt;0,X170,W170)</x:f>
        <x:v>0</x:v>
      </x:c>
      <x:c r="Z170" s="83" t="str">
        <x:f t="shared" si="15">IF(B170="","",IF(N170="Time x Count",M170*R170*IF(U170="",1,U170)*Y170,IF(N170="QS Qty x Factor",E170*R170*(1+IF(V170="",0,V170))*Y170,IF(N170="Direct Qty",S170*(1+IF(V170="",0,V170))*Y170,IF(N170="Lump Sum / Quote",S170*Y170,0)))))</x:f>
      </x:c>
      <x:c r="AA170" s="81" t="str">
        <x:f>IFERROR(INDEX('Resource Rate Library'!$N$5:$N$85,MATCH(P170,'Resource Rate Library'!$A$5:$A$85,0)),"")</x:f>
      </x:c>
      <x:c r="AB170" s="53"/>
      <x:c r="AC170" s="59"/>
      <x:c r="AD170" s="81" t="str">
        <x:f>IFERROR(INDEX('Resource Rate Library'!$G$5:$G$85,MATCH(P170,'Resource Rate Library'!$A$5:$A$85,0)),"")</x:f>
      </x:c>
      <x:c r="AE170" s="81" t="str">
        <x:f>IFERROR(INDEX('Resource Rate Library'!$H$5:$H$85,MATCH(P170,'Resource Rate Library'!$A$5:$A$85,0)),"")</x:f>
      </x:c>
      <x:c r="AF170" s="53"/>
      <x:c r="AG170" s="53"/>
      <x:c r="AH170" s="53"/>
      <x:c r="AI170" s="81" t="str">
        <x:f t="shared" si="16">IF(B170="","",IF(AND(P170="",N170&lt;&gt;"Lump Sum / Quote"),"RESOURCE CODE",IF(Y170=0,"RATE MISSING",IF(AND(O170="Plant",AD170="Yes",COUNTIFS($B$7:$B$306,B170,$O$7:$O$306,"Labour",$Q$7:$Q$306,"*Operator*")&gt;0),"OPERATOR DOUBLE-COUNT",IF(AND(O170="Plant",AE170="Yes",COUNTIFS($B$7:$B$306,B170,$Q$7:$Q$306,"*Fuel*")&gt;0),"FUEL DOUBLE-COUNT",IF(AH170&lt;&gt;"Yes","VERIFY","OK"))))))</x:f>
      </x:c>
      <x:c r="AJ170" s="54"/>
      <x:c r="AK170" s="473"/>
      <x:c r="AL170" s="473"/>
      <x:c r="AM170" s="473"/>
      <x:c r="AN170" s="500" t="n">
        <x:f>IF(AND(AK170="Yes",OR(O170="Labour",O170="Plant")),Z170,0)</x:f>
        <x:v>0</x:v>
      </x:c>
    </x:row>
    <x:row r="171">
      <x:c r="A171" s="80" t="str">
        <x:f>IF(B171="","",B171&amp;"-"&amp;TEXT(COUNTIF($B$7:B171,B171),"000"))</x:f>
      </x:c>
      <x:c r="B171" s="53"/>
      <x:c r="C171" s="81" t="str">
        <x:f>IFERROR(INDEX('QS Takeoff'!$A$3:$A$194,MATCH(B171,'QS Takeoff'!$B$3:$B$194,0)),"")</x:f>
      </x:c>
      <x:c r="D171" s="81" t="str">
        <x:f>IFERROR(INDEX('QS Takeoff'!$C$3:$C$194,MATCH(B171,'QS Takeoff'!$B$3:$B$194,0)),"")</x:f>
      </x:c>
      <x:c r="E171" s="81" t="str">
        <x:f>IFERROR(INDEX('QS Takeoff'!$E$3:$E$194,MATCH(B171,'QS Takeoff'!$B$3:$B$194,0)),"")</x:f>
      </x:c>
      <x:c r="F171" s="81" t="str">
        <x:f>IFERROR(INDEX('QS Takeoff'!$D$3:$D$194,MATCH(B171,'QS Takeoff'!$B$3:$B$194,0)),"")</x:f>
      </x:c>
      <x:c r="G171" s="81" t="str">
        <x:f>IFERROR(INDEX('QS Takeoff'!$J$3:$J$194,MATCH(B171,'QS Takeoff'!$B$3:$B$194,0)),"")</x:f>
      </x:c>
      <x:c r="H171" s="53"/>
      <x:c r="I171" s="60"/>
      <x:c r="J171" s="60"/>
      <x:c r="K171" s="82" t="str">
        <x:f t="shared" si="12">IF(OR(B171="",I171="",I171=0),"",E171/I171)</x:f>
      </x:c>
      <x:c r="L171" s="60"/>
      <x:c r="M171" s="82" t="str">
        <x:f t="shared" si="13">IF(L171&gt;0,L171,K171)</x:f>
      </x:c>
      <x:c r="N171" s="53"/>
      <x:c r="O171" s="53"/>
      <x:c r="P171" s="53"/>
      <x:c r="Q171" s="81" t="str">
        <x:f>IFERROR(INDEX('Resource Rate Library'!$C$5:$C$85,MATCH(P171,'Resource Rate Library'!$A$5:$A$85,0)),"")</x:f>
      </x:c>
      <x:c r="R171" s="53"/>
      <x:c r="S171" s="53"/>
      <x:c r="T171" s="81" t="str">
        <x:f>IFERROR(INDEX('Resource Rate Library'!$E$5:$E$85,MATCH(P171,'Resource Rate Library'!$A$5:$A$85,0)),"")</x:f>
      </x:c>
      <x:c r="U171" s="62"/>
      <x:c r="V171" s="62"/>
      <x:c r="W171" s="83" t="n">
        <x:f>IFERROR(INDEX('Resource Rate Library'!$I$5:$I$85,MATCH(P171,'Resource Rate Library'!$A$5:$A$85,0)),0)</x:f>
        <x:v>0</x:v>
      </x:c>
      <x:c r="X171" s="52"/>
      <x:c r="Y171" s="83" t="n">
        <x:f t="shared" si="14">IF(X171&gt;0,X171,W171)</x:f>
        <x:v>0</x:v>
      </x:c>
      <x:c r="Z171" s="83" t="str">
        <x:f t="shared" si="15">IF(B171="","",IF(N171="Time x Count",M171*R171*IF(U171="",1,U171)*Y171,IF(N171="QS Qty x Factor",E171*R171*(1+IF(V171="",0,V171))*Y171,IF(N171="Direct Qty",S171*(1+IF(V171="",0,V171))*Y171,IF(N171="Lump Sum / Quote",S171*Y171,0)))))</x:f>
      </x:c>
      <x:c r="AA171" s="81" t="str">
        <x:f>IFERROR(INDEX('Resource Rate Library'!$N$5:$N$85,MATCH(P171,'Resource Rate Library'!$A$5:$A$85,0)),"")</x:f>
      </x:c>
      <x:c r="AB171" s="53"/>
      <x:c r="AC171" s="59"/>
      <x:c r="AD171" s="81" t="str">
        <x:f>IFERROR(INDEX('Resource Rate Library'!$G$5:$G$85,MATCH(P171,'Resource Rate Library'!$A$5:$A$85,0)),"")</x:f>
      </x:c>
      <x:c r="AE171" s="81" t="str">
        <x:f>IFERROR(INDEX('Resource Rate Library'!$H$5:$H$85,MATCH(P171,'Resource Rate Library'!$A$5:$A$85,0)),"")</x:f>
      </x:c>
      <x:c r="AF171" s="53"/>
      <x:c r="AG171" s="53"/>
      <x:c r="AH171" s="53"/>
      <x:c r="AI171" s="81" t="str">
        <x:f t="shared" si="16">IF(B171="","",IF(AND(P171="",N171&lt;&gt;"Lump Sum / Quote"),"RESOURCE CODE",IF(Y171=0,"RATE MISSING",IF(AND(O171="Plant",AD171="Yes",COUNTIFS($B$7:$B$306,B171,$O$7:$O$306,"Labour",$Q$7:$Q$306,"*Operator*")&gt;0),"OPERATOR DOUBLE-COUNT",IF(AND(O171="Plant",AE171="Yes",COUNTIFS($B$7:$B$306,B171,$Q$7:$Q$306,"*Fuel*")&gt;0),"FUEL DOUBLE-COUNT",IF(AH171&lt;&gt;"Yes","VERIFY","OK"))))))</x:f>
      </x:c>
      <x:c r="AJ171" s="54"/>
      <x:c r="AK171" s="473"/>
      <x:c r="AL171" s="473"/>
      <x:c r="AM171" s="473"/>
      <x:c r="AN171" s="500" t="n">
        <x:f>IF(AND(AK171="Yes",OR(O171="Labour",O171="Plant")),Z171,0)</x:f>
        <x:v>0</x:v>
      </x:c>
    </x:row>
    <x:row r="172">
      <x:c r="A172" s="80" t="str">
        <x:f>IF(B172="","",B172&amp;"-"&amp;TEXT(COUNTIF($B$7:B172,B172),"000"))</x:f>
      </x:c>
      <x:c r="B172" s="53"/>
      <x:c r="C172" s="81" t="str">
        <x:f>IFERROR(INDEX('QS Takeoff'!$A$3:$A$194,MATCH(B172,'QS Takeoff'!$B$3:$B$194,0)),"")</x:f>
      </x:c>
      <x:c r="D172" s="81" t="str">
        <x:f>IFERROR(INDEX('QS Takeoff'!$C$3:$C$194,MATCH(B172,'QS Takeoff'!$B$3:$B$194,0)),"")</x:f>
      </x:c>
      <x:c r="E172" s="81" t="str">
        <x:f>IFERROR(INDEX('QS Takeoff'!$E$3:$E$194,MATCH(B172,'QS Takeoff'!$B$3:$B$194,0)),"")</x:f>
      </x:c>
      <x:c r="F172" s="81" t="str">
        <x:f>IFERROR(INDEX('QS Takeoff'!$D$3:$D$194,MATCH(B172,'QS Takeoff'!$B$3:$B$194,0)),"")</x:f>
      </x:c>
      <x:c r="G172" s="81" t="str">
        <x:f>IFERROR(INDEX('QS Takeoff'!$J$3:$J$194,MATCH(B172,'QS Takeoff'!$B$3:$B$194,0)),"")</x:f>
      </x:c>
      <x:c r="H172" s="53"/>
      <x:c r="I172" s="60"/>
      <x:c r="J172" s="60"/>
      <x:c r="K172" s="82" t="str">
        <x:f t="shared" si="12">IF(OR(B172="",I172="",I172=0),"",E172/I172)</x:f>
      </x:c>
      <x:c r="L172" s="60"/>
      <x:c r="M172" s="82" t="str">
        <x:f t="shared" si="13">IF(L172&gt;0,L172,K172)</x:f>
      </x:c>
      <x:c r="N172" s="53"/>
      <x:c r="O172" s="53"/>
      <x:c r="P172" s="53"/>
      <x:c r="Q172" s="81" t="str">
        <x:f>IFERROR(INDEX('Resource Rate Library'!$C$5:$C$85,MATCH(P172,'Resource Rate Library'!$A$5:$A$85,0)),"")</x:f>
      </x:c>
      <x:c r="R172" s="53"/>
      <x:c r="S172" s="53"/>
      <x:c r="T172" s="81" t="str">
        <x:f>IFERROR(INDEX('Resource Rate Library'!$E$5:$E$85,MATCH(P172,'Resource Rate Library'!$A$5:$A$85,0)),"")</x:f>
      </x:c>
      <x:c r="U172" s="62"/>
      <x:c r="V172" s="62"/>
      <x:c r="W172" s="83" t="n">
        <x:f>IFERROR(INDEX('Resource Rate Library'!$I$5:$I$85,MATCH(P172,'Resource Rate Library'!$A$5:$A$85,0)),0)</x:f>
        <x:v>0</x:v>
      </x:c>
      <x:c r="X172" s="52"/>
      <x:c r="Y172" s="83" t="n">
        <x:f t="shared" si="14">IF(X172&gt;0,X172,W172)</x:f>
        <x:v>0</x:v>
      </x:c>
      <x:c r="Z172" s="83" t="str">
        <x:f t="shared" si="15">IF(B172="","",IF(N172="Time x Count",M172*R172*IF(U172="",1,U172)*Y172,IF(N172="QS Qty x Factor",E172*R172*(1+IF(V172="",0,V172))*Y172,IF(N172="Direct Qty",S172*(1+IF(V172="",0,V172))*Y172,IF(N172="Lump Sum / Quote",S172*Y172,0)))))</x:f>
      </x:c>
      <x:c r="AA172" s="81" t="str">
        <x:f>IFERROR(INDEX('Resource Rate Library'!$N$5:$N$85,MATCH(P172,'Resource Rate Library'!$A$5:$A$85,0)),"")</x:f>
      </x:c>
      <x:c r="AB172" s="53"/>
      <x:c r="AC172" s="59"/>
      <x:c r="AD172" s="81" t="str">
        <x:f>IFERROR(INDEX('Resource Rate Library'!$G$5:$G$85,MATCH(P172,'Resource Rate Library'!$A$5:$A$85,0)),"")</x:f>
      </x:c>
      <x:c r="AE172" s="81" t="str">
        <x:f>IFERROR(INDEX('Resource Rate Library'!$H$5:$H$85,MATCH(P172,'Resource Rate Library'!$A$5:$A$85,0)),"")</x:f>
      </x:c>
      <x:c r="AF172" s="53"/>
      <x:c r="AG172" s="53"/>
      <x:c r="AH172" s="53"/>
      <x:c r="AI172" s="81" t="str">
        <x:f t="shared" si="16">IF(B172="","",IF(AND(P172="",N172&lt;&gt;"Lump Sum / Quote"),"RESOURCE CODE",IF(Y172=0,"RATE MISSING",IF(AND(O172="Plant",AD172="Yes",COUNTIFS($B$7:$B$306,B172,$O$7:$O$306,"Labour",$Q$7:$Q$306,"*Operator*")&gt;0),"OPERATOR DOUBLE-COUNT",IF(AND(O172="Plant",AE172="Yes",COUNTIFS($B$7:$B$306,B172,$Q$7:$Q$306,"*Fuel*")&gt;0),"FUEL DOUBLE-COUNT",IF(AH172&lt;&gt;"Yes","VERIFY","OK"))))))</x:f>
      </x:c>
      <x:c r="AJ172" s="54"/>
      <x:c r="AK172" s="473"/>
      <x:c r="AL172" s="473"/>
      <x:c r="AM172" s="473"/>
      <x:c r="AN172" s="500" t="n">
        <x:f>IF(AND(AK172="Yes",OR(O172="Labour",O172="Plant")),Z172,0)</x:f>
        <x:v>0</x:v>
      </x:c>
    </x:row>
    <x:row r="173">
      <x:c r="A173" s="80" t="str">
        <x:f>IF(B173="","",B173&amp;"-"&amp;TEXT(COUNTIF($B$7:B173,B173),"000"))</x:f>
      </x:c>
      <x:c r="B173" s="53"/>
      <x:c r="C173" s="81" t="str">
        <x:f>IFERROR(INDEX('QS Takeoff'!$A$3:$A$194,MATCH(B173,'QS Takeoff'!$B$3:$B$194,0)),"")</x:f>
      </x:c>
      <x:c r="D173" s="81" t="str">
        <x:f>IFERROR(INDEX('QS Takeoff'!$C$3:$C$194,MATCH(B173,'QS Takeoff'!$B$3:$B$194,0)),"")</x:f>
      </x:c>
      <x:c r="E173" s="81" t="str">
        <x:f>IFERROR(INDEX('QS Takeoff'!$E$3:$E$194,MATCH(B173,'QS Takeoff'!$B$3:$B$194,0)),"")</x:f>
      </x:c>
      <x:c r="F173" s="81" t="str">
        <x:f>IFERROR(INDEX('QS Takeoff'!$D$3:$D$194,MATCH(B173,'QS Takeoff'!$B$3:$B$194,0)),"")</x:f>
      </x:c>
      <x:c r="G173" s="81" t="str">
        <x:f>IFERROR(INDEX('QS Takeoff'!$J$3:$J$194,MATCH(B173,'QS Takeoff'!$B$3:$B$194,0)),"")</x:f>
      </x:c>
      <x:c r="H173" s="53"/>
      <x:c r="I173" s="60"/>
      <x:c r="J173" s="60"/>
      <x:c r="K173" s="82" t="str">
        <x:f t="shared" si="12">IF(OR(B173="",I173="",I173=0),"",E173/I173)</x:f>
      </x:c>
      <x:c r="L173" s="60"/>
      <x:c r="M173" s="82" t="str">
        <x:f t="shared" si="13">IF(L173&gt;0,L173,K173)</x:f>
      </x:c>
      <x:c r="N173" s="53"/>
      <x:c r="O173" s="53"/>
      <x:c r="P173" s="53"/>
      <x:c r="Q173" s="81" t="str">
        <x:f>IFERROR(INDEX('Resource Rate Library'!$C$5:$C$85,MATCH(P173,'Resource Rate Library'!$A$5:$A$85,0)),"")</x:f>
      </x:c>
      <x:c r="R173" s="53"/>
      <x:c r="S173" s="53"/>
      <x:c r="T173" s="81" t="str">
        <x:f>IFERROR(INDEX('Resource Rate Library'!$E$5:$E$85,MATCH(P173,'Resource Rate Library'!$A$5:$A$85,0)),"")</x:f>
      </x:c>
      <x:c r="U173" s="62"/>
      <x:c r="V173" s="62"/>
      <x:c r="W173" s="83" t="n">
        <x:f>IFERROR(INDEX('Resource Rate Library'!$I$5:$I$85,MATCH(P173,'Resource Rate Library'!$A$5:$A$85,0)),0)</x:f>
        <x:v>0</x:v>
      </x:c>
      <x:c r="X173" s="52"/>
      <x:c r="Y173" s="83" t="n">
        <x:f t="shared" si="14">IF(X173&gt;0,X173,W173)</x:f>
        <x:v>0</x:v>
      </x:c>
      <x:c r="Z173" s="83" t="str">
        <x:f t="shared" si="15">IF(B173="","",IF(N173="Time x Count",M173*R173*IF(U173="",1,U173)*Y173,IF(N173="QS Qty x Factor",E173*R173*(1+IF(V173="",0,V173))*Y173,IF(N173="Direct Qty",S173*(1+IF(V173="",0,V173))*Y173,IF(N173="Lump Sum / Quote",S173*Y173,0)))))</x:f>
      </x:c>
      <x:c r="AA173" s="81" t="str">
        <x:f>IFERROR(INDEX('Resource Rate Library'!$N$5:$N$85,MATCH(P173,'Resource Rate Library'!$A$5:$A$85,0)),"")</x:f>
      </x:c>
      <x:c r="AB173" s="53"/>
      <x:c r="AC173" s="59"/>
      <x:c r="AD173" s="81" t="str">
        <x:f>IFERROR(INDEX('Resource Rate Library'!$G$5:$G$85,MATCH(P173,'Resource Rate Library'!$A$5:$A$85,0)),"")</x:f>
      </x:c>
      <x:c r="AE173" s="81" t="str">
        <x:f>IFERROR(INDEX('Resource Rate Library'!$H$5:$H$85,MATCH(P173,'Resource Rate Library'!$A$5:$A$85,0)),"")</x:f>
      </x:c>
      <x:c r="AF173" s="53"/>
      <x:c r="AG173" s="53"/>
      <x:c r="AH173" s="53"/>
      <x:c r="AI173" s="81" t="str">
        <x:f t="shared" si="16">IF(B173="","",IF(AND(P173="",N173&lt;&gt;"Lump Sum / Quote"),"RESOURCE CODE",IF(Y173=0,"RATE MISSING",IF(AND(O173="Plant",AD173="Yes",COUNTIFS($B$7:$B$306,B173,$O$7:$O$306,"Labour",$Q$7:$Q$306,"*Operator*")&gt;0),"OPERATOR DOUBLE-COUNT",IF(AND(O173="Plant",AE173="Yes",COUNTIFS($B$7:$B$306,B173,$Q$7:$Q$306,"*Fuel*")&gt;0),"FUEL DOUBLE-COUNT",IF(AH173&lt;&gt;"Yes","VERIFY","OK"))))))</x:f>
      </x:c>
      <x:c r="AJ173" s="54"/>
      <x:c r="AK173" s="473"/>
      <x:c r="AL173" s="473"/>
      <x:c r="AM173" s="473"/>
      <x:c r="AN173" s="500" t="n">
        <x:f>IF(AND(AK173="Yes",OR(O173="Labour",O173="Plant")),Z173,0)</x:f>
        <x:v>0</x:v>
      </x:c>
    </x:row>
    <x:row r="174">
      <x:c r="A174" s="80" t="str">
        <x:f>IF(B174="","",B174&amp;"-"&amp;TEXT(COUNTIF($B$7:B174,B174),"000"))</x:f>
      </x:c>
      <x:c r="B174" s="53"/>
      <x:c r="C174" s="81" t="str">
        <x:f>IFERROR(INDEX('QS Takeoff'!$A$3:$A$194,MATCH(B174,'QS Takeoff'!$B$3:$B$194,0)),"")</x:f>
      </x:c>
      <x:c r="D174" s="81" t="str">
        <x:f>IFERROR(INDEX('QS Takeoff'!$C$3:$C$194,MATCH(B174,'QS Takeoff'!$B$3:$B$194,0)),"")</x:f>
      </x:c>
      <x:c r="E174" s="81" t="str">
        <x:f>IFERROR(INDEX('QS Takeoff'!$E$3:$E$194,MATCH(B174,'QS Takeoff'!$B$3:$B$194,0)),"")</x:f>
      </x:c>
      <x:c r="F174" s="81" t="str">
        <x:f>IFERROR(INDEX('QS Takeoff'!$D$3:$D$194,MATCH(B174,'QS Takeoff'!$B$3:$B$194,0)),"")</x:f>
      </x:c>
      <x:c r="G174" s="81" t="str">
        <x:f>IFERROR(INDEX('QS Takeoff'!$J$3:$J$194,MATCH(B174,'QS Takeoff'!$B$3:$B$194,0)),"")</x:f>
      </x:c>
      <x:c r="H174" s="53"/>
      <x:c r="I174" s="60"/>
      <x:c r="J174" s="60"/>
      <x:c r="K174" s="82" t="str">
        <x:f t="shared" si="12">IF(OR(B174="",I174="",I174=0),"",E174/I174)</x:f>
      </x:c>
      <x:c r="L174" s="60"/>
      <x:c r="M174" s="82" t="str">
        <x:f t="shared" si="13">IF(L174&gt;0,L174,K174)</x:f>
      </x:c>
      <x:c r="N174" s="53"/>
      <x:c r="O174" s="53"/>
      <x:c r="P174" s="53"/>
      <x:c r="Q174" s="81" t="str">
        <x:f>IFERROR(INDEX('Resource Rate Library'!$C$5:$C$85,MATCH(P174,'Resource Rate Library'!$A$5:$A$85,0)),"")</x:f>
      </x:c>
      <x:c r="R174" s="53"/>
      <x:c r="S174" s="53"/>
      <x:c r="T174" s="81" t="str">
        <x:f>IFERROR(INDEX('Resource Rate Library'!$E$5:$E$85,MATCH(P174,'Resource Rate Library'!$A$5:$A$85,0)),"")</x:f>
      </x:c>
      <x:c r="U174" s="62"/>
      <x:c r="V174" s="62"/>
      <x:c r="W174" s="83" t="n">
        <x:f>IFERROR(INDEX('Resource Rate Library'!$I$5:$I$85,MATCH(P174,'Resource Rate Library'!$A$5:$A$85,0)),0)</x:f>
        <x:v>0</x:v>
      </x:c>
      <x:c r="X174" s="52"/>
      <x:c r="Y174" s="83" t="n">
        <x:f t="shared" si="14">IF(X174&gt;0,X174,W174)</x:f>
        <x:v>0</x:v>
      </x:c>
      <x:c r="Z174" s="83" t="str">
        <x:f t="shared" si="15">IF(B174="","",IF(N174="Time x Count",M174*R174*IF(U174="",1,U174)*Y174,IF(N174="QS Qty x Factor",E174*R174*(1+IF(V174="",0,V174))*Y174,IF(N174="Direct Qty",S174*(1+IF(V174="",0,V174))*Y174,IF(N174="Lump Sum / Quote",S174*Y174,0)))))</x:f>
      </x:c>
      <x:c r="AA174" s="81" t="str">
        <x:f>IFERROR(INDEX('Resource Rate Library'!$N$5:$N$85,MATCH(P174,'Resource Rate Library'!$A$5:$A$85,0)),"")</x:f>
      </x:c>
      <x:c r="AB174" s="53"/>
      <x:c r="AC174" s="59"/>
      <x:c r="AD174" s="81" t="str">
        <x:f>IFERROR(INDEX('Resource Rate Library'!$G$5:$G$85,MATCH(P174,'Resource Rate Library'!$A$5:$A$85,0)),"")</x:f>
      </x:c>
      <x:c r="AE174" s="81" t="str">
        <x:f>IFERROR(INDEX('Resource Rate Library'!$H$5:$H$85,MATCH(P174,'Resource Rate Library'!$A$5:$A$85,0)),"")</x:f>
      </x:c>
      <x:c r="AF174" s="53"/>
      <x:c r="AG174" s="53"/>
      <x:c r="AH174" s="53"/>
      <x:c r="AI174" s="81" t="str">
        <x:f t="shared" si="16">IF(B174="","",IF(AND(P174="",N174&lt;&gt;"Lump Sum / Quote"),"RESOURCE CODE",IF(Y174=0,"RATE MISSING",IF(AND(O174="Plant",AD174="Yes",COUNTIFS($B$7:$B$306,B174,$O$7:$O$306,"Labour",$Q$7:$Q$306,"*Operator*")&gt;0),"OPERATOR DOUBLE-COUNT",IF(AND(O174="Plant",AE174="Yes",COUNTIFS($B$7:$B$306,B174,$Q$7:$Q$306,"*Fuel*")&gt;0),"FUEL DOUBLE-COUNT",IF(AH174&lt;&gt;"Yes","VERIFY","OK"))))))</x:f>
      </x:c>
      <x:c r="AJ174" s="54"/>
      <x:c r="AK174" s="473"/>
      <x:c r="AL174" s="473"/>
      <x:c r="AM174" s="473"/>
      <x:c r="AN174" s="500" t="n">
        <x:f>IF(AND(AK174="Yes",OR(O174="Labour",O174="Plant")),Z174,0)</x:f>
        <x:v>0</x:v>
      </x:c>
    </x:row>
    <x:row r="175">
      <x:c r="A175" s="80" t="str">
        <x:f>IF(B175="","",B175&amp;"-"&amp;TEXT(COUNTIF($B$7:B175,B175),"000"))</x:f>
      </x:c>
      <x:c r="B175" s="53"/>
      <x:c r="C175" s="81" t="str">
        <x:f>IFERROR(INDEX('QS Takeoff'!$A$3:$A$194,MATCH(B175,'QS Takeoff'!$B$3:$B$194,0)),"")</x:f>
      </x:c>
      <x:c r="D175" s="81" t="str">
        <x:f>IFERROR(INDEX('QS Takeoff'!$C$3:$C$194,MATCH(B175,'QS Takeoff'!$B$3:$B$194,0)),"")</x:f>
      </x:c>
      <x:c r="E175" s="81" t="str">
        <x:f>IFERROR(INDEX('QS Takeoff'!$E$3:$E$194,MATCH(B175,'QS Takeoff'!$B$3:$B$194,0)),"")</x:f>
      </x:c>
      <x:c r="F175" s="81" t="str">
        <x:f>IFERROR(INDEX('QS Takeoff'!$D$3:$D$194,MATCH(B175,'QS Takeoff'!$B$3:$B$194,0)),"")</x:f>
      </x:c>
      <x:c r="G175" s="81" t="str">
        <x:f>IFERROR(INDEX('QS Takeoff'!$J$3:$J$194,MATCH(B175,'QS Takeoff'!$B$3:$B$194,0)),"")</x:f>
      </x:c>
      <x:c r="H175" s="53"/>
      <x:c r="I175" s="60"/>
      <x:c r="J175" s="60"/>
      <x:c r="K175" s="82" t="str">
        <x:f t="shared" si="12">IF(OR(B175="",I175="",I175=0),"",E175/I175)</x:f>
      </x:c>
      <x:c r="L175" s="60"/>
      <x:c r="M175" s="82" t="str">
        <x:f t="shared" si="13">IF(L175&gt;0,L175,K175)</x:f>
      </x:c>
      <x:c r="N175" s="53"/>
      <x:c r="O175" s="53"/>
      <x:c r="P175" s="53"/>
      <x:c r="Q175" s="81" t="str">
        <x:f>IFERROR(INDEX('Resource Rate Library'!$C$5:$C$85,MATCH(P175,'Resource Rate Library'!$A$5:$A$85,0)),"")</x:f>
      </x:c>
      <x:c r="R175" s="53"/>
      <x:c r="S175" s="53"/>
      <x:c r="T175" s="81" t="str">
        <x:f>IFERROR(INDEX('Resource Rate Library'!$E$5:$E$85,MATCH(P175,'Resource Rate Library'!$A$5:$A$85,0)),"")</x:f>
      </x:c>
      <x:c r="U175" s="62"/>
      <x:c r="V175" s="62"/>
      <x:c r="W175" s="83" t="n">
        <x:f>IFERROR(INDEX('Resource Rate Library'!$I$5:$I$85,MATCH(P175,'Resource Rate Library'!$A$5:$A$85,0)),0)</x:f>
        <x:v>0</x:v>
      </x:c>
      <x:c r="X175" s="52"/>
      <x:c r="Y175" s="83" t="n">
        <x:f t="shared" si="14">IF(X175&gt;0,X175,W175)</x:f>
        <x:v>0</x:v>
      </x:c>
      <x:c r="Z175" s="83" t="str">
        <x:f t="shared" si="15">IF(B175="","",IF(N175="Time x Count",M175*R175*IF(U175="",1,U175)*Y175,IF(N175="QS Qty x Factor",E175*R175*(1+IF(V175="",0,V175))*Y175,IF(N175="Direct Qty",S175*(1+IF(V175="",0,V175))*Y175,IF(N175="Lump Sum / Quote",S175*Y175,0)))))</x:f>
      </x:c>
      <x:c r="AA175" s="81" t="str">
        <x:f>IFERROR(INDEX('Resource Rate Library'!$N$5:$N$85,MATCH(P175,'Resource Rate Library'!$A$5:$A$85,0)),"")</x:f>
      </x:c>
      <x:c r="AB175" s="53"/>
      <x:c r="AC175" s="59"/>
      <x:c r="AD175" s="81" t="str">
        <x:f>IFERROR(INDEX('Resource Rate Library'!$G$5:$G$85,MATCH(P175,'Resource Rate Library'!$A$5:$A$85,0)),"")</x:f>
      </x:c>
      <x:c r="AE175" s="81" t="str">
        <x:f>IFERROR(INDEX('Resource Rate Library'!$H$5:$H$85,MATCH(P175,'Resource Rate Library'!$A$5:$A$85,0)),"")</x:f>
      </x:c>
      <x:c r="AF175" s="53"/>
      <x:c r="AG175" s="53"/>
      <x:c r="AH175" s="53"/>
      <x:c r="AI175" s="81" t="str">
        <x:f t="shared" si="16">IF(B175="","",IF(AND(P175="",N175&lt;&gt;"Lump Sum / Quote"),"RESOURCE CODE",IF(Y175=0,"RATE MISSING",IF(AND(O175="Plant",AD175="Yes",COUNTIFS($B$7:$B$306,B175,$O$7:$O$306,"Labour",$Q$7:$Q$306,"*Operator*")&gt;0),"OPERATOR DOUBLE-COUNT",IF(AND(O175="Plant",AE175="Yes",COUNTIFS($B$7:$B$306,B175,$Q$7:$Q$306,"*Fuel*")&gt;0),"FUEL DOUBLE-COUNT",IF(AH175&lt;&gt;"Yes","VERIFY","OK"))))))</x:f>
      </x:c>
      <x:c r="AJ175" s="54"/>
      <x:c r="AK175" s="473"/>
      <x:c r="AL175" s="473"/>
      <x:c r="AM175" s="473"/>
      <x:c r="AN175" s="500" t="n">
        <x:f>IF(AND(AK175="Yes",OR(O175="Labour",O175="Plant")),Z175,0)</x:f>
        <x:v>0</x:v>
      </x:c>
    </x:row>
    <x:row r="176">
      <x:c r="A176" s="80" t="str">
        <x:f>IF(B176="","",B176&amp;"-"&amp;TEXT(COUNTIF($B$7:B176,B176),"000"))</x:f>
      </x:c>
      <x:c r="B176" s="53"/>
      <x:c r="C176" s="81" t="str">
        <x:f>IFERROR(INDEX('QS Takeoff'!$A$3:$A$194,MATCH(B176,'QS Takeoff'!$B$3:$B$194,0)),"")</x:f>
      </x:c>
      <x:c r="D176" s="81" t="str">
        <x:f>IFERROR(INDEX('QS Takeoff'!$C$3:$C$194,MATCH(B176,'QS Takeoff'!$B$3:$B$194,0)),"")</x:f>
      </x:c>
      <x:c r="E176" s="81" t="str">
        <x:f>IFERROR(INDEX('QS Takeoff'!$E$3:$E$194,MATCH(B176,'QS Takeoff'!$B$3:$B$194,0)),"")</x:f>
      </x:c>
      <x:c r="F176" s="81" t="str">
        <x:f>IFERROR(INDEX('QS Takeoff'!$D$3:$D$194,MATCH(B176,'QS Takeoff'!$B$3:$B$194,0)),"")</x:f>
      </x:c>
      <x:c r="G176" s="81" t="str">
        <x:f>IFERROR(INDEX('QS Takeoff'!$J$3:$J$194,MATCH(B176,'QS Takeoff'!$B$3:$B$194,0)),"")</x:f>
      </x:c>
      <x:c r="H176" s="53"/>
      <x:c r="I176" s="60"/>
      <x:c r="J176" s="60"/>
      <x:c r="K176" s="82" t="str">
        <x:f t="shared" si="12">IF(OR(B176="",I176="",I176=0),"",E176/I176)</x:f>
      </x:c>
      <x:c r="L176" s="60"/>
      <x:c r="M176" s="82" t="str">
        <x:f t="shared" si="13">IF(L176&gt;0,L176,K176)</x:f>
      </x:c>
      <x:c r="N176" s="53"/>
      <x:c r="O176" s="53"/>
      <x:c r="P176" s="53"/>
      <x:c r="Q176" s="81" t="str">
        <x:f>IFERROR(INDEX('Resource Rate Library'!$C$5:$C$85,MATCH(P176,'Resource Rate Library'!$A$5:$A$85,0)),"")</x:f>
      </x:c>
      <x:c r="R176" s="53"/>
      <x:c r="S176" s="53"/>
      <x:c r="T176" s="81" t="str">
        <x:f>IFERROR(INDEX('Resource Rate Library'!$E$5:$E$85,MATCH(P176,'Resource Rate Library'!$A$5:$A$85,0)),"")</x:f>
      </x:c>
      <x:c r="U176" s="62"/>
      <x:c r="V176" s="62"/>
      <x:c r="W176" s="83" t="n">
        <x:f>IFERROR(INDEX('Resource Rate Library'!$I$5:$I$85,MATCH(P176,'Resource Rate Library'!$A$5:$A$85,0)),0)</x:f>
        <x:v>0</x:v>
      </x:c>
      <x:c r="X176" s="52"/>
      <x:c r="Y176" s="83" t="n">
        <x:f t="shared" si="14">IF(X176&gt;0,X176,W176)</x:f>
        <x:v>0</x:v>
      </x:c>
      <x:c r="Z176" s="83" t="str">
        <x:f t="shared" si="15">IF(B176="","",IF(N176="Time x Count",M176*R176*IF(U176="",1,U176)*Y176,IF(N176="QS Qty x Factor",E176*R176*(1+IF(V176="",0,V176))*Y176,IF(N176="Direct Qty",S176*(1+IF(V176="",0,V176))*Y176,IF(N176="Lump Sum / Quote",S176*Y176,0)))))</x:f>
      </x:c>
      <x:c r="AA176" s="81" t="str">
        <x:f>IFERROR(INDEX('Resource Rate Library'!$N$5:$N$85,MATCH(P176,'Resource Rate Library'!$A$5:$A$85,0)),"")</x:f>
      </x:c>
      <x:c r="AB176" s="53"/>
      <x:c r="AC176" s="59"/>
      <x:c r="AD176" s="81" t="str">
        <x:f>IFERROR(INDEX('Resource Rate Library'!$G$5:$G$85,MATCH(P176,'Resource Rate Library'!$A$5:$A$85,0)),"")</x:f>
      </x:c>
      <x:c r="AE176" s="81" t="str">
        <x:f>IFERROR(INDEX('Resource Rate Library'!$H$5:$H$85,MATCH(P176,'Resource Rate Library'!$A$5:$A$85,0)),"")</x:f>
      </x:c>
      <x:c r="AF176" s="53"/>
      <x:c r="AG176" s="53"/>
      <x:c r="AH176" s="53"/>
      <x:c r="AI176" s="81" t="str">
        <x:f t="shared" si="16">IF(B176="","",IF(AND(P176="",N176&lt;&gt;"Lump Sum / Quote"),"RESOURCE CODE",IF(Y176=0,"RATE MISSING",IF(AND(O176="Plant",AD176="Yes",COUNTIFS($B$7:$B$306,B176,$O$7:$O$306,"Labour",$Q$7:$Q$306,"*Operator*")&gt;0),"OPERATOR DOUBLE-COUNT",IF(AND(O176="Plant",AE176="Yes",COUNTIFS($B$7:$B$306,B176,$Q$7:$Q$306,"*Fuel*")&gt;0),"FUEL DOUBLE-COUNT",IF(AH176&lt;&gt;"Yes","VERIFY","OK"))))))</x:f>
      </x:c>
      <x:c r="AJ176" s="54"/>
      <x:c r="AK176" s="473"/>
      <x:c r="AL176" s="473"/>
      <x:c r="AM176" s="473"/>
      <x:c r="AN176" s="500" t="n">
        <x:f>IF(AND(AK176="Yes",OR(O176="Labour",O176="Plant")),Z176,0)</x:f>
        <x:v>0</x:v>
      </x:c>
    </x:row>
    <x:row r="177">
      <x:c r="A177" s="80" t="str">
        <x:f>IF(B177="","",B177&amp;"-"&amp;TEXT(COUNTIF($B$7:B177,B177),"000"))</x:f>
      </x:c>
      <x:c r="B177" s="53"/>
      <x:c r="C177" s="81" t="str">
        <x:f>IFERROR(INDEX('QS Takeoff'!$A$3:$A$194,MATCH(B177,'QS Takeoff'!$B$3:$B$194,0)),"")</x:f>
      </x:c>
      <x:c r="D177" s="81" t="str">
        <x:f>IFERROR(INDEX('QS Takeoff'!$C$3:$C$194,MATCH(B177,'QS Takeoff'!$B$3:$B$194,0)),"")</x:f>
      </x:c>
      <x:c r="E177" s="81" t="str">
        <x:f>IFERROR(INDEX('QS Takeoff'!$E$3:$E$194,MATCH(B177,'QS Takeoff'!$B$3:$B$194,0)),"")</x:f>
      </x:c>
      <x:c r="F177" s="81" t="str">
        <x:f>IFERROR(INDEX('QS Takeoff'!$D$3:$D$194,MATCH(B177,'QS Takeoff'!$B$3:$B$194,0)),"")</x:f>
      </x:c>
      <x:c r="G177" s="81" t="str">
        <x:f>IFERROR(INDEX('QS Takeoff'!$J$3:$J$194,MATCH(B177,'QS Takeoff'!$B$3:$B$194,0)),"")</x:f>
      </x:c>
      <x:c r="H177" s="53"/>
      <x:c r="I177" s="60"/>
      <x:c r="J177" s="60"/>
      <x:c r="K177" s="82" t="str">
        <x:f t="shared" si="12">IF(OR(B177="",I177="",I177=0),"",E177/I177)</x:f>
      </x:c>
      <x:c r="L177" s="60"/>
      <x:c r="M177" s="82" t="str">
        <x:f t="shared" si="13">IF(L177&gt;0,L177,K177)</x:f>
      </x:c>
      <x:c r="N177" s="53"/>
      <x:c r="O177" s="53"/>
      <x:c r="P177" s="53"/>
      <x:c r="Q177" s="81" t="str">
        <x:f>IFERROR(INDEX('Resource Rate Library'!$C$5:$C$85,MATCH(P177,'Resource Rate Library'!$A$5:$A$85,0)),"")</x:f>
      </x:c>
      <x:c r="R177" s="53"/>
      <x:c r="S177" s="53"/>
      <x:c r="T177" s="81" t="str">
        <x:f>IFERROR(INDEX('Resource Rate Library'!$E$5:$E$85,MATCH(P177,'Resource Rate Library'!$A$5:$A$85,0)),"")</x:f>
      </x:c>
      <x:c r="U177" s="62"/>
      <x:c r="V177" s="62"/>
      <x:c r="W177" s="83" t="n">
        <x:f>IFERROR(INDEX('Resource Rate Library'!$I$5:$I$85,MATCH(P177,'Resource Rate Library'!$A$5:$A$85,0)),0)</x:f>
        <x:v>0</x:v>
      </x:c>
      <x:c r="X177" s="52"/>
      <x:c r="Y177" s="83" t="n">
        <x:f t="shared" si="14">IF(X177&gt;0,X177,W177)</x:f>
        <x:v>0</x:v>
      </x:c>
      <x:c r="Z177" s="83" t="str">
        <x:f t="shared" si="15">IF(B177="","",IF(N177="Time x Count",M177*R177*IF(U177="",1,U177)*Y177,IF(N177="QS Qty x Factor",E177*R177*(1+IF(V177="",0,V177))*Y177,IF(N177="Direct Qty",S177*(1+IF(V177="",0,V177))*Y177,IF(N177="Lump Sum / Quote",S177*Y177,0)))))</x:f>
      </x:c>
      <x:c r="AA177" s="81" t="str">
        <x:f>IFERROR(INDEX('Resource Rate Library'!$N$5:$N$85,MATCH(P177,'Resource Rate Library'!$A$5:$A$85,0)),"")</x:f>
      </x:c>
      <x:c r="AB177" s="53"/>
      <x:c r="AC177" s="59"/>
      <x:c r="AD177" s="81" t="str">
        <x:f>IFERROR(INDEX('Resource Rate Library'!$G$5:$G$85,MATCH(P177,'Resource Rate Library'!$A$5:$A$85,0)),"")</x:f>
      </x:c>
      <x:c r="AE177" s="81" t="str">
        <x:f>IFERROR(INDEX('Resource Rate Library'!$H$5:$H$85,MATCH(P177,'Resource Rate Library'!$A$5:$A$85,0)),"")</x:f>
      </x:c>
      <x:c r="AF177" s="53"/>
      <x:c r="AG177" s="53"/>
      <x:c r="AH177" s="53"/>
      <x:c r="AI177" s="81" t="str">
        <x:f t="shared" si="16">IF(B177="","",IF(AND(P177="",N177&lt;&gt;"Lump Sum / Quote"),"RESOURCE CODE",IF(Y177=0,"RATE MISSING",IF(AND(O177="Plant",AD177="Yes",COUNTIFS($B$7:$B$306,B177,$O$7:$O$306,"Labour",$Q$7:$Q$306,"*Operator*")&gt;0),"OPERATOR DOUBLE-COUNT",IF(AND(O177="Plant",AE177="Yes",COUNTIFS($B$7:$B$306,B177,$Q$7:$Q$306,"*Fuel*")&gt;0),"FUEL DOUBLE-COUNT",IF(AH177&lt;&gt;"Yes","VERIFY","OK"))))))</x:f>
      </x:c>
      <x:c r="AJ177" s="54"/>
      <x:c r="AK177" s="473"/>
      <x:c r="AL177" s="473"/>
      <x:c r="AM177" s="473"/>
      <x:c r="AN177" s="500" t="n">
        <x:f>IF(AND(AK177="Yes",OR(O177="Labour",O177="Plant")),Z177,0)</x:f>
        <x:v>0</x:v>
      </x:c>
    </x:row>
    <x:row r="178">
      <x:c r="A178" s="80" t="str">
        <x:f>IF(B178="","",B178&amp;"-"&amp;TEXT(COUNTIF($B$7:B178,B178),"000"))</x:f>
      </x:c>
      <x:c r="B178" s="53"/>
      <x:c r="C178" s="81" t="str">
        <x:f>IFERROR(INDEX('QS Takeoff'!$A$3:$A$194,MATCH(B178,'QS Takeoff'!$B$3:$B$194,0)),"")</x:f>
      </x:c>
      <x:c r="D178" s="81" t="str">
        <x:f>IFERROR(INDEX('QS Takeoff'!$C$3:$C$194,MATCH(B178,'QS Takeoff'!$B$3:$B$194,0)),"")</x:f>
      </x:c>
      <x:c r="E178" s="81" t="str">
        <x:f>IFERROR(INDEX('QS Takeoff'!$E$3:$E$194,MATCH(B178,'QS Takeoff'!$B$3:$B$194,0)),"")</x:f>
      </x:c>
      <x:c r="F178" s="81" t="str">
        <x:f>IFERROR(INDEX('QS Takeoff'!$D$3:$D$194,MATCH(B178,'QS Takeoff'!$B$3:$B$194,0)),"")</x:f>
      </x:c>
      <x:c r="G178" s="81" t="str">
        <x:f>IFERROR(INDEX('QS Takeoff'!$J$3:$J$194,MATCH(B178,'QS Takeoff'!$B$3:$B$194,0)),"")</x:f>
      </x:c>
      <x:c r="H178" s="53"/>
      <x:c r="I178" s="60"/>
      <x:c r="J178" s="60"/>
      <x:c r="K178" s="82" t="str">
        <x:f t="shared" si="12">IF(OR(B178="",I178="",I178=0),"",E178/I178)</x:f>
      </x:c>
      <x:c r="L178" s="60"/>
      <x:c r="M178" s="82" t="str">
        <x:f t="shared" si="13">IF(L178&gt;0,L178,K178)</x:f>
      </x:c>
      <x:c r="N178" s="53"/>
      <x:c r="O178" s="53"/>
      <x:c r="P178" s="53"/>
      <x:c r="Q178" s="81" t="str">
        <x:f>IFERROR(INDEX('Resource Rate Library'!$C$5:$C$85,MATCH(P178,'Resource Rate Library'!$A$5:$A$85,0)),"")</x:f>
      </x:c>
      <x:c r="R178" s="53"/>
      <x:c r="S178" s="53"/>
      <x:c r="T178" s="81" t="str">
        <x:f>IFERROR(INDEX('Resource Rate Library'!$E$5:$E$85,MATCH(P178,'Resource Rate Library'!$A$5:$A$85,0)),"")</x:f>
      </x:c>
      <x:c r="U178" s="62"/>
      <x:c r="V178" s="62"/>
      <x:c r="W178" s="83" t="n">
        <x:f>IFERROR(INDEX('Resource Rate Library'!$I$5:$I$85,MATCH(P178,'Resource Rate Library'!$A$5:$A$85,0)),0)</x:f>
        <x:v>0</x:v>
      </x:c>
      <x:c r="X178" s="52"/>
      <x:c r="Y178" s="83" t="n">
        <x:f t="shared" si="14">IF(X178&gt;0,X178,W178)</x:f>
        <x:v>0</x:v>
      </x:c>
      <x:c r="Z178" s="83" t="str">
        <x:f t="shared" si="15">IF(B178="","",IF(N178="Time x Count",M178*R178*IF(U178="",1,U178)*Y178,IF(N178="QS Qty x Factor",E178*R178*(1+IF(V178="",0,V178))*Y178,IF(N178="Direct Qty",S178*(1+IF(V178="",0,V178))*Y178,IF(N178="Lump Sum / Quote",S178*Y178,0)))))</x:f>
      </x:c>
      <x:c r="AA178" s="81" t="str">
        <x:f>IFERROR(INDEX('Resource Rate Library'!$N$5:$N$85,MATCH(P178,'Resource Rate Library'!$A$5:$A$85,0)),"")</x:f>
      </x:c>
      <x:c r="AB178" s="53"/>
      <x:c r="AC178" s="59"/>
      <x:c r="AD178" s="81" t="str">
        <x:f>IFERROR(INDEX('Resource Rate Library'!$G$5:$G$85,MATCH(P178,'Resource Rate Library'!$A$5:$A$85,0)),"")</x:f>
      </x:c>
      <x:c r="AE178" s="81" t="str">
        <x:f>IFERROR(INDEX('Resource Rate Library'!$H$5:$H$85,MATCH(P178,'Resource Rate Library'!$A$5:$A$85,0)),"")</x:f>
      </x:c>
      <x:c r="AF178" s="53"/>
      <x:c r="AG178" s="53"/>
      <x:c r="AH178" s="53"/>
      <x:c r="AI178" s="81" t="str">
        <x:f t="shared" si="16">IF(B178="","",IF(AND(P178="",N178&lt;&gt;"Lump Sum / Quote"),"RESOURCE CODE",IF(Y178=0,"RATE MISSING",IF(AND(O178="Plant",AD178="Yes",COUNTIFS($B$7:$B$306,B178,$O$7:$O$306,"Labour",$Q$7:$Q$306,"*Operator*")&gt;0),"OPERATOR DOUBLE-COUNT",IF(AND(O178="Plant",AE178="Yes",COUNTIFS($B$7:$B$306,B178,$Q$7:$Q$306,"*Fuel*")&gt;0),"FUEL DOUBLE-COUNT",IF(AH178&lt;&gt;"Yes","VERIFY","OK"))))))</x:f>
      </x:c>
      <x:c r="AJ178" s="54"/>
      <x:c r="AK178" s="473"/>
      <x:c r="AL178" s="473"/>
      <x:c r="AM178" s="473"/>
      <x:c r="AN178" s="500" t="n">
        <x:f>IF(AND(AK178="Yes",OR(O178="Labour",O178="Plant")),Z178,0)</x:f>
        <x:v>0</x:v>
      </x:c>
    </x:row>
    <x:row r="179">
      <x:c r="A179" s="80" t="str">
        <x:f>IF(B179="","",B179&amp;"-"&amp;TEXT(COUNTIF($B$7:B179,B179),"000"))</x:f>
      </x:c>
      <x:c r="B179" s="53"/>
      <x:c r="C179" s="81" t="str">
        <x:f>IFERROR(INDEX('QS Takeoff'!$A$3:$A$194,MATCH(B179,'QS Takeoff'!$B$3:$B$194,0)),"")</x:f>
      </x:c>
      <x:c r="D179" s="81" t="str">
        <x:f>IFERROR(INDEX('QS Takeoff'!$C$3:$C$194,MATCH(B179,'QS Takeoff'!$B$3:$B$194,0)),"")</x:f>
      </x:c>
      <x:c r="E179" s="81" t="str">
        <x:f>IFERROR(INDEX('QS Takeoff'!$E$3:$E$194,MATCH(B179,'QS Takeoff'!$B$3:$B$194,0)),"")</x:f>
      </x:c>
      <x:c r="F179" s="81" t="str">
        <x:f>IFERROR(INDEX('QS Takeoff'!$D$3:$D$194,MATCH(B179,'QS Takeoff'!$B$3:$B$194,0)),"")</x:f>
      </x:c>
      <x:c r="G179" s="81" t="str">
        <x:f>IFERROR(INDEX('QS Takeoff'!$J$3:$J$194,MATCH(B179,'QS Takeoff'!$B$3:$B$194,0)),"")</x:f>
      </x:c>
      <x:c r="H179" s="53"/>
      <x:c r="I179" s="60"/>
      <x:c r="J179" s="60"/>
      <x:c r="K179" s="82" t="str">
        <x:f t="shared" si="12">IF(OR(B179="",I179="",I179=0),"",E179/I179)</x:f>
      </x:c>
      <x:c r="L179" s="60"/>
      <x:c r="M179" s="82" t="str">
        <x:f t="shared" si="13">IF(L179&gt;0,L179,K179)</x:f>
      </x:c>
      <x:c r="N179" s="53"/>
      <x:c r="O179" s="53"/>
      <x:c r="P179" s="53"/>
      <x:c r="Q179" s="81" t="str">
        <x:f>IFERROR(INDEX('Resource Rate Library'!$C$5:$C$85,MATCH(P179,'Resource Rate Library'!$A$5:$A$85,0)),"")</x:f>
      </x:c>
      <x:c r="R179" s="53"/>
      <x:c r="S179" s="53"/>
      <x:c r="T179" s="81" t="str">
        <x:f>IFERROR(INDEX('Resource Rate Library'!$E$5:$E$85,MATCH(P179,'Resource Rate Library'!$A$5:$A$85,0)),"")</x:f>
      </x:c>
      <x:c r="U179" s="62"/>
      <x:c r="V179" s="62"/>
      <x:c r="W179" s="83" t="n">
        <x:f>IFERROR(INDEX('Resource Rate Library'!$I$5:$I$85,MATCH(P179,'Resource Rate Library'!$A$5:$A$85,0)),0)</x:f>
        <x:v>0</x:v>
      </x:c>
      <x:c r="X179" s="52"/>
      <x:c r="Y179" s="83" t="n">
        <x:f t="shared" si="14">IF(X179&gt;0,X179,W179)</x:f>
        <x:v>0</x:v>
      </x:c>
      <x:c r="Z179" s="83" t="str">
        <x:f t="shared" si="15">IF(B179="","",IF(N179="Time x Count",M179*R179*IF(U179="",1,U179)*Y179,IF(N179="QS Qty x Factor",E179*R179*(1+IF(V179="",0,V179))*Y179,IF(N179="Direct Qty",S179*(1+IF(V179="",0,V179))*Y179,IF(N179="Lump Sum / Quote",S179*Y179,0)))))</x:f>
      </x:c>
      <x:c r="AA179" s="81" t="str">
        <x:f>IFERROR(INDEX('Resource Rate Library'!$N$5:$N$85,MATCH(P179,'Resource Rate Library'!$A$5:$A$85,0)),"")</x:f>
      </x:c>
      <x:c r="AB179" s="53"/>
      <x:c r="AC179" s="59"/>
      <x:c r="AD179" s="81" t="str">
        <x:f>IFERROR(INDEX('Resource Rate Library'!$G$5:$G$85,MATCH(P179,'Resource Rate Library'!$A$5:$A$85,0)),"")</x:f>
      </x:c>
      <x:c r="AE179" s="81" t="str">
        <x:f>IFERROR(INDEX('Resource Rate Library'!$H$5:$H$85,MATCH(P179,'Resource Rate Library'!$A$5:$A$85,0)),"")</x:f>
      </x:c>
      <x:c r="AF179" s="53"/>
      <x:c r="AG179" s="53"/>
      <x:c r="AH179" s="53"/>
      <x:c r="AI179" s="81" t="str">
        <x:f t="shared" si="16">IF(B179="","",IF(AND(P179="",N179&lt;&gt;"Lump Sum / Quote"),"RESOURCE CODE",IF(Y179=0,"RATE MISSING",IF(AND(O179="Plant",AD179="Yes",COUNTIFS($B$7:$B$306,B179,$O$7:$O$306,"Labour",$Q$7:$Q$306,"*Operator*")&gt;0),"OPERATOR DOUBLE-COUNT",IF(AND(O179="Plant",AE179="Yes",COUNTIFS($B$7:$B$306,B179,$Q$7:$Q$306,"*Fuel*")&gt;0),"FUEL DOUBLE-COUNT",IF(AH179&lt;&gt;"Yes","VERIFY","OK"))))))</x:f>
      </x:c>
      <x:c r="AJ179" s="54"/>
      <x:c r="AK179" s="473"/>
      <x:c r="AL179" s="473"/>
      <x:c r="AM179" s="473"/>
      <x:c r="AN179" s="500" t="n">
        <x:f>IF(AND(AK179="Yes",OR(O179="Labour",O179="Plant")),Z179,0)</x:f>
        <x:v>0</x:v>
      </x:c>
    </x:row>
    <x:row r="180">
      <x:c r="A180" s="80" t="str">
        <x:f>IF(B180="","",B180&amp;"-"&amp;TEXT(COUNTIF($B$7:B180,B180),"000"))</x:f>
      </x:c>
      <x:c r="B180" s="53"/>
      <x:c r="C180" s="81" t="str">
        <x:f>IFERROR(INDEX('QS Takeoff'!$A$3:$A$194,MATCH(B180,'QS Takeoff'!$B$3:$B$194,0)),"")</x:f>
      </x:c>
      <x:c r="D180" s="81" t="str">
        <x:f>IFERROR(INDEX('QS Takeoff'!$C$3:$C$194,MATCH(B180,'QS Takeoff'!$B$3:$B$194,0)),"")</x:f>
      </x:c>
      <x:c r="E180" s="81" t="str">
        <x:f>IFERROR(INDEX('QS Takeoff'!$E$3:$E$194,MATCH(B180,'QS Takeoff'!$B$3:$B$194,0)),"")</x:f>
      </x:c>
      <x:c r="F180" s="81" t="str">
        <x:f>IFERROR(INDEX('QS Takeoff'!$D$3:$D$194,MATCH(B180,'QS Takeoff'!$B$3:$B$194,0)),"")</x:f>
      </x:c>
      <x:c r="G180" s="81" t="str">
        <x:f>IFERROR(INDEX('QS Takeoff'!$J$3:$J$194,MATCH(B180,'QS Takeoff'!$B$3:$B$194,0)),"")</x:f>
      </x:c>
      <x:c r="H180" s="53"/>
      <x:c r="I180" s="60"/>
      <x:c r="J180" s="60"/>
      <x:c r="K180" s="82" t="str">
        <x:f t="shared" si="12">IF(OR(B180="",I180="",I180=0),"",E180/I180)</x:f>
      </x:c>
      <x:c r="L180" s="60"/>
      <x:c r="M180" s="82" t="str">
        <x:f t="shared" si="13">IF(L180&gt;0,L180,K180)</x:f>
      </x:c>
      <x:c r="N180" s="53"/>
      <x:c r="O180" s="53"/>
      <x:c r="P180" s="53"/>
      <x:c r="Q180" s="81" t="str">
        <x:f>IFERROR(INDEX('Resource Rate Library'!$C$5:$C$85,MATCH(P180,'Resource Rate Library'!$A$5:$A$85,0)),"")</x:f>
      </x:c>
      <x:c r="R180" s="53"/>
      <x:c r="S180" s="53"/>
      <x:c r="T180" s="81" t="str">
        <x:f>IFERROR(INDEX('Resource Rate Library'!$E$5:$E$85,MATCH(P180,'Resource Rate Library'!$A$5:$A$85,0)),"")</x:f>
      </x:c>
      <x:c r="U180" s="62"/>
      <x:c r="V180" s="62"/>
      <x:c r="W180" s="83" t="n">
        <x:f>IFERROR(INDEX('Resource Rate Library'!$I$5:$I$85,MATCH(P180,'Resource Rate Library'!$A$5:$A$85,0)),0)</x:f>
        <x:v>0</x:v>
      </x:c>
      <x:c r="X180" s="52"/>
      <x:c r="Y180" s="83" t="n">
        <x:f t="shared" si="14">IF(X180&gt;0,X180,W180)</x:f>
        <x:v>0</x:v>
      </x:c>
      <x:c r="Z180" s="83" t="str">
        <x:f t="shared" si="15">IF(B180="","",IF(N180="Time x Count",M180*R180*IF(U180="",1,U180)*Y180,IF(N180="QS Qty x Factor",E180*R180*(1+IF(V180="",0,V180))*Y180,IF(N180="Direct Qty",S180*(1+IF(V180="",0,V180))*Y180,IF(N180="Lump Sum / Quote",S180*Y180,0)))))</x:f>
      </x:c>
      <x:c r="AA180" s="81" t="str">
        <x:f>IFERROR(INDEX('Resource Rate Library'!$N$5:$N$85,MATCH(P180,'Resource Rate Library'!$A$5:$A$85,0)),"")</x:f>
      </x:c>
      <x:c r="AB180" s="53"/>
      <x:c r="AC180" s="59"/>
      <x:c r="AD180" s="81" t="str">
        <x:f>IFERROR(INDEX('Resource Rate Library'!$G$5:$G$85,MATCH(P180,'Resource Rate Library'!$A$5:$A$85,0)),"")</x:f>
      </x:c>
      <x:c r="AE180" s="81" t="str">
        <x:f>IFERROR(INDEX('Resource Rate Library'!$H$5:$H$85,MATCH(P180,'Resource Rate Library'!$A$5:$A$85,0)),"")</x:f>
      </x:c>
      <x:c r="AF180" s="53"/>
      <x:c r="AG180" s="53"/>
      <x:c r="AH180" s="53"/>
      <x:c r="AI180" s="81" t="str">
        <x:f t="shared" si="16">IF(B180="","",IF(AND(P180="",N180&lt;&gt;"Lump Sum / Quote"),"RESOURCE CODE",IF(Y180=0,"RATE MISSING",IF(AND(O180="Plant",AD180="Yes",COUNTIFS($B$7:$B$306,B180,$O$7:$O$306,"Labour",$Q$7:$Q$306,"*Operator*")&gt;0),"OPERATOR DOUBLE-COUNT",IF(AND(O180="Plant",AE180="Yes",COUNTIFS($B$7:$B$306,B180,$Q$7:$Q$306,"*Fuel*")&gt;0),"FUEL DOUBLE-COUNT",IF(AH180&lt;&gt;"Yes","VERIFY","OK"))))))</x:f>
      </x:c>
      <x:c r="AJ180" s="54"/>
      <x:c r="AK180" s="473"/>
      <x:c r="AL180" s="473"/>
      <x:c r="AM180" s="473"/>
      <x:c r="AN180" s="500" t="n">
        <x:f>IF(AND(AK180="Yes",OR(O180="Labour",O180="Plant")),Z180,0)</x:f>
        <x:v>0</x:v>
      </x:c>
    </x:row>
    <x:row r="181">
      <x:c r="A181" s="80" t="str">
        <x:f>IF(B181="","",B181&amp;"-"&amp;TEXT(COUNTIF($B$7:B181,B181),"000"))</x:f>
      </x:c>
      <x:c r="B181" s="53"/>
      <x:c r="C181" s="81" t="str">
        <x:f>IFERROR(INDEX('QS Takeoff'!$A$3:$A$194,MATCH(B181,'QS Takeoff'!$B$3:$B$194,0)),"")</x:f>
      </x:c>
      <x:c r="D181" s="81" t="str">
        <x:f>IFERROR(INDEX('QS Takeoff'!$C$3:$C$194,MATCH(B181,'QS Takeoff'!$B$3:$B$194,0)),"")</x:f>
      </x:c>
      <x:c r="E181" s="81" t="str">
        <x:f>IFERROR(INDEX('QS Takeoff'!$E$3:$E$194,MATCH(B181,'QS Takeoff'!$B$3:$B$194,0)),"")</x:f>
      </x:c>
      <x:c r="F181" s="81" t="str">
        <x:f>IFERROR(INDEX('QS Takeoff'!$D$3:$D$194,MATCH(B181,'QS Takeoff'!$B$3:$B$194,0)),"")</x:f>
      </x:c>
      <x:c r="G181" s="81" t="str">
        <x:f>IFERROR(INDEX('QS Takeoff'!$J$3:$J$194,MATCH(B181,'QS Takeoff'!$B$3:$B$194,0)),"")</x:f>
      </x:c>
      <x:c r="H181" s="53"/>
      <x:c r="I181" s="60"/>
      <x:c r="J181" s="60"/>
      <x:c r="K181" s="82" t="str">
        <x:f t="shared" si="12">IF(OR(B181="",I181="",I181=0),"",E181/I181)</x:f>
      </x:c>
      <x:c r="L181" s="60"/>
      <x:c r="M181" s="82" t="str">
        <x:f t="shared" si="13">IF(L181&gt;0,L181,K181)</x:f>
      </x:c>
      <x:c r="N181" s="53"/>
      <x:c r="O181" s="53"/>
      <x:c r="P181" s="53"/>
      <x:c r="Q181" s="81" t="str">
        <x:f>IFERROR(INDEX('Resource Rate Library'!$C$5:$C$85,MATCH(P181,'Resource Rate Library'!$A$5:$A$85,0)),"")</x:f>
      </x:c>
      <x:c r="R181" s="53"/>
      <x:c r="S181" s="53"/>
      <x:c r="T181" s="81" t="str">
        <x:f>IFERROR(INDEX('Resource Rate Library'!$E$5:$E$85,MATCH(P181,'Resource Rate Library'!$A$5:$A$85,0)),"")</x:f>
      </x:c>
      <x:c r="U181" s="62"/>
      <x:c r="V181" s="62"/>
      <x:c r="W181" s="83" t="n">
        <x:f>IFERROR(INDEX('Resource Rate Library'!$I$5:$I$85,MATCH(P181,'Resource Rate Library'!$A$5:$A$85,0)),0)</x:f>
        <x:v>0</x:v>
      </x:c>
      <x:c r="X181" s="52"/>
      <x:c r="Y181" s="83" t="n">
        <x:f t="shared" si="14">IF(X181&gt;0,X181,W181)</x:f>
        <x:v>0</x:v>
      </x:c>
      <x:c r="Z181" s="83" t="str">
        <x:f t="shared" si="15">IF(B181="","",IF(N181="Time x Count",M181*R181*IF(U181="",1,U181)*Y181,IF(N181="QS Qty x Factor",E181*R181*(1+IF(V181="",0,V181))*Y181,IF(N181="Direct Qty",S181*(1+IF(V181="",0,V181))*Y181,IF(N181="Lump Sum / Quote",S181*Y181,0)))))</x:f>
      </x:c>
      <x:c r="AA181" s="81" t="str">
        <x:f>IFERROR(INDEX('Resource Rate Library'!$N$5:$N$85,MATCH(P181,'Resource Rate Library'!$A$5:$A$85,0)),"")</x:f>
      </x:c>
      <x:c r="AB181" s="53"/>
      <x:c r="AC181" s="59"/>
      <x:c r="AD181" s="81" t="str">
        <x:f>IFERROR(INDEX('Resource Rate Library'!$G$5:$G$85,MATCH(P181,'Resource Rate Library'!$A$5:$A$85,0)),"")</x:f>
      </x:c>
      <x:c r="AE181" s="81" t="str">
        <x:f>IFERROR(INDEX('Resource Rate Library'!$H$5:$H$85,MATCH(P181,'Resource Rate Library'!$A$5:$A$85,0)),"")</x:f>
      </x:c>
      <x:c r="AF181" s="53"/>
      <x:c r="AG181" s="53"/>
      <x:c r="AH181" s="53"/>
      <x:c r="AI181" s="81" t="str">
        <x:f t="shared" si="16">IF(B181="","",IF(AND(P181="",N181&lt;&gt;"Lump Sum / Quote"),"RESOURCE CODE",IF(Y181=0,"RATE MISSING",IF(AND(O181="Plant",AD181="Yes",COUNTIFS($B$7:$B$306,B181,$O$7:$O$306,"Labour",$Q$7:$Q$306,"*Operator*")&gt;0),"OPERATOR DOUBLE-COUNT",IF(AND(O181="Plant",AE181="Yes",COUNTIFS($B$7:$B$306,B181,$Q$7:$Q$306,"*Fuel*")&gt;0),"FUEL DOUBLE-COUNT",IF(AH181&lt;&gt;"Yes","VERIFY","OK"))))))</x:f>
      </x:c>
      <x:c r="AJ181" s="54"/>
      <x:c r="AK181" s="473"/>
      <x:c r="AL181" s="473"/>
      <x:c r="AM181" s="473"/>
      <x:c r="AN181" s="500" t="n">
        <x:f>IF(AND(AK181="Yes",OR(O181="Labour",O181="Plant")),Z181,0)</x:f>
        <x:v>0</x:v>
      </x:c>
    </x:row>
    <x:row r="182">
      <x:c r="A182" s="80" t="str">
        <x:f>IF(B182="","",B182&amp;"-"&amp;TEXT(COUNTIF($B$7:B182,B182),"000"))</x:f>
      </x:c>
      <x:c r="B182" s="53"/>
      <x:c r="C182" s="81" t="str">
        <x:f>IFERROR(INDEX('QS Takeoff'!$A$3:$A$194,MATCH(B182,'QS Takeoff'!$B$3:$B$194,0)),"")</x:f>
      </x:c>
      <x:c r="D182" s="81" t="str">
        <x:f>IFERROR(INDEX('QS Takeoff'!$C$3:$C$194,MATCH(B182,'QS Takeoff'!$B$3:$B$194,0)),"")</x:f>
      </x:c>
      <x:c r="E182" s="81" t="str">
        <x:f>IFERROR(INDEX('QS Takeoff'!$E$3:$E$194,MATCH(B182,'QS Takeoff'!$B$3:$B$194,0)),"")</x:f>
      </x:c>
      <x:c r="F182" s="81" t="str">
        <x:f>IFERROR(INDEX('QS Takeoff'!$D$3:$D$194,MATCH(B182,'QS Takeoff'!$B$3:$B$194,0)),"")</x:f>
      </x:c>
      <x:c r="G182" s="81" t="str">
        <x:f>IFERROR(INDEX('QS Takeoff'!$J$3:$J$194,MATCH(B182,'QS Takeoff'!$B$3:$B$194,0)),"")</x:f>
      </x:c>
      <x:c r="H182" s="53"/>
      <x:c r="I182" s="60"/>
      <x:c r="J182" s="60"/>
      <x:c r="K182" s="82" t="str">
        <x:f t="shared" si="12">IF(OR(B182="",I182="",I182=0),"",E182/I182)</x:f>
      </x:c>
      <x:c r="L182" s="60"/>
      <x:c r="M182" s="82" t="str">
        <x:f t="shared" si="13">IF(L182&gt;0,L182,K182)</x:f>
      </x:c>
      <x:c r="N182" s="53"/>
      <x:c r="O182" s="53"/>
      <x:c r="P182" s="53"/>
      <x:c r="Q182" s="81" t="str">
        <x:f>IFERROR(INDEX('Resource Rate Library'!$C$5:$C$85,MATCH(P182,'Resource Rate Library'!$A$5:$A$85,0)),"")</x:f>
      </x:c>
      <x:c r="R182" s="53"/>
      <x:c r="S182" s="53"/>
      <x:c r="T182" s="81" t="str">
        <x:f>IFERROR(INDEX('Resource Rate Library'!$E$5:$E$85,MATCH(P182,'Resource Rate Library'!$A$5:$A$85,0)),"")</x:f>
      </x:c>
      <x:c r="U182" s="62"/>
      <x:c r="V182" s="62"/>
      <x:c r="W182" s="83" t="n">
        <x:f>IFERROR(INDEX('Resource Rate Library'!$I$5:$I$85,MATCH(P182,'Resource Rate Library'!$A$5:$A$85,0)),0)</x:f>
        <x:v>0</x:v>
      </x:c>
      <x:c r="X182" s="52"/>
      <x:c r="Y182" s="83" t="n">
        <x:f t="shared" si="14">IF(X182&gt;0,X182,W182)</x:f>
        <x:v>0</x:v>
      </x:c>
      <x:c r="Z182" s="83" t="str">
        <x:f t="shared" si="15">IF(B182="","",IF(N182="Time x Count",M182*R182*IF(U182="",1,U182)*Y182,IF(N182="QS Qty x Factor",E182*R182*(1+IF(V182="",0,V182))*Y182,IF(N182="Direct Qty",S182*(1+IF(V182="",0,V182))*Y182,IF(N182="Lump Sum / Quote",S182*Y182,0)))))</x:f>
      </x:c>
      <x:c r="AA182" s="81" t="str">
        <x:f>IFERROR(INDEX('Resource Rate Library'!$N$5:$N$85,MATCH(P182,'Resource Rate Library'!$A$5:$A$85,0)),"")</x:f>
      </x:c>
      <x:c r="AB182" s="53"/>
      <x:c r="AC182" s="59"/>
      <x:c r="AD182" s="81" t="str">
        <x:f>IFERROR(INDEX('Resource Rate Library'!$G$5:$G$85,MATCH(P182,'Resource Rate Library'!$A$5:$A$85,0)),"")</x:f>
      </x:c>
      <x:c r="AE182" s="81" t="str">
        <x:f>IFERROR(INDEX('Resource Rate Library'!$H$5:$H$85,MATCH(P182,'Resource Rate Library'!$A$5:$A$85,0)),"")</x:f>
      </x:c>
      <x:c r="AF182" s="53"/>
      <x:c r="AG182" s="53"/>
      <x:c r="AH182" s="53"/>
      <x:c r="AI182" s="81" t="str">
        <x:f t="shared" si="16">IF(B182="","",IF(AND(P182="",N182&lt;&gt;"Lump Sum / Quote"),"RESOURCE CODE",IF(Y182=0,"RATE MISSING",IF(AND(O182="Plant",AD182="Yes",COUNTIFS($B$7:$B$306,B182,$O$7:$O$306,"Labour",$Q$7:$Q$306,"*Operator*")&gt;0),"OPERATOR DOUBLE-COUNT",IF(AND(O182="Plant",AE182="Yes",COUNTIFS($B$7:$B$306,B182,$Q$7:$Q$306,"*Fuel*")&gt;0),"FUEL DOUBLE-COUNT",IF(AH182&lt;&gt;"Yes","VERIFY","OK"))))))</x:f>
      </x:c>
      <x:c r="AJ182" s="54"/>
      <x:c r="AK182" s="473"/>
      <x:c r="AL182" s="473"/>
      <x:c r="AM182" s="473"/>
      <x:c r="AN182" s="500" t="n">
        <x:f>IF(AND(AK182="Yes",OR(O182="Labour",O182="Plant")),Z182,0)</x:f>
        <x:v>0</x:v>
      </x:c>
    </x:row>
    <x:row r="183">
      <x:c r="A183" s="80" t="str">
        <x:f>IF(B183="","",B183&amp;"-"&amp;TEXT(COUNTIF($B$7:B183,B183),"000"))</x:f>
      </x:c>
      <x:c r="B183" s="53"/>
      <x:c r="C183" s="81" t="str">
        <x:f>IFERROR(INDEX('QS Takeoff'!$A$3:$A$194,MATCH(B183,'QS Takeoff'!$B$3:$B$194,0)),"")</x:f>
      </x:c>
      <x:c r="D183" s="81" t="str">
        <x:f>IFERROR(INDEX('QS Takeoff'!$C$3:$C$194,MATCH(B183,'QS Takeoff'!$B$3:$B$194,0)),"")</x:f>
      </x:c>
      <x:c r="E183" s="81" t="str">
        <x:f>IFERROR(INDEX('QS Takeoff'!$E$3:$E$194,MATCH(B183,'QS Takeoff'!$B$3:$B$194,0)),"")</x:f>
      </x:c>
      <x:c r="F183" s="81" t="str">
        <x:f>IFERROR(INDEX('QS Takeoff'!$D$3:$D$194,MATCH(B183,'QS Takeoff'!$B$3:$B$194,0)),"")</x:f>
      </x:c>
      <x:c r="G183" s="81" t="str">
        <x:f>IFERROR(INDEX('QS Takeoff'!$J$3:$J$194,MATCH(B183,'QS Takeoff'!$B$3:$B$194,0)),"")</x:f>
      </x:c>
      <x:c r="H183" s="53"/>
      <x:c r="I183" s="60"/>
      <x:c r="J183" s="60"/>
      <x:c r="K183" s="82" t="str">
        <x:f t="shared" si="12">IF(OR(B183="",I183="",I183=0),"",E183/I183)</x:f>
      </x:c>
      <x:c r="L183" s="60"/>
      <x:c r="M183" s="82" t="str">
        <x:f t="shared" si="13">IF(L183&gt;0,L183,K183)</x:f>
      </x:c>
      <x:c r="N183" s="53"/>
      <x:c r="O183" s="53"/>
      <x:c r="P183" s="53"/>
      <x:c r="Q183" s="81" t="str">
        <x:f>IFERROR(INDEX('Resource Rate Library'!$C$5:$C$85,MATCH(P183,'Resource Rate Library'!$A$5:$A$85,0)),"")</x:f>
      </x:c>
      <x:c r="R183" s="53"/>
      <x:c r="S183" s="53"/>
      <x:c r="T183" s="81" t="str">
        <x:f>IFERROR(INDEX('Resource Rate Library'!$E$5:$E$85,MATCH(P183,'Resource Rate Library'!$A$5:$A$85,0)),"")</x:f>
      </x:c>
      <x:c r="U183" s="62"/>
      <x:c r="V183" s="62"/>
      <x:c r="W183" s="83" t="n">
        <x:f>IFERROR(INDEX('Resource Rate Library'!$I$5:$I$85,MATCH(P183,'Resource Rate Library'!$A$5:$A$85,0)),0)</x:f>
        <x:v>0</x:v>
      </x:c>
      <x:c r="X183" s="52"/>
      <x:c r="Y183" s="83" t="n">
        <x:f t="shared" si="14">IF(X183&gt;0,X183,W183)</x:f>
        <x:v>0</x:v>
      </x:c>
      <x:c r="Z183" s="83" t="str">
        <x:f t="shared" si="15">IF(B183="","",IF(N183="Time x Count",M183*R183*IF(U183="",1,U183)*Y183,IF(N183="QS Qty x Factor",E183*R183*(1+IF(V183="",0,V183))*Y183,IF(N183="Direct Qty",S183*(1+IF(V183="",0,V183))*Y183,IF(N183="Lump Sum / Quote",S183*Y183,0)))))</x:f>
      </x:c>
      <x:c r="AA183" s="81" t="str">
        <x:f>IFERROR(INDEX('Resource Rate Library'!$N$5:$N$85,MATCH(P183,'Resource Rate Library'!$A$5:$A$85,0)),"")</x:f>
      </x:c>
      <x:c r="AB183" s="53"/>
      <x:c r="AC183" s="59"/>
      <x:c r="AD183" s="81" t="str">
        <x:f>IFERROR(INDEX('Resource Rate Library'!$G$5:$G$85,MATCH(P183,'Resource Rate Library'!$A$5:$A$85,0)),"")</x:f>
      </x:c>
      <x:c r="AE183" s="81" t="str">
        <x:f>IFERROR(INDEX('Resource Rate Library'!$H$5:$H$85,MATCH(P183,'Resource Rate Library'!$A$5:$A$85,0)),"")</x:f>
      </x:c>
      <x:c r="AF183" s="53"/>
      <x:c r="AG183" s="53"/>
      <x:c r="AH183" s="53"/>
      <x:c r="AI183" s="81" t="str">
        <x:f t="shared" si="16">IF(B183="","",IF(AND(P183="",N183&lt;&gt;"Lump Sum / Quote"),"RESOURCE CODE",IF(Y183=0,"RATE MISSING",IF(AND(O183="Plant",AD183="Yes",COUNTIFS($B$7:$B$306,B183,$O$7:$O$306,"Labour",$Q$7:$Q$306,"*Operator*")&gt;0),"OPERATOR DOUBLE-COUNT",IF(AND(O183="Plant",AE183="Yes",COUNTIFS($B$7:$B$306,B183,$Q$7:$Q$306,"*Fuel*")&gt;0),"FUEL DOUBLE-COUNT",IF(AH183&lt;&gt;"Yes","VERIFY","OK"))))))</x:f>
      </x:c>
      <x:c r="AJ183" s="54"/>
      <x:c r="AK183" s="473"/>
      <x:c r="AL183" s="473"/>
      <x:c r="AM183" s="473"/>
      <x:c r="AN183" s="500" t="n">
        <x:f>IF(AND(AK183="Yes",OR(O183="Labour",O183="Plant")),Z183,0)</x:f>
        <x:v>0</x:v>
      </x:c>
    </x:row>
    <x:row r="184">
      <x:c r="A184" s="80" t="str">
        <x:f>IF(B184="","",B184&amp;"-"&amp;TEXT(COUNTIF($B$7:B184,B184),"000"))</x:f>
      </x:c>
      <x:c r="B184" s="53"/>
      <x:c r="C184" s="81" t="str">
        <x:f>IFERROR(INDEX('QS Takeoff'!$A$3:$A$194,MATCH(B184,'QS Takeoff'!$B$3:$B$194,0)),"")</x:f>
      </x:c>
      <x:c r="D184" s="81" t="str">
        <x:f>IFERROR(INDEX('QS Takeoff'!$C$3:$C$194,MATCH(B184,'QS Takeoff'!$B$3:$B$194,0)),"")</x:f>
      </x:c>
      <x:c r="E184" s="81" t="str">
        <x:f>IFERROR(INDEX('QS Takeoff'!$E$3:$E$194,MATCH(B184,'QS Takeoff'!$B$3:$B$194,0)),"")</x:f>
      </x:c>
      <x:c r="F184" s="81" t="str">
        <x:f>IFERROR(INDEX('QS Takeoff'!$D$3:$D$194,MATCH(B184,'QS Takeoff'!$B$3:$B$194,0)),"")</x:f>
      </x:c>
      <x:c r="G184" s="81" t="str">
        <x:f>IFERROR(INDEX('QS Takeoff'!$J$3:$J$194,MATCH(B184,'QS Takeoff'!$B$3:$B$194,0)),"")</x:f>
      </x:c>
      <x:c r="H184" s="53"/>
      <x:c r="I184" s="60"/>
      <x:c r="J184" s="60"/>
      <x:c r="K184" s="82" t="str">
        <x:f t="shared" si="12">IF(OR(B184="",I184="",I184=0),"",E184/I184)</x:f>
      </x:c>
      <x:c r="L184" s="60"/>
      <x:c r="M184" s="82" t="str">
        <x:f t="shared" si="13">IF(L184&gt;0,L184,K184)</x:f>
      </x:c>
      <x:c r="N184" s="53"/>
      <x:c r="O184" s="53"/>
      <x:c r="P184" s="53"/>
      <x:c r="Q184" s="81" t="str">
        <x:f>IFERROR(INDEX('Resource Rate Library'!$C$5:$C$85,MATCH(P184,'Resource Rate Library'!$A$5:$A$85,0)),"")</x:f>
      </x:c>
      <x:c r="R184" s="53"/>
      <x:c r="S184" s="53"/>
      <x:c r="T184" s="81" t="str">
        <x:f>IFERROR(INDEX('Resource Rate Library'!$E$5:$E$85,MATCH(P184,'Resource Rate Library'!$A$5:$A$85,0)),"")</x:f>
      </x:c>
      <x:c r="U184" s="62"/>
      <x:c r="V184" s="62"/>
      <x:c r="W184" s="83" t="n">
        <x:f>IFERROR(INDEX('Resource Rate Library'!$I$5:$I$85,MATCH(P184,'Resource Rate Library'!$A$5:$A$85,0)),0)</x:f>
        <x:v>0</x:v>
      </x:c>
      <x:c r="X184" s="52"/>
      <x:c r="Y184" s="83" t="n">
        <x:f t="shared" si="14">IF(X184&gt;0,X184,W184)</x:f>
        <x:v>0</x:v>
      </x:c>
      <x:c r="Z184" s="83" t="str">
        <x:f t="shared" si="15">IF(B184="","",IF(N184="Time x Count",M184*R184*IF(U184="",1,U184)*Y184,IF(N184="QS Qty x Factor",E184*R184*(1+IF(V184="",0,V184))*Y184,IF(N184="Direct Qty",S184*(1+IF(V184="",0,V184))*Y184,IF(N184="Lump Sum / Quote",S184*Y184,0)))))</x:f>
      </x:c>
      <x:c r="AA184" s="81" t="str">
        <x:f>IFERROR(INDEX('Resource Rate Library'!$N$5:$N$85,MATCH(P184,'Resource Rate Library'!$A$5:$A$85,0)),"")</x:f>
      </x:c>
      <x:c r="AB184" s="53"/>
      <x:c r="AC184" s="59"/>
      <x:c r="AD184" s="81" t="str">
        <x:f>IFERROR(INDEX('Resource Rate Library'!$G$5:$G$85,MATCH(P184,'Resource Rate Library'!$A$5:$A$85,0)),"")</x:f>
      </x:c>
      <x:c r="AE184" s="81" t="str">
        <x:f>IFERROR(INDEX('Resource Rate Library'!$H$5:$H$85,MATCH(P184,'Resource Rate Library'!$A$5:$A$85,0)),"")</x:f>
      </x:c>
      <x:c r="AF184" s="53"/>
      <x:c r="AG184" s="53"/>
      <x:c r="AH184" s="53"/>
      <x:c r="AI184" s="81" t="str">
        <x:f t="shared" si="16">IF(B184="","",IF(AND(P184="",N184&lt;&gt;"Lump Sum / Quote"),"RESOURCE CODE",IF(Y184=0,"RATE MISSING",IF(AND(O184="Plant",AD184="Yes",COUNTIFS($B$7:$B$306,B184,$O$7:$O$306,"Labour",$Q$7:$Q$306,"*Operator*")&gt;0),"OPERATOR DOUBLE-COUNT",IF(AND(O184="Plant",AE184="Yes",COUNTIFS($B$7:$B$306,B184,$Q$7:$Q$306,"*Fuel*")&gt;0),"FUEL DOUBLE-COUNT",IF(AH184&lt;&gt;"Yes","VERIFY","OK"))))))</x:f>
      </x:c>
      <x:c r="AJ184" s="54"/>
      <x:c r="AK184" s="473"/>
      <x:c r="AL184" s="473"/>
      <x:c r="AM184" s="473"/>
      <x:c r="AN184" s="500" t="n">
        <x:f>IF(AND(AK184="Yes",OR(O184="Labour",O184="Plant")),Z184,0)</x:f>
        <x:v>0</x:v>
      </x:c>
    </x:row>
    <x:row r="185">
      <x:c r="A185" s="80" t="str">
        <x:f>IF(B185="","",B185&amp;"-"&amp;TEXT(COUNTIF($B$7:B185,B185),"000"))</x:f>
      </x:c>
      <x:c r="B185" s="53"/>
      <x:c r="C185" s="81" t="str">
        <x:f>IFERROR(INDEX('QS Takeoff'!$A$3:$A$194,MATCH(B185,'QS Takeoff'!$B$3:$B$194,0)),"")</x:f>
      </x:c>
      <x:c r="D185" s="81" t="str">
        <x:f>IFERROR(INDEX('QS Takeoff'!$C$3:$C$194,MATCH(B185,'QS Takeoff'!$B$3:$B$194,0)),"")</x:f>
      </x:c>
      <x:c r="E185" s="81" t="str">
        <x:f>IFERROR(INDEX('QS Takeoff'!$E$3:$E$194,MATCH(B185,'QS Takeoff'!$B$3:$B$194,0)),"")</x:f>
      </x:c>
      <x:c r="F185" s="81" t="str">
        <x:f>IFERROR(INDEX('QS Takeoff'!$D$3:$D$194,MATCH(B185,'QS Takeoff'!$B$3:$B$194,0)),"")</x:f>
      </x:c>
      <x:c r="G185" s="81" t="str">
        <x:f>IFERROR(INDEX('QS Takeoff'!$J$3:$J$194,MATCH(B185,'QS Takeoff'!$B$3:$B$194,0)),"")</x:f>
      </x:c>
      <x:c r="H185" s="53"/>
      <x:c r="I185" s="60"/>
      <x:c r="J185" s="60"/>
      <x:c r="K185" s="82" t="str">
        <x:f t="shared" si="12">IF(OR(B185="",I185="",I185=0),"",E185/I185)</x:f>
      </x:c>
      <x:c r="L185" s="60"/>
      <x:c r="M185" s="82" t="str">
        <x:f t="shared" si="13">IF(L185&gt;0,L185,K185)</x:f>
      </x:c>
      <x:c r="N185" s="53"/>
      <x:c r="O185" s="53"/>
      <x:c r="P185" s="53"/>
      <x:c r="Q185" s="81" t="str">
        <x:f>IFERROR(INDEX('Resource Rate Library'!$C$5:$C$85,MATCH(P185,'Resource Rate Library'!$A$5:$A$85,0)),"")</x:f>
      </x:c>
      <x:c r="R185" s="53"/>
      <x:c r="S185" s="53"/>
      <x:c r="T185" s="81" t="str">
        <x:f>IFERROR(INDEX('Resource Rate Library'!$E$5:$E$85,MATCH(P185,'Resource Rate Library'!$A$5:$A$85,0)),"")</x:f>
      </x:c>
      <x:c r="U185" s="62"/>
      <x:c r="V185" s="62"/>
      <x:c r="W185" s="83" t="n">
        <x:f>IFERROR(INDEX('Resource Rate Library'!$I$5:$I$85,MATCH(P185,'Resource Rate Library'!$A$5:$A$85,0)),0)</x:f>
        <x:v>0</x:v>
      </x:c>
      <x:c r="X185" s="52"/>
      <x:c r="Y185" s="83" t="n">
        <x:f t="shared" si="14">IF(X185&gt;0,X185,W185)</x:f>
        <x:v>0</x:v>
      </x:c>
      <x:c r="Z185" s="83" t="str">
        <x:f t="shared" si="15">IF(B185="","",IF(N185="Time x Count",M185*R185*IF(U185="",1,U185)*Y185,IF(N185="QS Qty x Factor",E185*R185*(1+IF(V185="",0,V185))*Y185,IF(N185="Direct Qty",S185*(1+IF(V185="",0,V185))*Y185,IF(N185="Lump Sum / Quote",S185*Y185,0)))))</x:f>
      </x:c>
      <x:c r="AA185" s="81" t="str">
        <x:f>IFERROR(INDEX('Resource Rate Library'!$N$5:$N$85,MATCH(P185,'Resource Rate Library'!$A$5:$A$85,0)),"")</x:f>
      </x:c>
      <x:c r="AB185" s="53"/>
      <x:c r="AC185" s="59"/>
      <x:c r="AD185" s="81" t="str">
        <x:f>IFERROR(INDEX('Resource Rate Library'!$G$5:$G$85,MATCH(P185,'Resource Rate Library'!$A$5:$A$85,0)),"")</x:f>
      </x:c>
      <x:c r="AE185" s="81" t="str">
        <x:f>IFERROR(INDEX('Resource Rate Library'!$H$5:$H$85,MATCH(P185,'Resource Rate Library'!$A$5:$A$85,0)),"")</x:f>
      </x:c>
      <x:c r="AF185" s="53"/>
      <x:c r="AG185" s="53"/>
      <x:c r="AH185" s="53"/>
      <x:c r="AI185" s="81" t="str">
        <x:f t="shared" ref="AI185:AI216" si="17">IF(B185="","",IF(AND(P185="",N185&lt;&gt;"Lump Sum / Quote"),"RESOURCE CODE",IF(Y185=0,"RATE MISSING",IF(AND(O185="Plant",AD185="Yes",COUNTIFS($B$7:$B$306,B185,$O$7:$O$306,"Labour",$Q$7:$Q$306,"*Operator*")&gt;0),"OPERATOR DOUBLE-COUNT",IF(AND(O185="Plant",AE185="Yes",COUNTIFS($B$7:$B$306,B185,$Q$7:$Q$306,"*Fuel*")&gt;0),"FUEL DOUBLE-COUNT",IF(AH185&lt;&gt;"Yes","VERIFY","OK"))))))</x:f>
      </x:c>
      <x:c r="AJ185" s="54"/>
      <x:c r="AK185" s="473"/>
      <x:c r="AL185" s="473"/>
      <x:c r="AM185" s="473"/>
      <x:c r="AN185" s="500" t="n">
        <x:f>IF(AND(AK185="Yes",OR(O185="Labour",O185="Plant")),Z185,0)</x:f>
        <x:v>0</x:v>
      </x:c>
    </x:row>
    <x:row r="186">
      <x:c r="A186" s="80" t="str">
        <x:f>IF(B186="","",B186&amp;"-"&amp;TEXT(COUNTIF($B$7:B186,B186),"000"))</x:f>
      </x:c>
      <x:c r="B186" s="53"/>
      <x:c r="C186" s="81" t="str">
        <x:f>IFERROR(INDEX('QS Takeoff'!$A$3:$A$194,MATCH(B186,'QS Takeoff'!$B$3:$B$194,0)),"")</x:f>
      </x:c>
      <x:c r="D186" s="81" t="str">
        <x:f>IFERROR(INDEX('QS Takeoff'!$C$3:$C$194,MATCH(B186,'QS Takeoff'!$B$3:$B$194,0)),"")</x:f>
      </x:c>
      <x:c r="E186" s="81" t="str">
        <x:f>IFERROR(INDEX('QS Takeoff'!$E$3:$E$194,MATCH(B186,'QS Takeoff'!$B$3:$B$194,0)),"")</x:f>
      </x:c>
      <x:c r="F186" s="81" t="str">
        <x:f>IFERROR(INDEX('QS Takeoff'!$D$3:$D$194,MATCH(B186,'QS Takeoff'!$B$3:$B$194,0)),"")</x:f>
      </x:c>
      <x:c r="G186" s="81" t="str">
        <x:f>IFERROR(INDEX('QS Takeoff'!$J$3:$J$194,MATCH(B186,'QS Takeoff'!$B$3:$B$194,0)),"")</x:f>
      </x:c>
      <x:c r="H186" s="53"/>
      <x:c r="I186" s="60"/>
      <x:c r="J186" s="60"/>
      <x:c r="K186" s="82" t="str">
        <x:f t="shared" si="12">IF(OR(B186="",I186="",I186=0),"",E186/I186)</x:f>
      </x:c>
      <x:c r="L186" s="60"/>
      <x:c r="M186" s="82" t="str">
        <x:f t="shared" si="13">IF(L186&gt;0,L186,K186)</x:f>
      </x:c>
      <x:c r="N186" s="53"/>
      <x:c r="O186" s="53"/>
      <x:c r="P186" s="53"/>
      <x:c r="Q186" s="81" t="str">
        <x:f>IFERROR(INDEX('Resource Rate Library'!$C$5:$C$85,MATCH(P186,'Resource Rate Library'!$A$5:$A$85,0)),"")</x:f>
      </x:c>
      <x:c r="R186" s="53"/>
      <x:c r="S186" s="53"/>
      <x:c r="T186" s="81" t="str">
        <x:f>IFERROR(INDEX('Resource Rate Library'!$E$5:$E$85,MATCH(P186,'Resource Rate Library'!$A$5:$A$85,0)),"")</x:f>
      </x:c>
      <x:c r="U186" s="62"/>
      <x:c r="V186" s="62"/>
      <x:c r="W186" s="83" t="n">
        <x:f>IFERROR(INDEX('Resource Rate Library'!$I$5:$I$85,MATCH(P186,'Resource Rate Library'!$A$5:$A$85,0)),0)</x:f>
        <x:v>0</x:v>
      </x:c>
      <x:c r="X186" s="52"/>
      <x:c r="Y186" s="83" t="n">
        <x:f t="shared" si="14">IF(X186&gt;0,X186,W186)</x:f>
        <x:v>0</x:v>
      </x:c>
      <x:c r="Z186" s="83" t="str">
        <x:f t="shared" si="15">IF(B186="","",IF(N186="Time x Count",M186*R186*IF(U186="",1,U186)*Y186,IF(N186="QS Qty x Factor",E186*R186*(1+IF(V186="",0,V186))*Y186,IF(N186="Direct Qty",S186*(1+IF(V186="",0,V186))*Y186,IF(N186="Lump Sum / Quote",S186*Y186,0)))))</x:f>
      </x:c>
      <x:c r="AA186" s="81" t="str">
        <x:f>IFERROR(INDEX('Resource Rate Library'!$N$5:$N$85,MATCH(P186,'Resource Rate Library'!$A$5:$A$85,0)),"")</x:f>
      </x:c>
      <x:c r="AB186" s="53"/>
      <x:c r="AC186" s="59"/>
      <x:c r="AD186" s="81" t="str">
        <x:f>IFERROR(INDEX('Resource Rate Library'!$G$5:$G$85,MATCH(P186,'Resource Rate Library'!$A$5:$A$85,0)),"")</x:f>
      </x:c>
      <x:c r="AE186" s="81" t="str">
        <x:f>IFERROR(INDEX('Resource Rate Library'!$H$5:$H$85,MATCH(P186,'Resource Rate Library'!$A$5:$A$85,0)),"")</x:f>
      </x:c>
      <x:c r="AF186" s="53"/>
      <x:c r="AG186" s="53"/>
      <x:c r="AH186" s="53"/>
      <x:c r="AI186" s="81" t="str">
        <x:f t="shared" si="17">IF(B186="","",IF(AND(P186="",N186&lt;&gt;"Lump Sum / Quote"),"RESOURCE CODE",IF(Y186=0,"RATE MISSING",IF(AND(O186="Plant",AD186="Yes",COUNTIFS($B$7:$B$306,B186,$O$7:$O$306,"Labour",$Q$7:$Q$306,"*Operator*")&gt;0),"OPERATOR DOUBLE-COUNT",IF(AND(O186="Plant",AE186="Yes",COUNTIFS($B$7:$B$306,B186,$Q$7:$Q$306,"*Fuel*")&gt;0),"FUEL DOUBLE-COUNT",IF(AH186&lt;&gt;"Yes","VERIFY","OK"))))))</x:f>
      </x:c>
      <x:c r="AJ186" s="54"/>
      <x:c r="AK186" s="473"/>
      <x:c r="AL186" s="473"/>
      <x:c r="AM186" s="473"/>
      <x:c r="AN186" s="500" t="n">
        <x:f>IF(AND(AK186="Yes",OR(O186="Labour",O186="Plant")),Z186,0)</x:f>
        <x:v>0</x:v>
      </x:c>
    </x:row>
    <x:row r="187">
      <x:c r="A187" s="80" t="str">
        <x:f>IF(B187="","",B187&amp;"-"&amp;TEXT(COUNTIF($B$7:B187,B187),"000"))</x:f>
      </x:c>
      <x:c r="B187" s="53"/>
      <x:c r="C187" s="81" t="str">
        <x:f>IFERROR(INDEX('QS Takeoff'!$A$3:$A$194,MATCH(B187,'QS Takeoff'!$B$3:$B$194,0)),"")</x:f>
      </x:c>
      <x:c r="D187" s="81" t="str">
        <x:f>IFERROR(INDEX('QS Takeoff'!$C$3:$C$194,MATCH(B187,'QS Takeoff'!$B$3:$B$194,0)),"")</x:f>
      </x:c>
      <x:c r="E187" s="81" t="str">
        <x:f>IFERROR(INDEX('QS Takeoff'!$E$3:$E$194,MATCH(B187,'QS Takeoff'!$B$3:$B$194,0)),"")</x:f>
      </x:c>
      <x:c r="F187" s="81" t="str">
        <x:f>IFERROR(INDEX('QS Takeoff'!$D$3:$D$194,MATCH(B187,'QS Takeoff'!$B$3:$B$194,0)),"")</x:f>
      </x:c>
      <x:c r="G187" s="81" t="str">
        <x:f>IFERROR(INDEX('QS Takeoff'!$J$3:$J$194,MATCH(B187,'QS Takeoff'!$B$3:$B$194,0)),"")</x:f>
      </x:c>
      <x:c r="H187" s="53"/>
      <x:c r="I187" s="60"/>
      <x:c r="J187" s="60"/>
      <x:c r="K187" s="82" t="str">
        <x:f t="shared" si="12">IF(OR(B187="",I187="",I187=0),"",E187/I187)</x:f>
      </x:c>
      <x:c r="L187" s="60"/>
      <x:c r="M187" s="82" t="str">
        <x:f t="shared" si="13">IF(L187&gt;0,L187,K187)</x:f>
      </x:c>
      <x:c r="N187" s="53"/>
      <x:c r="O187" s="53"/>
      <x:c r="P187" s="53"/>
      <x:c r="Q187" s="81" t="str">
        <x:f>IFERROR(INDEX('Resource Rate Library'!$C$5:$C$85,MATCH(P187,'Resource Rate Library'!$A$5:$A$85,0)),"")</x:f>
      </x:c>
      <x:c r="R187" s="53"/>
      <x:c r="S187" s="53"/>
      <x:c r="T187" s="81" t="str">
        <x:f>IFERROR(INDEX('Resource Rate Library'!$E$5:$E$85,MATCH(P187,'Resource Rate Library'!$A$5:$A$85,0)),"")</x:f>
      </x:c>
      <x:c r="U187" s="62"/>
      <x:c r="V187" s="62"/>
      <x:c r="W187" s="83" t="n">
        <x:f>IFERROR(INDEX('Resource Rate Library'!$I$5:$I$85,MATCH(P187,'Resource Rate Library'!$A$5:$A$85,0)),0)</x:f>
        <x:v>0</x:v>
      </x:c>
      <x:c r="X187" s="52"/>
      <x:c r="Y187" s="83" t="n">
        <x:f t="shared" si="14">IF(X187&gt;0,X187,W187)</x:f>
        <x:v>0</x:v>
      </x:c>
      <x:c r="Z187" s="83" t="str">
        <x:f t="shared" si="15">IF(B187="","",IF(N187="Time x Count",M187*R187*IF(U187="",1,U187)*Y187,IF(N187="QS Qty x Factor",E187*R187*(1+IF(V187="",0,V187))*Y187,IF(N187="Direct Qty",S187*(1+IF(V187="",0,V187))*Y187,IF(N187="Lump Sum / Quote",S187*Y187,0)))))</x:f>
      </x:c>
      <x:c r="AA187" s="81" t="str">
        <x:f>IFERROR(INDEX('Resource Rate Library'!$N$5:$N$85,MATCH(P187,'Resource Rate Library'!$A$5:$A$85,0)),"")</x:f>
      </x:c>
      <x:c r="AB187" s="53"/>
      <x:c r="AC187" s="59"/>
      <x:c r="AD187" s="81" t="str">
        <x:f>IFERROR(INDEX('Resource Rate Library'!$G$5:$G$85,MATCH(P187,'Resource Rate Library'!$A$5:$A$85,0)),"")</x:f>
      </x:c>
      <x:c r="AE187" s="81" t="str">
        <x:f>IFERROR(INDEX('Resource Rate Library'!$H$5:$H$85,MATCH(P187,'Resource Rate Library'!$A$5:$A$85,0)),"")</x:f>
      </x:c>
      <x:c r="AF187" s="53"/>
      <x:c r="AG187" s="53"/>
      <x:c r="AH187" s="53"/>
      <x:c r="AI187" s="81" t="str">
        <x:f t="shared" si="17">IF(B187="","",IF(AND(P187="",N187&lt;&gt;"Lump Sum / Quote"),"RESOURCE CODE",IF(Y187=0,"RATE MISSING",IF(AND(O187="Plant",AD187="Yes",COUNTIFS($B$7:$B$306,B187,$O$7:$O$306,"Labour",$Q$7:$Q$306,"*Operator*")&gt;0),"OPERATOR DOUBLE-COUNT",IF(AND(O187="Plant",AE187="Yes",COUNTIFS($B$7:$B$306,B187,$Q$7:$Q$306,"*Fuel*")&gt;0),"FUEL DOUBLE-COUNT",IF(AH187&lt;&gt;"Yes","VERIFY","OK"))))))</x:f>
      </x:c>
      <x:c r="AJ187" s="54"/>
      <x:c r="AK187" s="473"/>
      <x:c r="AL187" s="473"/>
      <x:c r="AM187" s="473"/>
      <x:c r="AN187" s="500" t="n">
        <x:f>IF(AND(AK187="Yes",OR(O187="Labour",O187="Plant")),Z187,0)</x:f>
        <x:v>0</x:v>
      </x:c>
    </x:row>
    <x:row r="188">
      <x:c r="A188" s="80" t="str">
        <x:f>IF(B188="","",B188&amp;"-"&amp;TEXT(COUNTIF($B$7:B188,B188),"000"))</x:f>
      </x:c>
      <x:c r="B188" s="53"/>
      <x:c r="C188" s="81" t="str">
        <x:f>IFERROR(INDEX('QS Takeoff'!$A$3:$A$194,MATCH(B188,'QS Takeoff'!$B$3:$B$194,0)),"")</x:f>
      </x:c>
      <x:c r="D188" s="81" t="str">
        <x:f>IFERROR(INDEX('QS Takeoff'!$C$3:$C$194,MATCH(B188,'QS Takeoff'!$B$3:$B$194,0)),"")</x:f>
      </x:c>
      <x:c r="E188" s="81" t="str">
        <x:f>IFERROR(INDEX('QS Takeoff'!$E$3:$E$194,MATCH(B188,'QS Takeoff'!$B$3:$B$194,0)),"")</x:f>
      </x:c>
      <x:c r="F188" s="81" t="str">
        <x:f>IFERROR(INDEX('QS Takeoff'!$D$3:$D$194,MATCH(B188,'QS Takeoff'!$B$3:$B$194,0)),"")</x:f>
      </x:c>
      <x:c r="G188" s="81" t="str">
        <x:f>IFERROR(INDEX('QS Takeoff'!$J$3:$J$194,MATCH(B188,'QS Takeoff'!$B$3:$B$194,0)),"")</x:f>
      </x:c>
      <x:c r="H188" s="53"/>
      <x:c r="I188" s="60"/>
      <x:c r="J188" s="60"/>
      <x:c r="K188" s="82" t="str">
        <x:f t="shared" si="12">IF(OR(B188="",I188="",I188=0),"",E188/I188)</x:f>
      </x:c>
      <x:c r="L188" s="60"/>
      <x:c r="M188" s="82" t="str">
        <x:f t="shared" si="13">IF(L188&gt;0,L188,K188)</x:f>
      </x:c>
      <x:c r="N188" s="53"/>
      <x:c r="O188" s="53"/>
      <x:c r="P188" s="53"/>
      <x:c r="Q188" s="81" t="str">
        <x:f>IFERROR(INDEX('Resource Rate Library'!$C$5:$C$85,MATCH(P188,'Resource Rate Library'!$A$5:$A$85,0)),"")</x:f>
      </x:c>
      <x:c r="R188" s="53"/>
      <x:c r="S188" s="53"/>
      <x:c r="T188" s="81" t="str">
        <x:f>IFERROR(INDEX('Resource Rate Library'!$E$5:$E$85,MATCH(P188,'Resource Rate Library'!$A$5:$A$85,0)),"")</x:f>
      </x:c>
      <x:c r="U188" s="62"/>
      <x:c r="V188" s="62"/>
      <x:c r="W188" s="83" t="n">
        <x:f>IFERROR(INDEX('Resource Rate Library'!$I$5:$I$85,MATCH(P188,'Resource Rate Library'!$A$5:$A$85,0)),0)</x:f>
        <x:v>0</x:v>
      </x:c>
      <x:c r="X188" s="52"/>
      <x:c r="Y188" s="83" t="n">
        <x:f t="shared" si="14">IF(X188&gt;0,X188,W188)</x:f>
        <x:v>0</x:v>
      </x:c>
      <x:c r="Z188" s="83" t="str">
        <x:f t="shared" si="15">IF(B188="","",IF(N188="Time x Count",M188*R188*IF(U188="",1,U188)*Y188,IF(N188="QS Qty x Factor",E188*R188*(1+IF(V188="",0,V188))*Y188,IF(N188="Direct Qty",S188*(1+IF(V188="",0,V188))*Y188,IF(N188="Lump Sum / Quote",S188*Y188,0)))))</x:f>
      </x:c>
      <x:c r="AA188" s="81" t="str">
        <x:f>IFERROR(INDEX('Resource Rate Library'!$N$5:$N$85,MATCH(P188,'Resource Rate Library'!$A$5:$A$85,0)),"")</x:f>
      </x:c>
      <x:c r="AB188" s="53"/>
      <x:c r="AC188" s="59"/>
      <x:c r="AD188" s="81" t="str">
        <x:f>IFERROR(INDEX('Resource Rate Library'!$G$5:$G$85,MATCH(P188,'Resource Rate Library'!$A$5:$A$85,0)),"")</x:f>
      </x:c>
      <x:c r="AE188" s="81" t="str">
        <x:f>IFERROR(INDEX('Resource Rate Library'!$H$5:$H$85,MATCH(P188,'Resource Rate Library'!$A$5:$A$85,0)),"")</x:f>
      </x:c>
      <x:c r="AF188" s="53"/>
      <x:c r="AG188" s="53"/>
      <x:c r="AH188" s="53"/>
      <x:c r="AI188" s="81" t="str">
        <x:f t="shared" si="17">IF(B188="","",IF(AND(P188="",N188&lt;&gt;"Lump Sum / Quote"),"RESOURCE CODE",IF(Y188=0,"RATE MISSING",IF(AND(O188="Plant",AD188="Yes",COUNTIFS($B$7:$B$306,B188,$O$7:$O$306,"Labour",$Q$7:$Q$306,"*Operator*")&gt;0),"OPERATOR DOUBLE-COUNT",IF(AND(O188="Plant",AE188="Yes",COUNTIFS($B$7:$B$306,B188,$Q$7:$Q$306,"*Fuel*")&gt;0),"FUEL DOUBLE-COUNT",IF(AH188&lt;&gt;"Yes","VERIFY","OK"))))))</x:f>
      </x:c>
      <x:c r="AJ188" s="54"/>
      <x:c r="AK188" s="473"/>
      <x:c r="AL188" s="473"/>
      <x:c r="AM188" s="473"/>
      <x:c r="AN188" s="500" t="n">
        <x:f>IF(AND(AK188="Yes",OR(O188="Labour",O188="Plant")),Z188,0)</x:f>
        <x:v>0</x:v>
      </x:c>
    </x:row>
    <x:row r="189">
      <x:c r="A189" s="80" t="str">
        <x:f>IF(B189="","",B189&amp;"-"&amp;TEXT(COUNTIF($B$7:B189,B189),"000"))</x:f>
      </x:c>
      <x:c r="B189" s="53"/>
      <x:c r="C189" s="81" t="str">
        <x:f>IFERROR(INDEX('QS Takeoff'!$A$3:$A$194,MATCH(B189,'QS Takeoff'!$B$3:$B$194,0)),"")</x:f>
      </x:c>
      <x:c r="D189" s="81" t="str">
        <x:f>IFERROR(INDEX('QS Takeoff'!$C$3:$C$194,MATCH(B189,'QS Takeoff'!$B$3:$B$194,0)),"")</x:f>
      </x:c>
      <x:c r="E189" s="81" t="str">
        <x:f>IFERROR(INDEX('QS Takeoff'!$E$3:$E$194,MATCH(B189,'QS Takeoff'!$B$3:$B$194,0)),"")</x:f>
      </x:c>
      <x:c r="F189" s="81" t="str">
        <x:f>IFERROR(INDEX('QS Takeoff'!$D$3:$D$194,MATCH(B189,'QS Takeoff'!$B$3:$B$194,0)),"")</x:f>
      </x:c>
      <x:c r="G189" s="81" t="str">
        <x:f>IFERROR(INDEX('QS Takeoff'!$J$3:$J$194,MATCH(B189,'QS Takeoff'!$B$3:$B$194,0)),"")</x:f>
      </x:c>
      <x:c r="H189" s="53"/>
      <x:c r="I189" s="60"/>
      <x:c r="J189" s="60"/>
      <x:c r="K189" s="82" t="str">
        <x:f t="shared" si="12">IF(OR(B189="",I189="",I189=0),"",E189/I189)</x:f>
      </x:c>
      <x:c r="L189" s="60"/>
      <x:c r="M189" s="82" t="str">
        <x:f t="shared" si="13">IF(L189&gt;0,L189,K189)</x:f>
      </x:c>
      <x:c r="N189" s="53"/>
      <x:c r="O189" s="53"/>
      <x:c r="P189" s="53"/>
      <x:c r="Q189" s="81" t="str">
        <x:f>IFERROR(INDEX('Resource Rate Library'!$C$5:$C$85,MATCH(P189,'Resource Rate Library'!$A$5:$A$85,0)),"")</x:f>
      </x:c>
      <x:c r="R189" s="53"/>
      <x:c r="S189" s="53"/>
      <x:c r="T189" s="81" t="str">
        <x:f>IFERROR(INDEX('Resource Rate Library'!$E$5:$E$85,MATCH(P189,'Resource Rate Library'!$A$5:$A$85,0)),"")</x:f>
      </x:c>
      <x:c r="U189" s="62"/>
      <x:c r="V189" s="62"/>
      <x:c r="W189" s="83" t="n">
        <x:f>IFERROR(INDEX('Resource Rate Library'!$I$5:$I$85,MATCH(P189,'Resource Rate Library'!$A$5:$A$85,0)),0)</x:f>
        <x:v>0</x:v>
      </x:c>
      <x:c r="X189" s="52"/>
      <x:c r="Y189" s="83" t="n">
        <x:f t="shared" si="14">IF(X189&gt;0,X189,W189)</x:f>
        <x:v>0</x:v>
      </x:c>
      <x:c r="Z189" s="83" t="str">
        <x:f t="shared" si="15">IF(B189="","",IF(N189="Time x Count",M189*R189*IF(U189="",1,U189)*Y189,IF(N189="QS Qty x Factor",E189*R189*(1+IF(V189="",0,V189))*Y189,IF(N189="Direct Qty",S189*(1+IF(V189="",0,V189))*Y189,IF(N189="Lump Sum / Quote",S189*Y189,0)))))</x:f>
      </x:c>
      <x:c r="AA189" s="81" t="str">
        <x:f>IFERROR(INDEX('Resource Rate Library'!$N$5:$N$85,MATCH(P189,'Resource Rate Library'!$A$5:$A$85,0)),"")</x:f>
      </x:c>
      <x:c r="AB189" s="53"/>
      <x:c r="AC189" s="59"/>
      <x:c r="AD189" s="81" t="str">
        <x:f>IFERROR(INDEX('Resource Rate Library'!$G$5:$G$85,MATCH(P189,'Resource Rate Library'!$A$5:$A$85,0)),"")</x:f>
      </x:c>
      <x:c r="AE189" s="81" t="str">
        <x:f>IFERROR(INDEX('Resource Rate Library'!$H$5:$H$85,MATCH(P189,'Resource Rate Library'!$A$5:$A$85,0)),"")</x:f>
      </x:c>
      <x:c r="AF189" s="53"/>
      <x:c r="AG189" s="53"/>
      <x:c r="AH189" s="53"/>
      <x:c r="AI189" s="81" t="str">
        <x:f t="shared" si="17">IF(B189="","",IF(AND(P189="",N189&lt;&gt;"Lump Sum / Quote"),"RESOURCE CODE",IF(Y189=0,"RATE MISSING",IF(AND(O189="Plant",AD189="Yes",COUNTIFS($B$7:$B$306,B189,$O$7:$O$306,"Labour",$Q$7:$Q$306,"*Operator*")&gt;0),"OPERATOR DOUBLE-COUNT",IF(AND(O189="Plant",AE189="Yes",COUNTIFS($B$7:$B$306,B189,$Q$7:$Q$306,"*Fuel*")&gt;0),"FUEL DOUBLE-COUNT",IF(AH189&lt;&gt;"Yes","VERIFY","OK"))))))</x:f>
      </x:c>
      <x:c r="AJ189" s="54"/>
      <x:c r="AK189" s="473"/>
      <x:c r="AL189" s="473"/>
      <x:c r="AM189" s="473"/>
      <x:c r="AN189" s="500" t="n">
        <x:f>IF(AND(AK189="Yes",OR(O189="Labour",O189="Plant")),Z189,0)</x:f>
        <x:v>0</x:v>
      </x:c>
    </x:row>
    <x:row r="190">
      <x:c r="A190" s="80" t="str">
        <x:f>IF(B190="","",B190&amp;"-"&amp;TEXT(COUNTIF($B$7:B190,B190),"000"))</x:f>
      </x:c>
      <x:c r="B190" s="53"/>
      <x:c r="C190" s="81" t="str">
        <x:f>IFERROR(INDEX('QS Takeoff'!$A$3:$A$194,MATCH(B190,'QS Takeoff'!$B$3:$B$194,0)),"")</x:f>
      </x:c>
      <x:c r="D190" s="81" t="str">
        <x:f>IFERROR(INDEX('QS Takeoff'!$C$3:$C$194,MATCH(B190,'QS Takeoff'!$B$3:$B$194,0)),"")</x:f>
      </x:c>
      <x:c r="E190" s="81" t="str">
        <x:f>IFERROR(INDEX('QS Takeoff'!$E$3:$E$194,MATCH(B190,'QS Takeoff'!$B$3:$B$194,0)),"")</x:f>
      </x:c>
      <x:c r="F190" s="81" t="str">
        <x:f>IFERROR(INDEX('QS Takeoff'!$D$3:$D$194,MATCH(B190,'QS Takeoff'!$B$3:$B$194,0)),"")</x:f>
      </x:c>
      <x:c r="G190" s="81" t="str">
        <x:f>IFERROR(INDEX('QS Takeoff'!$J$3:$J$194,MATCH(B190,'QS Takeoff'!$B$3:$B$194,0)),"")</x:f>
      </x:c>
      <x:c r="H190" s="53"/>
      <x:c r="I190" s="60"/>
      <x:c r="J190" s="60"/>
      <x:c r="K190" s="82" t="str">
        <x:f t="shared" si="12">IF(OR(B190="",I190="",I190=0),"",E190/I190)</x:f>
      </x:c>
      <x:c r="L190" s="60"/>
      <x:c r="M190" s="82" t="str">
        <x:f t="shared" si="13">IF(L190&gt;0,L190,K190)</x:f>
      </x:c>
      <x:c r="N190" s="53"/>
      <x:c r="O190" s="53"/>
      <x:c r="P190" s="53"/>
      <x:c r="Q190" s="81" t="str">
        <x:f>IFERROR(INDEX('Resource Rate Library'!$C$5:$C$85,MATCH(P190,'Resource Rate Library'!$A$5:$A$85,0)),"")</x:f>
      </x:c>
      <x:c r="R190" s="53"/>
      <x:c r="S190" s="53"/>
      <x:c r="T190" s="81" t="str">
        <x:f>IFERROR(INDEX('Resource Rate Library'!$E$5:$E$85,MATCH(P190,'Resource Rate Library'!$A$5:$A$85,0)),"")</x:f>
      </x:c>
      <x:c r="U190" s="62"/>
      <x:c r="V190" s="62"/>
      <x:c r="W190" s="83" t="n">
        <x:f>IFERROR(INDEX('Resource Rate Library'!$I$5:$I$85,MATCH(P190,'Resource Rate Library'!$A$5:$A$85,0)),0)</x:f>
        <x:v>0</x:v>
      </x:c>
      <x:c r="X190" s="52"/>
      <x:c r="Y190" s="83" t="n">
        <x:f t="shared" si="14">IF(X190&gt;0,X190,W190)</x:f>
        <x:v>0</x:v>
      </x:c>
      <x:c r="Z190" s="83" t="str">
        <x:f t="shared" si="15">IF(B190="","",IF(N190="Time x Count",M190*R190*IF(U190="",1,U190)*Y190,IF(N190="QS Qty x Factor",E190*R190*(1+IF(V190="",0,V190))*Y190,IF(N190="Direct Qty",S190*(1+IF(V190="",0,V190))*Y190,IF(N190="Lump Sum / Quote",S190*Y190,0)))))</x:f>
      </x:c>
      <x:c r="AA190" s="81" t="str">
        <x:f>IFERROR(INDEX('Resource Rate Library'!$N$5:$N$85,MATCH(P190,'Resource Rate Library'!$A$5:$A$85,0)),"")</x:f>
      </x:c>
      <x:c r="AB190" s="53"/>
      <x:c r="AC190" s="59"/>
      <x:c r="AD190" s="81" t="str">
        <x:f>IFERROR(INDEX('Resource Rate Library'!$G$5:$G$85,MATCH(P190,'Resource Rate Library'!$A$5:$A$85,0)),"")</x:f>
      </x:c>
      <x:c r="AE190" s="81" t="str">
        <x:f>IFERROR(INDEX('Resource Rate Library'!$H$5:$H$85,MATCH(P190,'Resource Rate Library'!$A$5:$A$85,0)),"")</x:f>
      </x:c>
      <x:c r="AF190" s="53"/>
      <x:c r="AG190" s="53"/>
      <x:c r="AH190" s="53"/>
      <x:c r="AI190" s="81" t="str">
        <x:f t="shared" si="17">IF(B190="","",IF(AND(P190="",N190&lt;&gt;"Lump Sum / Quote"),"RESOURCE CODE",IF(Y190=0,"RATE MISSING",IF(AND(O190="Plant",AD190="Yes",COUNTIFS($B$7:$B$306,B190,$O$7:$O$306,"Labour",$Q$7:$Q$306,"*Operator*")&gt;0),"OPERATOR DOUBLE-COUNT",IF(AND(O190="Plant",AE190="Yes",COUNTIFS($B$7:$B$306,B190,$Q$7:$Q$306,"*Fuel*")&gt;0),"FUEL DOUBLE-COUNT",IF(AH190&lt;&gt;"Yes","VERIFY","OK"))))))</x:f>
      </x:c>
      <x:c r="AJ190" s="54"/>
      <x:c r="AK190" s="473"/>
      <x:c r="AL190" s="473"/>
      <x:c r="AM190" s="473"/>
      <x:c r="AN190" s="500" t="n">
        <x:f>IF(AND(AK190="Yes",OR(O190="Labour",O190="Plant")),Z190,0)</x:f>
        <x:v>0</x:v>
      </x:c>
    </x:row>
    <x:row r="191">
      <x:c r="A191" s="80" t="str">
        <x:f>IF(B191="","",B191&amp;"-"&amp;TEXT(COUNTIF($B$7:B191,B191),"000"))</x:f>
      </x:c>
      <x:c r="B191" s="53"/>
      <x:c r="C191" s="81" t="str">
        <x:f>IFERROR(INDEX('QS Takeoff'!$A$3:$A$194,MATCH(B191,'QS Takeoff'!$B$3:$B$194,0)),"")</x:f>
      </x:c>
      <x:c r="D191" s="81" t="str">
        <x:f>IFERROR(INDEX('QS Takeoff'!$C$3:$C$194,MATCH(B191,'QS Takeoff'!$B$3:$B$194,0)),"")</x:f>
      </x:c>
      <x:c r="E191" s="81" t="str">
        <x:f>IFERROR(INDEX('QS Takeoff'!$E$3:$E$194,MATCH(B191,'QS Takeoff'!$B$3:$B$194,0)),"")</x:f>
      </x:c>
      <x:c r="F191" s="81" t="str">
        <x:f>IFERROR(INDEX('QS Takeoff'!$D$3:$D$194,MATCH(B191,'QS Takeoff'!$B$3:$B$194,0)),"")</x:f>
      </x:c>
      <x:c r="G191" s="81" t="str">
        <x:f>IFERROR(INDEX('QS Takeoff'!$J$3:$J$194,MATCH(B191,'QS Takeoff'!$B$3:$B$194,0)),"")</x:f>
      </x:c>
      <x:c r="H191" s="53"/>
      <x:c r="I191" s="60"/>
      <x:c r="J191" s="60"/>
      <x:c r="K191" s="82" t="str">
        <x:f t="shared" si="12">IF(OR(B191="",I191="",I191=0),"",E191/I191)</x:f>
      </x:c>
      <x:c r="L191" s="60"/>
      <x:c r="M191" s="82" t="str">
        <x:f t="shared" si="13">IF(L191&gt;0,L191,K191)</x:f>
      </x:c>
      <x:c r="N191" s="53"/>
      <x:c r="O191" s="53"/>
      <x:c r="P191" s="53"/>
      <x:c r="Q191" s="81" t="str">
        <x:f>IFERROR(INDEX('Resource Rate Library'!$C$5:$C$85,MATCH(P191,'Resource Rate Library'!$A$5:$A$85,0)),"")</x:f>
      </x:c>
      <x:c r="R191" s="53"/>
      <x:c r="S191" s="53"/>
      <x:c r="T191" s="81" t="str">
        <x:f>IFERROR(INDEX('Resource Rate Library'!$E$5:$E$85,MATCH(P191,'Resource Rate Library'!$A$5:$A$85,0)),"")</x:f>
      </x:c>
      <x:c r="U191" s="62"/>
      <x:c r="V191" s="62"/>
      <x:c r="W191" s="83" t="n">
        <x:f>IFERROR(INDEX('Resource Rate Library'!$I$5:$I$85,MATCH(P191,'Resource Rate Library'!$A$5:$A$85,0)),0)</x:f>
        <x:v>0</x:v>
      </x:c>
      <x:c r="X191" s="52"/>
      <x:c r="Y191" s="83" t="n">
        <x:f t="shared" si="14">IF(X191&gt;0,X191,W191)</x:f>
        <x:v>0</x:v>
      </x:c>
      <x:c r="Z191" s="83" t="str">
        <x:f t="shared" si="15">IF(B191="","",IF(N191="Time x Count",M191*R191*IF(U191="",1,U191)*Y191,IF(N191="QS Qty x Factor",E191*R191*(1+IF(V191="",0,V191))*Y191,IF(N191="Direct Qty",S191*(1+IF(V191="",0,V191))*Y191,IF(N191="Lump Sum / Quote",S191*Y191,0)))))</x:f>
      </x:c>
      <x:c r="AA191" s="81" t="str">
        <x:f>IFERROR(INDEX('Resource Rate Library'!$N$5:$N$85,MATCH(P191,'Resource Rate Library'!$A$5:$A$85,0)),"")</x:f>
      </x:c>
      <x:c r="AB191" s="53"/>
      <x:c r="AC191" s="59"/>
      <x:c r="AD191" s="81" t="str">
        <x:f>IFERROR(INDEX('Resource Rate Library'!$G$5:$G$85,MATCH(P191,'Resource Rate Library'!$A$5:$A$85,0)),"")</x:f>
      </x:c>
      <x:c r="AE191" s="81" t="str">
        <x:f>IFERROR(INDEX('Resource Rate Library'!$H$5:$H$85,MATCH(P191,'Resource Rate Library'!$A$5:$A$85,0)),"")</x:f>
      </x:c>
      <x:c r="AF191" s="53"/>
      <x:c r="AG191" s="53"/>
      <x:c r="AH191" s="53"/>
      <x:c r="AI191" s="81" t="str">
        <x:f t="shared" si="17">IF(B191="","",IF(AND(P191="",N191&lt;&gt;"Lump Sum / Quote"),"RESOURCE CODE",IF(Y191=0,"RATE MISSING",IF(AND(O191="Plant",AD191="Yes",COUNTIFS($B$7:$B$306,B191,$O$7:$O$306,"Labour",$Q$7:$Q$306,"*Operator*")&gt;0),"OPERATOR DOUBLE-COUNT",IF(AND(O191="Plant",AE191="Yes",COUNTIFS($B$7:$B$306,B191,$Q$7:$Q$306,"*Fuel*")&gt;0),"FUEL DOUBLE-COUNT",IF(AH191&lt;&gt;"Yes","VERIFY","OK"))))))</x:f>
      </x:c>
      <x:c r="AJ191" s="54"/>
      <x:c r="AK191" s="473"/>
      <x:c r="AL191" s="473"/>
      <x:c r="AM191" s="473"/>
      <x:c r="AN191" s="500" t="n">
        <x:f>IF(AND(AK191="Yes",OR(O191="Labour",O191="Plant")),Z191,0)</x:f>
        <x:v>0</x:v>
      </x:c>
    </x:row>
    <x:row r="192">
      <x:c r="A192" s="80" t="str">
        <x:f>IF(B192="","",B192&amp;"-"&amp;TEXT(COUNTIF($B$7:B192,B192),"000"))</x:f>
      </x:c>
      <x:c r="B192" s="53"/>
      <x:c r="C192" s="81" t="str">
        <x:f>IFERROR(INDEX('QS Takeoff'!$A$3:$A$194,MATCH(B192,'QS Takeoff'!$B$3:$B$194,0)),"")</x:f>
      </x:c>
      <x:c r="D192" s="81" t="str">
        <x:f>IFERROR(INDEX('QS Takeoff'!$C$3:$C$194,MATCH(B192,'QS Takeoff'!$B$3:$B$194,0)),"")</x:f>
      </x:c>
      <x:c r="E192" s="81" t="str">
        <x:f>IFERROR(INDEX('QS Takeoff'!$E$3:$E$194,MATCH(B192,'QS Takeoff'!$B$3:$B$194,0)),"")</x:f>
      </x:c>
      <x:c r="F192" s="81" t="str">
        <x:f>IFERROR(INDEX('QS Takeoff'!$D$3:$D$194,MATCH(B192,'QS Takeoff'!$B$3:$B$194,0)),"")</x:f>
      </x:c>
      <x:c r="G192" s="81" t="str">
        <x:f>IFERROR(INDEX('QS Takeoff'!$J$3:$J$194,MATCH(B192,'QS Takeoff'!$B$3:$B$194,0)),"")</x:f>
      </x:c>
      <x:c r="H192" s="53"/>
      <x:c r="I192" s="60"/>
      <x:c r="J192" s="60"/>
      <x:c r="K192" s="82" t="str">
        <x:f t="shared" si="12">IF(OR(B192="",I192="",I192=0),"",E192/I192)</x:f>
      </x:c>
      <x:c r="L192" s="60"/>
      <x:c r="M192" s="82" t="str">
        <x:f t="shared" si="13">IF(L192&gt;0,L192,K192)</x:f>
      </x:c>
      <x:c r="N192" s="53"/>
      <x:c r="O192" s="53"/>
      <x:c r="P192" s="53"/>
      <x:c r="Q192" s="81" t="str">
        <x:f>IFERROR(INDEX('Resource Rate Library'!$C$5:$C$85,MATCH(P192,'Resource Rate Library'!$A$5:$A$85,0)),"")</x:f>
      </x:c>
      <x:c r="R192" s="53"/>
      <x:c r="S192" s="53"/>
      <x:c r="T192" s="81" t="str">
        <x:f>IFERROR(INDEX('Resource Rate Library'!$E$5:$E$85,MATCH(P192,'Resource Rate Library'!$A$5:$A$85,0)),"")</x:f>
      </x:c>
      <x:c r="U192" s="62"/>
      <x:c r="V192" s="62"/>
      <x:c r="W192" s="83" t="n">
        <x:f>IFERROR(INDEX('Resource Rate Library'!$I$5:$I$85,MATCH(P192,'Resource Rate Library'!$A$5:$A$85,0)),0)</x:f>
        <x:v>0</x:v>
      </x:c>
      <x:c r="X192" s="52"/>
      <x:c r="Y192" s="83" t="n">
        <x:f t="shared" si="14">IF(X192&gt;0,X192,W192)</x:f>
        <x:v>0</x:v>
      </x:c>
      <x:c r="Z192" s="83" t="str">
        <x:f t="shared" si="15">IF(B192="","",IF(N192="Time x Count",M192*R192*IF(U192="",1,U192)*Y192,IF(N192="QS Qty x Factor",E192*R192*(1+IF(V192="",0,V192))*Y192,IF(N192="Direct Qty",S192*(1+IF(V192="",0,V192))*Y192,IF(N192="Lump Sum / Quote",S192*Y192,0)))))</x:f>
      </x:c>
      <x:c r="AA192" s="81" t="str">
        <x:f>IFERROR(INDEX('Resource Rate Library'!$N$5:$N$85,MATCH(P192,'Resource Rate Library'!$A$5:$A$85,0)),"")</x:f>
      </x:c>
      <x:c r="AB192" s="53"/>
      <x:c r="AC192" s="59"/>
      <x:c r="AD192" s="81" t="str">
        <x:f>IFERROR(INDEX('Resource Rate Library'!$G$5:$G$85,MATCH(P192,'Resource Rate Library'!$A$5:$A$85,0)),"")</x:f>
      </x:c>
      <x:c r="AE192" s="81" t="str">
        <x:f>IFERROR(INDEX('Resource Rate Library'!$H$5:$H$85,MATCH(P192,'Resource Rate Library'!$A$5:$A$85,0)),"")</x:f>
      </x:c>
      <x:c r="AF192" s="53"/>
      <x:c r="AG192" s="53"/>
      <x:c r="AH192" s="53"/>
      <x:c r="AI192" s="81" t="str">
        <x:f t="shared" si="17">IF(B192="","",IF(AND(P192="",N192&lt;&gt;"Lump Sum / Quote"),"RESOURCE CODE",IF(Y192=0,"RATE MISSING",IF(AND(O192="Plant",AD192="Yes",COUNTIFS($B$7:$B$306,B192,$O$7:$O$306,"Labour",$Q$7:$Q$306,"*Operator*")&gt;0),"OPERATOR DOUBLE-COUNT",IF(AND(O192="Plant",AE192="Yes",COUNTIFS($B$7:$B$306,B192,$Q$7:$Q$306,"*Fuel*")&gt;0),"FUEL DOUBLE-COUNT",IF(AH192&lt;&gt;"Yes","VERIFY","OK"))))))</x:f>
      </x:c>
      <x:c r="AJ192" s="54"/>
      <x:c r="AK192" s="473"/>
      <x:c r="AL192" s="473"/>
      <x:c r="AM192" s="473"/>
      <x:c r="AN192" s="500" t="n">
        <x:f>IF(AND(AK192="Yes",OR(O192="Labour",O192="Plant")),Z192,0)</x:f>
        <x:v>0</x:v>
      </x:c>
    </x:row>
    <x:row r="193">
      <x:c r="A193" s="80" t="str">
        <x:f>IF(B193="","",B193&amp;"-"&amp;TEXT(COUNTIF($B$7:B193,B193),"000"))</x:f>
      </x:c>
      <x:c r="B193" s="53"/>
      <x:c r="C193" s="81" t="str">
        <x:f>IFERROR(INDEX('QS Takeoff'!$A$3:$A$194,MATCH(B193,'QS Takeoff'!$B$3:$B$194,0)),"")</x:f>
      </x:c>
      <x:c r="D193" s="81" t="str">
        <x:f>IFERROR(INDEX('QS Takeoff'!$C$3:$C$194,MATCH(B193,'QS Takeoff'!$B$3:$B$194,0)),"")</x:f>
      </x:c>
      <x:c r="E193" s="81" t="str">
        <x:f>IFERROR(INDEX('QS Takeoff'!$E$3:$E$194,MATCH(B193,'QS Takeoff'!$B$3:$B$194,0)),"")</x:f>
      </x:c>
      <x:c r="F193" s="81" t="str">
        <x:f>IFERROR(INDEX('QS Takeoff'!$D$3:$D$194,MATCH(B193,'QS Takeoff'!$B$3:$B$194,0)),"")</x:f>
      </x:c>
      <x:c r="G193" s="81" t="str">
        <x:f>IFERROR(INDEX('QS Takeoff'!$J$3:$J$194,MATCH(B193,'QS Takeoff'!$B$3:$B$194,0)),"")</x:f>
      </x:c>
      <x:c r="H193" s="53"/>
      <x:c r="I193" s="60"/>
      <x:c r="J193" s="60"/>
      <x:c r="K193" s="82" t="str">
        <x:f t="shared" si="12">IF(OR(B193="",I193="",I193=0),"",E193/I193)</x:f>
      </x:c>
      <x:c r="L193" s="60"/>
      <x:c r="M193" s="82" t="str">
        <x:f t="shared" si="13">IF(L193&gt;0,L193,K193)</x:f>
      </x:c>
      <x:c r="N193" s="53"/>
      <x:c r="O193" s="53"/>
      <x:c r="P193" s="53"/>
      <x:c r="Q193" s="81" t="str">
        <x:f>IFERROR(INDEX('Resource Rate Library'!$C$5:$C$85,MATCH(P193,'Resource Rate Library'!$A$5:$A$85,0)),"")</x:f>
      </x:c>
      <x:c r="R193" s="53"/>
      <x:c r="S193" s="53"/>
      <x:c r="T193" s="81" t="str">
        <x:f>IFERROR(INDEX('Resource Rate Library'!$E$5:$E$85,MATCH(P193,'Resource Rate Library'!$A$5:$A$85,0)),"")</x:f>
      </x:c>
      <x:c r="U193" s="62"/>
      <x:c r="V193" s="62"/>
      <x:c r="W193" s="83" t="n">
        <x:f>IFERROR(INDEX('Resource Rate Library'!$I$5:$I$85,MATCH(P193,'Resource Rate Library'!$A$5:$A$85,0)),0)</x:f>
        <x:v>0</x:v>
      </x:c>
      <x:c r="X193" s="52"/>
      <x:c r="Y193" s="83" t="n">
        <x:f t="shared" si="14">IF(X193&gt;0,X193,W193)</x:f>
        <x:v>0</x:v>
      </x:c>
      <x:c r="Z193" s="83" t="str">
        <x:f t="shared" si="15">IF(B193="","",IF(N193="Time x Count",M193*R193*IF(U193="",1,U193)*Y193,IF(N193="QS Qty x Factor",E193*R193*(1+IF(V193="",0,V193))*Y193,IF(N193="Direct Qty",S193*(1+IF(V193="",0,V193))*Y193,IF(N193="Lump Sum / Quote",S193*Y193,0)))))</x:f>
      </x:c>
      <x:c r="AA193" s="81" t="str">
        <x:f>IFERROR(INDEX('Resource Rate Library'!$N$5:$N$85,MATCH(P193,'Resource Rate Library'!$A$5:$A$85,0)),"")</x:f>
      </x:c>
      <x:c r="AB193" s="53"/>
      <x:c r="AC193" s="59"/>
      <x:c r="AD193" s="81" t="str">
        <x:f>IFERROR(INDEX('Resource Rate Library'!$G$5:$G$85,MATCH(P193,'Resource Rate Library'!$A$5:$A$85,0)),"")</x:f>
      </x:c>
      <x:c r="AE193" s="81" t="str">
        <x:f>IFERROR(INDEX('Resource Rate Library'!$H$5:$H$85,MATCH(P193,'Resource Rate Library'!$A$5:$A$85,0)),"")</x:f>
      </x:c>
      <x:c r="AF193" s="53"/>
      <x:c r="AG193" s="53"/>
      <x:c r="AH193" s="53"/>
      <x:c r="AI193" s="81" t="str">
        <x:f t="shared" si="17">IF(B193="","",IF(AND(P193="",N193&lt;&gt;"Lump Sum / Quote"),"RESOURCE CODE",IF(Y193=0,"RATE MISSING",IF(AND(O193="Plant",AD193="Yes",COUNTIFS($B$7:$B$306,B193,$O$7:$O$306,"Labour",$Q$7:$Q$306,"*Operator*")&gt;0),"OPERATOR DOUBLE-COUNT",IF(AND(O193="Plant",AE193="Yes",COUNTIFS($B$7:$B$306,B193,$Q$7:$Q$306,"*Fuel*")&gt;0),"FUEL DOUBLE-COUNT",IF(AH193&lt;&gt;"Yes","VERIFY","OK"))))))</x:f>
      </x:c>
      <x:c r="AJ193" s="54"/>
      <x:c r="AK193" s="473"/>
      <x:c r="AL193" s="473"/>
      <x:c r="AM193" s="473"/>
      <x:c r="AN193" s="500" t="n">
        <x:f>IF(AND(AK193="Yes",OR(O193="Labour",O193="Plant")),Z193,0)</x:f>
        <x:v>0</x:v>
      </x:c>
    </x:row>
    <x:row r="194">
      <x:c r="A194" s="80" t="str">
        <x:f>IF(B194="","",B194&amp;"-"&amp;TEXT(COUNTIF($B$7:B194,B194),"000"))</x:f>
      </x:c>
      <x:c r="B194" s="53"/>
      <x:c r="C194" s="81" t="str">
        <x:f>IFERROR(INDEX('QS Takeoff'!$A$3:$A$194,MATCH(B194,'QS Takeoff'!$B$3:$B$194,0)),"")</x:f>
      </x:c>
      <x:c r="D194" s="81" t="str">
        <x:f>IFERROR(INDEX('QS Takeoff'!$C$3:$C$194,MATCH(B194,'QS Takeoff'!$B$3:$B$194,0)),"")</x:f>
      </x:c>
      <x:c r="E194" s="81" t="str">
        <x:f>IFERROR(INDEX('QS Takeoff'!$E$3:$E$194,MATCH(B194,'QS Takeoff'!$B$3:$B$194,0)),"")</x:f>
      </x:c>
      <x:c r="F194" s="81" t="str">
        <x:f>IFERROR(INDEX('QS Takeoff'!$D$3:$D$194,MATCH(B194,'QS Takeoff'!$B$3:$B$194,0)),"")</x:f>
      </x:c>
      <x:c r="G194" s="81" t="str">
        <x:f>IFERROR(INDEX('QS Takeoff'!$J$3:$J$194,MATCH(B194,'QS Takeoff'!$B$3:$B$194,0)),"")</x:f>
      </x:c>
      <x:c r="H194" s="53"/>
      <x:c r="I194" s="60"/>
      <x:c r="J194" s="60"/>
      <x:c r="K194" s="82" t="str">
        <x:f t="shared" si="12">IF(OR(B194="",I194="",I194=0),"",E194/I194)</x:f>
      </x:c>
      <x:c r="L194" s="60"/>
      <x:c r="M194" s="82" t="str">
        <x:f t="shared" si="13">IF(L194&gt;0,L194,K194)</x:f>
      </x:c>
      <x:c r="N194" s="53"/>
      <x:c r="O194" s="53"/>
      <x:c r="P194" s="53"/>
      <x:c r="Q194" s="81" t="str">
        <x:f>IFERROR(INDEX('Resource Rate Library'!$C$5:$C$85,MATCH(P194,'Resource Rate Library'!$A$5:$A$85,0)),"")</x:f>
      </x:c>
      <x:c r="R194" s="53"/>
      <x:c r="S194" s="53"/>
      <x:c r="T194" s="81" t="str">
        <x:f>IFERROR(INDEX('Resource Rate Library'!$E$5:$E$85,MATCH(P194,'Resource Rate Library'!$A$5:$A$85,0)),"")</x:f>
      </x:c>
      <x:c r="U194" s="62"/>
      <x:c r="V194" s="62"/>
      <x:c r="W194" s="83" t="n">
        <x:f>IFERROR(INDEX('Resource Rate Library'!$I$5:$I$85,MATCH(P194,'Resource Rate Library'!$A$5:$A$85,0)),0)</x:f>
        <x:v>0</x:v>
      </x:c>
      <x:c r="X194" s="52"/>
      <x:c r="Y194" s="83" t="n">
        <x:f t="shared" si="14">IF(X194&gt;0,X194,W194)</x:f>
        <x:v>0</x:v>
      </x:c>
      <x:c r="Z194" s="83" t="str">
        <x:f t="shared" si="15">IF(B194="","",IF(N194="Time x Count",M194*R194*IF(U194="",1,U194)*Y194,IF(N194="QS Qty x Factor",E194*R194*(1+IF(V194="",0,V194))*Y194,IF(N194="Direct Qty",S194*(1+IF(V194="",0,V194))*Y194,IF(N194="Lump Sum / Quote",S194*Y194,0)))))</x:f>
      </x:c>
      <x:c r="AA194" s="81" t="str">
        <x:f>IFERROR(INDEX('Resource Rate Library'!$N$5:$N$85,MATCH(P194,'Resource Rate Library'!$A$5:$A$85,0)),"")</x:f>
      </x:c>
      <x:c r="AB194" s="53"/>
      <x:c r="AC194" s="59"/>
      <x:c r="AD194" s="81" t="str">
        <x:f>IFERROR(INDEX('Resource Rate Library'!$G$5:$G$85,MATCH(P194,'Resource Rate Library'!$A$5:$A$85,0)),"")</x:f>
      </x:c>
      <x:c r="AE194" s="81" t="str">
        <x:f>IFERROR(INDEX('Resource Rate Library'!$H$5:$H$85,MATCH(P194,'Resource Rate Library'!$A$5:$A$85,0)),"")</x:f>
      </x:c>
      <x:c r="AF194" s="53"/>
      <x:c r="AG194" s="53"/>
      <x:c r="AH194" s="53"/>
      <x:c r="AI194" s="81" t="str">
        <x:f t="shared" si="17">IF(B194="","",IF(AND(P194="",N194&lt;&gt;"Lump Sum / Quote"),"RESOURCE CODE",IF(Y194=0,"RATE MISSING",IF(AND(O194="Plant",AD194="Yes",COUNTIFS($B$7:$B$306,B194,$O$7:$O$306,"Labour",$Q$7:$Q$306,"*Operator*")&gt;0),"OPERATOR DOUBLE-COUNT",IF(AND(O194="Plant",AE194="Yes",COUNTIFS($B$7:$B$306,B194,$Q$7:$Q$306,"*Fuel*")&gt;0),"FUEL DOUBLE-COUNT",IF(AH194&lt;&gt;"Yes","VERIFY","OK"))))))</x:f>
      </x:c>
      <x:c r="AJ194" s="54"/>
      <x:c r="AK194" s="473"/>
      <x:c r="AL194" s="473"/>
      <x:c r="AM194" s="473"/>
      <x:c r="AN194" s="500" t="n">
        <x:f>IF(AND(AK194="Yes",OR(O194="Labour",O194="Plant")),Z194,0)</x:f>
        <x:v>0</x:v>
      </x:c>
    </x:row>
    <x:row r="195">
      <x:c r="A195" s="80" t="str">
        <x:f>IF(B195="","",B195&amp;"-"&amp;TEXT(COUNTIF($B$7:B195,B195),"000"))</x:f>
      </x:c>
      <x:c r="B195" s="53"/>
      <x:c r="C195" s="81" t="str">
        <x:f>IFERROR(INDEX('QS Takeoff'!$A$3:$A$194,MATCH(B195,'QS Takeoff'!$B$3:$B$194,0)),"")</x:f>
      </x:c>
      <x:c r="D195" s="81" t="str">
        <x:f>IFERROR(INDEX('QS Takeoff'!$C$3:$C$194,MATCH(B195,'QS Takeoff'!$B$3:$B$194,0)),"")</x:f>
      </x:c>
      <x:c r="E195" s="81" t="str">
        <x:f>IFERROR(INDEX('QS Takeoff'!$E$3:$E$194,MATCH(B195,'QS Takeoff'!$B$3:$B$194,0)),"")</x:f>
      </x:c>
      <x:c r="F195" s="81" t="str">
        <x:f>IFERROR(INDEX('QS Takeoff'!$D$3:$D$194,MATCH(B195,'QS Takeoff'!$B$3:$B$194,0)),"")</x:f>
      </x:c>
      <x:c r="G195" s="81" t="str">
        <x:f>IFERROR(INDEX('QS Takeoff'!$J$3:$J$194,MATCH(B195,'QS Takeoff'!$B$3:$B$194,0)),"")</x:f>
      </x:c>
      <x:c r="H195" s="53"/>
      <x:c r="I195" s="60"/>
      <x:c r="J195" s="60"/>
      <x:c r="K195" s="82" t="str">
        <x:f t="shared" si="12">IF(OR(B195="",I195="",I195=0),"",E195/I195)</x:f>
      </x:c>
      <x:c r="L195" s="60"/>
      <x:c r="M195" s="82" t="str">
        <x:f t="shared" si="13">IF(L195&gt;0,L195,K195)</x:f>
      </x:c>
      <x:c r="N195" s="53"/>
      <x:c r="O195" s="53"/>
      <x:c r="P195" s="53"/>
      <x:c r="Q195" s="81" t="str">
        <x:f>IFERROR(INDEX('Resource Rate Library'!$C$5:$C$85,MATCH(P195,'Resource Rate Library'!$A$5:$A$85,0)),"")</x:f>
      </x:c>
      <x:c r="R195" s="53"/>
      <x:c r="S195" s="53"/>
      <x:c r="T195" s="81" t="str">
        <x:f>IFERROR(INDEX('Resource Rate Library'!$E$5:$E$85,MATCH(P195,'Resource Rate Library'!$A$5:$A$85,0)),"")</x:f>
      </x:c>
      <x:c r="U195" s="62"/>
      <x:c r="V195" s="62"/>
      <x:c r="W195" s="83" t="n">
        <x:f>IFERROR(INDEX('Resource Rate Library'!$I$5:$I$85,MATCH(P195,'Resource Rate Library'!$A$5:$A$85,0)),0)</x:f>
        <x:v>0</x:v>
      </x:c>
      <x:c r="X195" s="52"/>
      <x:c r="Y195" s="83" t="n">
        <x:f t="shared" si="14">IF(X195&gt;0,X195,W195)</x:f>
        <x:v>0</x:v>
      </x:c>
      <x:c r="Z195" s="83" t="str">
        <x:f t="shared" si="15">IF(B195="","",IF(N195="Time x Count",M195*R195*IF(U195="",1,U195)*Y195,IF(N195="QS Qty x Factor",E195*R195*(1+IF(V195="",0,V195))*Y195,IF(N195="Direct Qty",S195*(1+IF(V195="",0,V195))*Y195,IF(N195="Lump Sum / Quote",S195*Y195,0)))))</x:f>
      </x:c>
      <x:c r="AA195" s="81" t="str">
        <x:f>IFERROR(INDEX('Resource Rate Library'!$N$5:$N$85,MATCH(P195,'Resource Rate Library'!$A$5:$A$85,0)),"")</x:f>
      </x:c>
      <x:c r="AB195" s="53"/>
      <x:c r="AC195" s="59"/>
      <x:c r="AD195" s="81" t="str">
        <x:f>IFERROR(INDEX('Resource Rate Library'!$G$5:$G$85,MATCH(P195,'Resource Rate Library'!$A$5:$A$85,0)),"")</x:f>
      </x:c>
      <x:c r="AE195" s="81" t="str">
        <x:f>IFERROR(INDEX('Resource Rate Library'!$H$5:$H$85,MATCH(P195,'Resource Rate Library'!$A$5:$A$85,0)),"")</x:f>
      </x:c>
      <x:c r="AF195" s="53"/>
      <x:c r="AG195" s="53"/>
      <x:c r="AH195" s="53"/>
      <x:c r="AI195" s="81" t="str">
        <x:f t="shared" si="17">IF(B195="","",IF(AND(P195="",N195&lt;&gt;"Lump Sum / Quote"),"RESOURCE CODE",IF(Y195=0,"RATE MISSING",IF(AND(O195="Plant",AD195="Yes",COUNTIFS($B$7:$B$306,B195,$O$7:$O$306,"Labour",$Q$7:$Q$306,"*Operator*")&gt;0),"OPERATOR DOUBLE-COUNT",IF(AND(O195="Plant",AE195="Yes",COUNTIFS($B$7:$B$306,B195,$Q$7:$Q$306,"*Fuel*")&gt;0),"FUEL DOUBLE-COUNT",IF(AH195&lt;&gt;"Yes","VERIFY","OK"))))))</x:f>
      </x:c>
      <x:c r="AJ195" s="54"/>
      <x:c r="AK195" s="473"/>
      <x:c r="AL195" s="473"/>
      <x:c r="AM195" s="473"/>
      <x:c r="AN195" s="500" t="n">
        <x:f>IF(AND(AK195="Yes",OR(O195="Labour",O195="Plant")),Z195,0)</x:f>
        <x:v>0</x:v>
      </x:c>
    </x:row>
    <x:row r="196">
      <x:c r="A196" s="80" t="str">
        <x:f>IF(B196="","",B196&amp;"-"&amp;TEXT(COUNTIF($B$7:B196,B196),"000"))</x:f>
      </x:c>
      <x:c r="B196" s="53"/>
      <x:c r="C196" s="81" t="str">
        <x:f>IFERROR(INDEX('QS Takeoff'!$A$3:$A$194,MATCH(B196,'QS Takeoff'!$B$3:$B$194,0)),"")</x:f>
      </x:c>
      <x:c r="D196" s="81" t="str">
        <x:f>IFERROR(INDEX('QS Takeoff'!$C$3:$C$194,MATCH(B196,'QS Takeoff'!$B$3:$B$194,0)),"")</x:f>
      </x:c>
      <x:c r="E196" s="81" t="str">
        <x:f>IFERROR(INDEX('QS Takeoff'!$E$3:$E$194,MATCH(B196,'QS Takeoff'!$B$3:$B$194,0)),"")</x:f>
      </x:c>
      <x:c r="F196" s="81" t="str">
        <x:f>IFERROR(INDEX('QS Takeoff'!$D$3:$D$194,MATCH(B196,'QS Takeoff'!$B$3:$B$194,0)),"")</x:f>
      </x:c>
      <x:c r="G196" s="81" t="str">
        <x:f>IFERROR(INDEX('QS Takeoff'!$J$3:$J$194,MATCH(B196,'QS Takeoff'!$B$3:$B$194,0)),"")</x:f>
      </x:c>
      <x:c r="H196" s="53"/>
      <x:c r="I196" s="60"/>
      <x:c r="J196" s="60"/>
      <x:c r="K196" s="82" t="str">
        <x:f t="shared" si="12">IF(OR(B196="",I196="",I196=0),"",E196/I196)</x:f>
      </x:c>
      <x:c r="L196" s="60"/>
      <x:c r="M196" s="82" t="str">
        <x:f t="shared" si="13">IF(L196&gt;0,L196,K196)</x:f>
      </x:c>
      <x:c r="N196" s="53"/>
      <x:c r="O196" s="53"/>
      <x:c r="P196" s="53"/>
      <x:c r="Q196" s="81" t="str">
        <x:f>IFERROR(INDEX('Resource Rate Library'!$C$5:$C$85,MATCH(P196,'Resource Rate Library'!$A$5:$A$85,0)),"")</x:f>
      </x:c>
      <x:c r="R196" s="53"/>
      <x:c r="S196" s="53"/>
      <x:c r="T196" s="81" t="str">
        <x:f>IFERROR(INDEX('Resource Rate Library'!$E$5:$E$85,MATCH(P196,'Resource Rate Library'!$A$5:$A$85,0)),"")</x:f>
      </x:c>
      <x:c r="U196" s="62"/>
      <x:c r="V196" s="62"/>
      <x:c r="W196" s="83" t="n">
        <x:f>IFERROR(INDEX('Resource Rate Library'!$I$5:$I$85,MATCH(P196,'Resource Rate Library'!$A$5:$A$85,0)),0)</x:f>
        <x:v>0</x:v>
      </x:c>
      <x:c r="X196" s="52"/>
      <x:c r="Y196" s="83" t="n">
        <x:f t="shared" si="14">IF(X196&gt;0,X196,W196)</x:f>
        <x:v>0</x:v>
      </x:c>
      <x:c r="Z196" s="83" t="str">
        <x:f t="shared" si="15">IF(B196="","",IF(N196="Time x Count",M196*R196*IF(U196="",1,U196)*Y196,IF(N196="QS Qty x Factor",E196*R196*(1+IF(V196="",0,V196))*Y196,IF(N196="Direct Qty",S196*(1+IF(V196="",0,V196))*Y196,IF(N196="Lump Sum / Quote",S196*Y196,0)))))</x:f>
      </x:c>
      <x:c r="AA196" s="81" t="str">
        <x:f>IFERROR(INDEX('Resource Rate Library'!$N$5:$N$85,MATCH(P196,'Resource Rate Library'!$A$5:$A$85,0)),"")</x:f>
      </x:c>
      <x:c r="AB196" s="53"/>
      <x:c r="AC196" s="59"/>
      <x:c r="AD196" s="81" t="str">
        <x:f>IFERROR(INDEX('Resource Rate Library'!$G$5:$G$85,MATCH(P196,'Resource Rate Library'!$A$5:$A$85,0)),"")</x:f>
      </x:c>
      <x:c r="AE196" s="81" t="str">
        <x:f>IFERROR(INDEX('Resource Rate Library'!$H$5:$H$85,MATCH(P196,'Resource Rate Library'!$A$5:$A$85,0)),"")</x:f>
      </x:c>
      <x:c r="AF196" s="53"/>
      <x:c r="AG196" s="53"/>
      <x:c r="AH196" s="53"/>
      <x:c r="AI196" s="81" t="str">
        <x:f t="shared" si="17">IF(B196="","",IF(AND(P196="",N196&lt;&gt;"Lump Sum / Quote"),"RESOURCE CODE",IF(Y196=0,"RATE MISSING",IF(AND(O196="Plant",AD196="Yes",COUNTIFS($B$7:$B$306,B196,$O$7:$O$306,"Labour",$Q$7:$Q$306,"*Operator*")&gt;0),"OPERATOR DOUBLE-COUNT",IF(AND(O196="Plant",AE196="Yes",COUNTIFS($B$7:$B$306,B196,$Q$7:$Q$306,"*Fuel*")&gt;0),"FUEL DOUBLE-COUNT",IF(AH196&lt;&gt;"Yes","VERIFY","OK"))))))</x:f>
      </x:c>
      <x:c r="AJ196" s="54"/>
      <x:c r="AK196" s="473"/>
      <x:c r="AL196" s="473"/>
      <x:c r="AM196" s="473"/>
      <x:c r="AN196" s="500" t="n">
        <x:f>IF(AND(AK196="Yes",OR(O196="Labour",O196="Plant")),Z196,0)</x:f>
        <x:v>0</x:v>
      </x:c>
    </x:row>
    <x:row r="197">
      <x:c r="A197" s="80" t="str">
        <x:f>IF(B197="","",B197&amp;"-"&amp;TEXT(COUNTIF($B$7:B197,B197),"000"))</x:f>
      </x:c>
      <x:c r="B197" s="53"/>
      <x:c r="C197" s="81" t="str">
        <x:f>IFERROR(INDEX('QS Takeoff'!$A$3:$A$194,MATCH(B197,'QS Takeoff'!$B$3:$B$194,0)),"")</x:f>
      </x:c>
      <x:c r="D197" s="81" t="str">
        <x:f>IFERROR(INDEX('QS Takeoff'!$C$3:$C$194,MATCH(B197,'QS Takeoff'!$B$3:$B$194,0)),"")</x:f>
      </x:c>
      <x:c r="E197" s="81" t="str">
        <x:f>IFERROR(INDEX('QS Takeoff'!$E$3:$E$194,MATCH(B197,'QS Takeoff'!$B$3:$B$194,0)),"")</x:f>
      </x:c>
      <x:c r="F197" s="81" t="str">
        <x:f>IFERROR(INDEX('QS Takeoff'!$D$3:$D$194,MATCH(B197,'QS Takeoff'!$B$3:$B$194,0)),"")</x:f>
      </x:c>
      <x:c r="G197" s="81" t="str">
        <x:f>IFERROR(INDEX('QS Takeoff'!$J$3:$J$194,MATCH(B197,'QS Takeoff'!$B$3:$B$194,0)),"")</x:f>
      </x:c>
      <x:c r="H197" s="53"/>
      <x:c r="I197" s="60"/>
      <x:c r="J197" s="60"/>
      <x:c r="K197" s="82" t="str">
        <x:f t="shared" si="12">IF(OR(B197="",I197="",I197=0),"",E197/I197)</x:f>
      </x:c>
      <x:c r="L197" s="60"/>
      <x:c r="M197" s="82" t="str">
        <x:f t="shared" si="13">IF(L197&gt;0,L197,K197)</x:f>
      </x:c>
      <x:c r="N197" s="53"/>
      <x:c r="O197" s="53"/>
      <x:c r="P197" s="53"/>
      <x:c r="Q197" s="81" t="str">
        <x:f>IFERROR(INDEX('Resource Rate Library'!$C$5:$C$85,MATCH(P197,'Resource Rate Library'!$A$5:$A$85,0)),"")</x:f>
      </x:c>
      <x:c r="R197" s="53"/>
      <x:c r="S197" s="53"/>
      <x:c r="T197" s="81" t="str">
        <x:f>IFERROR(INDEX('Resource Rate Library'!$E$5:$E$85,MATCH(P197,'Resource Rate Library'!$A$5:$A$85,0)),"")</x:f>
      </x:c>
      <x:c r="U197" s="62"/>
      <x:c r="V197" s="62"/>
      <x:c r="W197" s="83" t="n">
        <x:f>IFERROR(INDEX('Resource Rate Library'!$I$5:$I$85,MATCH(P197,'Resource Rate Library'!$A$5:$A$85,0)),0)</x:f>
        <x:v>0</x:v>
      </x:c>
      <x:c r="X197" s="52"/>
      <x:c r="Y197" s="83" t="n">
        <x:f t="shared" si="14">IF(X197&gt;0,X197,W197)</x:f>
        <x:v>0</x:v>
      </x:c>
      <x:c r="Z197" s="83" t="str">
        <x:f t="shared" si="15">IF(B197="","",IF(N197="Time x Count",M197*R197*IF(U197="",1,U197)*Y197,IF(N197="QS Qty x Factor",E197*R197*(1+IF(V197="",0,V197))*Y197,IF(N197="Direct Qty",S197*(1+IF(V197="",0,V197))*Y197,IF(N197="Lump Sum / Quote",S197*Y197,0)))))</x:f>
      </x:c>
      <x:c r="AA197" s="81" t="str">
        <x:f>IFERROR(INDEX('Resource Rate Library'!$N$5:$N$85,MATCH(P197,'Resource Rate Library'!$A$5:$A$85,0)),"")</x:f>
      </x:c>
      <x:c r="AB197" s="53"/>
      <x:c r="AC197" s="59"/>
      <x:c r="AD197" s="81" t="str">
        <x:f>IFERROR(INDEX('Resource Rate Library'!$G$5:$G$85,MATCH(P197,'Resource Rate Library'!$A$5:$A$85,0)),"")</x:f>
      </x:c>
      <x:c r="AE197" s="81" t="str">
        <x:f>IFERROR(INDEX('Resource Rate Library'!$H$5:$H$85,MATCH(P197,'Resource Rate Library'!$A$5:$A$85,0)),"")</x:f>
      </x:c>
      <x:c r="AF197" s="53"/>
      <x:c r="AG197" s="53"/>
      <x:c r="AH197" s="53"/>
      <x:c r="AI197" s="81" t="str">
        <x:f t="shared" si="17">IF(B197="","",IF(AND(P197="",N197&lt;&gt;"Lump Sum / Quote"),"RESOURCE CODE",IF(Y197=0,"RATE MISSING",IF(AND(O197="Plant",AD197="Yes",COUNTIFS($B$7:$B$306,B197,$O$7:$O$306,"Labour",$Q$7:$Q$306,"*Operator*")&gt;0),"OPERATOR DOUBLE-COUNT",IF(AND(O197="Plant",AE197="Yes",COUNTIFS($B$7:$B$306,B197,$Q$7:$Q$306,"*Fuel*")&gt;0),"FUEL DOUBLE-COUNT",IF(AH197&lt;&gt;"Yes","VERIFY","OK"))))))</x:f>
      </x:c>
      <x:c r="AJ197" s="54"/>
      <x:c r="AK197" s="473"/>
      <x:c r="AL197" s="473"/>
      <x:c r="AM197" s="473"/>
      <x:c r="AN197" s="500" t="n">
        <x:f>IF(AND(AK197="Yes",OR(O197="Labour",O197="Plant")),Z197,0)</x:f>
        <x:v>0</x:v>
      </x:c>
    </x:row>
    <x:row r="198">
      <x:c r="A198" s="80" t="str">
        <x:f>IF(B198="","",B198&amp;"-"&amp;TEXT(COUNTIF($B$7:B198,B198),"000"))</x:f>
      </x:c>
      <x:c r="B198" s="53"/>
      <x:c r="C198" s="81" t="str">
        <x:f>IFERROR(INDEX('QS Takeoff'!$A$3:$A$194,MATCH(B198,'QS Takeoff'!$B$3:$B$194,0)),"")</x:f>
      </x:c>
      <x:c r="D198" s="81" t="str">
        <x:f>IFERROR(INDEX('QS Takeoff'!$C$3:$C$194,MATCH(B198,'QS Takeoff'!$B$3:$B$194,0)),"")</x:f>
      </x:c>
      <x:c r="E198" s="81" t="str">
        <x:f>IFERROR(INDEX('QS Takeoff'!$E$3:$E$194,MATCH(B198,'QS Takeoff'!$B$3:$B$194,0)),"")</x:f>
      </x:c>
      <x:c r="F198" s="81" t="str">
        <x:f>IFERROR(INDEX('QS Takeoff'!$D$3:$D$194,MATCH(B198,'QS Takeoff'!$B$3:$B$194,0)),"")</x:f>
      </x:c>
      <x:c r="G198" s="81" t="str">
        <x:f>IFERROR(INDEX('QS Takeoff'!$J$3:$J$194,MATCH(B198,'QS Takeoff'!$B$3:$B$194,0)),"")</x:f>
      </x:c>
      <x:c r="H198" s="53"/>
      <x:c r="I198" s="60"/>
      <x:c r="J198" s="60"/>
      <x:c r="K198" s="82" t="str">
        <x:f t="shared" si="12">IF(OR(B198="",I198="",I198=0),"",E198/I198)</x:f>
      </x:c>
      <x:c r="L198" s="60"/>
      <x:c r="M198" s="82" t="str">
        <x:f t="shared" si="13">IF(L198&gt;0,L198,K198)</x:f>
      </x:c>
      <x:c r="N198" s="53"/>
      <x:c r="O198" s="53"/>
      <x:c r="P198" s="53"/>
      <x:c r="Q198" s="81" t="str">
        <x:f>IFERROR(INDEX('Resource Rate Library'!$C$5:$C$85,MATCH(P198,'Resource Rate Library'!$A$5:$A$85,0)),"")</x:f>
      </x:c>
      <x:c r="R198" s="53"/>
      <x:c r="S198" s="53"/>
      <x:c r="T198" s="81" t="str">
        <x:f>IFERROR(INDEX('Resource Rate Library'!$E$5:$E$85,MATCH(P198,'Resource Rate Library'!$A$5:$A$85,0)),"")</x:f>
      </x:c>
      <x:c r="U198" s="62"/>
      <x:c r="V198" s="62"/>
      <x:c r="W198" s="83" t="n">
        <x:f>IFERROR(INDEX('Resource Rate Library'!$I$5:$I$85,MATCH(P198,'Resource Rate Library'!$A$5:$A$85,0)),0)</x:f>
        <x:v>0</x:v>
      </x:c>
      <x:c r="X198" s="52"/>
      <x:c r="Y198" s="83" t="n">
        <x:f t="shared" si="14">IF(X198&gt;0,X198,W198)</x:f>
        <x:v>0</x:v>
      </x:c>
      <x:c r="Z198" s="83" t="str">
        <x:f t="shared" si="15">IF(B198="","",IF(N198="Time x Count",M198*R198*IF(U198="",1,U198)*Y198,IF(N198="QS Qty x Factor",E198*R198*(1+IF(V198="",0,V198))*Y198,IF(N198="Direct Qty",S198*(1+IF(V198="",0,V198))*Y198,IF(N198="Lump Sum / Quote",S198*Y198,0)))))</x:f>
      </x:c>
      <x:c r="AA198" s="81" t="str">
        <x:f>IFERROR(INDEX('Resource Rate Library'!$N$5:$N$85,MATCH(P198,'Resource Rate Library'!$A$5:$A$85,0)),"")</x:f>
      </x:c>
      <x:c r="AB198" s="53"/>
      <x:c r="AC198" s="59"/>
      <x:c r="AD198" s="81" t="str">
        <x:f>IFERROR(INDEX('Resource Rate Library'!$G$5:$G$85,MATCH(P198,'Resource Rate Library'!$A$5:$A$85,0)),"")</x:f>
      </x:c>
      <x:c r="AE198" s="81" t="str">
        <x:f>IFERROR(INDEX('Resource Rate Library'!$H$5:$H$85,MATCH(P198,'Resource Rate Library'!$A$5:$A$85,0)),"")</x:f>
      </x:c>
      <x:c r="AF198" s="53"/>
      <x:c r="AG198" s="53"/>
      <x:c r="AH198" s="53"/>
      <x:c r="AI198" s="81" t="str">
        <x:f t="shared" si="17">IF(B198="","",IF(AND(P198="",N198&lt;&gt;"Lump Sum / Quote"),"RESOURCE CODE",IF(Y198=0,"RATE MISSING",IF(AND(O198="Plant",AD198="Yes",COUNTIFS($B$7:$B$306,B198,$O$7:$O$306,"Labour",$Q$7:$Q$306,"*Operator*")&gt;0),"OPERATOR DOUBLE-COUNT",IF(AND(O198="Plant",AE198="Yes",COUNTIFS($B$7:$B$306,B198,$Q$7:$Q$306,"*Fuel*")&gt;0),"FUEL DOUBLE-COUNT",IF(AH198&lt;&gt;"Yes","VERIFY","OK"))))))</x:f>
      </x:c>
      <x:c r="AJ198" s="54"/>
      <x:c r="AK198" s="473"/>
      <x:c r="AL198" s="473"/>
      <x:c r="AM198" s="473"/>
      <x:c r="AN198" s="500" t="n">
        <x:f>IF(AND(AK198="Yes",OR(O198="Labour",O198="Plant")),Z198,0)</x:f>
        <x:v>0</x:v>
      </x:c>
    </x:row>
    <x:row r="199">
      <x:c r="A199" s="80" t="str">
        <x:f>IF(B199="","",B199&amp;"-"&amp;TEXT(COUNTIF($B$7:B199,B199),"000"))</x:f>
      </x:c>
      <x:c r="B199" s="53"/>
      <x:c r="C199" s="81" t="str">
        <x:f>IFERROR(INDEX('QS Takeoff'!$A$3:$A$194,MATCH(B199,'QS Takeoff'!$B$3:$B$194,0)),"")</x:f>
      </x:c>
      <x:c r="D199" s="81" t="str">
        <x:f>IFERROR(INDEX('QS Takeoff'!$C$3:$C$194,MATCH(B199,'QS Takeoff'!$B$3:$B$194,0)),"")</x:f>
      </x:c>
      <x:c r="E199" s="81" t="str">
        <x:f>IFERROR(INDEX('QS Takeoff'!$E$3:$E$194,MATCH(B199,'QS Takeoff'!$B$3:$B$194,0)),"")</x:f>
      </x:c>
      <x:c r="F199" s="81" t="str">
        <x:f>IFERROR(INDEX('QS Takeoff'!$D$3:$D$194,MATCH(B199,'QS Takeoff'!$B$3:$B$194,0)),"")</x:f>
      </x:c>
      <x:c r="G199" s="81" t="str">
        <x:f>IFERROR(INDEX('QS Takeoff'!$J$3:$J$194,MATCH(B199,'QS Takeoff'!$B$3:$B$194,0)),"")</x:f>
      </x:c>
      <x:c r="H199" s="53"/>
      <x:c r="I199" s="60"/>
      <x:c r="J199" s="60"/>
      <x:c r="K199" s="82" t="str">
        <x:f t="shared" ref="K199:K262" si="18">IF(OR(B199="",I199="",I199=0),"",E199/I199)</x:f>
      </x:c>
      <x:c r="L199" s="60"/>
      <x:c r="M199" s="82" t="str">
        <x:f t="shared" ref="M199:M262" si="19">IF(L199&gt;0,L199,K199)</x:f>
      </x:c>
      <x:c r="N199" s="53"/>
      <x:c r="O199" s="53"/>
      <x:c r="P199" s="53"/>
      <x:c r="Q199" s="81" t="str">
        <x:f>IFERROR(INDEX('Resource Rate Library'!$C$5:$C$85,MATCH(P199,'Resource Rate Library'!$A$5:$A$85,0)),"")</x:f>
      </x:c>
      <x:c r="R199" s="53"/>
      <x:c r="S199" s="53"/>
      <x:c r="T199" s="81" t="str">
        <x:f>IFERROR(INDEX('Resource Rate Library'!$E$5:$E$85,MATCH(P199,'Resource Rate Library'!$A$5:$A$85,0)),"")</x:f>
      </x:c>
      <x:c r="U199" s="62"/>
      <x:c r="V199" s="62"/>
      <x:c r="W199" s="83" t="n">
        <x:f>IFERROR(INDEX('Resource Rate Library'!$I$5:$I$85,MATCH(P199,'Resource Rate Library'!$A$5:$A$85,0)),0)</x:f>
        <x:v>0</x:v>
      </x:c>
      <x:c r="X199" s="52"/>
      <x:c r="Y199" s="83" t="n">
        <x:f t="shared" ref="Y199:Y262" si="20">IF(X199&gt;0,X199,W199)</x:f>
        <x:v>0</x:v>
      </x:c>
      <x:c r="Z199" s="83" t="str">
        <x:f t="shared" ref="Z199:Z262" si="21">IF(B199="","",IF(N199="Time x Count",M199*R199*IF(U199="",1,U199)*Y199,IF(N199="QS Qty x Factor",E199*R199*(1+IF(V199="",0,V199))*Y199,IF(N199="Direct Qty",S199*(1+IF(V199="",0,V199))*Y199,IF(N199="Lump Sum / Quote",S199*Y199,0)))))</x:f>
      </x:c>
      <x:c r="AA199" s="81" t="str">
        <x:f>IFERROR(INDEX('Resource Rate Library'!$N$5:$N$85,MATCH(P199,'Resource Rate Library'!$A$5:$A$85,0)),"")</x:f>
      </x:c>
      <x:c r="AB199" s="53"/>
      <x:c r="AC199" s="59"/>
      <x:c r="AD199" s="81" t="str">
        <x:f>IFERROR(INDEX('Resource Rate Library'!$G$5:$G$85,MATCH(P199,'Resource Rate Library'!$A$5:$A$85,0)),"")</x:f>
      </x:c>
      <x:c r="AE199" s="81" t="str">
        <x:f>IFERROR(INDEX('Resource Rate Library'!$H$5:$H$85,MATCH(P199,'Resource Rate Library'!$A$5:$A$85,0)),"")</x:f>
      </x:c>
      <x:c r="AF199" s="53"/>
      <x:c r="AG199" s="53"/>
      <x:c r="AH199" s="53"/>
      <x:c r="AI199" s="81" t="str">
        <x:f t="shared" si="17">IF(B199="","",IF(AND(P199="",N199&lt;&gt;"Lump Sum / Quote"),"RESOURCE CODE",IF(Y199=0,"RATE MISSING",IF(AND(O199="Plant",AD199="Yes",COUNTIFS($B$7:$B$306,B199,$O$7:$O$306,"Labour",$Q$7:$Q$306,"*Operator*")&gt;0),"OPERATOR DOUBLE-COUNT",IF(AND(O199="Plant",AE199="Yes",COUNTIFS($B$7:$B$306,B199,$Q$7:$Q$306,"*Fuel*")&gt;0),"FUEL DOUBLE-COUNT",IF(AH199&lt;&gt;"Yes","VERIFY","OK"))))))</x:f>
      </x:c>
      <x:c r="AJ199" s="54"/>
      <x:c r="AK199" s="473"/>
      <x:c r="AL199" s="473"/>
      <x:c r="AM199" s="473"/>
      <x:c r="AN199" s="500" t="n">
        <x:f>IF(AND(AK199="Yes",OR(O199="Labour",O199="Plant")),Z199,0)</x:f>
        <x:v>0</x:v>
      </x:c>
    </x:row>
    <x:row r="200">
      <x:c r="A200" s="80" t="str">
        <x:f>IF(B200="","",B200&amp;"-"&amp;TEXT(COUNTIF($B$7:B200,B200),"000"))</x:f>
      </x:c>
      <x:c r="B200" s="53"/>
      <x:c r="C200" s="81" t="str">
        <x:f>IFERROR(INDEX('QS Takeoff'!$A$3:$A$194,MATCH(B200,'QS Takeoff'!$B$3:$B$194,0)),"")</x:f>
      </x:c>
      <x:c r="D200" s="81" t="str">
        <x:f>IFERROR(INDEX('QS Takeoff'!$C$3:$C$194,MATCH(B200,'QS Takeoff'!$B$3:$B$194,0)),"")</x:f>
      </x:c>
      <x:c r="E200" s="81" t="str">
        <x:f>IFERROR(INDEX('QS Takeoff'!$E$3:$E$194,MATCH(B200,'QS Takeoff'!$B$3:$B$194,0)),"")</x:f>
      </x:c>
      <x:c r="F200" s="81" t="str">
        <x:f>IFERROR(INDEX('QS Takeoff'!$D$3:$D$194,MATCH(B200,'QS Takeoff'!$B$3:$B$194,0)),"")</x:f>
      </x:c>
      <x:c r="G200" s="81" t="str">
        <x:f>IFERROR(INDEX('QS Takeoff'!$J$3:$J$194,MATCH(B200,'QS Takeoff'!$B$3:$B$194,0)),"")</x:f>
      </x:c>
      <x:c r="H200" s="53"/>
      <x:c r="I200" s="60"/>
      <x:c r="J200" s="60"/>
      <x:c r="K200" s="82" t="str">
        <x:f t="shared" si="18">IF(OR(B200="",I200="",I200=0),"",E200/I200)</x:f>
      </x:c>
      <x:c r="L200" s="60"/>
      <x:c r="M200" s="82" t="str">
        <x:f t="shared" si="19">IF(L200&gt;0,L200,K200)</x:f>
      </x:c>
      <x:c r="N200" s="53"/>
      <x:c r="O200" s="53"/>
      <x:c r="P200" s="53"/>
      <x:c r="Q200" s="81" t="str">
        <x:f>IFERROR(INDEX('Resource Rate Library'!$C$5:$C$85,MATCH(P200,'Resource Rate Library'!$A$5:$A$85,0)),"")</x:f>
      </x:c>
      <x:c r="R200" s="53"/>
      <x:c r="S200" s="53"/>
      <x:c r="T200" s="81" t="str">
        <x:f>IFERROR(INDEX('Resource Rate Library'!$E$5:$E$85,MATCH(P200,'Resource Rate Library'!$A$5:$A$85,0)),"")</x:f>
      </x:c>
      <x:c r="U200" s="62"/>
      <x:c r="V200" s="62"/>
      <x:c r="W200" s="83" t="n">
        <x:f>IFERROR(INDEX('Resource Rate Library'!$I$5:$I$85,MATCH(P200,'Resource Rate Library'!$A$5:$A$85,0)),0)</x:f>
        <x:v>0</x:v>
      </x:c>
      <x:c r="X200" s="52"/>
      <x:c r="Y200" s="83" t="n">
        <x:f t="shared" si="20">IF(X200&gt;0,X200,W200)</x:f>
        <x:v>0</x:v>
      </x:c>
      <x:c r="Z200" s="83" t="str">
        <x:f t="shared" si="21">IF(B200="","",IF(N200="Time x Count",M200*R200*IF(U200="",1,U200)*Y200,IF(N200="QS Qty x Factor",E200*R200*(1+IF(V200="",0,V200))*Y200,IF(N200="Direct Qty",S200*(1+IF(V200="",0,V200))*Y200,IF(N200="Lump Sum / Quote",S200*Y200,0)))))</x:f>
      </x:c>
      <x:c r="AA200" s="81" t="str">
        <x:f>IFERROR(INDEX('Resource Rate Library'!$N$5:$N$85,MATCH(P200,'Resource Rate Library'!$A$5:$A$85,0)),"")</x:f>
      </x:c>
      <x:c r="AB200" s="53"/>
      <x:c r="AC200" s="59"/>
      <x:c r="AD200" s="81" t="str">
        <x:f>IFERROR(INDEX('Resource Rate Library'!$G$5:$G$85,MATCH(P200,'Resource Rate Library'!$A$5:$A$85,0)),"")</x:f>
      </x:c>
      <x:c r="AE200" s="81" t="str">
        <x:f>IFERROR(INDEX('Resource Rate Library'!$H$5:$H$85,MATCH(P200,'Resource Rate Library'!$A$5:$A$85,0)),"")</x:f>
      </x:c>
      <x:c r="AF200" s="53"/>
      <x:c r="AG200" s="53"/>
      <x:c r="AH200" s="53"/>
      <x:c r="AI200" s="81" t="str">
        <x:f t="shared" si="17">IF(B200="","",IF(AND(P200="",N200&lt;&gt;"Lump Sum / Quote"),"RESOURCE CODE",IF(Y200=0,"RATE MISSING",IF(AND(O200="Plant",AD200="Yes",COUNTIFS($B$7:$B$306,B200,$O$7:$O$306,"Labour",$Q$7:$Q$306,"*Operator*")&gt;0),"OPERATOR DOUBLE-COUNT",IF(AND(O200="Plant",AE200="Yes",COUNTIFS($B$7:$B$306,B200,$Q$7:$Q$306,"*Fuel*")&gt;0),"FUEL DOUBLE-COUNT",IF(AH200&lt;&gt;"Yes","VERIFY","OK"))))))</x:f>
      </x:c>
      <x:c r="AJ200" s="54"/>
      <x:c r="AK200" s="473"/>
      <x:c r="AL200" s="473"/>
      <x:c r="AM200" s="473"/>
      <x:c r="AN200" s="500" t="n">
        <x:f>IF(AND(AK200="Yes",OR(O200="Labour",O200="Plant")),Z200,0)</x:f>
        <x:v>0</x:v>
      </x:c>
    </x:row>
    <x:row r="201">
      <x:c r="A201" s="80" t="str">
        <x:f>IF(B201="","",B201&amp;"-"&amp;TEXT(COUNTIF($B$7:B201,B201),"000"))</x:f>
      </x:c>
      <x:c r="B201" s="53"/>
      <x:c r="C201" s="81" t="str">
        <x:f>IFERROR(INDEX('QS Takeoff'!$A$3:$A$194,MATCH(B201,'QS Takeoff'!$B$3:$B$194,0)),"")</x:f>
      </x:c>
      <x:c r="D201" s="81" t="str">
        <x:f>IFERROR(INDEX('QS Takeoff'!$C$3:$C$194,MATCH(B201,'QS Takeoff'!$B$3:$B$194,0)),"")</x:f>
      </x:c>
      <x:c r="E201" s="81" t="str">
        <x:f>IFERROR(INDEX('QS Takeoff'!$E$3:$E$194,MATCH(B201,'QS Takeoff'!$B$3:$B$194,0)),"")</x:f>
      </x:c>
      <x:c r="F201" s="81" t="str">
        <x:f>IFERROR(INDEX('QS Takeoff'!$D$3:$D$194,MATCH(B201,'QS Takeoff'!$B$3:$B$194,0)),"")</x:f>
      </x:c>
      <x:c r="G201" s="81" t="str">
        <x:f>IFERROR(INDEX('QS Takeoff'!$J$3:$J$194,MATCH(B201,'QS Takeoff'!$B$3:$B$194,0)),"")</x:f>
      </x:c>
      <x:c r="H201" s="53"/>
      <x:c r="I201" s="60"/>
      <x:c r="J201" s="60"/>
      <x:c r="K201" s="82" t="str">
        <x:f t="shared" si="18">IF(OR(B201="",I201="",I201=0),"",E201/I201)</x:f>
      </x:c>
      <x:c r="L201" s="60"/>
      <x:c r="M201" s="82" t="str">
        <x:f t="shared" si="19">IF(L201&gt;0,L201,K201)</x:f>
      </x:c>
      <x:c r="N201" s="53"/>
      <x:c r="O201" s="53"/>
      <x:c r="P201" s="53"/>
      <x:c r="Q201" s="81" t="str">
        <x:f>IFERROR(INDEX('Resource Rate Library'!$C$5:$C$85,MATCH(P201,'Resource Rate Library'!$A$5:$A$85,0)),"")</x:f>
      </x:c>
      <x:c r="R201" s="53"/>
      <x:c r="S201" s="53"/>
      <x:c r="T201" s="81" t="str">
        <x:f>IFERROR(INDEX('Resource Rate Library'!$E$5:$E$85,MATCH(P201,'Resource Rate Library'!$A$5:$A$85,0)),"")</x:f>
      </x:c>
      <x:c r="U201" s="62"/>
      <x:c r="V201" s="62"/>
      <x:c r="W201" s="83" t="n">
        <x:f>IFERROR(INDEX('Resource Rate Library'!$I$5:$I$85,MATCH(P201,'Resource Rate Library'!$A$5:$A$85,0)),0)</x:f>
        <x:v>0</x:v>
      </x:c>
      <x:c r="X201" s="52"/>
      <x:c r="Y201" s="83" t="n">
        <x:f t="shared" si="20">IF(X201&gt;0,X201,W201)</x:f>
        <x:v>0</x:v>
      </x:c>
      <x:c r="Z201" s="83" t="str">
        <x:f t="shared" si="21">IF(B201="","",IF(N201="Time x Count",M201*R201*IF(U201="",1,U201)*Y201,IF(N201="QS Qty x Factor",E201*R201*(1+IF(V201="",0,V201))*Y201,IF(N201="Direct Qty",S201*(1+IF(V201="",0,V201))*Y201,IF(N201="Lump Sum / Quote",S201*Y201,0)))))</x:f>
      </x:c>
      <x:c r="AA201" s="81" t="str">
        <x:f>IFERROR(INDEX('Resource Rate Library'!$N$5:$N$85,MATCH(P201,'Resource Rate Library'!$A$5:$A$85,0)),"")</x:f>
      </x:c>
      <x:c r="AB201" s="53"/>
      <x:c r="AC201" s="59"/>
      <x:c r="AD201" s="81" t="str">
        <x:f>IFERROR(INDEX('Resource Rate Library'!$G$5:$G$85,MATCH(P201,'Resource Rate Library'!$A$5:$A$85,0)),"")</x:f>
      </x:c>
      <x:c r="AE201" s="81" t="str">
        <x:f>IFERROR(INDEX('Resource Rate Library'!$H$5:$H$85,MATCH(P201,'Resource Rate Library'!$A$5:$A$85,0)),"")</x:f>
      </x:c>
      <x:c r="AF201" s="53"/>
      <x:c r="AG201" s="53"/>
      <x:c r="AH201" s="53"/>
      <x:c r="AI201" s="81" t="str">
        <x:f t="shared" si="17">IF(B201="","",IF(AND(P201="",N201&lt;&gt;"Lump Sum / Quote"),"RESOURCE CODE",IF(Y201=0,"RATE MISSING",IF(AND(O201="Plant",AD201="Yes",COUNTIFS($B$7:$B$306,B201,$O$7:$O$306,"Labour",$Q$7:$Q$306,"*Operator*")&gt;0),"OPERATOR DOUBLE-COUNT",IF(AND(O201="Plant",AE201="Yes",COUNTIFS($B$7:$B$306,B201,$Q$7:$Q$306,"*Fuel*")&gt;0),"FUEL DOUBLE-COUNT",IF(AH201&lt;&gt;"Yes","VERIFY","OK"))))))</x:f>
      </x:c>
      <x:c r="AJ201" s="54"/>
      <x:c r="AK201" s="473"/>
      <x:c r="AL201" s="473"/>
      <x:c r="AM201" s="473"/>
      <x:c r="AN201" s="500" t="n">
        <x:f>IF(AND(AK201="Yes",OR(O201="Labour",O201="Plant")),Z201,0)</x:f>
        <x:v>0</x:v>
      </x:c>
    </x:row>
    <x:row r="202">
      <x:c r="A202" s="80" t="str">
        <x:f>IF(B202="","",B202&amp;"-"&amp;TEXT(COUNTIF($B$7:B202,B202),"000"))</x:f>
      </x:c>
      <x:c r="B202" s="53"/>
      <x:c r="C202" s="81" t="str">
        <x:f>IFERROR(INDEX('QS Takeoff'!$A$3:$A$194,MATCH(B202,'QS Takeoff'!$B$3:$B$194,0)),"")</x:f>
      </x:c>
      <x:c r="D202" s="81" t="str">
        <x:f>IFERROR(INDEX('QS Takeoff'!$C$3:$C$194,MATCH(B202,'QS Takeoff'!$B$3:$B$194,0)),"")</x:f>
      </x:c>
      <x:c r="E202" s="81" t="str">
        <x:f>IFERROR(INDEX('QS Takeoff'!$E$3:$E$194,MATCH(B202,'QS Takeoff'!$B$3:$B$194,0)),"")</x:f>
      </x:c>
      <x:c r="F202" s="81" t="str">
        <x:f>IFERROR(INDEX('QS Takeoff'!$D$3:$D$194,MATCH(B202,'QS Takeoff'!$B$3:$B$194,0)),"")</x:f>
      </x:c>
      <x:c r="G202" s="81" t="str">
        <x:f>IFERROR(INDEX('QS Takeoff'!$J$3:$J$194,MATCH(B202,'QS Takeoff'!$B$3:$B$194,0)),"")</x:f>
      </x:c>
      <x:c r="H202" s="53"/>
      <x:c r="I202" s="60"/>
      <x:c r="J202" s="60"/>
      <x:c r="K202" s="82" t="str">
        <x:f t="shared" si="18">IF(OR(B202="",I202="",I202=0),"",E202/I202)</x:f>
      </x:c>
      <x:c r="L202" s="60"/>
      <x:c r="M202" s="82" t="str">
        <x:f t="shared" si="19">IF(L202&gt;0,L202,K202)</x:f>
      </x:c>
      <x:c r="N202" s="53"/>
      <x:c r="O202" s="53"/>
      <x:c r="P202" s="53"/>
      <x:c r="Q202" s="81" t="str">
        <x:f>IFERROR(INDEX('Resource Rate Library'!$C$5:$C$85,MATCH(P202,'Resource Rate Library'!$A$5:$A$85,0)),"")</x:f>
      </x:c>
      <x:c r="R202" s="53"/>
      <x:c r="S202" s="53"/>
      <x:c r="T202" s="81" t="str">
        <x:f>IFERROR(INDEX('Resource Rate Library'!$E$5:$E$85,MATCH(P202,'Resource Rate Library'!$A$5:$A$85,0)),"")</x:f>
      </x:c>
      <x:c r="U202" s="62"/>
      <x:c r="V202" s="62"/>
      <x:c r="W202" s="83" t="n">
        <x:f>IFERROR(INDEX('Resource Rate Library'!$I$5:$I$85,MATCH(P202,'Resource Rate Library'!$A$5:$A$85,0)),0)</x:f>
        <x:v>0</x:v>
      </x:c>
      <x:c r="X202" s="52"/>
      <x:c r="Y202" s="83" t="n">
        <x:f t="shared" si="20">IF(X202&gt;0,X202,W202)</x:f>
        <x:v>0</x:v>
      </x:c>
      <x:c r="Z202" s="83" t="str">
        <x:f t="shared" si="21">IF(B202="","",IF(N202="Time x Count",M202*R202*IF(U202="",1,U202)*Y202,IF(N202="QS Qty x Factor",E202*R202*(1+IF(V202="",0,V202))*Y202,IF(N202="Direct Qty",S202*(1+IF(V202="",0,V202))*Y202,IF(N202="Lump Sum / Quote",S202*Y202,0)))))</x:f>
      </x:c>
      <x:c r="AA202" s="81" t="str">
        <x:f>IFERROR(INDEX('Resource Rate Library'!$N$5:$N$85,MATCH(P202,'Resource Rate Library'!$A$5:$A$85,0)),"")</x:f>
      </x:c>
      <x:c r="AB202" s="53"/>
      <x:c r="AC202" s="59"/>
      <x:c r="AD202" s="81" t="str">
        <x:f>IFERROR(INDEX('Resource Rate Library'!$G$5:$G$85,MATCH(P202,'Resource Rate Library'!$A$5:$A$85,0)),"")</x:f>
      </x:c>
      <x:c r="AE202" s="81" t="str">
        <x:f>IFERROR(INDEX('Resource Rate Library'!$H$5:$H$85,MATCH(P202,'Resource Rate Library'!$A$5:$A$85,0)),"")</x:f>
      </x:c>
      <x:c r="AF202" s="53"/>
      <x:c r="AG202" s="53"/>
      <x:c r="AH202" s="53"/>
      <x:c r="AI202" s="81" t="str">
        <x:f t="shared" si="17">IF(B202="","",IF(AND(P202="",N202&lt;&gt;"Lump Sum / Quote"),"RESOURCE CODE",IF(Y202=0,"RATE MISSING",IF(AND(O202="Plant",AD202="Yes",COUNTIFS($B$7:$B$306,B202,$O$7:$O$306,"Labour",$Q$7:$Q$306,"*Operator*")&gt;0),"OPERATOR DOUBLE-COUNT",IF(AND(O202="Plant",AE202="Yes",COUNTIFS($B$7:$B$306,B202,$Q$7:$Q$306,"*Fuel*")&gt;0),"FUEL DOUBLE-COUNT",IF(AH202&lt;&gt;"Yes","VERIFY","OK"))))))</x:f>
      </x:c>
      <x:c r="AJ202" s="54"/>
      <x:c r="AK202" s="473"/>
      <x:c r="AL202" s="473"/>
      <x:c r="AM202" s="473"/>
      <x:c r="AN202" s="500" t="n">
        <x:f>IF(AND(AK202="Yes",OR(O202="Labour",O202="Plant")),Z202,0)</x:f>
        <x:v>0</x:v>
      </x:c>
    </x:row>
    <x:row r="203">
      <x:c r="A203" s="80" t="str">
        <x:f>IF(B203="","",B203&amp;"-"&amp;TEXT(COUNTIF($B$7:B203,B203),"000"))</x:f>
      </x:c>
      <x:c r="B203" s="53"/>
      <x:c r="C203" s="81" t="str">
        <x:f>IFERROR(INDEX('QS Takeoff'!$A$3:$A$194,MATCH(B203,'QS Takeoff'!$B$3:$B$194,0)),"")</x:f>
      </x:c>
      <x:c r="D203" s="81" t="str">
        <x:f>IFERROR(INDEX('QS Takeoff'!$C$3:$C$194,MATCH(B203,'QS Takeoff'!$B$3:$B$194,0)),"")</x:f>
      </x:c>
      <x:c r="E203" s="81" t="str">
        <x:f>IFERROR(INDEX('QS Takeoff'!$E$3:$E$194,MATCH(B203,'QS Takeoff'!$B$3:$B$194,0)),"")</x:f>
      </x:c>
      <x:c r="F203" s="81" t="str">
        <x:f>IFERROR(INDEX('QS Takeoff'!$D$3:$D$194,MATCH(B203,'QS Takeoff'!$B$3:$B$194,0)),"")</x:f>
      </x:c>
      <x:c r="G203" s="81" t="str">
        <x:f>IFERROR(INDEX('QS Takeoff'!$J$3:$J$194,MATCH(B203,'QS Takeoff'!$B$3:$B$194,0)),"")</x:f>
      </x:c>
      <x:c r="H203" s="53"/>
      <x:c r="I203" s="60"/>
      <x:c r="J203" s="60"/>
      <x:c r="K203" s="82" t="str">
        <x:f t="shared" si="18">IF(OR(B203="",I203="",I203=0),"",E203/I203)</x:f>
      </x:c>
      <x:c r="L203" s="60"/>
      <x:c r="M203" s="82" t="str">
        <x:f t="shared" si="19">IF(L203&gt;0,L203,K203)</x:f>
      </x:c>
      <x:c r="N203" s="53"/>
      <x:c r="O203" s="53"/>
      <x:c r="P203" s="53"/>
      <x:c r="Q203" s="81" t="str">
        <x:f>IFERROR(INDEX('Resource Rate Library'!$C$5:$C$85,MATCH(P203,'Resource Rate Library'!$A$5:$A$85,0)),"")</x:f>
      </x:c>
      <x:c r="R203" s="53"/>
      <x:c r="S203" s="53"/>
      <x:c r="T203" s="81" t="str">
        <x:f>IFERROR(INDEX('Resource Rate Library'!$E$5:$E$85,MATCH(P203,'Resource Rate Library'!$A$5:$A$85,0)),"")</x:f>
      </x:c>
      <x:c r="U203" s="62"/>
      <x:c r="V203" s="62"/>
      <x:c r="W203" s="83" t="n">
        <x:f>IFERROR(INDEX('Resource Rate Library'!$I$5:$I$85,MATCH(P203,'Resource Rate Library'!$A$5:$A$85,0)),0)</x:f>
        <x:v>0</x:v>
      </x:c>
      <x:c r="X203" s="52"/>
      <x:c r="Y203" s="83" t="n">
        <x:f t="shared" si="20">IF(X203&gt;0,X203,W203)</x:f>
        <x:v>0</x:v>
      </x:c>
      <x:c r="Z203" s="83" t="str">
        <x:f t="shared" si="21">IF(B203="","",IF(N203="Time x Count",M203*R203*IF(U203="",1,U203)*Y203,IF(N203="QS Qty x Factor",E203*R203*(1+IF(V203="",0,V203))*Y203,IF(N203="Direct Qty",S203*(1+IF(V203="",0,V203))*Y203,IF(N203="Lump Sum / Quote",S203*Y203,0)))))</x:f>
      </x:c>
      <x:c r="AA203" s="81" t="str">
        <x:f>IFERROR(INDEX('Resource Rate Library'!$N$5:$N$85,MATCH(P203,'Resource Rate Library'!$A$5:$A$85,0)),"")</x:f>
      </x:c>
      <x:c r="AB203" s="53"/>
      <x:c r="AC203" s="59"/>
      <x:c r="AD203" s="81" t="str">
        <x:f>IFERROR(INDEX('Resource Rate Library'!$G$5:$G$85,MATCH(P203,'Resource Rate Library'!$A$5:$A$85,0)),"")</x:f>
      </x:c>
      <x:c r="AE203" s="81" t="str">
        <x:f>IFERROR(INDEX('Resource Rate Library'!$H$5:$H$85,MATCH(P203,'Resource Rate Library'!$A$5:$A$85,0)),"")</x:f>
      </x:c>
      <x:c r="AF203" s="53"/>
      <x:c r="AG203" s="53"/>
      <x:c r="AH203" s="53"/>
      <x:c r="AI203" s="81" t="str">
        <x:f t="shared" si="17">IF(B203="","",IF(AND(P203="",N203&lt;&gt;"Lump Sum / Quote"),"RESOURCE CODE",IF(Y203=0,"RATE MISSING",IF(AND(O203="Plant",AD203="Yes",COUNTIFS($B$7:$B$306,B203,$O$7:$O$306,"Labour",$Q$7:$Q$306,"*Operator*")&gt;0),"OPERATOR DOUBLE-COUNT",IF(AND(O203="Plant",AE203="Yes",COUNTIFS($B$7:$B$306,B203,$Q$7:$Q$306,"*Fuel*")&gt;0),"FUEL DOUBLE-COUNT",IF(AH203&lt;&gt;"Yes","VERIFY","OK"))))))</x:f>
      </x:c>
      <x:c r="AJ203" s="54"/>
      <x:c r="AK203" s="473"/>
      <x:c r="AL203" s="473"/>
      <x:c r="AM203" s="473"/>
      <x:c r="AN203" s="500" t="n">
        <x:f>IF(AND(AK203="Yes",OR(O203="Labour",O203="Plant")),Z203,0)</x:f>
        <x:v>0</x:v>
      </x:c>
    </x:row>
    <x:row r="204">
      <x:c r="A204" s="80" t="str">
        <x:f>IF(B204="","",B204&amp;"-"&amp;TEXT(COUNTIF($B$7:B204,B204),"000"))</x:f>
      </x:c>
      <x:c r="B204" s="53"/>
      <x:c r="C204" s="81" t="str">
        <x:f>IFERROR(INDEX('QS Takeoff'!$A$3:$A$194,MATCH(B204,'QS Takeoff'!$B$3:$B$194,0)),"")</x:f>
      </x:c>
      <x:c r="D204" s="81" t="str">
        <x:f>IFERROR(INDEX('QS Takeoff'!$C$3:$C$194,MATCH(B204,'QS Takeoff'!$B$3:$B$194,0)),"")</x:f>
      </x:c>
      <x:c r="E204" s="81" t="str">
        <x:f>IFERROR(INDEX('QS Takeoff'!$E$3:$E$194,MATCH(B204,'QS Takeoff'!$B$3:$B$194,0)),"")</x:f>
      </x:c>
      <x:c r="F204" s="81" t="str">
        <x:f>IFERROR(INDEX('QS Takeoff'!$D$3:$D$194,MATCH(B204,'QS Takeoff'!$B$3:$B$194,0)),"")</x:f>
      </x:c>
      <x:c r="G204" s="81" t="str">
        <x:f>IFERROR(INDEX('QS Takeoff'!$J$3:$J$194,MATCH(B204,'QS Takeoff'!$B$3:$B$194,0)),"")</x:f>
      </x:c>
      <x:c r="H204" s="53"/>
      <x:c r="I204" s="60"/>
      <x:c r="J204" s="60"/>
      <x:c r="K204" s="82" t="str">
        <x:f t="shared" si="18">IF(OR(B204="",I204="",I204=0),"",E204/I204)</x:f>
      </x:c>
      <x:c r="L204" s="60"/>
      <x:c r="M204" s="82" t="str">
        <x:f t="shared" si="19">IF(L204&gt;0,L204,K204)</x:f>
      </x:c>
      <x:c r="N204" s="53"/>
      <x:c r="O204" s="53"/>
      <x:c r="P204" s="53"/>
      <x:c r="Q204" s="81" t="str">
        <x:f>IFERROR(INDEX('Resource Rate Library'!$C$5:$C$85,MATCH(P204,'Resource Rate Library'!$A$5:$A$85,0)),"")</x:f>
      </x:c>
      <x:c r="R204" s="53"/>
      <x:c r="S204" s="53"/>
      <x:c r="T204" s="81" t="str">
        <x:f>IFERROR(INDEX('Resource Rate Library'!$E$5:$E$85,MATCH(P204,'Resource Rate Library'!$A$5:$A$85,0)),"")</x:f>
      </x:c>
      <x:c r="U204" s="62"/>
      <x:c r="V204" s="62"/>
      <x:c r="W204" s="83" t="n">
        <x:f>IFERROR(INDEX('Resource Rate Library'!$I$5:$I$85,MATCH(P204,'Resource Rate Library'!$A$5:$A$85,0)),0)</x:f>
        <x:v>0</x:v>
      </x:c>
      <x:c r="X204" s="52"/>
      <x:c r="Y204" s="83" t="n">
        <x:f t="shared" si="20">IF(X204&gt;0,X204,W204)</x:f>
        <x:v>0</x:v>
      </x:c>
      <x:c r="Z204" s="83" t="str">
        <x:f t="shared" si="21">IF(B204="","",IF(N204="Time x Count",M204*R204*IF(U204="",1,U204)*Y204,IF(N204="QS Qty x Factor",E204*R204*(1+IF(V204="",0,V204))*Y204,IF(N204="Direct Qty",S204*(1+IF(V204="",0,V204))*Y204,IF(N204="Lump Sum / Quote",S204*Y204,0)))))</x:f>
      </x:c>
      <x:c r="AA204" s="81" t="str">
        <x:f>IFERROR(INDEX('Resource Rate Library'!$N$5:$N$85,MATCH(P204,'Resource Rate Library'!$A$5:$A$85,0)),"")</x:f>
      </x:c>
      <x:c r="AB204" s="53"/>
      <x:c r="AC204" s="59"/>
      <x:c r="AD204" s="81" t="str">
        <x:f>IFERROR(INDEX('Resource Rate Library'!$G$5:$G$85,MATCH(P204,'Resource Rate Library'!$A$5:$A$85,0)),"")</x:f>
      </x:c>
      <x:c r="AE204" s="81" t="str">
        <x:f>IFERROR(INDEX('Resource Rate Library'!$H$5:$H$85,MATCH(P204,'Resource Rate Library'!$A$5:$A$85,0)),"")</x:f>
      </x:c>
      <x:c r="AF204" s="53"/>
      <x:c r="AG204" s="53"/>
      <x:c r="AH204" s="53"/>
      <x:c r="AI204" s="81" t="str">
        <x:f t="shared" si="17">IF(B204="","",IF(AND(P204="",N204&lt;&gt;"Lump Sum / Quote"),"RESOURCE CODE",IF(Y204=0,"RATE MISSING",IF(AND(O204="Plant",AD204="Yes",COUNTIFS($B$7:$B$306,B204,$O$7:$O$306,"Labour",$Q$7:$Q$306,"*Operator*")&gt;0),"OPERATOR DOUBLE-COUNT",IF(AND(O204="Plant",AE204="Yes",COUNTIFS($B$7:$B$306,B204,$Q$7:$Q$306,"*Fuel*")&gt;0),"FUEL DOUBLE-COUNT",IF(AH204&lt;&gt;"Yes","VERIFY","OK"))))))</x:f>
      </x:c>
      <x:c r="AJ204" s="54"/>
      <x:c r="AK204" s="473"/>
      <x:c r="AL204" s="473"/>
      <x:c r="AM204" s="473"/>
      <x:c r="AN204" s="500" t="n">
        <x:f>IF(AND(AK204="Yes",OR(O204="Labour",O204="Plant")),Z204,0)</x:f>
        <x:v>0</x:v>
      </x:c>
    </x:row>
    <x:row r="205">
      <x:c r="A205" s="80" t="str">
        <x:f>IF(B205="","",B205&amp;"-"&amp;TEXT(COUNTIF($B$7:B205,B205),"000"))</x:f>
      </x:c>
      <x:c r="B205" s="53"/>
      <x:c r="C205" s="81" t="str">
        <x:f>IFERROR(INDEX('QS Takeoff'!$A$3:$A$194,MATCH(B205,'QS Takeoff'!$B$3:$B$194,0)),"")</x:f>
      </x:c>
      <x:c r="D205" s="81" t="str">
        <x:f>IFERROR(INDEX('QS Takeoff'!$C$3:$C$194,MATCH(B205,'QS Takeoff'!$B$3:$B$194,0)),"")</x:f>
      </x:c>
      <x:c r="E205" s="81" t="str">
        <x:f>IFERROR(INDEX('QS Takeoff'!$E$3:$E$194,MATCH(B205,'QS Takeoff'!$B$3:$B$194,0)),"")</x:f>
      </x:c>
      <x:c r="F205" s="81" t="str">
        <x:f>IFERROR(INDEX('QS Takeoff'!$D$3:$D$194,MATCH(B205,'QS Takeoff'!$B$3:$B$194,0)),"")</x:f>
      </x:c>
      <x:c r="G205" s="81" t="str">
        <x:f>IFERROR(INDEX('QS Takeoff'!$J$3:$J$194,MATCH(B205,'QS Takeoff'!$B$3:$B$194,0)),"")</x:f>
      </x:c>
      <x:c r="H205" s="53"/>
      <x:c r="I205" s="60"/>
      <x:c r="J205" s="60"/>
      <x:c r="K205" s="82" t="str">
        <x:f t="shared" si="18">IF(OR(B205="",I205="",I205=0),"",E205/I205)</x:f>
      </x:c>
      <x:c r="L205" s="60"/>
      <x:c r="M205" s="82" t="str">
        <x:f t="shared" si="19">IF(L205&gt;0,L205,K205)</x:f>
      </x:c>
      <x:c r="N205" s="53"/>
      <x:c r="O205" s="53"/>
      <x:c r="P205" s="53"/>
      <x:c r="Q205" s="81" t="str">
        <x:f>IFERROR(INDEX('Resource Rate Library'!$C$5:$C$85,MATCH(P205,'Resource Rate Library'!$A$5:$A$85,0)),"")</x:f>
      </x:c>
      <x:c r="R205" s="53"/>
      <x:c r="S205" s="53"/>
      <x:c r="T205" s="81" t="str">
        <x:f>IFERROR(INDEX('Resource Rate Library'!$E$5:$E$85,MATCH(P205,'Resource Rate Library'!$A$5:$A$85,0)),"")</x:f>
      </x:c>
      <x:c r="U205" s="62"/>
      <x:c r="V205" s="62"/>
      <x:c r="W205" s="83" t="n">
        <x:f>IFERROR(INDEX('Resource Rate Library'!$I$5:$I$85,MATCH(P205,'Resource Rate Library'!$A$5:$A$85,0)),0)</x:f>
        <x:v>0</x:v>
      </x:c>
      <x:c r="X205" s="52"/>
      <x:c r="Y205" s="83" t="n">
        <x:f t="shared" si="20">IF(X205&gt;0,X205,W205)</x:f>
        <x:v>0</x:v>
      </x:c>
      <x:c r="Z205" s="83" t="str">
        <x:f t="shared" si="21">IF(B205="","",IF(N205="Time x Count",M205*R205*IF(U205="",1,U205)*Y205,IF(N205="QS Qty x Factor",E205*R205*(1+IF(V205="",0,V205))*Y205,IF(N205="Direct Qty",S205*(1+IF(V205="",0,V205))*Y205,IF(N205="Lump Sum / Quote",S205*Y205,0)))))</x:f>
      </x:c>
      <x:c r="AA205" s="81" t="str">
        <x:f>IFERROR(INDEX('Resource Rate Library'!$N$5:$N$85,MATCH(P205,'Resource Rate Library'!$A$5:$A$85,0)),"")</x:f>
      </x:c>
      <x:c r="AB205" s="53"/>
      <x:c r="AC205" s="59"/>
      <x:c r="AD205" s="81" t="str">
        <x:f>IFERROR(INDEX('Resource Rate Library'!$G$5:$G$85,MATCH(P205,'Resource Rate Library'!$A$5:$A$85,0)),"")</x:f>
      </x:c>
      <x:c r="AE205" s="81" t="str">
        <x:f>IFERROR(INDEX('Resource Rate Library'!$H$5:$H$85,MATCH(P205,'Resource Rate Library'!$A$5:$A$85,0)),"")</x:f>
      </x:c>
      <x:c r="AF205" s="53"/>
      <x:c r="AG205" s="53"/>
      <x:c r="AH205" s="53"/>
      <x:c r="AI205" s="81" t="str">
        <x:f t="shared" si="17">IF(B205="","",IF(AND(P205="",N205&lt;&gt;"Lump Sum / Quote"),"RESOURCE CODE",IF(Y205=0,"RATE MISSING",IF(AND(O205="Plant",AD205="Yes",COUNTIFS($B$7:$B$306,B205,$O$7:$O$306,"Labour",$Q$7:$Q$306,"*Operator*")&gt;0),"OPERATOR DOUBLE-COUNT",IF(AND(O205="Plant",AE205="Yes",COUNTIFS($B$7:$B$306,B205,$Q$7:$Q$306,"*Fuel*")&gt;0),"FUEL DOUBLE-COUNT",IF(AH205&lt;&gt;"Yes","VERIFY","OK"))))))</x:f>
      </x:c>
      <x:c r="AJ205" s="54"/>
      <x:c r="AK205" s="473"/>
      <x:c r="AL205" s="473"/>
      <x:c r="AM205" s="473"/>
      <x:c r="AN205" s="500" t="n">
        <x:f>IF(AND(AK205="Yes",OR(O205="Labour",O205="Plant")),Z205,0)</x:f>
        <x:v>0</x:v>
      </x:c>
    </x:row>
    <x:row r="206">
      <x:c r="A206" s="80" t="str">
        <x:f>IF(B206="","",B206&amp;"-"&amp;TEXT(COUNTIF($B$7:B206,B206),"000"))</x:f>
      </x:c>
      <x:c r="B206" s="53"/>
      <x:c r="C206" s="81" t="str">
        <x:f>IFERROR(INDEX('QS Takeoff'!$A$3:$A$194,MATCH(B206,'QS Takeoff'!$B$3:$B$194,0)),"")</x:f>
      </x:c>
      <x:c r="D206" s="81" t="str">
        <x:f>IFERROR(INDEX('QS Takeoff'!$C$3:$C$194,MATCH(B206,'QS Takeoff'!$B$3:$B$194,0)),"")</x:f>
      </x:c>
      <x:c r="E206" s="81" t="str">
        <x:f>IFERROR(INDEX('QS Takeoff'!$E$3:$E$194,MATCH(B206,'QS Takeoff'!$B$3:$B$194,0)),"")</x:f>
      </x:c>
      <x:c r="F206" s="81" t="str">
        <x:f>IFERROR(INDEX('QS Takeoff'!$D$3:$D$194,MATCH(B206,'QS Takeoff'!$B$3:$B$194,0)),"")</x:f>
      </x:c>
      <x:c r="G206" s="81" t="str">
        <x:f>IFERROR(INDEX('QS Takeoff'!$J$3:$J$194,MATCH(B206,'QS Takeoff'!$B$3:$B$194,0)),"")</x:f>
      </x:c>
      <x:c r="H206" s="53"/>
      <x:c r="I206" s="60"/>
      <x:c r="J206" s="60"/>
      <x:c r="K206" s="82" t="str">
        <x:f t="shared" si="18">IF(OR(B206="",I206="",I206=0),"",E206/I206)</x:f>
      </x:c>
      <x:c r="L206" s="60"/>
      <x:c r="M206" s="82" t="str">
        <x:f t="shared" si="19">IF(L206&gt;0,L206,K206)</x:f>
      </x:c>
      <x:c r="N206" s="53"/>
      <x:c r="O206" s="53"/>
      <x:c r="P206" s="53"/>
      <x:c r="Q206" s="81" t="str">
        <x:f>IFERROR(INDEX('Resource Rate Library'!$C$5:$C$85,MATCH(P206,'Resource Rate Library'!$A$5:$A$85,0)),"")</x:f>
      </x:c>
      <x:c r="R206" s="53"/>
      <x:c r="S206" s="53"/>
      <x:c r="T206" s="81" t="str">
        <x:f>IFERROR(INDEX('Resource Rate Library'!$E$5:$E$85,MATCH(P206,'Resource Rate Library'!$A$5:$A$85,0)),"")</x:f>
      </x:c>
      <x:c r="U206" s="62"/>
      <x:c r="V206" s="62"/>
      <x:c r="W206" s="83" t="n">
        <x:f>IFERROR(INDEX('Resource Rate Library'!$I$5:$I$85,MATCH(P206,'Resource Rate Library'!$A$5:$A$85,0)),0)</x:f>
        <x:v>0</x:v>
      </x:c>
      <x:c r="X206" s="52"/>
      <x:c r="Y206" s="83" t="n">
        <x:f t="shared" si="20">IF(X206&gt;0,X206,W206)</x:f>
        <x:v>0</x:v>
      </x:c>
      <x:c r="Z206" s="83" t="str">
        <x:f t="shared" si="21">IF(B206="","",IF(N206="Time x Count",M206*R206*IF(U206="",1,U206)*Y206,IF(N206="QS Qty x Factor",E206*R206*(1+IF(V206="",0,V206))*Y206,IF(N206="Direct Qty",S206*(1+IF(V206="",0,V206))*Y206,IF(N206="Lump Sum / Quote",S206*Y206,0)))))</x:f>
      </x:c>
      <x:c r="AA206" s="81" t="str">
        <x:f>IFERROR(INDEX('Resource Rate Library'!$N$5:$N$85,MATCH(P206,'Resource Rate Library'!$A$5:$A$85,0)),"")</x:f>
      </x:c>
      <x:c r="AB206" s="53"/>
      <x:c r="AC206" s="59"/>
      <x:c r="AD206" s="81" t="str">
        <x:f>IFERROR(INDEX('Resource Rate Library'!$G$5:$G$85,MATCH(P206,'Resource Rate Library'!$A$5:$A$85,0)),"")</x:f>
      </x:c>
      <x:c r="AE206" s="81" t="str">
        <x:f>IFERROR(INDEX('Resource Rate Library'!$H$5:$H$85,MATCH(P206,'Resource Rate Library'!$A$5:$A$85,0)),"")</x:f>
      </x:c>
      <x:c r="AF206" s="53"/>
      <x:c r="AG206" s="53"/>
      <x:c r="AH206" s="53"/>
      <x:c r="AI206" s="81" t="str">
        <x:f t="shared" si="17">IF(B206="","",IF(AND(P206="",N206&lt;&gt;"Lump Sum / Quote"),"RESOURCE CODE",IF(Y206=0,"RATE MISSING",IF(AND(O206="Plant",AD206="Yes",COUNTIFS($B$7:$B$306,B206,$O$7:$O$306,"Labour",$Q$7:$Q$306,"*Operator*")&gt;0),"OPERATOR DOUBLE-COUNT",IF(AND(O206="Plant",AE206="Yes",COUNTIFS($B$7:$B$306,B206,$Q$7:$Q$306,"*Fuel*")&gt;0),"FUEL DOUBLE-COUNT",IF(AH206&lt;&gt;"Yes","VERIFY","OK"))))))</x:f>
      </x:c>
      <x:c r="AJ206" s="54"/>
      <x:c r="AK206" s="473"/>
      <x:c r="AL206" s="473"/>
      <x:c r="AM206" s="473"/>
      <x:c r="AN206" s="500" t="n">
        <x:f>IF(AND(AK206="Yes",OR(O206="Labour",O206="Plant")),Z206,0)</x:f>
        <x:v>0</x:v>
      </x:c>
    </x:row>
    <x:row r="207">
      <x:c r="A207" s="80" t="str">
        <x:f>IF(B207="","",B207&amp;"-"&amp;TEXT(COUNTIF($B$7:B207,B207),"000"))</x:f>
      </x:c>
      <x:c r="B207" s="53"/>
      <x:c r="C207" s="81" t="str">
        <x:f>IFERROR(INDEX('QS Takeoff'!$A$3:$A$194,MATCH(B207,'QS Takeoff'!$B$3:$B$194,0)),"")</x:f>
      </x:c>
      <x:c r="D207" s="81" t="str">
        <x:f>IFERROR(INDEX('QS Takeoff'!$C$3:$C$194,MATCH(B207,'QS Takeoff'!$B$3:$B$194,0)),"")</x:f>
      </x:c>
      <x:c r="E207" s="81" t="str">
        <x:f>IFERROR(INDEX('QS Takeoff'!$E$3:$E$194,MATCH(B207,'QS Takeoff'!$B$3:$B$194,0)),"")</x:f>
      </x:c>
      <x:c r="F207" s="81" t="str">
        <x:f>IFERROR(INDEX('QS Takeoff'!$D$3:$D$194,MATCH(B207,'QS Takeoff'!$B$3:$B$194,0)),"")</x:f>
      </x:c>
      <x:c r="G207" s="81" t="str">
        <x:f>IFERROR(INDEX('QS Takeoff'!$J$3:$J$194,MATCH(B207,'QS Takeoff'!$B$3:$B$194,0)),"")</x:f>
      </x:c>
      <x:c r="H207" s="53"/>
      <x:c r="I207" s="60"/>
      <x:c r="J207" s="60"/>
      <x:c r="K207" s="82" t="str">
        <x:f t="shared" si="18">IF(OR(B207="",I207="",I207=0),"",E207/I207)</x:f>
      </x:c>
      <x:c r="L207" s="60"/>
      <x:c r="M207" s="82" t="str">
        <x:f t="shared" si="19">IF(L207&gt;0,L207,K207)</x:f>
      </x:c>
      <x:c r="N207" s="53"/>
      <x:c r="O207" s="53"/>
      <x:c r="P207" s="53"/>
      <x:c r="Q207" s="81" t="str">
        <x:f>IFERROR(INDEX('Resource Rate Library'!$C$5:$C$85,MATCH(P207,'Resource Rate Library'!$A$5:$A$85,0)),"")</x:f>
      </x:c>
      <x:c r="R207" s="53"/>
      <x:c r="S207" s="53"/>
      <x:c r="T207" s="81" t="str">
        <x:f>IFERROR(INDEX('Resource Rate Library'!$E$5:$E$85,MATCH(P207,'Resource Rate Library'!$A$5:$A$85,0)),"")</x:f>
      </x:c>
      <x:c r="U207" s="62"/>
      <x:c r="V207" s="62"/>
      <x:c r="W207" s="83" t="n">
        <x:f>IFERROR(INDEX('Resource Rate Library'!$I$5:$I$85,MATCH(P207,'Resource Rate Library'!$A$5:$A$85,0)),0)</x:f>
        <x:v>0</x:v>
      </x:c>
      <x:c r="X207" s="52"/>
      <x:c r="Y207" s="83" t="n">
        <x:f t="shared" si="20">IF(X207&gt;0,X207,W207)</x:f>
        <x:v>0</x:v>
      </x:c>
      <x:c r="Z207" s="83" t="str">
        <x:f t="shared" si="21">IF(B207="","",IF(N207="Time x Count",M207*R207*IF(U207="",1,U207)*Y207,IF(N207="QS Qty x Factor",E207*R207*(1+IF(V207="",0,V207))*Y207,IF(N207="Direct Qty",S207*(1+IF(V207="",0,V207))*Y207,IF(N207="Lump Sum / Quote",S207*Y207,0)))))</x:f>
      </x:c>
      <x:c r="AA207" s="81" t="str">
        <x:f>IFERROR(INDEX('Resource Rate Library'!$N$5:$N$85,MATCH(P207,'Resource Rate Library'!$A$5:$A$85,0)),"")</x:f>
      </x:c>
      <x:c r="AB207" s="53"/>
      <x:c r="AC207" s="59"/>
      <x:c r="AD207" s="81" t="str">
        <x:f>IFERROR(INDEX('Resource Rate Library'!$G$5:$G$85,MATCH(P207,'Resource Rate Library'!$A$5:$A$85,0)),"")</x:f>
      </x:c>
      <x:c r="AE207" s="81" t="str">
        <x:f>IFERROR(INDEX('Resource Rate Library'!$H$5:$H$85,MATCH(P207,'Resource Rate Library'!$A$5:$A$85,0)),"")</x:f>
      </x:c>
      <x:c r="AF207" s="53"/>
      <x:c r="AG207" s="53"/>
      <x:c r="AH207" s="53"/>
      <x:c r="AI207" s="81" t="str">
        <x:f t="shared" si="17">IF(B207="","",IF(AND(P207="",N207&lt;&gt;"Lump Sum / Quote"),"RESOURCE CODE",IF(Y207=0,"RATE MISSING",IF(AND(O207="Plant",AD207="Yes",COUNTIFS($B$7:$B$306,B207,$O$7:$O$306,"Labour",$Q$7:$Q$306,"*Operator*")&gt;0),"OPERATOR DOUBLE-COUNT",IF(AND(O207="Plant",AE207="Yes",COUNTIFS($B$7:$B$306,B207,$Q$7:$Q$306,"*Fuel*")&gt;0),"FUEL DOUBLE-COUNT",IF(AH207&lt;&gt;"Yes","VERIFY","OK"))))))</x:f>
      </x:c>
      <x:c r="AJ207" s="54"/>
      <x:c r="AK207" s="473"/>
      <x:c r="AL207" s="473"/>
      <x:c r="AM207" s="473"/>
      <x:c r="AN207" s="500" t="n">
        <x:f>IF(AND(AK207="Yes",OR(O207="Labour",O207="Plant")),Z207,0)</x:f>
        <x:v>0</x:v>
      </x:c>
    </x:row>
    <x:row r="208">
      <x:c r="A208" s="80" t="str">
        <x:f>IF(B208="","",B208&amp;"-"&amp;TEXT(COUNTIF($B$7:B208,B208),"000"))</x:f>
      </x:c>
      <x:c r="B208" s="53"/>
      <x:c r="C208" s="81" t="str">
        <x:f>IFERROR(INDEX('QS Takeoff'!$A$3:$A$194,MATCH(B208,'QS Takeoff'!$B$3:$B$194,0)),"")</x:f>
      </x:c>
      <x:c r="D208" s="81" t="str">
        <x:f>IFERROR(INDEX('QS Takeoff'!$C$3:$C$194,MATCH(B208,'QS Takeoff'!$B$3:$B$194,0)),"")</x:f>
      </x:c>
      <x:c r="E208" s="81" t="str">
        <x:f>IFERROR(INDEX('QS Takeoff'!$E$3:$E$194,MATCH(B208,'QS Takeoff'!$B$3:$B$194,0)),"")</x:f>
      </x:c>
      <x:c r="F208" s="81" t="str">
        <x:f>IFERROR(INDEX('QS Takeoff'!$D$3:$D$194,MATCH(B208,'QS Takeoff'!$B$3:$B$194,0)),"")</x:f>
      </x:c>
      <x:c r="G208" s="81" t="str">
        <x:f>IFERROR(INDEX('QS Takeoff'!$J$3:$J$194,MATCH(B208,'QS Takeoff'!$B$3:$B$194,0)),"")</x:f>
      </x:c>
      <x:c r="H208" s="53"/>
      <x:c r="I208" s="60"/>
      <x:c r="J208" s="60"/>
      <x:c r="K208" s="82" t="str">
        <x:f t="shared" si="18">IF(OR(B208="",I208="",I208=0),"",E208/I208)</x:f>
      </x:c>
      <x:c r="L208" s="60"/>
      <x:c r="M208" s="82" t="str">
        <x:f t="shared" si="19">IF(L208&gt;0,L208,K208)</x:f>
      </x:c>
      <x:c r="N208" s="53"/>
      <x:c r="O208" s="53"/>
      <x:c r="P208" s="53"/>
      <x:c r="Q208" s="81" t="str">
        <x:f>IFERROR(INDEX('Resource Rate Library'!$C$5:$C$85,MATCH(P208,'Resource Rate Library'!$A$5:$A$85,0)),"")</x:f>
      </x:c>
      <x:c r="R208" s="53"/>
      <x:c r="S208" s="53"/>
      <x:c r="T208" s="81" t="str">
        <x:f>IFERROR(INDEX('Resource Rate Library'!$E$5:$E$85,MATCH(P208,'Resource Rate Library'!$A$5:$A$85,0)),"")</x:f>
      </x:c>
      <x:c r="U208" s="62"/>
      <x:c r="V208" s="62"/>
      <x:c r="W208" s="83" t="n">
        <x:f>IFERROR(INDEX('Resource Rate Library'!$I$5:$I$85,MATCH(P208,'Resource Rate Library'!$A$5:$A$85,0)),0)</x:f>
        <x:v>0</x:v>
      </x:c>
      <x:c r="X208" s="52"/>
      <x:c r="Y208" s="83" t="n">
        <x:f t="shared" si="20">IF(X208&gt;0,X208,W208)</x:f>
        <x:v>0</x:v>
      </x:c>
      <x:c r="Z208" s="83" t="str">
        <x:f t="shared" si="21">IF(B208="","",IF(N208="Time x Count",M208*R208*IF(U208="",1,U208)*Y208,IF(N208="QS Qty x Factor",E208*R208*(1+IF(V208="",0,V208))*Y208,IF(N208="Direct Qty",S208*(1+IF(V208="",0,V208))*Y208,IF(N208="Lump Sum / Quote",S208*Y208,0)))))</x:f>
      </x:c>
      <x:c r="AA208" s="81" t="str">
        <x:f>IFERROR(INDEX('Resource Rate Library'!$N$5:$N$85,MATCH(P208,'Resource Rate Library'!$A$5:$A$85,0)),"")</x:f>
      </x:c>
      <x:c r="AB208" s="53"/>
      <x:c r="AC208" s="59"/>
      <x:c r="AD208" s="81" t="str">
        <x:f>IFERROR(INDEX('Resource Rate Library'!$G$5:$G$85,MATCH(P208,'Resource Rate Library'!$A$5:$A$85,0)),"")</x:f>
      </x:c>
      <x:c r="AE208" s="81" t="str">
        <x:f>IFERROR(INDEX('Resource Rate Library'!$H$5:$H$85,MATCH(P208,'Resource Rate Library'!$A$5:$A$85,0)),"")</x:f>
      </x:c>
      <x:c r="AF208" s="53"/>
      <x:c r="AG208" s="53"/>
      <x:c r="AH208" s="53"/>
      <x:c r="AI208" s="81" t="str">
        <x:f t="shared" si="17">IF(B208="","",IF(AND(P208="",N208&lt;&gt;"Lump Sum / Quote"),"RESOURCE CODE",IF(Y208=0,"RATE MISSING",IF(AND(O208="Plant",AD208="Yes",COUNTIFS($B$7:$B$306,B208,$O$7:$O$306,"Labour",$Q$7:$Q$306,"*Operator*")&gt;0),"OPERATOR DOUBLE-COUNT",IF(AND(O208="Plant",AE208="Yes",COUNTIFS($B$7:$B$306,B208,$Q$7:$Q$306,"*Fuel*")&gt;0),"FUEL DOUBLE-COUNT",IF(AH208&lt;&gt;"Yes","VERIFY","OK"))))))</x:f>
      </x:c>
      <x:c r="AJ208" s="54"/>
      <x:c r="AK208" s="473"/>
      <x:c r="AL208" s="473"/>
      <x:c r="AM208" s="473"/>
      <x:c r="AN208" s="500" t="n">
        <x:f>IF(AND(AK208="Yes",OR(O208="Labour",O208="Plant")),Z208,0)</x:f>
        <x:v>0</x:v>
      </x:c>
    </x:row>
    <x:row r="209">
      <x:c r="A209" s="80" t="str">
        <x:f>IF(B209="","",B209&amp;"-"&amp;TEXT(COUNTIF($B$7:B209,B209),"000"))</x:f>
      </x:c>
      <x:c r="B209" s="53"/>
      <x:c r="C209" s="81" t="str">
        <x:f>IFERROR(INDEX('QS Takeoff'!$A$3:$A$194,MATCH(B209,'QS Takeoff'!$B$3:$B$194,0)),"")</x:f>
      </x:c>
      <x:c r="D209" s="81" t="str">
        <x:f>IFERROR(INDEX('QS Takeoff'!$C$3:$C$194,MATCH(B209,'QS Takeoff'!$B$3:$B$194,0)),"")</x:f>
      </x:c>
      <x:c r="E209" s="81" t="str">
        <x:f>IFERROR(INDEX('QS Takeoff'!$E$3:$E$194,MATCH(B209,'QS Takeoff'!$B$3:$B$194,0)),"")</x:f>
      </x:c>
      <x:c r="F209" s="81" t="str">
        <x:f>IFERROR(INDEX('QS Takeoff'!$D$3:$D$194,MATCH(B209,'QS Takeoff'!$B$3:$B$194,0)),"")</x:f>
      </x:c>
      <x:c r="G209" s="81" t="str">
        <x:f>IFERROR(INDEX('QS Takeoff'!$J$3:$J$194,MATCH(B209,'QS Takeoff'!$B$3:$B$194,0)),"")</x:f>
      </x:c>
      <x:c r="H209" s="53"/>
      <x:c r="I209" s="60"/>
      <x:c r="J209" s="60"/>
      <x:c r="K209" s="82" t="str">
        <x:f t="shared" si="18">IF(OR(B209="",I209="",I209=0),"",E209/I209)</x:f>
      </x:c>
      <x:c r="L209" s="60"/>
      <x:c r="M209" s="82" t="str">
        <x:f t="shared" si="19">IF(L209&gt;0,L209,K209)</x:f>
      </x:c>
      <x:c r="N209" s="53"/>
      <x:c r="O209" s="53"/>
      <x:c r="P209" s="53"/>
      <x:c r="Q209" s="81" t="str">
        <x:f>IFERROR(INDEX('Resource Rate Library'!$C$5:$C$85,MATCH(P209,'Resource Rate Library'!$A$5:$A$85,0)),"")</x:f>
      </x:c>
      <x:c r="R209" s="53"/>
      <x:c r="S209" s="53"/>
      <x:c r="T209" s="81" t="str">
        <x:f>IFERROR(INDEX('Resource Rate Library'!$E$5:$E$85,MATCH(P209,'Resource Rate Library'!$A$5:$A$85,0)),"")</x:f>
      </x:c>
      <x:c r="U209" s="62"/>
      <x:c r="V209" s="62"/>
      <x:c r="W209" s="83" t="n">
        <x:f>IFERROR(INDEX('Resource Rate Library'!$I$5:$I$85,MATCH(P209,'Resource Rate Library'!$A$5:$A$85,0)),0)</x:f>
        <x:v>0</x:v>
      </x:c>
      <x:c r="X209" s="52"/>
      <x:c r="Y209" s="83" t="n">
        <x:f t="shared" si="20">IF(X209&gt;0,X209,W209)</x:f>
        <x:v>0</x:v>
      </x:c>
      <x:c r="Z209" s="83" t="str">
        <x:f t="shared" si="21">IF(B209="","",IF(N209="Time x Count",M209*R209*IF(U209="",1,U209)*Y209,IF(N209="QS Qty x Factor",E209*R209*(1+IF(V209="",0,V209))*Y209,IF(N209="Direct Qty",S209*(1+IF(V209="",0,V209))*Y209,IF(N209="Lump Sum / Quote",S209*Y209,0)))))</x:f>
      </x:c>
      <x:c r="AA209" s="81" t="str">
        <x:f>IFERROR(INDEX('Resource Rate Library'!$N$5:$N$85,MATCH(P209,'Resource Rate Library'!$A$5:$A$85,0)),"")</x:f>
      </x:c>
      <x:c r="AB209" s="53"/>
      <x:c r="AC209" s="59"/>
      <x:c r="AD209" s="81" t="str">
        <x:f>IFERROR(INDEX('Resource Rate Library'!$G$5:$G$85,MATCH(P209,'Resource Rate Library'!$A$5:$A$85,0)),"")</x:f>
      </x:c>
      <x:c r="AE209" s="81" t="str">
        <x:f>IFERROR(INDEX('Resource Rate Library'!$H$5:$H$85,MATCH(P209,'Resource Rate Library'!$A$5:$A$85,0)),"")</x:f>
      </x:c>
      <x:c r="AF209" s="53"/>
      <x:c r="AG209" s="53"/>
      <x:c r="AH209" s="53"/>
      <x:c r="AI209" s="81" t="str">
        <x:f t="shared" si="17">IF(B209="","",IF(AND(P209="",N209&lt;&gt;"Lump Sum / Quote"),"RESOURCE CODE",IF(Y209=0,"RATE MISSING",IF(AND(O209="Plant",AD209="Yes",COUNTIFS($B$7:$B$306,B209,$O$7:$O$306,"Labour",$Q$7:$Q$306,"*Operator*")&gt;0),"OPERATOR DOUBLE-COUNT",IF(AND(O209="Plant",AE209="Yes",COUNTIFS($B$7:$B$306,B209,$Q$7:$Q$306,"*Fuel*")&gt;0),"FUEL DOUBLE-COUNT",IF(AH209&lt;&gt;"Yes","VERIFY","OK"))))))</x:f>
      </x:c>
      <x:c r="AJ209" s="54"/>
      <x:c r="AK209" s="473"/>
      <x:c r="AL209" s="473"/>
      <x:c r="AM209" s="473"/>
      <x:c r="AN209" s="500" t="n">
        <x:f>IF(AND(AK209="Yes",OR(O209="Labour",O209="Plant")),Z209,0)</x:f>
        <x:v>0</x:v>
      </x:c>
    </x:row>
    <x:row r="210">
      <x:c r="A210" s="80" t="str">
        <x:f>IF(B210="","",B210&amp;"-"&amp;TEXT(COUNTIF($B$7:B210,B210),"000"))</x:f>
      </x:c>
      <x:c r="B210" s="53"/>
      <x:c r="C210" s="81" t="str">
        <x:f>IFERROR(INDEX('QS Takeoff'!$A$3:$A$194,MATCH(B210,'QS Takeoff'!$B$3:$B$194,0)),"")</x:f>
      </x:c>
      <x:c r="D210" s="81" t="str">
        <x:f>IFERROR(INDEX('QS Takeoff'!$C$3:$C$194,MATCH(B210,'QS Takeoff'!$B$3:$B$194,0)),"")</x:f>
      </x:c>
      <x:c r="E210" s="81" t="str">
        <x:f>IFERROR(INDEX('QS Takeoff'!$E$3:$E$194,MATCH(B210,'QS Takeoff'!$B$3:$B$194,0)),"")</x:f>
      </x:c>
      <x:c r="F210" s="81" t="str">
        <x:f>IFERROR(INDEX('QS Takeoff'!$D$3:$D$194,MATCH(B210,'QS Takeoff'!$B$3:$B$194,0)),"")</x:f>
      </x:c>
      <x:c r="G210" s="81" t="str">
        <x:f>IFERROR(INDEX('QS Takeoff'!$J$3:$J$194,MATCH(B210,'QS Takeoff'!$B$3:$B$194,0)),"")</x:f>
      </x:c>
      <x:c r="H210" s="53"/>
      <x:c r="I210" s="60"/>
      <x:c r="J210" s="60"/>
      <x:c r="K210" s="82" t="str">
        <x:f t="shared" si="18">IF(OR(B210="",I210="",I210=0),"",E210/I210)</x:f>
      </x:c>
      <x:c r="L210" s="60"/>
      <x:c r="M210" s="82" t="str">
        <x:f t="shared" si="19">IF(L210&gt;0,L210,K210)</x:f>
      </x:c>
      <x:c r="N210" s="53"/>
      <x:c r="O210" s="53"/>
      <x:c r="P210" s="53"/>
      <x:c r="Q210" s="81" t="str">
        <x:f>IFERROR(INDEX('Resource Rate Library'!$C$5:$C$85,MATCH(P210,'Resource Rate Library'!$A$5:$A$85,0)),"")</x:f>
      </x:c>
      <x:c r="R210" s="53"/>
      <x:c r="S210" s="53"/>
      <x:c r="T210" s="81" t="str">
        <x:f>IFERROR(INDEX('Resource Rate Library'!$E$5:$E$85,MATCH(P210,'Resource Rate Library'!$A$5:$A$85,0)),"")</x:f>
      </x:c>
      <x:c r="U210" s="62"/>
      <x:c r="V210" s="62"/>
      <x:c r="W210" s="83" t="n">
        <x:f>IFERROR(INDEX('Resource Rate Library'!$I$5:$I$85,MATCH(P210,'Resource Rate Library'!$A$5:$A$85,0)),0)</x:f>
        <x:v>0</x:v>
      </x:c>
      <x:c r="X210" s="52"/>
      <x:c r="Y210" s="83" t="n">
        <x:f t="shared" si="20">IF(X210&gt;0,X210,W210)</x:f>
        <x:v>0</x:v>
      </x:c>
      <x:c r="Z210" s="83" t="str">
        <x:f t="shared" si="21">IF(B210="","",IF(N210="Time x Count",M210*R210*IF(U210="",1,U210)*Y210,IF(N210="QS Qty x Factor",E210*R210*(1+IF(V210="",0,V210))*Y210,IF(N210="Direct Qty",S210*(1+IF(V210="",0,V210))*Y210,IF(N210="Lump Sum / Quote",S210*Y210,0)))))</x:f>
      </x:c>
      <x:c r="AA210" s="81" t="str">
        <x:f>IFERROR(INDEX('Resource Rate Library'!$N$5:$N$85,MATCH(P210,'Resource Rate Library'!$A$5:$A$85,0)),"")</x:f>
      </x:c>
      <x:c r="AB210" s="53"/>
      <x:c r="AC210" s="59"/>
      <x:c r="AD210" s="81" t="str">
        <x:f>IFERROR(INDEX('Resource Rate Library'!$G$5:$G$85,MATCH(P210,'Resource Rate Library'!$A$5:$A$85,0)),"")</x:f>
      </x:c>
      <x:c r="AE210" s="81" t="str">
        <x:f>IFERROR(INDEX('Resource Rate Library'!$H$5:$H$85,MATCH(P210,'Resource Rate Library'!$A$5:$A$85,0)),"")</x:f>
      </x:c>
      <x:c r="AF210" s="53"/>
      <x:c r="AG210" s="53"/>
      <x:c r="AH210" s="53"/>
      <x:c r="AI210" s="81" t="str">
        <x:f t="shared" si="17">IF(B210="","",IF(AND(P210="",N210&lt;&gt;"Lump Sum / Quote"),"RESOURCE CODE",IF(Y210=0,"RATE MISSING",IF(AND(O210="Plant",AD210="Yes",COUNTIFS($B$7:$B$306,B210,$O$7:$O$306,"Labour",$Q$7:$Q$306,"*Operator*")&gt;0),"OPERATOR DOUBLE-COUNT",IF(AND(O210="Plant",AE210="Yes",COUNTIFS($B$7:$B$306,B210,$Q$7:$Q$306,"*Fuel*")&gt;0),"FUEL DOUBLE-COUNT",IF(AH210&lt;&gt;"Yes","VERIFY","OK"))))))</x:f>
      </x:c>
      <x:c r="AJ210" s="54"/>
      <x:c r="AK210" s="473"/>
      <x:c r="AL210" s="473"/>
      <x:c r="AM210" s="473"/>
      <x:c r="AN210" s="500" t="n">
        <x:f>IF(AND(AK210="Yes",OR(O210="Labour",O210="Plant")),Z210,0)</x:f>
        <x:v>0</x:v>
      </x:c>
    </x:row>
    <x:row r="211">
      <x:c r="A211" s="80" t="str">
        <x:f>IF(B211="","",B211&amp;"-"&amp;TEXT(COUNTIF($B$7:B211,B211),"000"))</x:f>
      </x:c>
      <x:c r="B211" s="53"/>
      <x:c r="C211" s="81" t="str">
        <x:f>IFERROR(INDEX('QS Takeoff'!$A$3:$A$194,MATCH(B211,'QS Takeoff'!$B$3:$B$194,0)),"")</x:f>
      </x:c>
      <x:c r="D211" s="81" t="str">
        <x:f>IFERROR(INDEX('QS Takeoff'!$C$3:$C$194,MATCH(B211,'QS Takeoff'!$B$3:$B$194,0)),"")</x:f>
      </x:c>
      <x:c r="E211" s="81" t="str">
        <x:f>IFERROR(INDEX('QS Takeoff'!$E$3:$E$194,MATCH(B211,'QS Takeoff'!$B$3:$B$194,0)),"")</x:f>
      </x:c>
      <x:c r="F211" s="81" t="str">
        <x:f>IFERROR(INDEX('QS Takeoff'!$D$3:$D$194,MATCH(B211,'QS Takeoff'!$B$3:$B$194,0)),"")</x:f>
      </x:c>
      <x:c r="G211" s="81" t="str">
        <x:f>IFERROR(INDEX('QS Takeoff'!$J$3:$J$194,MATCH(B211,'QS Takeoff'!$B$3:$B$194,0)),"")</x:f>
      </x:c>
      <x:c r="H211" s="53"/>
      <x:c r="I211" s="60"/>
      <x:c r="J211" s="60"/>
      <x:c r="K211" s="82" t="str">
        <x:f t="shared" si="18">IF(OR(B211="",I211="",I211=0),"",E211/I211)</x:f>
      </x:c>
      <x:c r="L211" s="60"/>
      <x:c r="M211" s="82" t="str">
        <x:f t="shared" si="19">IF(L211&gt;0,L211,K211)</x:f>
      </x:c>
      <x:c r="N211" s="53"/>
      <x:c r="O211" s="53"/>
      <x:c r="P211" s="53"/>
      <x:c r="Q211" s="81" t="str">
        <x:f>IFERROR(INDEX('Resource Rate Library'!$C$5:$C$85,MATCH(P211,'Resource Rate Library'!$A$5:$A$85,0)),"")</x:f>
      </x:c>
      <x:c r="R211" s="53"/>
      <x:c r="S211" s="53"/>
      <x:c r="T211" s="81" t="str">
        <x:f>IFERROR(INDEX('Resource Rate Library'!$E$5:$E$85,MATCH(P211,'Resource Rate Library'!$A$5:$A$85,0)),"")</x:f>
      </x:c>
      <x:c r="U211" s="62"/>
      <x:c r="V211" s="62"/>
      <x:c r="W211" s="83" t="n">
        <x:f>IFERROR(INDEX('Resource Rate Library'!$I$5:$I$85,MATCH(P211,'Resource Rate Library'!$A$5:$A$85,0)),0)</x:f>
        <x:v>0</x:v>
      </x:c>
      <x:c r="X211" s="52"/>
      <x:c r="Y211" s="83" t="n">
        <x:f t="shared" si="20">IF(X211&gt;0,X211,W211)</x:f>
        <x:v>0</x:v>
      </x:c>
      <x:c r="Z211" s="83" t="str">
        <x:f t="shared" si="21">IF(B211="","",IF(N211="Time x Count",M211*R211*IF(U211="",1,U211)*Y211,IF(N211="QS Qty x Factor",E211*R211*(1+IF(V211="",0,V211))*Y211,IF(N211="Direct Qty",S211*(1+IF(V211="",0,V211))*Y211,IF(N211="Lump Sum / Quote",S211*Y211,0)))))</x:f>
      </x:c>
      <x:c r="AA211" s="81" t="str">
        <x:f>IFERROR(INDEX('Resource Rate Library'!$N$5:$N$85,MATCH(P211,'Resource Rate Library'!$A$5:$A$85,0)),"")</x:f>
      </x:c>
      <x:c r="AB211" s="53"/>
      <x:c r="AC211" s="59"/>
      <x:c r="AD211" s="81" t="str">
        <x:f>IFERROR(INDEX('Resource Rate Library'!$G$5:$G$85,MATCH(P211,'Resource Rate Library'!$A$5:$A$85,0)),"")</x:f>
      </x:c>
      <x:c r="AE211" s="81" t="str">
        <x:f>IFERROR(INDEX('Resource Rate Library'!$H$5:$H$85,MATCH(P211,'Resource Rate Library'!$A$5:$A$85,0)),"")</x:f>
      </x:c>
      <x:c r="AF211" s="53"/>
      <x:c r="AG211" s="53"/>
      <x:c r="AH211" s="53"/>
      <x:c r="AI211" s="81" t="str">
        <x:f t="shared" si="17">IF(B211="","",IF(AND(P211="",N211&lt;&gt;"Lump Sum / Quote"),"RESOURCE CODE",IF(Y211=0,"RATE MISSING",IF(AND(O211="Plant",AD211="Yes",COUNTIFS($B$7:$B$306,B211,$O$7:$O$306,"Labour",$Q$7:$Q$306,"*Operator*")&gt;0),"OPERATOR DOUBLE-COUNT",IF(AND(O211="Plant",AE211="Yes",COUNTIFS($B$7:$B$306,B211,$Q$7:$Q$306,"*Fuel*")&gt;0),"FUEL DOUBLE-COUNT",IF(AH211&lt;&gt;"Yes","VERIFY","OK"))))))</x:f>
      </x:c>
      <x:c r="AJ211" s="54"/>
      <x:c r="AK211" s="473"/>
      <x:c r="AL211" s="473"/>
      <x:c r="AM211" s="473"/>
      <x:c r="AN211" s="500" t="n">
        <x:f>IF(AND(AK211="Yes",OR(O211="Labour",O211="Plant")),Z211,0)</x:f>
        <x:v>0</x:v>
      </x:c>
    </x:row>
    <x:row r="212">
      <x:c r="A212" s="80" t="str">
        <x:f>IF(B212="","",B212&amp;"-"&amp;TEXT(COUNTIF($B$7:B212,B212),"000"))</x:f>
      </x:c>
      <x:c r="B212" s="53"/>
      <x:c r="C212" s="81" t="str">
        <x:f>IFERROR(INDEX('QS Takeoff'!$A$3:$A$194,MATCH(B212,'QS Takeoff'!$B$3:$B$194,0)),"")</x:f>
      </x:c>
      <x:c r="D212" s="81" t="str">
        <x:f>IFERROR(INDEX('QS Takeoff'!$C$3:$C$194,MATCH(B212,'QS Takeoff'!$B$3:$B$194,0)),"")</x:f>
      </x:c>
      <x:c r="E212" s="81" t="str">
        <x:f>IFERROR(INDEX('QS Takeoff'!$E$3:$E$194,MATCH(B212,'QS Takeoff'!$B$3:$B$194,0)),"")</x:f>
      </x:c>
      <x:c r="F212" s="81" t="str">
        <x:f>IFERROR(INDEX('QS Takeoff'!$D$3:$D$194,MATCH(B212,'QS Takeoff'!$B$3:$B$194,0)),"")</x:f>
      </x:c>
      <x:c r="G212" s="81" t="str">
        <x:f>IFERROR(INDEX('QS Takeoff'!$J$3:$J$194,MATCH(B212,'QS Takeoff'!$B$3:$B$194,0)),"")</x:f>
      </x:c>
      <x:c r="H212" s="53"/>
      <x:c r="I212" s="60"/>
      <x:c r="J212" s="60"/>
      <x:c r="K212" s="82" t="str">
        <x:f t="shared" si="18">IF(OR(B212="",I212="",I212=0),"",E212/I212)</x:f>
      </x:c>
      <x:c r="L212" s="60"/>
      <x:c r="M212" s="82" t="str">
        <x:f t="shared" si="19">IF(L212&gt;0,L212,K212)</x:f>
      </x:c>
      <x:c r="N212" s="53"/>
      <x:c r="O212" s="53"/>
      <x:c r="P212" s="53"/>
      <x:c r="Q212" s="81" t="str">
        <x:f>IFERROR(INDEX('Resource Rate Library'!$C$5:$C$85,MATCH(P212,'Resource Rate Library'!$A$5:$A$85,0)),"")</x:f>
      </x:c>
      <x:c r="R212" s="53"/>
      <x:c r="S212" s="53"/>
      <x:c r="T212" s="81" t="str">
        <x:f>IFERROR(INDEX('Resource Rate Library'!$E$5:$E$85,MATCH(P212,'Resource Rate Library'!$A$5:$A$85,0)),"")</x:f>
      </x:c>
      <x:c r="U212" s="62"/>
      <x:c r="V212" s="62"/>
      <x:c r="W212" s="83" t="n">
        <x:f>IFERROR(INDEX('Resource Rate Library'!$I$5:$I$85,MATCH(P212,'Resource Rate Library'!$A$5:$A$85,0)),0)</x:f>
        <x:v>0</x:v>
      </x:c>
      <x:c r="X212" s="52"/>
      <x:c r="Y212" s="83" t="n">
        <x:f t="shared" si="20">IF(X212&gt;0,X212,W212)</x:f>
        <x:v>0</x:v>
      </x:c>
      <x:c r="Z212" s="83" t="str">
        <x:f t="shared" si="21">IF(B212="","",IF(N212="Time x Count",M212*R212*IF(U212="",1,U212)*Y212,IF(N212="QS Qty x Factor",E212*R212*(1+IF(V212="",0,V212))*Y212,IF(N212="Direct Qty",S212*(1+IF(V212="",0,V212))*Y212,IF(N212="Lump Sum / Quote",S212*Y212,0)))))</x:f>
      </x:c>
      <x:c r="AA212" s="81" t="str">
        <x:f>IFERROR(INDEX('Resource Rate Library'!$N$5:$N$85,MATCH(P212,'Resource Rate Library'!$A$5:$A$85,0)),"")</x:f>
      </x:c>
      <x:c r="AB212" s="53"/>
      <x:c r="AC212" s="59"/>
      <x:c r="AD212" s="81" t="str">
        <x:f>IFERROR(INDEX('Resource Rate Library'!$G$5:$G$85,MATCH(P212,'Resource Rate Library'!$A$5:$A$85,0)),"")</x:f>
      </x:c>
      <x:c r="AE212" s="81" t="str">
        <x:f>IFERROR(INDEX('Resource Rate Library'!$H$5:$H$85,MATCH(P212,'Resource Rate Library'!$A$5:$A$85,0)),"")</x:f>
      </x:c>
      <x:c r="AF212" s="53"/>
      <x:c r="AG212" s="53"/>
      <x:c r="AH212" s="53"/>
      <x:c r="AI212" s="81" t="str">
        <x:f t="shared" si="17">IF(B212="","",IF(AND(P212="",N212&lt;&gt;"Lump Sum / Quote"),"RESOURCE CODE",IF(Y212=0,"RATE MISSING",IF(AND(O212="Plant",AD212="Yes",COUNTIFS($B$7:$B$306,B212,$O$7:$O$306,"Labour",$Q$7:$Q$306,"*Operator*")&gt;0),"OPERATOR DOUBLE-COUNT",IF(AND(O212="Plant",AE212="Yes",COUNTIFS($B$7:$B$306,B212,$Q$7:$Q$306,"*Fuel*")&gt;0),"FUEL DOUBLE-COUNT",IF(AH212&lt;&gt;"Yes","VERIFY","OK"))))))</x:f>
      </x:c>
      <x:c r="AJ212" s="54"/>
      <x:c r="AK212" s="473"/>
      <x:c r="AL212" s="473"/>
      <x:c r="AM212" s="473"/>
      <x:c r="AN212" s="500" t="n">
        <x:f>IF(AND(AK212="Yes",OR(O212="Labour",O212="Plant")),Z212,0)</x:f>
        <x:v>0</x:v>
      </x:c>
    </x:row>
    <x:row r="213">
      <x:c r="A213" s="80" t="str">
        <x:f>IF(B213="","",B213&amp;"-"&amp;TEXT(COUNTIF($B$7:B213,B213),"000"))</x:f>
      </x:c>
      <x:c r="B213" s="53"/>
      <x:c r="C213" s="81" t="str">
        <x:f>IFERROR(INDEX('QS Takeoff'!$A$3:$A$194,MATCH(B213,'QS Takeoff'!$B$3:$B$194,0)),"")</x:f>
      </x:c>
      <x:c r="D213" s="81" t="str">
        <x:f>IFERROR(INDEX('QS Takeoff'!$C$3:$C$194,MATCH(B213,'QS Takeoff'!$B$3:$B$194,0)),"")</x:f>
      </x:c>
      <x:c r="E213" s="81" t="str">
        <x:f>IFERROR(INDEX('QS Takeoff'!$E$3:$E$194,MATCH(B213,'QS Takeoff'!$B$3:$B$194,0)),"")</x:f>
      </x:c>
      <x:c r="F213" s="81" t="str">
        <x:f>IFERROR(INDEX('QS Takeoff'!$D$3:$D$194,MATCH(B213,'QS Takeoff'!$B$3:$B$194,0)),"")</x:f>
      </x:c>
      <x:c r="G213" s="81" t="str">
        <x:f>IFERROR(INDEX('QS Takeoff'!$J$3:$J$194,MATCH(B213,'QS Takeoff'!$B$3:$B$194,0)),"")</x:f>
      </x:c>
      <x:c r="H213" s="53"/>
      <x:c r="I213" s="60"/>
      <x:c r="J213" s="60"/>
      <x:c r="K213" s="82" t="str">
        <x:f t="shared" si="18">IF(OR(B213="",I213="",I213=0),"",E213/I213)</x:f>
      </x:c>
      <x:c r="L213" s="60"/>
      <x:c r="M213" s="82" t="str">
        <x:f t="shared" si="19">IF(L213&gt;0,L213,K213)</x:f>
      </x:c>
      <x:c r="N213" s="53"/>
      <x:c r="O213" s="53"/>
      <x:c r="P213" s="53"/>
      <x:c r="Q213" s="81" t="str">
        <x:f>IFERROR(INDEX('Resource Rate Library'!$C$5:$C$85,MATCH(P213,'Resource Rate Library'!$A$5:$A$85,0)),"")</x:f>
      </x:c>
      <x:c r="R213" s="53"/>
      <x:c r="S213" s="53"/>
      <x:c r="T213" s="81" t="str">
        <x:f>IFERROR(INDEX('Resource Rate Library'!$E$5:$E$85,MATCH(P213,'Resource Rate Library'!$A$5:$A$85,0)),"")</x:f>
      </x:c>
      <x:c r="U213" s="62"/>
      <x:c r="V213" s="62"/>
      <x:c r="W213" s="83" t="n">
        <x:f>IFERROR(INDEX('Resource Rate Library'!$I$5:$I$85,MATCH(P213,'Resource Rate Library'!$A$5:$A$85,0)),0)</x:f>
        <x:v>0</x:v>
      </x:c>
      <x:c r="X213" s="52"/>
      <x:c r="Y213" s="83" t="n">
        <x:f t="shared" si="20">IF(X213&gt;0,X213,W213)</x:f>
        <x:v>0</x:v>
      </x:c>
      <x:c r="Z213" s="83" t="str">
        <x:f t="shared" si="21">IF(B213="","",IF(N213="Time x Count",M213*R213*IF(U213="",1,U213)*Y213,IF(N213="QS Qty x Factor",E213*R213*(1+IF(V213="",0,V213))*Y213,IF(N213="Direct Qty",S213*(1+IF(V213="",0,V213))*Y213,IF(N213="Lump Sum / Quote",S213*Y213,0)))))</x:f>
      </x:c>
      <x:c r="AA213" s="81" t="str">
        <x:f>IFERROR(INDEX('Resource Rate Library'!$N$5:$N$85,MATCH(P213,'Resource Rate Library'!$A$5:$A$85,0)),"")</x:f>
      </x:c>
      <x:c r="AB213" s="53"/>
      <x:c r="AC213" s="59"/>
      <x:c r="AD213" s="81" t="str">
        <x:f>IFERROR(INDEX('Resource Rate Library'!$G$5:$G$85,MATCH(P213,'Resource Rate Library'!$A$5:$A$85,0)),"")</x:f>
      </x:c>
      <x:c r="AE213" s="81" t="str">
        <x:f>IFERROR(INDEX('Resource Rate Library'!$H$5:$H$85,MATCH(P213,'Resource Rate Library'!$A$5:$A$85,0)),"")</x:f>
      </x:c>
      <x:c r="AF213" s="53"/>
      <x:c r="AG213" s="53"/>
      <x:c r="AH213" s="53"/>
      <x:c r="AI213" s="81" t="str">
        <x:f t="shared" si="17">IF(B213="","",IF(AND(P213="",N213&lt;&gt;"Lump Sum / Quote"),"RESOURCE CODE",IF(Y213=0,"RATE MISSING",IF(AND(O213="Plant",AD213="Yes",COUNTIFS($B$7:$B$306,B213,$O$7:$O$306,"Labour",$Q$7:$Q$306,"*Operator*")&gt;0),"OPERATOR DOUBLE-COUNT",IF(AND(O213="Plant",AE213="Yes",COUNTIFS($B$7:$B$306,B213,$Q$7:$Q$306,"*Fuel*")&gt;0),"FUEL DOUBLE-COUNT",IF(AH213&lt;&gt;"Yes","VERIFY","OK"))))))</x:f>
      </x:c>
      <x:c r="AJ213" s="54"/>
      <x:c r="AK213" s="473"/>
      <x:c r="AL213" s="473"/>
      <x:c r="AM213" s="473"/>
      <x:c r="AN213" s="500" t="n">
        <x:f>IF(AND(AK213="Yes",OR(O213="Labour",O213="Plant")),Z213,0)</x:f>
        <x:v>0</x:v>
      </x:c>
    </x:row>
    <x:row r="214">
      <x:c r="A214" s="80" t="str">
        <x:f>IF(B214="","",B214&amp;"-"&amp;TEXT(COUNTIF($B$7:B214,B214),"000"))</x:f>
      </x:c>
      <x:c r="B214" s="53"/>
      <x:c r="C214" s="81" t="str">
        <x:f>IFERROR(INDEX('QS Takeoff'!$A$3:$A$194,MATCH(B214,'QS Takeoff'!$B$3:$B$194,0)),"")</x:f>
      </x:c>
      <x:c r="D214" s="81" t="str">
        <x:f>IFERROR(INDEX('QS Takeoff'!$C$3:$C$194,MATCH(B214,'QS Takeoff'!$B$3:$B$194,0)),"")</x:f>
      </x:c>
      <x:c r="E214" s="81" t="str">
        <x:f>IFERROR(INDEX('QS Takeoff'!$E$3:$E$194,MATCH(B214,'QS Takeoff'!$B$3:$B$194,0)),"")</x:f>
      </x:c>
      <x:c r="F214" s="81" t="str">
        <x:f>IFERROR(INDEX('QS Takeoff'!$D$3:$D$194,MATCH(B214,'QS Takeoff'!$B$3:$B$194,0)),"")</x:f>
      </x:c>
      <x:c r="G214" s="81" t="str">
        <x:f>IFERROR(INDEX('QS Takeoff'!$J$3:$J$194,MATCH(B214,'QS Takeoff'!$B$3:$B$194,0)),"")</x:f>
      </x:c>
      <x:c r="H214" s="53"/>
      <x:c r="I214" s="60"/>
      <x:c r="J214" s="60"/>
      <x:c r="K214" s="82" t="str">
        <x:f t="shared" si="18">IF(OR(B214="",I214="",I214=0),"",E214/I214)</x:f>
      </x:c>
      <x:c r="L214" s="60"/>
      <x:c r="M214" s="82" t="str">
        <x:f t="shared" si="19">IF(L214&gt;0,L214,K214)</x:f>
      </x:c>
      <x:c r="N214" s="53"/>
      <x:c r="O214" s="53"/>
      <x:c r="P214" s="53"/>
      <x:c r="Q214" s="81" t="str">
        <x:f>IFERROR(INDEX('Resource Rate Library'!$C$5:$C$85,MATCH(P214,'Resource Rate Library'!$A$5:$A$85,0)),"")</x:f>
      </x:c>
      <x:c r="R214" s="53"/>
      <x:c r="S214" s="53"/>
      <x:c r="T214" s="81" t="str">
        <x:f>IFERROR(INDEX('Resource Rate Library'!$E$5:$E$85,MATCH(P214,'Resource Rate Library'!$A$5:$A$85,0)),"")</x:f>
      </x:c>
      <x:c r="U214" s="62"/>
      <x:c r="V214" s="62"/>
      <x:c r="W214" s="83" t="n">
        <x:f>IFERROR(INDEX('Resource Rate Library'!$I$5:$I$85,MATCH(P214,'Resource Rate Library'!$A$5:$A$85,0)),0)</x:f>
        <x:v>0</x:v>
      </x:c>
      <x:c r="X214" s="52"/>
      <x:c r="Y214" s="83" t="n">
        <x:f t="shared" si="20">IF(X214&gt;0,X214,W214)</x:f>
        <x:v>0</x:v>
      </x:c>
      <x:c r="Z214" s="83" t="str">
        <x:f t="shared" si="21">IF(B214="","",IF(N214="Time x Count",M214*R214*IF(U214="",1,U214)*Y214,IF(N214="QS Qty x Factor",E214*R214*(1+IF(V214="",0,V214))*Y214,IF(N214="Direct Qty",S214*(1+IF(V214="",0,V214))*Y214,IF(N214="Lump Sum / Quote",S214*Y214,0)))))</x:f>
      </x:c>
      <x:c r="AA214" s="81" t="str">
        <x:f>IFERROR(INDEX('Resource Rate Library'!$N$5:$N$85,MATCH(P214,'Resource Rate Library'!$A$5:$A$85,0)),"")</x:f>
      </x:c>
      <x:c r="AB214" s="53"/>
      <x:c r="AC214" s="59"/>
      <x:c r="AD214" s="81" t="str">
        <x:f>IFERROR(INDEX('Resource Rate Library'!$G$5:$G$85,MATCH(P214,'Resource Rate Library'!$A$5:$A$85,0)),"")</x:f>
      </x:c>
      <x:c r="AE214" s="81" t="str">
        <x:f>IFERROR(INDEX('Resource Rate Library'!$H$5:$H$85,MATCH(P214,'Resource Rate Library'!$A$5:$A$85,0)),"")</x:f>
      </x:c>
      <x:c r="AF214" s="53"/>
      <x:c r="AG214" s="53"/>
      <x:c r="AH214" s="53"/>
      <x:c r="AI214" s="81" t="str">
        <x:f t="shared" si="17">IF(B214="","",IF(AND(P214="",N214&lt;&gt;"Lump Sum / Quote"),"RESOURCE CODE",IF(Y214=0,"RATE MISSING",IF(AND(O214="Plant",AD214="Yes",COUNTIFS($B$7:$B$306,B214,$O$7:$O$306,"Labour",$Q$7:$Q$306,"*Operator*")&gt;0),"OPERATOR DOUBLE-COUNT",IF(AND(O214="Plant",AE214="Yes",COUNTIFS($B$7:$B$306,B214,$Q$7:$Q$306,"*Fuel*")&gt;0),"FUEL DOUBLE-COUNT",IF(AH214&lt;&gt;"Yes","VERIFY","OK"))))))</x:f>
      </x:c>
      <x:c r="AJ214" s="54"/>
      <x:c r="AK214" s="473"/>
      <x:c r="AL214" s="473"/>
      <x:c r="AM214" s="473"/>
      <x:c r="AN214" s="500" t="n">
        <x:f>IF(AND(AK214="Yes",OR(O214="Labour",O214="Plant")),Z214,0)</x:f>
        <x:v>0</x:v>
      </x:c>
    </x:row>
    <x:row r="215">
      <x:c r="A215" s="80" t="str">
        <x:f>IF(B215="","",B215&amp;"-"&amp;TEXT(COUNTIF($B$7:B215,B215),"000"))</x:f>
      </x:c>
      <x:c r="B215" s="53"/>
      <x:c r="C215" s="81" t="str">
        <x:f>IFERROR(INDEX('QS Takeoff'!$A$3:$A$194,MATCH(B215,'QS Takeoff'!$B$3:$B$194,0)),"")</x:f>
      </x:c>
      <x:c r="D215" s="81" t="str">
        <x:f>IFERROR(INDEX('QS Takeoff'!$C$3:$C$194,MATCH(B215,'QS Takeoff'!$B$3:$B$194,0)),"")</x:f>
      </x:c>
      <x:c r="E215" s="81" t="str">
        <x:f>IFERROR(INDEX('QS Takeoff'!$E$3:$E$194,MATCH(B215,'QS Takeoff'!$B$3:$B$194,0)),"")</x:f>
      </x:c>
      <x:c r="F215" s="81" t="str">
        <x:f>IFERROR(INDEX('QS Takeoff'!$D$3:$D$194,MATCH(B215,'QS Takeoff'!$B$3:$B$194,0)),"")</x:f>
      </x:c>
      <x:c r="G215" s="81" t="str">
        <x:f>IFERROR(INDEX('QS Takeoff'!$J$3:$J$194,MATCH(B215,'QS Takeoff'!$B$3:$B$194,0)),"")</x:f>
      </x:c>
      <x:c r="H215" s="53"/>
      <x:c r="I215" s="60"/>
      <x:c r="J215" s="60"/>
      <x:c r="K215" s="82" t="str">
        <x:f t="shared" si="18">IF(OR(B215="",I215="",I215=0),"",E215/I215)</x:f>
      </x:c>
      <x:c r="L215" s="60"/>
      <x:c r="M215" s="82" t="str">
        <x:f t="shared" si="19">IF(L215&gt;0,L215,K215)</x:f>
      </x:c>
      <x:c r="N215" s="53"/>
      <x:c r="O215" s="53"/>
      <x:c r="P215" s="53"/>
      <x:c r="Q215" s="81" t="str">
        <x:f>IFERROR(INDEX('Resource Rate Library'!$C$5:$C$85,MATCH(P215,'Resource Rate Library'!$A$5:$A$85,0)),"")</x:f>
      </x:c>
      <x:c r="R215" s="53"/>
      <x:c r="S215" s="53"/>
      <x:c r="T215" s="81" t="str">
        <x:f>IFERROR(INDEX('Resource Rate Library'!$E$5:$E$85,MATCH(P215,'Resource Rate Library'!$A$5:$A$85,0)),"")</x:f>
      </x:c>
      <x:c r="U215" s="62"/>
      <x:c r="V215" s="62"/>
      <x:c r="W215" s="83" t="n">
        <x:f>IFERROR(INDEX('Resource Rate Library'!$I$5:$I$85,MATCH(P215,'Resource Rate Library'!$A$5:$A$85,0)),0)</x:f>
        <x:v>0</x:v>
      </x:c>
      <x:c r="X215" s="52"/>
      <x:c r="Y215" s="83" t="n">
        <x:f t="shared" si="20">IF(X215&gt;0,X215,W215)</x:f>
        <x:v>0</x:v>
      </x:c>
      <x:c r="Z215" s="83" t="str">
        <x:f t="shared" si="21">IF(B215="","",IF(N215="Time x Count",M215*R215*IF(U215="",1,U215)*Y215,IF(N215="QS Qty x Factor",E215*R215*(1+IF(V215="",0,V215))*Y215,IF(N215="Direct Qty",S215*(1+IF(V215="",0,V215))*Y215,IF(N215="Lump Sum / Quote",S215*Y215,0)))))</x:f>
      </x:c>
      <x:c r="AA215" s="81" t="str">
        <x:f>IFERROR(INDEX('Resource Rate Library'!$N$5:$N$85,MATCH(P215,'Resource Rate Library'!$A$5:$A$85,0)),"")</x:f>
      </x:c>
      <x:c r="AB215" s="53"/>
      <x:c r="AC215" s="59"/>
      <x:c r="AD215" s="81" t="str">
        <x:f>IFERROR(INDEX('Resource Rate Library'!$G$5:$G$85,MATCH(P215,'Resource Rate Library'!$A$5:$A$85,0)),"")</x:f>
      </x:c>
      <x:c r="AE215" s="81" t="str">
        <x:f>IFERROR(INDEX('Resource Rate Library'!$H$5:$H$85,MATCH(P215,'Resource Rate Library'!$A$5:$A$85,0)),"")</x:f>
      </x:c>
      <x:c r="AF215" s="53"/>
      <x:c r="AG215" s="53"/>
      <x:c r="AH215" s="53"/>
      <x:c r="AI215" s="81" t="str">
        <x:f t="shared" si="17">IF(B215="","",IF(AND(P215="",N215&lt;&gt;"Lump Sum / Quote"),"RESOURCE CODE",IF(Y215=0,"RATE MISSING",IF(AND(O215="Plant",AD215="Yes",COUNTIFS($B$7:$B$306,B215,$O$7:$O$306,"Labour",$Q$7:$Q$306,"*Operator*")&gt;0),"OPERATOR DOUBLE-COUNT",IF(AND(O215="Plant",AE215="Yes",COUNTIFS($B$7:$B$306,B215,$Q$7:$Q$306,"*Fuel*")&gt;0),"FUEL DOUBLE-COUNT",IF(AH215&lt;&gt;"Yes","VERIFY","OK"))))))</x:f>
      </x:c>
      <x:c r="AJ215" s="54"/>
      <x:c r="AK215" s="473"/>
      <x:c r="AL215" s="473"/>
      <x:c r="AM215" s="473"/>
      <x:c r="AN215" s="500" t="n">
        <x:f>IF(AND(AK215="Yes",OR(O215="Labour",O215="Plant")),Z215,0)</x:f>
        <x:v>0</x:v>
      </x:c>
    </x:row>
    <x:row r="216">
      <x:c r="A216" s="80" t="str">
        <x:f>IF(B216="","",B216&amp;"-"&amp;TEXT(COUNTIF($B$7:B216,B216),"000"))</x:f>
      </x:c>
      <x:c r="B216" s="53"/>
      <x:c r="C216" s="81" t="str">
        <x:f>IFERROR(INDEX('QS Takeoff'!$A$3:$A$194,MATCH(B216,'QS Takeoff'!$B$3:$B$194,0)),"")</x:f>
      </x:c>
      <x:c r="D216" s="81" t="str">
        <x:f>IFERROR(INDEX('QS Takeoff'!$C$3:$C$194,MATCH(B216,'QS Takeoff'!$B$3:$B$194,0)),"")</x:f>
      </x:c>
      <x:c r="E216" s="81" t="str">
        <x:f>IFERROR(INDEX('QS Takeoff'!$E$3:$E$194,MATCH(B216,'QS Takeoff'!$B$3:$B$194,0)),"")</x:f>
      </x:c>
      <x:c r="F216" s="81" t="str">
        <x:f>IFERROR(INDEX('QS Takeoff'!$D$3:$D$194,MATCH(B216,'QS Takeoff'!$B$3:$B$194,0)),"")</x:f>
      </x:c>
      <x:c r="G216" s="81" t="str">
        <x:f>IFERROR(INDEX('QS Takeoff'!$J$3:$J$194,MATCH(B216,'QS Takeoff'!$B$3:$B$194,0)),"")</x:f>
      </x:c>
      <x:c r="H216" s="53"/>
      <x:c r="I216" s="60"/>
      <x:c r="J216" s="60"/>
      <x:c r="K216" s="82" t="str">
        <x:f t="shared" si="18">IF(OR(B216="",I216="",I216=0),"",E216/I216)</x:f>
      </x:c>
      <x:c r="L216" s="60"/>
      <x:c r="M216" s="82" t="str">
        <x:f t="shared" si="19">IF(L216&gt;0,L216,K216)</x:f>
      </x:c>
      <x:c r="N216" s="53"/>
      <x:c r="O216" s="53"/>
      <x:c r="P216" s="53"/>
      <x:c r="Q216" s="81" t="str">
        <x:f>IFERROR(INDEX('Resource Rate Library'!$C$5:$C$85,MATCH(P216,'Resource Rate Library'!$A$5:$A$85,0)),"")</x:f>
      </x:c>
      <x:c r="R216" s="53"/>
      <x:c r="S216" s="53"/>
      <x:c r="T216" s="81" t="str">
        <x:f>IFERROR(INDEX('Resource Rate Library'!$E$5:$E$85,MATCH(P216,'Resource Rate Library'!$A$5:$A$85,0)),"")</x:f>
      </x:c>
      <x:c r="U216" s="62"/>
      <x:c r="V216" s="62"/>
      <x:c r="W216" s="83" t="n">
        <x:f>IFERROR(INDEX('Resource Rate Library'!$I$5:$I$85,MATCH(P216,'Resource Rate Library'!$A$5:$A$85,0)),0)</x:f>
        <x:v>0</x:v>
      </x:c>
      <x:c r="X216" s="52"/>
      <x:c r="Y216" s="83" t="n">
        <x:f t="shared" si="20">IF(X216&gt;0,X216,W216)</x:f>
        <x:v>0</x:v>
      </x:c>
      <x:c r="Z216" s="83" t="str">
        <x:f t="shared" si="21">IF(B216="","",IF(N216="Time x Count",M216*R216*IF(U216="",1,U216)*Y216,IF(N216="QS Qty x Factor",E216*R216*(1+IF(V216="",0,V216))*Y216,IF(N216="Direct Qty",S216*(1+IF(V216="",0,V216))*Y216,IF(N216="Lump Sum / Quote",S216*Y216,0)))))</x:f>
      </x:c>
      <x:c r="AA216" s="81" t="str">
        <x:f>IFERROR(INDEX('Resource Rate Library'!$N$5:$N$85,MATCH(P216,'Resource Rate Library'!$A$5:$A$85,0)),"")</x:f>
      </x:c>
      <x:c r="AB216" s="53"/>
      <x:c r="AC216" s="59"/>
      <x:c r="AD216" s="81" t="str">
        <x:f>IFERROR(INDEX('Resource Rate Library'!$G$5:$G$85,MATCH(P216,'Resource Rate Library'!$A$5:$A$85,0)),"")</x:f>
      </x:c>
      <x:c r="AE216" s="81" t="str">
        <x:f>IFERROR(INDEX('Resource Rate Library'!$H$5:$H$85,MATCH(P216,'Resource Rate Library'!$A$5:$A$85,0)),"")</x:f>
      </x:c>
      <x:c r="AF216" s="53"/>
      <x:c r="AG216" s="53"/>
      <x:c r="AH216" s="53"/>
      <x:c r="AI216" s="81" t="str">
        <x:f t="shared" si="17">IF(B216="","",IF(AND(P216="",N216&lt;&gt;"Lump Sum / Quote"),"RESOURCE CODE",IF(Y216=0,"RATE MISSING",IF(AND(O216="Plant",AD216="Yes",COUNTIFS($B$7:$B$306,B216,$O$7:$O$306,"Labour",$Q$7:$Q$306,"*Operator*")&gt;0),"OPERATOR DOUBLE-COUNT",IF(AND(O216="Plant",AE216="Yes",COUNTIFS($B$7:$B$306,B216,$Q$7:$Q$306,"*Fuel*")&gt;0),"FUEL DOUBLE-COUNT",IF(AH216&lt;&gt;"Yes","VERIFY","OK"))))))</x:f>
      </x:c>
      <x:c r="AJ216" s="54"/>
      <x:c r="AK216" s="473"/>
      <x:c r="AL216" s="473"/>
      <x:c r="AM216" s="473"/>
      <x:c r="AN216" s="500" t="n">
        <x:f>IF(AND(AK216="Yes",OR(O216="Labour",O216="Plant")),Z216,0)</x:f>
        <x:v>0</x:v>
      </x:c>
    </x:row>
    <x:row r="217">
      <x:c r="A217" s="80" t="str">
        <x:f>IF(B217="","",B217&amp;"-"&amp;TEXT(COUNTIF($B$7:B217,B217),"000"))</x:f>
      </x:c>
      <x:c r="B217" s="53"/>
      <x:c r="C217" s="81" t="str">
        <x:f>IFERROR(INDEX('QS Takeoff'!$A$3:$A$194,MATCH(B217,'QS Takeoff'!$B$3:$B$194,0)),"")</x:f>
      </x:c>
      <x:c r="D217" s="81" t="str">
        <x:f>IFERROR(INDEX('QS Takeoff'!$C$3:$C$194,MATCH(B217,'QS Takeoff'!$B$3:$B$194,0)),"")</x:f>
      </x:c>
      <x:c r="E217" s="81" t="str">
        <x:f>IFERROR(INDEX('QS Takeoff'!$E$3:$E$194,MATCH(B217,'QS Takeoff'!$B$3:$B$194,0)),"")</x:f>
      </x:c>
      <x:c r="F217" s="81" t="str">
        <x:f>IFERROR(INDEX('QS Takeoff'!$D$3:$D$194,MATCH(B217,'QS Takeoff'!$B$3:$B$194,0)),"")</x:f>
      </x:c>
      <x:c r="G217" s="81" t="str">
        <x:f>IFERROR(INDEX('QS Takeoff'!$J$3:$J$194,MATCH(B217,'QS Takeoff'!$B$3:$B$194,0)),"")</x:f>
      </x:c>
      <x:c r="H217" s="53"/>
      <x:c r="I217" s="60"/>
      <x:c r="J217" s="60"/>
      <x:c r="K217" s="82" t="str">
        <x:f t="shared" si="18">IF(OR(B217="",I217="",I217=0),"",E217/I217)</x:f>
      </x:c>
      <x:c r="L217" s="60"/>
      <x:c r="M217" s="82" t="str">
        <x:f t="shared" si="19">IF(L217&gt;0,L217,K217)</x:f>
      </x:c>
      <x:c r="N217" s="53"/>
      <x:c r="O217" s="53"/>
      <x:c r="P217" s="53"/>
      <x:c r="Q217" s="81" t="str">
        <x:f>IFERROR(INDEX('Resource Rate Library'!$C$5:$C$85,MATCH(P217,'Resource Rate Library'!$A$5:$A$85,0)),"")</x:f>
      </x:c>
      <x:c r="R217" s="53"/>
      <x:c r="S217" s="53"/>
      <x:c r="T217" s="81" t="str">
        <x:f>IFERROR(INDEX('Resource Rate Library'!$E$5:$E$85,MATCH(P217,'Resource Rate Library'!$A$5:$A$85,0)),"")</x:f>
      </x:c>
      <x:c r="U217" s="62"/>
      <x:c r="V217" s="62"/>
      <x:c r="W217" s="83" t="n">
        <x:f>IFERROR(INDEX('Resource Rate Library'!$I$5:$I$85,MATCH(P217,'Resource Rate Library'!$A$5:$A$85,0)),0)</x:f>
        <x:v>0</x:v>
      </x:c>
      <x:c r="X217" s="52"/>
      <x:c r="Y217" s="83" t="n">
        <x:f t="shared" si="20">IF(X217&gt;0,X217,W217)</x:f>
        <x:v>0</x:v>
      </x:c>
      <x:c r="Z217" s="83" t="str">
        <x:f t="shared" si="21">IF(B217="","",IF(N217="Time x Count",M217*R217*IF(U217="",1,U217)*Y217,IF(N217="QS Qty x Factor",E217*R217*(1+IF(V217="",0,V217))*Y217,IF(N217="Direct Qty",S217*(1+IF(V217="",0,V217))*Y217,IF(N217="Lump Sum / Quote",S217*Y217,0)))))</x:f>
      </x:c>
      <x:c r="AA217" s="81" t="str">
        <x:f>IFERROR(INDEX('Resource Rate Library'!$N$5:$N$85,MATCH(P217,'Resource Rate Library'!$A$5:$A$85,0)),"")</x:f>
      </x:c>
      <x:c r="AB217" s="53"/>
      <x:c r="AC217" s="59"/>
      <x:c r="AD217" s="81" t="str">
        <x:f>IFERROR(INDEX('Resource Rate Library'!$G$5:$G$85,MATCH(P217,'Resource Rate Library'!$A$5:$A$85,0)),"")</x:f>
      </x:c>
      <x:c r="AE217" s="81" t="str">
        <x:f>IFERROR(INDEX('Resource Rate Library'!$H$5:$H$85,MATCH(P217,'Resource Rate Library'!$A$5:$A$85,0)),"")</x:f>
      </x:c>
      <x:c r="AF217" s="53"/>
      <x:c r="AG217" s="53"/>
      <x:c r="AH217" s="53"/>
      <x:c r="AI217" s="81" t="str">
        <x:f t="shared" ref="AI217:AI248" si="22">IF(B217="","",IF(AND(P217="",N217&lt;&gt;"Lump Sum / Quote"),"RESOURCE CODE",IF(Y217=0,"RATE MISSING",IF(AND(O217="Plant",AD217="Yes",COUNTIFS($B$7:$B$306,B217,$O$7:$O$306,"Labour",$Q$7:$Q$306,"*Operator*")&gt;0),"OPERATOR DOUBLE-COUNT",IF(AND(O217="Plant",AE217="Yes",COUNTIFS($B$7:$B$306,B217,$Q$7:$Q$306,"*Fuel*")&gt;0),"FUEL DOUBLE-COUNT",IF(AH217&lt;&gt;"Yes","VERIFY","OK"))))))</x:f>
      </x:c>
      <x:c r="AJ217" s="54"/>
      <x:c r="AK217" s="473"/>
      <x:c r="AL217" s="473"/>
      <x:c r="AM217" s="473"/>
      <x:c r="AN217" s="500" t="n">
        <x:f>IF(AND(AK217="Yes",OR(O217="Labour",O217="Plant")),Z217,0)</x:f>
        <x:v>0</x:v>
      </x:c>
    </x:row>
    <x:row r="218">
      <x:c r="A218" s="80" t="str">
        <x:f>IF(B218="","",B218&amp;"-"&amp;TEXT(COUNTIF($B$7:B218,B218),"000"))</x:f>
      </x:c>
      <x:c r="B218" s="53"/>
      <x:c r="C218" s="81" t="str">
        <x:f>IFERROR(INDEX('QS Takeoff'!$A$3:$A$194,MATCH(B218,'QS Takeoff'!$B$3:$B$194,0)),"")</x:f>
      </x:c>
      <x:c r="D218" s="81" t="str">
        <x:f>IFERROR(INDEX('QS Takeoff'!$C$3:$C$194,MATCH(B218,'QS Takeoff'!$B$3:$B$194,0)),"")</x:f>
      </x:c>
      <x:c r="E218" s="81" t="str">
        <x:f>IFERROR(INDEX('QS Takeoff'!$E$3:$E$194,MATCH(B218,'QS Takeoff'!$B$3:$B$194,0)),"")</x:f>
      </x:c>
      <x:c r="F218" s="81" t="str">
        <x:f>IFERROR(INDEX('QS Takeoff'!$D$3:$D$194,MATCH(B218,'QS Takeoff'!$B$3:$B$194,0)),"")</x:f>
      </x:c>
      <x:c r="G218" s="81" t="str">
        <x:f>IFERROR(INDEX('QS Takeoff'!$J$3:$J$194,MATCH(B218,'QS Takeoff'!$B$3:$B$194,0)),"")</x:f>
      </x:c>
      <x:c r="H218" s="53"/>
      <x:c r="I218" s="60"/>
      <x:c r="J218" s="60"/>
      <x:c r="K218" s="82" t="str">
        <x:f t="shared" si="18">IF(OR(B218="",I218="",I218=0),"",E218/I218)</x:f>
      </x:c>
      <x:c r="L218" s="60"/>
      <x:c r="M218" s="82" t="str">
        <x:f t="shared" si="19">IF(L218&gt;0,L218,K218)</x:f>
      </x:c>
      <x:c r="N218" s="53"/>
      <x:c r="O218" s="53"/>
      <x:c r="P218" s="53"/>
      <x:c r="Q218" s="81" t="str">
        <x:f>IFERROR(INDEX('Resource Rate Library'!$C$5:$C$85,MATCH(P218,'Resource Rate Library'!$A$5:$A$85,0)),"")</x:f>
      </x:c>
      <x:c r="R218" s="53"/>
      <x:c r="S218" s="53"/>
      <x:c r="T218" s="81" t="str">
        <x:f>IFERROR(INDEX('Resource Rate Library'!$E$5:$E$85,MATCH(P218,'Resource Rate Library'!$A$5:$A$85,0)),"")</x:f>
      </x:c>
      <x:c r="U218" s="62"/>
      <x:c r="V218" s="62"/>
      <x:c r="W218" s="83" t="n">
        <x:f>IFERROR(INDEX('Resource Rate Library'!$I$5:$I$85,MATCH(P218,'Resource Rate Library'!$A$5:$A$85,0)),0)</x:f>
        <x:v>0</x:v>
      </x:c>
      <x:c r="X218" s="52"/>
      <x:c r="Y218" s="83" t="n">
        <x:f t="shared" si="20">IF(X218&gt;0,X218,W218)</x:f>
        <x:v>0</x:v>
      </x:c>
      <x:c r="Z218" s="83" t="str">
        <x:f t="shared" si="21">IF(B218="","",IF(N218="Time x Count",M218*R218*IF(U218="",1,U218)*Y218,IF(N218="QS Qty x Factor",E218*R218*(1+IF(V218="",0,V218))*Y218,IF(N218="Direct Qty",S218*(1+IF(V218="",0,V218))*Y218,IF(N218="Lump Sum / Quote",S218*Y218,0)))))</x:f>
      </x:c>
      <x:c r="AA218" s="81" t="str">
        <x:f>IFERROR(INDEX('Resource Rate Library'!$N$5:$N$85,MATCH(P218,'Resource Rate Library'!$A$5:$A$85,0)),"")</x:f>
      </x:c>
      <x:c r="AB218" s="53"/>
      <x:c r="AC218" s="59"/>
      <x:c r="AD218" s="81" t="str">
        <x:f>IFERROR(INDEX('Resource Rate Library'!$G$5:$G$85,MATCH(P218,'Resource Rate Library'!$A$5:$A$85,0)),"")</x:f>
      </x:c>
      <x:c r="AE218" s="81" t="str">
        <x:f>IFERROR(INDEX('Resource Rate Library'!$H$5:$H$85,MATCH(P218,'Resource Rate Library'!$A$5:$A$85,0)),"")</x:f>
      </x:c>
      <x:c r="AF218" s="53"/>
      <x:c r="AG218" s="53"/>
      <x:c r="AH218" s="53"/>
      <x:c r="AI218" s="81" t="str">
        <x:f t="shared" si="22">IF(B218="","",IF(AND(P218="",N218&lt;&gt;"Lump Sum / Quote"),"RESOURCE CODE",IF(Y218=0,"RATE MISSING",IF(AND(O218="Plant",AD218="Yes",COUNTIFS($B$7:$B$306,B218,$O$7:$O$306,"Labour",$Q$7:$Q$306,"*Operator*")&gt;0),"OPERATOR DOUBLE-COUNT",IF(AND(O218="Plant",AE218="Yes",COUNTIFS($B$7:$B$306,B218,$Q$7:$Q$306,"*Fuel*")&gt;0),"FUEL DOUBLE-COUNT",IF(AH218&lt;&gt;"Yes","VERIFY","OK"))))))</x:f>
      </x:c>
      <x:c r="AJ218" s="54"/>
      <x:c r="AK218" s="473"/>
      <x:c r="AL218" s="473"/>
      <x:c r="AM218" s="473"/>
      <x:c r="AN218" s="500" t="n">
        <x:f>IF(AND(AK218="Yes",OR(O218="Labour",O218="Plant")),Z218,0)</x:f>
        <x:v>0</x:v>
      </x:c>
    </x:row>
    <x:row r="219">
      <x:c r="A219" s="80" t="str">
        <x:f>IF(B219="","",B219&amp;"-"&amp;TEXT(COUNTIF($B$7:B219,B219),"000"))</x:f>
      </x:c>
      <x:c r="B219" s="53"/>
      <x:c r="C219" s="81" t="str">
        <x:f>IFERROR(INDEX('QS Takeoff'!$A$3:$A$194,MATCH(B219,'QS Takeoff'!$B$3:$B$194,0)),"")</x:f>
      </x:c>
      <x:c r="D219" s="81" t="str">
        <x:f>IFERROR(INDEX('QS Takeoff'!$C$3:$C$194,MATCH(B219,'QS Takeoff'!$B$3:$B$194,0)),"")</x:f>
      </x:c>
      <x:c r="E219" s="81" t="str">
        <x:f>IFERROR(INDEX('QS Takeoff'!$E$3:$E$194,MATCH(B219,'QS Takeoff'!$B$3:$B$194,0)),"")</x:f>
      </x:c>
      <x:c r="F219" s="81" t="str">
        <x:f>IFERROR(INDEX('QS Takeoff'!$D$3:$D$194,MATCH(B219,'QS Takeoff'!$B$3:$B$194,0)),"")</x:f>
      </x:c>
      <x:c r="G219" s="81" t="str">
        <x:f>IFERROR(INDEX('QS Takeoff'!$J$3:$J$194,MATCH(B219,'QS Takeoff'!$B$3:$B$194,0)),"")</x:f>
      </x:c>
      <x:c r="H219" s="53"/>
      <x:c r="I219" s="60"/>
      <x:c r="J219" s="60"/>
      <x:c r="K219" s="82" t="str">
        <x:f t="shared" si="18">IF(OR(B219="",I219="",I219=0),"",E219/I219)</x:f>
      </x:c>
      <x:c r="L219" s="60"/>
      <x:c r="M219" s="82" t="str">
        <x:f t="shared" si="19">IF(L219&gt;0,L219,K219)</x:f>
      </x:c>
      <x:c r="N219" s="53"/>
      <x:c r="O219" s="53"/>
      <x:c r="P219" s="53"/>
      <x:c r="Q219" s="81" t="str">
        <x:f>IFERROR(INDEX('Resource Rate Library'!$C$5:$C$85,MATCH(P219,'Resource Rate Library'!$A$5:$A$85,0)),"")</x:f>
      </x:c>
      <x:c r="R219" s="53"/>
      <x:c r="S219" s="53"/>
      <x:c r="T219" s="81" t="str">
        <x:f>IFERROR(INDEX('Resource Rate Library'!$E$5:$E$85,MATCH(P219,'Resource Rate Library'!$A$5:$A$85,0)),"")</x:f>
      </x:c>
      <x:c r="U219" s="62"/>
      <x:c r="V219" s="62"/>
      <x:c r="W219" s="83" t="n">
        <x:f>IFERROR(INDEX('Resource Rate Library'!$I$5:$I$85,MATCH(P219,'Resource Rate Library'!$A$5:$A$85,0)),0)</x:f>
        <x:v>0</x:v>
      </x:c>
      <x:c r="X219" s="52"/>
      <x:c r="Y219" s="83" t="n">
        <x:f t="shared" si="20">IF(X219&gt;0,X219,W219)</x:f>
        <x:v>0</x:v>
      </x:c>
      <x:c r="Z219" s="83" t="str">
        <x:f t="shared" si="21">IF(B219="","",IF(N219="Time x Count",M219*R219*IF(U219="",1,U219)*Y219,IF(N219="QS Qty x Factor",E219*R219*(1+IF(V219="",0,V219))*Y219,IF(N219="Direct Qty",S219*(1+IF(V219="",0,V219))*Y219,IF(N219="Lump Sum / Quote",S219*Y219,0)))))</x:f>
      </x:c>
      <x:c r="AA219" s="81" t="str">
        <x:f>IFERROR(INDEX('Resource Rate Library'!$N$5:$N$85,MATCH(P219,'Resource Rate Library'!$A$5:$A$85,0)),"")</x:f>
      </x:c>
      <x:c r="AB219" s="53"/>
      <x:c r="AC219" s="59"/>
      <x:c r="AD219" s="81" t="str">
        <x:f>IFERROR(INDEX('Resource Rate Library'!$G$5:$G$85,MATCH(P219,'Resource Rate Library'!$A$5:$A$85,0)),"")</x:f>
      </x:c>
      <x:c r="AE219" s="81" t="str">
        <x:f>IFERROR(INDEX('Resource Rate Library'!$H$5:$H$85,MATCH(P219,'Resource Rate Library'!$A$5:$A$85,0)),"")</x:f>
      </x:c>
      <x:c r="AF219" s="53"/>
      <x:c r="AG219" s="53"/>
      <x:c r="AH219" s="53"/>
      <x:c r="AI219" s="81" t="str">
        <x:f t="shared" si="22">IF(B219="","",IF(AND(P219="",N219&lt;&gt;"Lump Sum / Quote"),"RESOURCE CODE",IF(Y219=0,"RATE MISSING",IF(AND(O219="Plant",AD219="Yes",COUNTIFS($B$7:$B$306,B219,$O$7:$O$306,"Labour",$Q$7:$Q$306,"*Operator*")&gt;0),"OPERATOR DOUBLE-COUNT",IF(AND(O219="Plant",AE219="Yes",COUNTIFS($B$7:$B$306,B219,$Q$7:$Q$306,"*Fuel*")&gt;0),"FUEL DOUBLE-COUNT",IF(AH219&lt;&gt;"Yes","VERIFY","OK"))))))</x:f>
      </x:c>
      <x:c r="AJ219" s="54"/>
      <x:c r="AK219" s="473"/>
      <x:c r="AL219" s="473"/>
      <x:c r="AM219" s="473"/>
      <x:c r="AN219" s="500" t="n">
        <x:f>IF(AND(AK219="Yes",OR(O219="Labour",O219="Plant")),Z219,0)</x:f>
        <x:v>0</x:v>
      </x:c>
    </x:row>
    <x:row r="220">
      <x:c r="A220" s="80" t="str">
        <x:f>IF(B220="","",B220&amp;"-"&amp;TEXT(COUNTIF($B$7:B220,B220),"000"))</x:f>
      </x:c>
      <x:c r="B220" s="53"/>
      <x:c r="C220" s="81" t="str">
        <x:f>IFERROR(INDEX('QS Takeoff'!$A$3:$A$194,MATCH(B220,'QS Takeoff'!$B$3:$B$194,0)),"")</x:f>
      </x:c>
      <x:c r="D220" s="81" t="str">
        <x:f>IFERROR(INDEX('QS Takeoff'!$C$3:$C$194,MATCH(B220,'QS Takeoff'!$B$3:$B$194,0)),"")</x:f>
      </x:c>
      <x:c r="E220" s="81" t="str">
        <x:f>IFERROR(INDEX('QS Takeoff'!$E$3:$E$194,MATCH(B220,'QS Takeoff'!$B$3:$B$194,0)),"")</x:f>
      </x:c>
      <x:c r="F220" s="81" t="str">
        <x:f>IFERROR(INDEX('QS Takeoff'!$D$3:$D$194,MATCH(B220,'QS Takeoff'!$B$3:$B$194,0)),"")</x:f>
      </x:c>
      <x:c r="G220" s="81" t="str">
        <x:f>IFERROR(INDEX('QS Takeoff'!$J$3:$J$194,MATCH(B220,'QS Takeoff'!$B$3:$B$194,0)),"")</x:f>
      </x:c>
      <x:c r="H220" s="53"/>
      <x:c r="I220" s="60"/>
      <x:c r="J220" s="60"/>
      <x:c r="K220" s="82" t="str">
        <x:f t="shared" si="18">IF(OR(B220="",I220="",I220=0),"",E220/I220)</x:f>
      </x:c>
      <x:c r="L220" s="60"/>
      <x:c r="M220" s="82" t="str">
        <x:f t="shared" si="19">IF(L220&gt;0,L220,K220)</x:f>
      </x:c>
      <x:c r="N220" s="53"/>
      <x:c r="O220" s="53"/>
      <x:c r="P220" s="53"/>
      <x:c r="Q220" s="81" t="str">
        <x:f>IFERROR(INDEX('Resource Rate Library'!$C$5:$C$85,MATCH(P220,'Resource Rate Library'!$A$5:$A$85,0)),"")</x:f>
      </x:c>
      <x:c r="R220" s="53"/>
      <x:c r="S220" s="53"/>
      <x:c r="T220" s="81" t="str">
        <x:f>IFERROR(INDEX('Resource Rate Library'!$E$5:$E$85,MATCH(P220,'Resource Rate Library'!$A$5:$A$85,0)),"")</x:f>
      </x:c>
      <x:c r="U220" s="62"/>
      <x:c r="V220" s="62"/>
      <x:c r="W220" s="83" t="n">
        <x:f>IFERROR(INDEX('Resource Rate Library'!$I$5:$I$85,MATCH(P220,'Resource Rate Library'!$A$5:$A$85,0)),0)</x:f>
        <x:v>0</x:v>
      </x:c>
      <x:c r="X220" s="52"/>
      <x:c r="Y220" s="83" t="n">
        <x:f t="shared" si="20">IF(X220&gt;0,X220,W220)</x:f>
        <x:v>0</x:v>
      </x:c>
      <x:c r="Z220" s="83" t="str">
        <x:f t="shared" si="21">IF(B220="","",IF(N220="Time x Count",M220*R220*IF(U220="",1,U220)*Y220,IF(N220="QS Qty x Factor",E220*R220*(1+IF(V220="",0,V220))*Y220,IF(N220="Direct Qty",S220*(1+IF(V220="",0,V220))*Y220,IF(N220="Lump Sum / Quote",S220*Y220,0)))))</x:f>
      </x:c>
      <x:c r="AA220" s="81" t="str">
        <x:f>IFERROR(INDEX('Resource Rate Library'!$N$5:$N$85,MATCH(P220,'Resource Rate Library'!$A$5:$A$85,0)),"")</x:f>
      </x:c>
      <x:c r="AB220" s="53"/>
      <x:c r="AC220" s="59"/>
      <x:c r="AD220" s="81" t="str">
        <x:f>IFERROR(INDEX('Resource Rate Library'!$G$5:$G$85,MATCH(P220,'Resource Rate Library'!$A$5:$A$85,0)),"")</x:f>
      </x:c>
      <x:c r="AE220" s="81" t="str">
        <x:f>IFERROR(INDEX('Resource Rate Library'!$H$5:$H$85,MATCH(P220,'Resource Rate Library'!$A$5:$A$85,0)),"")</x:f>
      </x:c>
      <x:c r="AF220" s="53"/>
      <x:c r="AG220" s="53"/>
      <x:c r="AH220" s="53"/>
      <x:c r="AI220" s="81" t="str">
        <x:f t="shared" si="22">IF(B220="","",IF(AND(P220="",N220&lt;&gt;"Lump Sum / Quote"),"RESOURCE CODE",IF(Y220=0,"RATE MISSING",IF(AND(O220="Plant",AD220="Yes",COUNTIFS($B$7:$B$306,B220,$O$7:$O$306,"Labour",$Q$7:$Q$306,"*Operator*")&gt;0),"OPERATOR DOUBLE-COUNT",IF(AND(O220="Plant",AE220="Yes",COUNTIFS($B$7:$B$306,B220,$Q$7:$Q$306,"*Fuel*")&gt;0),"FUEL DOUBLE-COUNT",IF(AH220&lt;&gt;"Yes","VERIFY","OK"))))))</x:f>
      </x:c>
      <x:c r="AJ220" s="54"/>
      <x:c r="AK220" s="473"/>
      <x:c r="AL220" s="473"/>
      <x:c r="AM220" s="473"/>
      <x:c r="AN220" s="500" t="n">
        <x:f>IF(AND(AK220="Yes",OR(O220="Labour",O220="Plant")),Z220,0)</x:f>
        <x:v>0</x:v>
      </x:c>
    </x:row>
    <x:row r="221">
      <x:c r="A221" s="80" t="str">
        <x:f>IF(B221="","",B221&amp;"-"&amp;TEXT(COUNTIF($B$7:B221,B221),"000"))</x:f>
      </x:c>
      <x:c r="B221" s="53"/>
      <x:c r="C221" s="81" t="str">
        <x:f>IFERROR(INDEX('QS Takeoff'!$A$3:$A$194,MATCH(B221,'QS Takeoff'!$B$3:$B$194,0)),"")</x:f>
      </x:c>
      <x:c r="D221" s="81" t="str">
        <x:f>IFERROR(INDEX('QS Takeoff'!$C$3:$C$194,MATCH(B221,'QS Takeoff'!$B$3:$B$194,0)),"")</x:f>
      </x:c>
      <x:c r="E221" s="81" t="str">
        <x:f>IFERROR(INDEX('QS Takeoff'!$E$3:$E$194,MATCH(B221,'QS Takeoff'!$B$3:$B$194,0)),"")</x:f>
      </x:c>
      <x:c r="F221" s="81" t="str">
        <x:f>IFERROR(INDEX('QS Takeoff'!$D$3:$D$194,MATCH(B221,'QS Takeoff'!$B$3:$B$194,0)),"")</x:f>
      </x:c>
      <x:c r="G221" s="81" t="str">
        <x:f>IFERROR(INDEX('QS Takeoff'!$J$3:$J$194,MATCH(B221,'QS Takeoff'!$B$3:$B$194,0)),"")</x:f>
      </x:c>
      <x:c r="H221" s="53"/>
      <x:c r="I221" s="60"/>
      <x:c r="J221" s="60"/>
      <x:c r="K221" s="82" t="str">
        <x:f t="shared" si="18">IF(OR(B221="",I221="",I221=0),"",E221/I221)</x:f>
      </x:c>
      <x:c r="L221" s="60"/>
      <x:c r="M221" s="82" t="str">
        <x:f t="shared" si="19">IF(L221&gt;0,L221,K221)</x:f>
      </x:c>
      <x:c r="N221" s="53"/>
      <x:c r="O221" s="53"/>
      <x:c r="P221" s="53"/>
      <x:c r="Q221" s="81" t="str">
        <x:f>IFERROR(INDEX('Resource Rate Library'!$C$5:$C$85,MATCH(P221,'Resource Rate Library'!$A$5:$A$85,0)),"")</x:f>
      </x:c>
      <x:c r="R221" s="53"/>
      <x:c r="S221" s="53"/>
      <x:c r="T221" s="81" t="str">
        <x:f>IFERROR(INDEX('Resource Rate Library'!$E$5:$E$85,MATCH(P221,'Resource Rate Library'!$A$5:$A$85,0)),"")</x:f>
      </x:c>
      <x:c r="U221" s="62"/>
      <x:c r="V221" s="62"/>
      <x:c r="W221" s="83" t="n">
        <x:f>IFERROR(INDEX('Resource Rate Library'!$I$5:$I$85,MATCH(P221,'Resource Rate Library'!$A$5:$A$85,0)),0)</x:f>
        <x:v>0</x:v>
      </x:c>
      <x:c r="X221" s="52"/>
      <x:c r="Y221" s="83" t="n">
        <x:f t="shared" si="20">IF(X221&gt;0,X221,W221)</x:f>
        <x:v>0</x:v>
      </x:c>
      <x:c r="Z221" s="83" t="str">
        <x:f t="shared" si="21">IF(B221="","",IF(N221="Time x Count",M221*R221*IF(U221="",1,U221)*Y221,IF(N221="QS Qty x Factor",E221*R221*(1+IF(V221="",0,V221))*Y221,IF(N221="Direct Qty",S221*(1+IF(V221="",0,V221))*Y221,IF(N221="Lump Sum / Quote",S221*Y221,0)))))</x:f>
      </x:c>
      <x:c r="AA221" s="81" t="str">
        <x:f>IFERROR(INDEX('Resource Rate Library'!$N$5:$N$85,MATCH(P221,'Resource Rate Library'!$A$5:$A$85,0)),"")</x:f>
      </x:c>
      <x:c r="AB221" s="53"/>
      <x:c r="AC221" s="59"/>
      <x:c r="AD221" s="81" t="str">
        <x:f>IFERROR(INDEX('Resource Rate Library'!$G$5:$G$85,MATCH(P221,'Resource Rate Library'!$A$5:$A$85,0)),"")</x:f>
      </x:c>
      <x:c r="AE221" s="81" t="str">
        <x:f>IFERROR(INDEX('Resource Rate Library'!$H$5:$H$85,MATCH(P221,'Resource Rate Library'!$A$5:$A$85,0)),"")</x:f>
      </x:c>
      <x:c r="AF221" s="53"/>
      <x:c r="AG221" s="53"/>
      <x:c r="AH221" s="53"/>
      <x:c r="AI221" s="81" t="str">
        <x:f t="shared" si="22">IF(B221="","",IF(AND(P221="",N221&lt;&gt;"Lump Sum / Quote"),"RESOURCE CODE",IF(Y221=0,"RATE MISSING",IF(AND(O221="Plant",AD221="Yes",COUNTIFS($B$7:$B$306,B221,$O$7:$O$306,"Labour",$Q$7:$Q$306,"*Operator*")&gt;0),"OPERATOR DOUBLE-COUNT",IF(AND(O221="Plant",AE221="Yes",COUNTIFS($B$7:$B$306,B221,$Q$7:$Q$306,"*Fuel*")&gt;0),"FUEL DOUBLE-COUNT",IF(AH221&lt;&gt;"Yes","VERIFY","OK"))))))</x:f>
      </x:c>
      <x:c r="AJ221" s="54"/>
      <x:c r="AK221" s="473"/>
      <x:c r="AL221" s="473"/>
      <x:c r="AM221" s="473"/>
      <x:c r="AN221" s="500" t="n">
        <x:f>IF(AND(AK221="Yes",OR(O221="Labour",O221="Plant")),Z221,0)</x:f>
        <x:v>0</x:v>
      </x:c>
    </x:row>
    <x:row r="222">
      <x:c r="A222" s="80" t="str">
        <x:f>IF(B222="","",B222&amp;"-"&amp;TEXT(COUNTIF($B$7:B222,B222),"000"))</x:f>
      </x:c>
      <x:c r="B222" s="53"/>
      <x:c r="C222" s="81" t="str">
        <x:f>IFERROR(INDEX('QS Takeoff'!$A$3:$A$194,MATCH(B222,'QS Takeoff'!$B$3:$B$194,0)),"")</x:f>
      </x:c>
      <x:c r="D222" s="81" t="str">
        <x:f>IFERROR(INDEX('QS Takeoff'!$C$3:$C$194,MATCH(B222,'QS Takeoff'!$B$3:$B$194,0)),"")</x:f>
      </x:c>
      <x:c r="E222" s="81" t="str">
        <x:f>IFERROR(INDEX('QS Takeoff'!$E$3:$E$194,MATCH(B222,'QS Takeoff'!$B$3:$B$194,0)),"")</x:f>
      </x:c>
      <x:c r="F222" s="81" t="str">
        <x:f>IFERROR(INDEX('QS Takeoff'!$D$3:$D$194,MATCH(B222,'QS Takeoff'!$B$3:$B$194,0)),"")</x:f>
      </x:c>
      <x:c r="G222" s="81" t="str">
        <x:f>IFERROR(INDEX('QS Takeoff'!$J$3:$J$194,MATCH(B222,'QS Takeoff'!$B$3:$B$194,0)),"")</x:f>
      </x:c>
      <x:c r="H222" s="53"/>
      <x:c r="I222" s="60"/>
      <x:c r="J222" s="60"/>
      <x:c r="K222" s="82" t="str">
        <x:f t="shared" si="18">IF(OR(B222="",I222="",I222=0),"",E222/I222)</x:f>
      </x:c>
      <x:c r="L222" s="60"/>
      <x:c r="M222" s="82" t="str">
        <x:f t="shared" si="19">IF(L222&gt;0,L222,K222)</x:f>
      </x:c>
      <x:c r="N222" s="53"/>
      <x:c r="O222" s="53"/>
      <x:c r="P222" s="53"/>
      <x:c r="Q222" s="81" t="str">
        <x:f>IFERROR(INDEX('Resource Rate Library'!$C$5:$C$85,MATCH(P222,'Resource Rate Library'!$A$5:$A$85,0)),"")</x:f>
      </x:c>
      <x:c r="R222" s="53"/>
      <x:c r="S222" s="53"/>
      <x:c r="T222" s="81" t="str">
        <x:f>IFERROR(INDEX('Resource Rate Library'!$E$5:$E$85,MATCH(P222,'Resource Rate Library'!$A$5:$A$85,0)),"")</x:f>
      </x:c>
      <x:c r="U222" s="62"/>
      <x:c r="V222" s="62"/>
      <x:c r="W222" s="83" t="n">
        <x:f>IFERROR(INDEX('Resource Rate Library'!$I$5:$I$85,MATCH(P222,'Resource Rate Library'!$A$5:$A$85,0)),0)</x:f>
        <x:v>0</x:v>
      </x:c>
      <x:c r="X222" s="52"/>
      <x:c r="Y222" s="83" t="n">
        <x:f t="shared" si="20">IF(X222&gt;0,X222,W222)</x:f>
        <x:v>0</x:v>
      </x:c>
      <x:c r="Z222" s="83" t="str">
        <x:f t="shared" si="21">IF(B222="","",IF(N222="Time x Count",M222*R222*IF(U222="",1,U222)*Y222,IF(N222="QS Qty x Factor",E222*R222*(1+IF(V222="",0,V222))*Y222,IF(N222="Direct Qty",S222*(1+IF(V222="",0,V222))*Y222,IF(N222="Lump Sum / Quote",S222*Y222,0)))))</x:f>
      </x:c>
      <x:c r="AA222" s="81" t="str">
        <x:f>IFERROR(INDEX('Resource Rate Library'!$N$5:$N$85,MATCH(P222,'Resource Rate Library'!$A$5:$A$85,0)),"")</x:f>
      </x:c>
      <x:c r="AB222" s="53"/>
      <x:c r="AC222" s="59"/>
      <x:c r="AD222" s="81" t="str">
        <x:f>IFERROR(INDEX('Resource Rate Library'!$G$5:$G$85,MATCH(P222,'Resource Rate Library'!$A$5:$A$85,0)),"")</x:f>
      </x:c>
      <x:c r="AE222" s="81" t="str">
        <x:f>IFERROR(INDEX('Resource Rate Library'!$H$5:$H$85,MATCH(P222,'Resource Rate Library'!$A$5:$A$85,0)),"")</x:f>
      </x:c>
      <x:c r="AF222" s="53"/>
      <x:c r="AG222" s="53"/>
      <x:c r="AH222" s="53"/>
      <x:c r="AI222" s="81" t="str">
        <x:f t="shared" si="22">IF(B222="","",IF(AND(P222="",N222&lt;&gt;"Lump Sum / Quote"),"RESOURCE CODE",IF(Y222=0,"RATE MISSING",IF(AND(O222="Plant",AD222="Yes",COUNTIFS($B$7:$B$306,B222,$O$7:$O$306,"Labour",$Q$7:$Q$306,"*Operator*")&gt;0),"OPERATOR DOUBLE-COUNT",IF(AND(O222="Plant",AE222="Yes",COUNTIFS($B$7:$B$306,B222,$Q$7:$Q$306,"*Fuel*")&gt;0),"FUEL DOUBLE-COUNT",IF(AH222&lt;&gt;"Yes","VERIFY","OK"))))))</x:f>
      </x:c>
      <x:c r="AJ222" s="54"/>
      <x:c r="AK222" s="473"/>
      <x:c r="AL222" s="473"/>
      <x:c r="AM222" s="473"/>
      <x:c r="AN222" s="500" t="n">
        <x:f>IF(AND(AK222="Yes",OR(O222="Labour",O222="Plant")),Z222,0)</x:f>
        <x:v>0</x:v>
      </x:c>
    </x:row>
    <x:row r="223">
      <x:c r="A223" s="80" t="str">
        <x:f>IF(B223="","",B223&amp;"-"&amp;TEXT(COUNTIF($B$7:B223,B223),"000"))</x:f>
      </x:c>
      <x:c r="B223" s="53"/>
      <x:c r="C223" s="81" t="str">
        <x:f>IFERROR(INDEX('QS Takeoff'!$A$3:$A$194,MATCH(B223,'QS Takeoff'!$B$3:$B$194,0)),"")</x:f>
      </x:c>
      <x:c r="D223" s="81" t="str">
        <x:f>IFERROR(INDEX('QS Takeoff'!$C$3:$C$194,MATCH(B223,'QS Takeoff'!$B$3:$B$194,0)),"")</x:f>
      </x:c>
      <x:c r="E223" s="81" t="str">
        <x:f>IFERROR(INDEX('QS Takeoff'!$E$3:$E$194,MATCH(B223,'QS Takeoff'!$B$3:$B$194,0)),"")</x:f>
      </x:c>
      <x:c r="F223" s="81" t="str">
        <x:f>IFERROR(INDEX('QS Takeoff'!$D$3:$D$194,MATCH(B223,'QS Takeoff'!$B$3:$B$194,0)),"")</x:f>
      </x:c>
      <x:c r="G223" s="81" t="str">
        <x:f>IFERROR(INDEX('QS Takeoff'!$J$3:$J$194,MATCH(B223,'QS Takeoff'!$B$3:$B$194,0)),"")</x:f>
      </x:c>
      <x:c r="H223" s="53"/>
      <x:c r="I223" s="60"/>
      <x:c r="J223" s="60"/>
      <x:c r="K223" s="82" t="str">
        <x:f t="shared" si="18">IF(OR(B223="",I223="",I223=0),"",E223/I223)</x:f>
      </x:c>
      <x:c r="L223" s="60"/>
      <x:c r="M223" s="82" t="str">
        <x:f t="shared" si="19">IF(L223&gt;0,L223,K223)</x:f>
      </x:c>
      <x:c r="N223" s="53"/>
      <x:c r="O223" s="53"/>
      <x:c r="P223" s="53"/>
      <x:c r="Q223" s="81" t="str">
        <x:f>IFERROR(INDEX('Resource Rate Library'!$C$5:$C$85,MATCH(P223,'Resource Rate Library'!$A$5:$A$85,0)),"")</x:f>
      </x:c>
      <x:c r="R223" s="53"/>
      <x:c r="S223" s="53"/>
      <x:c r="T223" s="81" t="str">
        <x:f>IFERROR(INDEX('Resource Rate Library'!$E$5:$E$85,MATCH(P223,'Resource Rate Library'!$A$5:$A$85,0)),"")</x:f>
      </x:c>
      <x:c r="U223" s="62"/>
      <x:c r="V223" s="62"/>
      <x:c r="W223" s="83" t="n">
        <x:f>IFERROR(INDEX('Resource Rate Library'!$I$5:$I$85,MATCH(P223,'Resource Rate Library'!$A$5:$A$85,0)),0)</x:f>
        <x:v>0</x:v>
      </x:c>
      <x:c r="X223" s="52"/>
      <x:c r="Y223" s="83" t="n">
        <x:f t="shared" si="20">IF(X223&gt;0,X223,W223)</x:f>
        <x:v>0</x:v>
      </x:c>
      <x:c r="Z223" s="83" t="str">
        <x:f t="shared" si="21">IF(B223="","",IF(N223="Time x Count",M223*R223*IF(U223="",1,U223)*Y223,IF(N223="QS Qty x Factor",E223*R223*(1+IF(V223="",0,V223))*Y223,IF(N223="Direct Qty",S223*(1+IF(V223="",0,V223))*Y223,IF(N223="Lump Sum / Quote",S223*Y223,0)))))</x:f>
      </x:c>
      <x:c r="AA223" s="81" t="str">
        <x:f>IFERROR(INDEX('Resource Rate Library'!$N$5:$N$85,MATCH(P223,'Resource Rate Library'!$A$5:$A$85,0)),"")</x:f>
      </x:c>
      <x:c r="AB223" s="53"/>
      <x:c r="AC223" s="59"/>
      <x:c r="AD223" s="81" t="str">
        <x:f>IFERROR(INDEX('Resource Rate Library'!$G$5:$G$85,MATCH(P223,'Resource Rate Library'!$A$5:$A$85,0)),"")</x:f>
      </x:c>
      <x:c r="AE223" s="81" t="str">
        <x:f>IFERROR(INDEX('Resource Rate Library'!$H$5:$H$85,MATCH(P223,'Resource Rate Library'!$A$5:$A$85,0)),"")</x:f>
      </x:c>
      <x:c r="AF223" s="53"/>
      <x:c r="AG223" s="53"/>
      <x:c r="AH223" s="53"/>
      <x:c r="AI223" s="81" t="str">
        <x:f t="shared" si="22">IF(B223="","",IF(AND(P223="",N223&lt;&gt;"Lump Sum / Quote"),"RESOURCE CODE",IF(Y223=0,"RATE MISSING",IF(AND(O223="Plant",AD223="Yes",COUNTIFS($B$7:$B$306,B223,$O$7:$O$306,"Labour",$Q$7:$Q$306,"*Operator*")&gt;0),"OPERATOR DOUBLE-COUNT",IF(AND(O223="Plant",AE223="Yes",COUNTIFS($B$7:$B$306,B223,$Q$7:$Q$306,"*Fuel*")&gt;0),"FUEL DOUBLE-COUNT",IF(AH223&lt;&gt;"Yes","VERIFY","OK"))))))</x:f>
      </x:c>
      <x:c r="AJ223" s="54"/>
      <x:c r="AK223" s="473"/>
      <x:c r="AL223" s="473"/>
      <x:c r="AM223" s="473"/>
      <x:c r="AN223" s="500" t="n">
        <x:f>IF(AND(AK223="Yes",OR(O223="Labour",O223="Plant")),Z223,0)</x:f>
        <x:v>0</x:v>
      </x:c>
    </x:row>
    <x:row r="224">
      <x:c r="A224" s="80" t="str">
        <x:f>IF(B224="","",B224&amp;"-"&amp;TEXT(COUNTIF($B$7:B224,B224),"000"))</x:f>
      </x:c>
      <x:c r="B224" s="53"/>
      <x:c r="C224" s="81" t="str">
        <x:f>IFERROR(INDEX('QS Takeoff'!$A$3:$A$194,MATCH(B224,'QS Takeoff'!$B$3:$B$194,0)),"")</x:f>
      </x:c>
      <x:c r="D224" s="81" t="str">
        <x:f>IFERROR(INDEX('QS Takeoff'!$C$3:$C$194,MATCH(B224,'QS Takeoff'!$B$3:$B$194,0)),"")</x:f>
      </x:c>
      <x:c r="E224" s="81" t="str">
        <x:f>IFERROR(INDEX('QS Takeoff'!$E$3:$E$194,MATCH(B224,'QS Takeoff'!$B$3:$B$194,0)),"")</x:f>
      </x:c>
      <x:c r="F224" s="81" t="str">
        <x:f>IFERROR(INDEX('QS Takeoff'!$D$3:$D$194,MATCH(B224,'QS Takeoff'!$B$3:$B$194,0)),"")</x:f>
      </x:c>
      <x:c r="G224" s="81" t="str">
        <x:f>IFERROR(INDEX('QS Takeoff'!$J$3:$J$194,MATCH(B224,'QS Takeoff'!$B$3:$B$194,0)),"")</x:f>
      </x:c>
      <x:c r="H224" s="53"/>
      <x:c r="I224" s="60"/>
      <x:c r="J224" s="60"/>
      <x:c r="K224" s="82" t="str">
        <x:f t="shared" si="18">IF(OR(B224="",I224="",I224=0),"",E224/I224)</x:f>
      </x:c>
      <x:c r="L224" s="60"/>
      <x:c r="M224" s="82" t="str">
        <x:f t="shared" si="19">IF(L224&gt;0,L224,K224)</x:f>
      </x:c>
      <x:c r="N224" s="53"/>
      <x:c r="O224" s="53"/>
      <x:c r="P224" s="53"/>
      <x:c r="Q224" s="81" t="str">
        <x:f>IFERROR(INDEX('Resource Rate Library'!$C$5:$C$85,MATCH(P224,'Resource Rate Library'!$A$5:$A$85,0)),"")</x:f>
      </x:c>
      <x:c r="R224" s="53"/>
      <x:c r="S224" s="53"/>
      <x:c r="T224" s="81" t="str">
        <x:f>IFERROR(INDEX('Resource Rate Library'!$E$5:$E$85,MATCH(P224,'Resource Rate Library'!$A$5:$A$85,0)),"")</x:f>
      </x:c>
      <x:c r="U224" s="62"/>
      <x:c r="V224" s="62"/>
      <x:c r="W224" s="83" t="n">
        <x:f>IFERROR(INDEX('Resource Rate Library'!$I$5:$I$85,MATCH(P224,'Resource Rate Library'!$A$5:$A$85,0)),0)</x:f>
        <x:v>0</x:v>
      </x:c>
      <x:c r="X224" s="52"/>
      <x:c r="Y224" s="83" t="n">
        <x:f t="shared" si="20">IF(X224&gt;0,X224,W224)</x:f>
        <x:v>0</x:v>
      </x:c>
      <x:c r="Z224" s="83" t="str">
        <x:f t="shared" si="21">IF(B224="","",IF(N224="Time x Count",M224*R224*IF(U224="",1,U224)*Y224,IF(N224="QS Qty x Factor",E224*R224*(1+IF(V224="",0,V224))*Y224,IF(N224="Direct Qty",S224*(1+IF(V224="",0,V224))*Y224,IF(N224="Lump Sum / Quote",S224*Y224,0)))))</x:f>
      </x:c>
      <x:c r="AA224" s="81" t="str">
        <x:f>IFERROR(INDEX('Resource Rate Library'!$N$5:$N$85,MATCH(P224,'Resource Rate Library'!$A$5:$A$85,0)),"")</x:f>
      </x:c>
      <x:c r="AB224" s="53"/>
      <x:c r="AC224" s="59"/>
      <x:c r="AD224" s="81" t="str">
        <x:f>IFERROR(INDEX('Resource Rate Library'!$G$5:$G$85,MATCH(P224,'Resource Rate Library'!$A$5:$A$85,0)),"")</x:f>
      </x:c>
      <x:c r="AE224" s="81" t="str">
        <x:f>IFERROR(INDEX('Resource Rate Library'!$H$5:$H$85,MATCH(P224,'Resource Rate Library'!$A$5:$A$85,0)),"")</x:f>
      </x:c>
      <x:c r="AF224" s="53"/>
      <x:c r="AG224" s="53"/>
      <x:c r="AH224" s="53"/>
      <x:c r="AI224" s="81" t="str">
        <x:f t="shared" si="22">IF(B224="","",IF(AND(P224="",N224&lt;&gt;"Lump Sum / Quote"),"RESOURCE CODE",IF(Y224=0,"RATE MISSING",IF(AND(O224="Plant",AD224="Yes",COUNTIFS($B$7:$B$306,B224,$O$7:$O$306,"Labour",$Q$7:$Q$306,"*Operator*")&gt;0),"OPERATOR DOUBLE-COUNT",IF(AND(O224="Plant",AE224="Yes",COUNTIFS($B$7:$B$306,B224,$Q$7:$Q$306,"*Fuel*")&gt;0),"FUEL DOUBLE-COUNT",IF(AH224&lt;&gt;"Yes","VERIFY","OK"))))))</x:f>
      </x:c>
      <x:c r="AJ224" s="54"/>
      <x:c r="AK224" s="473"/>
      <x:c r="AL224" s="473"/>
      <x:c r="AM224" s="473"/>
      <x:c r="AN224" s="500" t="n">
        <x:f>IF(AND(AK224="Yes",OR(O224="Labour",O224="Plant")),Z224,0)</x:f>
        <x:v>0</x:v>
      </x:c>
    </x:row>
    <x:row r="225">
      <x:c r="A225" s="80" t="str">
        <x:f>IF(B225="","",B225&amp;"-"&amp;TEXT(COUNTIF($B$7:B225,B225),"000"))</x:f>
      </x:c>
      <x:c r="B225" s="53"/>
      <x:c r="C225" s="81" t="str">
        <x:f>IFERROR(INDEX('QS Takeoff'!$A$3:$A$194,MATCH(B225,'QS Takeoff'!$B$3:$B$194,0)),"")</x:f>
      </x:c>
      <x:c r="D225" s="81" t="str">
        <x:f>IFERROR(INDEX('QS Takeoff'!$C$3:$C$194,MATCH(B225,'QS Takeoff'!$B$3:$B$194,0)),"")</x:f>
      </x:c>
      <x:c r="E225" s="81" t="str">
        <x:f>IFERROR(INDEX('QS Takeoff'!$E$3:$E$194,MATCH(B225,'QS Takeoff'!$B$3:$B$194,0)),"")</x:f>
      </x:c>
      <x:c r="F225" s="81" t="str">
        <x:f>IFERROR(INDEX('QS Takeoff'!$D$3:$D$194,MATCH(B225,'QS Takeoff'!$B$3:$B$194,0)),"")</x:f>
      </x:c>
      <x:c r="G225" s="81" t="str">
        <x:f>IFERROR(INDEX('QS Takeoff'!$J$3:$J$194,MATCH(B225,'QS Takeoff'!$B$3:$B$194,0)),"")</x:f>
      </x:c>
      <x:c r="H225" s="53"/>
      <x:c r="I225" s="60"/>
      <x:c r="J225" s="60"/>
      <x:c r="K225" s="82" t="str">
        <x:f t="shared" si="18">IF(OR(B225="",I225="",I225=0),"",E225/I225)</x:f>
      </x:c>
      <x:c r="L225" s="60"/>
      <x:c r="M225" s="82" t="str">
        <x:f t="shared" si="19">IF(L225&gt;0,L225,K225)</x:f>
      </x:c>
      <x:c r="N225" s="53"/>
      <x:c r="O225" s="53"/>
      <x:c r="P225" s="53"/>
      <x:c r="Q225" s="81" t="str">
        <x:f>IFERROR(INDEX('Resource Rate Library'!$C$5:$C$85,MATCH(P225,'Resource Rate Library'!$A$5:$A$85,0)),"")</x:f>
      </x:c>
      <x:c r="R225" s="53"/>
      <x:c r="S225" s="53"/>
      <x:c r="T225" s="81" t="str">
        <x:f>IFERROR(INDEX('Resource Rate Library'!$E$5:$E$85,MATCH(P225,'Resource Rate Library'!$A$5:$A$85,0)),"")</x:f>
      </x:c>
      <x:c r="U225" s="62"/>
      <x:c r="V225" s="62"/>
      <x:c r="W225" s="83" t="n">
        <x:f>IFERROR(INDEX('Resource Rate Library'!$I$5:$I$85,MATCH(P225,'Resource Rate Library'!$A$5:$A$85,0)),0)</x:f>
        <x:v>0</x:v>
      </x:c>
      <x:c r="X225" s="52"/>
      <x:c r="Y225" s="83" t="n">
        <x:f t="shared" si="20">IF(X225&gt;0,X225,W225)</x:f>
        <x:v>0</x:v>
      </x:c>
      <x:c r="Z225" s="83" t="str">
        <x:f t="shared" si="21">IF(B225="","",IF(N225="Time x Count",M225*R225*IF(U225="",1,U225)*Y225,IF(N225="QS Qty x Factor",E225*R225*(1+IF(V225="",0,V225))*Y225,IF(N225="Direct Qty",S225*(1+IF(V225="",0,V225))*Y225,IF(N225="Lump Sum / Quote",S225*Y225,0)))))</x:f>
      </x:c>
      <x:c r="AA225" s="81" t="str">
        <x:f>IFERROR(INDEX('Resource Rate Library'!$N$5:$N$85,MATCH(P225,'Resource Rate Library'!$A$5:$A$85,0)),"")</x:f>
      </x:c>
      <x:c r="AB225" s="53"/>
      <x:c r="AC225" s="59"/>
      <x:c r="AD225" s="81" t="str">
        <x:f>IFERROR(INDEX('Resource Rate Library'!$G$5:$G$85,MATCH(P225,'Resource Rate Library'!$A$5:$A$85,0)),"")</x:f>
      </x:c>
      <x:c r="AE225" s="81" t="str">
        <x:f>IFERROR(INDEX('Resource Rate Library'!$H$5:$H$85,MATCH(P225,'Resource Rate Library'!$A$5:$A$85,0)),"")</x:f>
      </x:c>
      <x:c r="AF225" s="53"/>
      <x:c r="AG225" s="53"/>
      <x:c r="AH225" s="53"/>
      <x:c r="AI225" s="81" t="str">
        <x:f t="shared" si="22">IF(B225="","",IF(AND(P225="",N225&lt;&gt;"Lump Sum / Quote"),"RESOURCE CODE",IF(Y225=0,"RATE MISSING",IF(AND(O225="Plant",AD225="Yes",COUNTIFS($B$7:$B$306,B225,$O$7:$O$306,"Labour",$Q$7:$Q$306,"*Operator*")&gt;0),"OPERATOR DOUBLE-COUNT",IF(AND(O225="Plant",AE225="Yes",COUNTIFS($B$7:$B$306,B225,$Q$7:$Q$306,"*Fuel*")&gt;0),"FUEL DOUBLE-COUNT",IF(AH225&lt;&gt;"Yes","VERIFY","OK"))))))</x:f>
      </x:c>
      <x:c r="AJ225" s="54"/>
      <x:c r="AK225" s="473"/>
      <x:c r="AL225" s="473"/>
      <x:c r="AM225" s="473"/>
      <x:c r="AN225" s="500" t="n">
        <x:f>IF(AND(AK225="Yes",OR(O225="Labour",O225="Plant")),Z225,0)</x:f>
        <x:v>0</x:v>
      </x:c>
    </x:row>
    <x:row r="226">
      <x:c r="A226" s="80" t="str">
        <x:f>IF(B226="","",B226&amp;"-"&amp;TEXT(COUNTIF($B$7:B226,B226),"000"))</x:f>
      </x:c>
      <x:c r="B226" s="53"/>
      <x:c r="C226" s="81" t="str">
        <x:f>IFERROR(INDEX('QS Takeoff'!$A$3:$A$194,MATCH(B226,'QS Takeoff'!$B$3:$B$194,0)),"")</x:f>
      </x:c>
      <x:c r="D226" s="81" t="str">
        <x:f>IFERROR(INDEX('QS Takeoff'!$C$3:$C$194,MATCH(B226,'QS Takeoff'!$B$3:$B$194,0)),"")</x:f>
      </x:c>
      <x:c r="E226" s="81" t="str">
        <x:f>IFERROR(INDEX('QS Takeoff'!$E$3:$E$194,MATCH(B226,'QS Takeoff'!$B$3:$B$194,0)),"")</x:f>
      </x:c>
      <x:c r="F226" s="81" t="str">
        <x:f>IFERROR(INDEX('QS Takeoff'!$D$3:$D$194,MATCH(B226,'QS Takeoff'!$B$3:$B$194,0)),"")</x:f>
      </x:c>
      <x:c r="G226" s="81" t="str">
        <x:f>IFERROR(INDEX('QS Takeoff'!$J$3:$J$194,MATCH(B226,'QS Takeoff'!$B$3:$B$194,0)),"")</x:f>
      </x:c>
      <x:c r="H226" s="53"/>
      <x:c r="I226" s="60"/>
      <x:c r="J226" s="60"/>
      <x:c r="K226" s="82" t="str">
        <x:f t="shared" si="18">IF(OR(B226="",I226="",I226=0),"",E226/I226)</x:f>
      </x:c>
      <x:c r="L226" s="60"/>
      <x:c r="M226" s="82" t="str">
        <x:f t="shared" si="19">IF(L226&gt;0,L226,K226)</x:f>
      </x:c>
      <x:c r="N226" s="53"/>
      <x:c r="O226" s="53"/>
      <x:c r="P226" s="53"/>
      <x:c r="Q226" s="81" t="str">
        <x:f>IFERROR(INDEX('Resource Rate Library'!$C$5:$C$85,MATCH(P226,'Resource Rate Library'!$A$5:$A$85,0)),"")</x:f>
      </x:c>
      <x:c r="R226" s="53"/>
      <x:c r="S226" s="53"/>
      <x:c r="T226" s="81" t="str">
        <x:f>IFERROR(INDEX('Resource Rate Library'!$E$5:$E$85,MATCH(P226,'Resource Rate Library'!$A$5:$A$85,0)),"")</x:f>
      </x:c>
      <x:c r="U226" s="62"/>
      <x:c r="V226" s="62"/>
      <x:c r="W226" s="83" t="n">
        <x:f>IFERROR(INDEX('Resource Rate Library'!$I$5:$I$85,MATCH(P226,'Resource Rate Library'!$A$5:$A$85,0)),0)</x:f>
        <x:v>0</x:v>
      </x:c>
      <x:c r="X226" s="52"/>
      <x:c r="Y226" s="83" t="n">
        <x:f t="shared" si="20">IF(X226&gt;0,X226,W226)</x:f>
        <x:v>0</x:v>
      </x:c>
      <x:c r="Z226" s="83" t="str">
        <x:f t="shared" si="21">IF(B226="","",IF(N226="Time x Count",M226*R226*IF(U226="",1,U226)*Y226,IF(N226="QS Qty x Factor",E226*R226*(1+IF(V226="",0,V226))*Y226,IF(N226="Direct Qty",S226*(1+IF(V226="",0,V226))*Y226,IF(N226="Lump Sum / Quote",S226*Y226,0)))))</x:f>
      </x:c>
      <x:c r="AA226" s="81" t="str">
        <x:f>IFERROR(INDEX('Resource Rate Library'!$N$5:$N$85,MATCH(P226,'Resource Rate Library'!$A$5:$A$85,0)),"")</x:f>
      </x:c>
      <x:c r="AB226" s="53"/>
      <x:c r="AC226" s="59"/>
      <x:c r="AD226" s="81" t="str">
        <x:f>IFERROR(INDEX('Resource Rate Library'!$G$5:$G$85,MATCH(P226,'Resource Rate Library'!$A$5:$A$85,0)),"")</x:f>
      </x:c>
      <x:c r="AE226" s="81" t="str">
        <x:f>IFERROR(INDEX('Resource Rate Library'!$H$5:$H$85,MATCH(P226,'Resource Rate Library'!$A$5:$A$85,0)),"")</x:f>
      </x:c>
      <x:c r="AF226" s="53"/>
      <x:c r="AG226" s="53"/>
      <x:c r="AH226" s="53"/>
      <x:c r="AI226" s="81" t="str">
        <x:f t="shared" si="22">IF(B226="","",IF(AND(P226="",N226&lt;&gt;"Lump Sum / Quote"),"RESOURCE CODE",IF(Y226=0,"RATE MISSING",IF(AND(O226="Plant",AD226="Yes",COUNTIFS($B$7:$B$306,B226,$O$7:$O$306,"Labour",$Q$7:$Q$306,"*Operator*")&gt;0),"OPERATOR DOUBLE-COUNT",IF(AND(O226="Plant",AE226="Yes",COUNTIFS($B$7:$B$306,B226,$Q$7:$Q$306,"*Fuel*")&gt;0),"FUEL DOUBLE-COUNT",IF(AH226&lt;&gt;"Yes","VERIFY","OK"))))))</x:f>
      </x:c>
      <x:c r="AJ226" s="54"/>
      <x:c r="AK226" s="473"/>
      <x:c r="AL226" s="473"/>
      <x:c r="AM226" s="473"/>
      <x:c r="AN226" s="500" t="n">
        <x:f>IF(AND(AK226="Yes",OR(O226="Labour",O226="Plant")),Z226,0)</x:f>
        <x:v>0</x:v>
      </x:c>
    </x:row>
    <x:row r="227">
      <x:c r="A227" s="80" t="str">
        <x:f>IF(B227="","",B227&amp;"-"&amp;TEXT(COUNTIF($B$7:B227,B227),"000"))</x:f>
      </x:c>
      <x:c r="B227" s="53"/>
      <x:c r="C227" s="81" t="str">
        <x:f>IFERROR(INDEX('QS Takeoff'!$A$3:$A$194,MATCH(B227,'QS Takeoff'!$B$3:$B$194,0)),"")</x:f>
      </x:c>
      <x:c r="D227" s="81" t="str">
        <x:f>IFERROR(INDEX('QS Takeoff'!$C$3:$C$194,MATCH(B227,'QS Takeoff'!$B$3:$B$194,0)),"")</x:f>
      </x:c>
      <x:c r="E227" s="81" t="str">
        <x:f>IFERROR(INDEX('QS Takeoff'!$E$3:$E$194,MATCH(B227,'QS Takeoff'!$B$3:$B$194,0)),"")</x:f>
      </x:c>
      <x:c r="F227" s="81" t="str">
        <x:f>IFERROR(INDEX('QS Takeoff'!$D$3:$D$194,MATCH(B227,'QS Takeoff'!$B$3:$B$194,0)),"")</x:f>
      </x:c>
      <x:c r="G227" s="81" t="str">
        <x:f>IFERROR(INDEX('QS Takeoff'!$J$3:$J$194,MATCH(B227,'QS Takeoff'!$B$3:$B$194,0)),"")</x:f>
      </x:c>
      <x:c r="H227" s="53"/>
      <x:c r="I227" s="60"/>
      <x:c r="J227" s="60"/>
      <x:c r="K227" s="82" t="str">
        <x:f t="shared" si="18">IF(OR(B227="",I227="",I227=0),"",E227/I227)</x:f>
      </x:c>
      <x:c r="L227" s="60"/>
      <x:c r="M227" s="82" t="str">
        <x:f t="shared" si="19">IF(L227&gt;0,L227,K227)</x:f>
      </x:c>
      <x:c r="N227" s="53"/>
      <x:c r="O227" s="53"/>
      <x:c r="P227" s="53"/>
      <x:c r="Q227" s="81" t="str">
        <x:f>IFERROR(INDEX('Resource Rate Library'!$C$5:$C$85,MATCH(P227,'Resource Rate Library'!$A$5:$A$85,0)),"")</x:f>
      </x:c>
      <x:c r="R227" s="53"/>
      <x:c r="S227" s="53"/>
      <x:c r="T227" s="81" t="str">
        <x:f>IFERROR(INDEX('Resource Rate Library'!$E$5:$E$85,MATCH(P227,'Resource Rate Library'!$A$5:$A$85,0)),"")</x:f>
      </x:c>
      <x:c r="U227" s="62"/>
      <x:c r="V227" s="62"/>
      <x:c r="W227" s="83" t="n">
        <x:f>IFERROR(INDEX('Resource Rate Library'!$I$5:$I$85,MATCH(P227,'Resource Rate Library'!$A$5:$A$85,0)),0)</x:f>
        <x:v>0</x:v>
      </x:c>
      <x:c r="X227" s="52"/>
      <x:c r="Y227" s="83" t="n">
        <x:f t="shared" si="20">IF(X227&gt;0,X227,W227)</x:f>
        <x:v>0</x:v>
      </x:c>
      <x:c r="Z227" s="83" t="str">
        <x:f t="shared" si="21">IF(B227="","",IF(N227="Time x Count",M227*R227*IF(U227="",1,U227)*Y227,IF(N227="QS Qty x Factor",E227*R227*(1+IF(V227="",0,V227))*Y227,IF(N227="Direct Qty",S227*(1+IF(V227="",0,V227))*Y227,IF(N227="Lump Sum / Quote",S227*Y227,0)))))</x:f>
      </x:c>
      <x:c r="AA227" s="81" t="str">
        <x:f>IFERROR(INDEX('Resource Rate Library'!$N$5:$N$85,MATCH(P227,'Resource Rate Library'!$A$5:$A$85,0)),"")</x:f>
      </x:c>
      <x:c r="AB227" s="53"/>
      <x:c r="AC227" s="59"/>
      <x:c r="AD227" s="81" t="str">
        <x:f>IFERROR(INDEX('Resource Rate Library'!$G$5:$G$85,MATCH(P227,'Resource Rate Library'!$A$5:$A$85,0)),"")</x:f>
      </x:c>
      <x:c r="AE227" s="81" t="str">
        <x:f>IFERROR(INDEX('Resource Rate Library'!$H$5:$H$85,MATCH(P227,'Resource Rate Library'!$A$5:$A$85,0)),"")</x:f>
      </x:c>
      <x:c r="AF227" s="53"/>
      <x:c r="AG227" s="53"/>
      <x:c r="AH227" s="53"/>
      <x:c r="AI227" s="81" t="str">
        <x:f t="shared" si="22">IF(B227="","",IF(AND(P227="",N227&lt;&gt;"Lump Sum / Quote"),"RESOURCE CODE",IF(Y227=0,"RATE MISSING",IF(AND(O227="Plant",AD227="Yes",COUNTIFS($B$7:$B$306,B227,$O$7:$O$306,"Labour",$Q$7:$Q$306,"*Operator*")&gt;0),"OPERATOR DOUBLE-COUNT",IF(AND(O227="Plant",AE227="Yes",COUNTIFS($B$7:$B$306,B227,$Q$7:$Q$306,"*Fuel*")&gt;0),"FUEL DOUBLE-COUNT",IF(AH227&lt;&gt;"Yes","VERIFY","OK"))))))</x:f>
      </x:c>
      <x:c r="AJ227" s="54"/>
      <x:c r="AK227" s="473"/>
      <x:c r="AL227" s="473"/>
      <x:c r="AM227" s="473"/>
      <x:c r="AN227" s="500" t="n">
        <x:f>IF(AND(AK227="Yes",OR(O227="Labour",O227="Plant")),Z227,0)</x:f>
        <x:v>0</x:v>
      </x:c>
    </x:row>
    <x:row r="228">
      <x:c r="A228" s="80" t="str">
        <x:f>IF(B228="","",B228&amp;"-"&amp;TEXT(COUNTIF($B$7:B228,B228),"000"))</x:f>
      </x:c>
      <x:c r="B228" s="53"/>
      <x:c r="C228" s="81" t="str">
        <x:f>IFERROR(INDEX('QS Takeoff'!$A$3:$A$194,MATCH(B228,'QS Takeoff'!$B$3:$B$194,0)),"")</x:f>
      </x:c>
      <x:c r="D228" s="81" t="str">
        <x:f>IFERROR(INDEX('QS Takeoff'!$C$3:$C$194,MATCH(B228,'QS Takeoff'!$B$3:$B$194,0)),"")</x:f>
      </x:c>
      <x:c r="E228" s="81" t="str">
        <x:f>IFERROR(INDEX('QS Takeoff'!$E$3:$E$194,MATCH(B228,'QS Takeoff'!$B$3:$B$194,0)),"")</x:f>
      </x:c>
      <x:c r="F228" s="81" t="str">
        <x:f>IFERROR(INDEX('QS Takeoff'!$D$3:$D$194,MATCH(B228,'QS Takeoff'!$B$3:$B$194,0)),"")</x:f>
      </x:c>
      <x:c r="G228" s="81" t="str">
        <x:f>IFERROR(INDEX('QS Takeoff'!$J$3:$J$194,MATCH(B228,'QS Takeoff'!$B$3:$B$194,0)),"")</x:f>
      </x:c>
      <x:c r="H228" s="53"/>
      <x:c r="I228" s="60"/>
      <x:c r="J228" s="60"/>
      <x:c r="K228" s="82" t="str">
        <x:f t="shared" si="18">IF(OR(B228="",I228="",I228=0),"",E228/I228)</x:f>
      </x:c>
      <x:c r="L228" s="60"/>
      <x:c r="M228" s="82" t="str">
        <x:f t="shared" si="19">IF(L228&gt;0,L228,K228)</x:f>
      </x:c>
      <x:c r="N228" s="53"/>
      <x:c r="O228" s="53"/>
      <x:c r="P228" s="53"/>
      <x:c r="Q228" s="81" t="str">
        <x:f>IFERROR(INDEX('Resource Rate Library'!$C$5:$C$85,MATCH(P228,'Resource Rate Library'!$A$5:$A$85,0)),"")</x:f>
      </x:c>
      <x:c r="R228" s="53"/>
      <x:c r="S228" s="53"/>
      <x:c r="T228" s="81" t="str">
        <x:f>IFERROR(INDEX('Resource Rate Library'!$E$5:$E$85,MATCH(P228,'Resource Rate Library'!$A$5:$A$85,0)),"")</x:f>
      </x:c>
      <x:c r="U228" s="62"/>
      <x:c r="V228" s="62"/>
      <x:c r="W228" s="83" t="n">
        <x:f>IFERROR(INDEX('Resource Rate Library'!$I$5:$I$85,MATCH(P228,'Resource Rate Library'!$A$5:$A$85,0)),0)</x:f>
        <x:v>0</x:v>
      </x:c>
      <x:c r="X228" s="52"/>
      <x:c r="Y228" s="83" t="n">
        <x:f t="shared" si="20">IF(X228&gt;0,X228,W228)</x:f>
        <x:v>0</x:v>
      </x:c>
      <x:c r="Z228" s="83" t="str">
        <x:f t="shared" si="21">IF(B228="","",IF(N228="Time x Count",M228*R228*IF(U228="",1,U228)*Y228,IF(N228="QS Qty x Factor",E228*R228*(1+IF(V228="",0,V228))*Y228,IF(N228="Direct Qty",S228*(1+IF(V228="",0,V228))*Y228,IF(N228="Lump Sum / Quote",S228*Y228,0)))))</x:f>
      </x:c>
      <x:c r="AA228" s="81" t="str">
        <x:f>IFERROR(INDEX('Resource Rate Library'!$N$5:$N$85,MATCH(P228,'Resource Rate Library'!$A$5:$A$85,0)),"")</x:f>
      </x:c>
      <x:c r="AB228" s="53"/>
      <x:c r="AC228" s="59"/>
      <x:c r="AD228" s="81" t="str">
        <x:f>IFERROR(INDEX('Resource Rate Library'!$G$5:$G$85,MATCH(P228,'Resource Rate Library'!$A$5:$A$85,0)),"")</x:f>
      </x:c>
      <x:c r="AE228" s="81" t="str">
        <x:f>IFERROR(INDEX('Resource Rate Library'!$H$5:$H$85,MATCH(P228,'Resource Rate Library'!$A$5:$A$85,0)),"")</x:f>
      </x:c>
      <x:c r="AF228" s="53"/>
      <x:c r="AG228" s="53"/>
      <x:c r="AH228" s="53"/>
      <x:c r="AI228" s="81" t="str">
        <x:f t="shared" si="22">IF(B228="","",IF(AND(P228="",N228&lt;&gt;"Lump Sum / Quote"),"RESOURCE CODE",IF(Y228=0,"RATE MISSING",IF(AND(O228="Plant",AD228="Yes",COUNTIFS($B$7:$B$306,B228,$O$7:$O$306,"Labour",$Q$7:$Q$306,"*Operator*")&gt;0),"OPERATOR DOUBLE-COUNT",IF(AND(O228="Plant",AE228="Yes",COUNTIFS($B$7:$B$306,B228,$Q$7:$Q$306,"*Fuel*")&gt;0),"FUEL DOUBLE-COUNT",IF(AH228&lt;&gt;"Yes","VERIFY","OK"))))))</x:f>
      </x:c>
      <x:c r="AJ228" s="54"/>
      <x:c r="AK228" s="473"/>
      <x:c r="AL228" s="473"/>
      <x:c r="AM228" s="473"/>
      <x:c r="AN228" s="500" t="n">
        <x:f>IF(AND(AK228="Yes",OR(O228="Labour",O228="Plant")),Z228,0)</x:f>
        <x:v>0</x:v>
      </x:c>
    </x:row>
    <x:row r="229">
      <x:c r="A229" s="80" t="str">
        <x:f>IF(B229="","",B229&amp;"-"&amp;TEXT(COUNTIF($B$7:B229,B229),"000"))</x:f>
      </x:c>
      <x:c r="B229" s="53"/>
      <x:c r="C229" s="81" t="str">
        <x:f>IFERROR(INDEX('QS Takeoff'!$A$3:$A$194,MATCH(B229,'QS Takeoff'!$B$3:$B$194,0)),"")</x:f>
      </x:c>
      <x:c r="D229" s="81" t="str">
        <x:f>IFERROR(INDEX('QS Takeoff'!$C$3:$C$194,MATCH(B229,'QS Takeoff'!$B$3:$B$194,0)),"")</x:f>
      </x:c>
      <x:c r="E229" s="81" t="str">
        <x:f>IFERROR(INDEX('QS Takeoff'!$E$3:$E$194,MATCH(B229,'QS Takeoff'!$B$3:$B$194,0)),"")</x:f>
      </x:c>
      <x:c r="F229" s="81" t="str">
        <x:f>IFERROR(INDEX('QS Takeoff'!$D$3:$D$194,MATCH(B229,'QS Takeoff'!$B$3:$B$194,0)),"")</x:f>
      </x:c>
      <x:c r="G229" s="81" t="str">
        <x:f>IFERROR(INDEX('QS Takeoff'!$J$3:$J$194,MATCH(B229,'QS Takeoff'!$B$3:$B$194,0)),"")</x:f>
      </x:c>
      <x:c r="H229" s="53"/>
      <x:c r="I229" s="60"/>
      <x:c r="J229" s="60"/>
      <x:c r="K229" s="82" t="str">
        <x:f t="shared" si="18">IF(OR(B229="",I229="",I229=0),"",E229/I229)</x:f>
      </x:c>
      <x:c r="L229" s="60"/>
      <x:c r="M229" s="82" t="str">
        <x:f t="shared" si="19">IF(L229&gt;0,L229,K229)</x:f>
      </x:c>
      <x:c r="N229" s="53"/>
      <x:c r="O229" s="53"/>
      <x:c r="P229" s="53"/>
      <x:c r="Q229" s="81" t="str">
        <x:f>IFERROR(INDEX('Resource Rate Library'!$C$5:$C$85,MATCH(P229,'Resource Rate Library'!$A$5:$A$85,0)),"")</x:f>
      </x:c>
      <x:c r="R229" s="53"/>
      <x:c r="S229" s="53"/>
      <x:c r="T229" s="81" t="str">
        <x:f>IFERROR(INDEX('Resource Rate Library'!$E$5:$E$85,MATCH(P229,'Resource Rate Library'!$A$5:$A$85,0)),"")</x:f>
      </x:c>
      <x:c r="U229" s="62"/>
      <x:c r="V229" s="62"/>
      <x:c r="W229" s="83" t="n">
        <x:f>IFERROR(INDEX('Resource Rate Library'!$I$5:$I$85,MATCH(P229,'Resource Rate Library'!$A$5:$A$85,0)),0)</x:f>
        <x:v>0</x:v>
      </x:c>
      <x:c r="X229" s="52"/>
      <x:c r="Y229" s="83" t="n">
        <x:f t="shared" si="20">IF(X229&gt;0,X229,W229)</x:f>
        <x:v>0</x:v>
      </x:c>
      <x:c r="Z229" s="83" t="str">
        <x:f t="shared" si="21">IF(B229="","",IF(N229="Time x Count",M229*R229*IF(U229="",1,U229)*Y229,IF(N229="QS Qty x Factor",E229*R229*(1+IF(V229="",0,V229))*Y229,IF(N229="Direct Qty",S229*(1+IF(V229="",0,V229))*Y229,IF(N229="Lump Sum / Quote",S229*Y229,0)))))</x:f>
      </x:c>
      <x:c r="AA229" s="81" t="str">
        <x:f>IFERROR(INDEX('Resource Rate Library'!$N$5:$N$85,MATCH(P229,'Resource Rate Library'!$A$5:$A$85,0)),"")</x:f>
      </x:c>
      <x:c r="AB229" s="53"/>
      <x:c r="AC229" s="59"/>
      <x:c r="AD229" s="81" t="str">
        <x:f>IFERROR(INDEX('Resource Rate Library'!$G$5:$G$85,MATCH(P229,'Resource Rate Library'!$A$5:$A$85,0)),"")</x:f>
      </x:c>
      <x:c r="AE229" s="81" t="str">
        <x:f>IFERROR(INDEX('Resource Rate Library'!$H$5:$H$85,MATCH(P229,'Resource Rate Library'!$A$5:$A$85,0)),"")</x:f>
      </x:c>
      <x:c r="AF229" s="53"/>
      <x:c r="AG229" s="53"/>
      <x:c r="AH229" s="53"/>
      <x:c r="AI229" s="81" t="str">
        <x:f t="shared" si="22">IF(B229="","",IF(AND(P229="",N229&lt;&gt;"Lump Sum / Quote"),"RESOURCE CODE",IF(Y229=0,"RATE MISSING",IF(AND(O229="Plant",AD229="Yes",COUNTIFS($B$7:$B$306,B229,$O$7:$O$306,"Labour",$Q$7:$Q$306,"*Operator*")&gt;0),"OPERATOR DOUBLE-COUNT",IF(AND(O229="Plant",AE229="Yes",COUNTIFS($B$7:$B$306,B229,$Q$7:$Q$306,"*Fuel*")&gt;0),"FUEL DOUBLE-COUNT",IF(AH229&lt;&gt;"Yes","VERIFY","OK"))))))</x:f>
      </x:c>
      <x:c r="AJ229" s="54"/>
      <x:c r="AK229" s="473"/>
      <x:c r="AL229" s="473"/>
      <x:c r="AM229" s="473"/>
      <x:c r="AN229" s="500" t="n">
        <x:f>IF(AND(AK229="Yes",OR(O229="Labour",O229="Plant")),Z229,0)</x:f>
        <x:v>0</x:v>
      </x:c>
    </x:row>
    <x:row r="230">
      <x:c r="A230" s="80" t="str">
        <x:f>IF(B230="","",B230&amp;"-"&amp;TEXT(COUNTIF($B$7:B230,B230),"000"))</x:f>
      </x:c>
      <x:c r="B230" s="53"/>
      <x:c r="C230" s="81" t="str">
        <x:f>IFERROR(INDEX('QS Takeoff'!$A$3:$A$194,MATCH(B230,'QS Takeoff'!$B$3:$B$194,0)),"")</x:f>
      </x:c>
      <x:c r="D230" s="81" t="str">
        <x:f>IFERROR(INDEX('QS Takeoff'!$C$3:$C$194,MATCH(B230,'QS Takeoff'!$B$3:$B$194,0)),"")</x:f>
      </x:c>
      <x:c r="E230" s="81" t="str">
        <x:f>IFERROR(INDEX('QS Takeoff'!$E$3:$E$194,MATCH(B230,'QS Takeoff'!$B$3:$B$194,0)),"")</x:f>
      </x:c>
      <x:c r="F230" s="81" t="str">
        <x:f>IFERROR(INDEX('QS Takeoff'!$D$3:$D$194,MATCH(B230,'QS Takeoff'!$B$3:$B$194,0)),"")</x:f>
      </x:c>
      <x:c r="G230" s="81" t="str">
        <x:f>IFERROR(INDEX('QS Takeoff'!$J$3:$J$194,MATCH(B230,'QS Takeoff'!$B$3:$B$194,0)),"")</x:f>
      </x:c>
      <x:c r="H230" s="53"/>
      <x:c r="I230" s="60"/>
      <x:c r="J230" s="60"/>
      <x:c r="K230" s="82" t="str">
        <x:f t="shared" si="18">IF(OR(B230="",I230="",I230=0),"",E230/I230)</x:f>
      </x:c>
      <x:c r="L230" s="60"/>
      <x:c r="M230" s="82" t="str">
        <x:f t="shared" si="19">IF(L230&gt;0,L230,K230)</x:f>
      </x:c>
      <x:c r="N230" s="53"/>
      <x:c r="O230" s="53"/>
      <x:c r="P230" s="53"/>
      <x:c r="Q230" s="81" t="str">
        <x:f>IFERROR(INDEX('Resource Rate Library'!$C$5:$C$85,MATCH(P230,'Resource Rate Library'!$A$5:$A$85,0)),"")</x:f>
      </x:c>
      <x:c r="R230" s="53"/>
      <x:c r="S230" s="53"/>
      <x:c r="T230" s="81" t="str">
        <x:f>IFERROR(INDEX('Resource Rate Library'!$E$5:$E$85,MATCH(P230,'Resource Rate Library'!$A$5:$A$85,0)),"")</x:f>
      </x:c>
      <x:c r="U230" s="62"/>
      <x:c r="V230" s="62"/>
      <x:c r="W230" s="83" t="n">
        <x:f>IFERROR(INDEX('Resource Rate Library'!$I$5:$I$85,MATCH(P230,'Resource Rate Library'!$A$5:$A$85,0)),0)</x:f>
        <x:v>0</x:v>
      </x:c>
      <x:c r="X230" s="52"/>
      <x:c r="Y230" s="83" t="n">
        <x:f t="shared" si="20">IF(X230&gt;0,X230,W230)</x:f>
        <x:v>0</x:v>
      </x:c>
      <x:c r="Z230" s="83" t="str">
        <x:f t="shared" si="21">IF(B230="","",IF(N230="Time x Count",M230*R230*IF(U230="",1,U230)*Y230,IF(N230="QS Qty x Factor",E230*R230*(1+IF(V230="",0,V230))*Y230,IF(N230="Direct Qty",S230*(1+IF(V230="",0,V230))*Y230,IF(N230="Lump Sum / Quote",S230*Y230,0)))))</x:f>
      </x:c>
      <x:c r="AA230" s="81" t="str">
        <x:f>IFERROR(INDEX('Resource Rate Library'!$N$5:$N$85,MATCH(P230,'Resource Rate Library'!$A$5:$A$85,0)),"")</x:f>
      </x:c>
      <x:c r="AB230" s="53"/>
      <x:c r="AC230" s="59"/>
      <x:c r="AD230" s="81" t="str">
        <x:f>IFERROR(INDEX('Resource Rate Library'!$G$5:$G$85,MATCH(P230,'Resource Rate Library'!$A$5:$A$85,0)),"")</x:f>
      </x:c>
      <x:c r="AE230" s="81" t="str">
        <x:f>IFERROR(INDEX('Resource Rate Library'!$H$5:$H$85,MATCH(P230,'Resource Rate Library'!$A$5:$A$85,0)),"")</x:f>
      </x:c>
      <x:c r="AF230" s="53"/>
      <x:c r="AG230" s="53"/>
      <x:c r="AH230" s="53"/>
      <x:c r="AI230" s="81" t="str">
        <x:f t="shared" si="22">IF(B230="","",IF(AND(P230="",N230&lt;&gt;"Lump Sum / Quote"),"RESOURCE CODE",IF(Y230=0,"RATE MISSING",IF(AND(O230="Plant",AD230="Yes",COUNTIFS($B$7:$B$306,B230,$O$7:$O$306,"Labour",$Q$7:$Q$306,"*Operator*")&gt;0),"OPERATOR DOUBLE-COUNT",IF(AND(O230="Plant",AE230="Yes",COUNTIFS($B$7:$B$306,B230,$Q$7:$Q$306,"*Fuel*")&gt;0),"FUEL DOUBLE-COUNT",IF(AH230&lt;&gt;"Yes","VERIFY","OK"))))))</x:f>
      </x:c>
      <x:c r="AJ230" s="54"/>
      <x:c r="AK230" s="473"/>
      <x:c r="AL230" s="473"/>
      <x:c r="AM230" s="473"/>
      <x:c r="AN230" s="500" t="n">
        <x:f>IF(AND(AK230="Yes",OR(O230="Labour",O230="Plant")),Z230,0)</x:f>
        <x:v>0</x:v>
      </x:c>
    </x:row>
    <x:row r="231">
      <x:c r="A231" s="80" t="str">
        <x:f>IF(B231="","",B231&amp;"-"&amp;TEXT(COUNTIF($B$7:B231,B231),"000"))</x:f>
      </x:c>
      <x:c r="B231" s="53"/>
      <x:c r="C231" s="81" t="str">
        <x:f>IFERROR(INDEX('QS Takeoff'!$A$3:$A$194,MATCH(B231,'QS Takeoff'!$B$3:$B$194,0)),"")</x:f>
      </x:c>
      <x:c r="D231" s="81" t="str">
        <x:f>IFERROR(INDEX('QS Takeoff'!$C$3:$C$194,MATCH(B231,'QS Takeoff'!$B$3:$B$194,0)),"")</x:f>
      </x:c>
      <x:c r="E231" s="81" t="str">
        <x:f>IFERROR(INDEX('QS Takeoff'!$E$3:$E$194,MATCH(B231,'QS Takeoff'!$B$3:$B$194,0)),"")</x:f>
      </x:c>
      <x:c r="F231" s="81" t="str">
        <x:f>IFERROR(INDEX('QS Takeoff'!$D$3:$D$194,MATCH(B231,'QS Takeoff'!$B$3:$B$194,0)),"")</x:f>
      </x:c>
      <x:c r="G231" s="81" t="str">
        <x:f>IFERROR(INDEX('QS Takeoff'!$J$3:$J$194,MATCH(B231,'QS Takeoff'!$B$3:$B$194,0)),"")</x:f>
      </x:c>
      <x:c r="H231" s="53"/>
      <x:c r="I231" s="60"/>
      <x:c r="J231" s="60"/>
      <x:c r="K231" s="82" t="str">
        <x:f t="shared" si="18">IF(OR(B231="",I231="",I231=0),"",E231/I231)</x:f>
      </x:c>
      <x:c r="L231" s="60"/>
      <x:c r="M231" s="82" t="str">
        <x:f t="shared" si="19">IF(L231&gt;0,L231,K231)</x:f>
      </x:c>
      <x:c r="N231" s="53"/>
      <x:c r="O231" s="53"/>
      <x:c r="P231" s="53"/>
      <x:c r="Q231" s="81" t="str">
        <x:f>IFERROR(INDEX('Resource Rate Library'!$C$5:$C$85,MATCH(P231,'Resource Rate Library'!$A$5:$A$85,0)),"")</x:f>
      </x:c>
      <x:c r="R231" s="53"/>
      <x:c r="S231" s="53"/>
      <x:c r="T231" s="81" t="str">
        <x:f>IFERROR(INDEX('Resource Rate Library'!$E$5:$E$85,MATCH(P231,'Resource Rate Library'!$A$5:$A$85,0)),"")</x:f>
      </x:c>
      <x:c r="U231" s="62"/>
      <x:c r="V231" s="62"/>
      <x:c r="W231" s="83" t="n">
        <x:f>IFERROR(INDEX('Resource Rate Library'!$I$5:$I$85,MATCH(P231,'Resource Rate Library'!$A$5:$A$85,0)),0)</x:f>
        <x:v>0</x:v>
      </x:c>
      <x:c r="X231" s="52"/>
      <x:c r="Y231" s="83" t="n">
        <x:f t="shared" si="20">IF(X231&gt;0,X231,W231)</x:f>
        <x:v>0</x:v>
      </x:c>
      <x:c r="Z231" s="83" t="str">
        <x:f t="shared" si="21">IF(B231="","",IF(N231="Time x Count",M231*R231*IF(U231="",1,U231)*Y231,IF(N231="QS Qty x Factor",E231*R231*(1+IF(V231="",0,V231))*Y231,IF(N231="Direct Qty",S231*(1+IF(V231="",0,V231))*Y231,IF(N231="Lump Sum / Quote",S231*Y231,0)))))</x:f>
      </x:c>
      <x:c r="AA231" s="81" t="str">
        <x:f>IFERROR(INDEX('Resource Rate Library'!$N$5:$N$85,MATCH(P231,'Resource Rate Library'!$A$5:$A$85,0)),"")</x:f>
      </x:c>
      <x:c r="AB231" s="53"/>
      <x:c r="AC231" s="59"/>
      <x:c r="AD231" s="81" t="str">
        <x:f>IFERROR(INDEX('Resource Rate Library'!$G$5:$G$85,MATCH(P231,'Resource Rate Library'!$A$5:$A$85,0)),"")</x:f>
      </x:c>
      <x:c r="AE231" s="81" t="str">
        <x:f>IFERROR(INDEX('Resource Rate Library'!$H$5:$H$85,MATCH(P231,'Resource Rate Library'!$A$5:$A$85,0)),"")</x:f>
      </x:c>
      <x:c r="AF231" s="53"/>
      <x:c r="AG231" s="53"/>
      <x:c r="AH231" s="53"/>
      <x:c r="AI231" s="81" t="str">
        <x:f t="shared" si="22">IF(B231="","",IF(AND(P231="",N231&lt;&gt;"Lump Sum / Quote"),"RESOURCE CODE",IF(Y231=0,"RATE MISSING",IF(AND(O231="Plant",AD231="Yes",COUNTIFS($B$7:$B$306,B231,$O$7:$O$306,"Labour",$Q$7:$Q$306,"*Operator*")&gt;0),"OPERATOR DOUBLE-COUNT",IF(AND(O231="Plant",AE231="Yes",COUNTIFS($B$7:$B$306,B231,$Q$7:$Q$306,"*Fuel*")&gt;0),"FUEL DOUBLE-COUNT",IF(AH231&lt;&gt;"Yes","VERIFY","OK"))))))</x:f>
      </x:c>
      <x:c r="AJ231" s="54"/>
      <x:c r="AK231" s="473"/>
      <x:c r="AL231" s="473"/>
      <x:c r="AM231" s="473"/>
      <x:c r="AN231" s="500" t="n">
        <x:f>IF(AND(AK231="Yes",OR(O231="Labour",O231="Plant")),Z231,0)</x:f>
        <x:v>0</x:v>
      </x:c>
    </x:row>
    <x:row r="232">
      <x:c r="A232" s="80" t="str">
        <x:f>IF(B232="","",B232&amp;"-"&amp;TEXT(COUNTIF($B$7:B232,B232),"000"))</x:f>
      </x:c>
      <x:c r="B232" s="53"/>
      <x:c r="C232" s="81" t="str">
        <x:f>IFERROR(INDEX('QS Takeoff'!$A$3:$A$194,MATCH(B232,'QS Takeoff'!$B$3:$B$194,0)),"")</x:f>
      </x:c>
      <x:c r="D232" s="81" t="str">
        <x:f>IFERROR(INDEX('QS Takeoff'!$C$3:$C$194,MATCH(B232,'QS Takeoff'!$B$3:$B$194,0)),"")</x:f>
      </x:c>
      <x:c r="E232" s="81" t="str">
        <x:f>IFERROR(INDEX('QS Takeoff'!$E$3:$E$194,MATCH(B232,'QS Takeoff'!$B$3:$B$194,0)),"")</x:f>
      </x:c>
      <x:c r="F232" s="81" t="str">
        <x:f>IFERROR(INDEX('QS Takeoff'!$D$3:$D$194,MATCH(B232,'QS Takeoff'!$B$3:$B$194,0)),"")</x:f>
      </x:c>
      <x:c r="G232" s="81" t="str">
        <x:f>IFERROR(INDEX('QS Takeoff'!$J$3:$J$194,MATCH(B232,'QS Takeoff'!$B$3:$B$194,0)),"")</x:f>
      </x:c>
      <x:c r="H232" s="53"/>
      <x:c r="I232" s="60"/>
      <x:c r="J232" s="60"/>
      <x:c r="K232" s="82" t="str">
        <x:f t="shared" si="18">IF(OR(B232="",I232="",I232=0),"",E232/I232)</x:f>
      </x:c>
      <x:c r="L232" s="60"/>
      <x:c r="M232" s="82" t="str">
        <x:f t="shared" si="19">IF(L232&gt;0,L232,K232)</x:f>
      </x:c>
      <x:c r="N232" s="53"/>
      <x:c r="O232" s="53"/>
      <x:c r="P232" s="53"/>
      <x:c r="Q232" s="81" t="str">
        <x:f>IFERROR(INDEX('Resource Rate Library'!$C$5:$C$85,MATCH(P232,'Resource Rate Library'!$A$5:$A$85,0)),"")</x:f>
      </x:c>
      <x:c r="R232" s="53"/>
      <x:c r="S232" s="53"/>
      <x:c r="T232" s="81" t="str">
        <x:f>IFERROR(INDEX('Resource Rate Library'!$E$5:$E$85,MATCH(P232,'Resource Rate Library'!$A$5:$A$85,0)),"")</x:f>
      </x:c>
      <x:c r="U232" s="62"/>
      <x:c r="V232" s="62"/>
      <x:c r="W232" s="83" t="n">
        <x:f>IFERROR(INDEX('Resource Rate Library'!$I$5:$I$85,MATCH(P232,'Resource Rate Library'!$A$5:$A$85,0)),0)</x:f>
        <x:v>0</x:v>
      </x:c>
      <x:c r="X232" s="52"/>
      <x:c r="Y232" s="83" t="n">
        <x:f t="shared" si="20">IF(X232&gt;0,X232,W232)</x:f>
        <x:v>0</x:v>
      </x:c>
      <x:c r="Z232" s="83" t="str">
        <x:f t="shared" si="21">IF(B232="","",IF(N232="Time x Count",M232*R232*IF(U232="",1,U232)*Y232,IF(N232="QS Qty x Factor",E232*R232*(1+IF(V232="",0,V232))*Y232,IF(N232="Direct Qty",S232*(1+IF(V232="",0,V232))*Y232,IF(N232="Lump Sum / Quote",S232*Y232,0)))))</x:f>
      </x:c>
      <x:c r="AA232" s="81" t="str">
        <x:f>IFERROR(INDEX('Resource Rate Library'!$N$5:$N$85,MATCH(P232,'Resource Rate Library'!$A$5:$A$85,0)),"")</x:f>
      </x:c>
      <x:c r="AB232" s="53"/>
      <x:c r="AC232" s="59"/>
      <x:c r="AD232" s="81" t="str">
        <x:f>IFERROR(INDEX('Resource Rate Library'!$G$5:$G$85,MATCH(P232,'Resource Rate Library'!$A$5:$A$85,0)),"")</x:f>
      </x:c>
      <x:c r="AE232" s="81" t="str">
        <x:f>IFERROR(INDEX('Resource Rate Library'!$H$5:$H$85,MATCH(P232,'Resource Rate Library'!$A$5:$A$85,0)),"")</x:f>
      </x:c>
      <x:c r="AF232" s="53"/>
      <x:c r="AG232" s="53"/>
      <x:c r="AH232" s="53"/>
      <x:c r="AI232" s="81" t="str">
        <x:f t="shared" si="22">IF(B232="","",IF(AND(P232="",N232&lt;&gt;"Lump Sum / Quote"),"RESOURCE CODE",IF(Y232=0,"RATE MISSING",IF(AND(O232="Plant",AD232="Yes",COUNTIFS($B$7:$B$306,B232,$O$7:$O$306,"Labour",$Q$7:$Q$306,"*Operator*")&gt;0),"OPERATOR DOUBLE-COUNT",IF(AND(O232="Plant",AE232="Yes",COUNTIFS($B$7:$B$306,B232,$Q$7:$Q$306,"*Fuel*")&gt;0),"FUEL DOUBLE-COUNT",IF(AH232&lt;&gt;"Yes","VERIFY","OK"))))))</x:f>
      </x:c>
      <x:c r="AJ232" s="54"/>
      <x:c r="AK232" s="473"/>
      <x:c r="AL232" s="473"/>
      <x:c r="AM232" s="473"/>
      <x:c r="AN232" s="500" t="n">
        <x:f>IF(AND(AK232="Yes",OR(O232="Labour",O232="Plant")),Z232,0)</x:f>
        <x:v>0</x:v>
      </x:c>
    </x:row>
    <x:row r="233">
      <x:c r="A233" s="80" t="str">
        <x:f>IF(B233="","",B233&amp;"-"&amp;TEXT(COUNTIF($B$7:B233,B233),"000"))</x:f>
      </x:c>
      <x:c r="B233" s="53"/>
      <x:c r="C233" s="81" t="str">
        <x:f>IFERROR(INDEX('QS Takeoff'!$A$3:$A$194,MATCH(B233,'QS Takeoff'!$B$3:$B$194,0)),"")</x:f>
      </x:c>
      <x:c r="D233" s="81" t="str">
        <x:f>IFERROR(INDEX('QS Takeoff'!$C$3:$C$194,MATCH(B233,'QS Takeoff'!$B$3:$B$194,0)),"")</x:f>
      </x:c>
      <x:c r="E233" s="81" t="str">
        <x:f>IFERROR(INDEX('QS Takeoff'!$E$3:$E$194,MATCH(B233,'QS Takeoff'!$B$3:$B$194,0)),"")</x:f>
      </x:c>
      <x:c r="F233" s="81" t="str">
        <x:f>IFERROR(INDEX('QS Takeoff'!$D$3:$D$194,MATCH(B233,'QS Takeoff'!$B$3:$B$194,0)),"")</x:f>
      </x:c>
      <x:c r="G233" s="81" t="str">
        <x:f>IFERROR(INDEX('QS Takeoff'!$J$3:$J$194,MATCH(B233,'QS Takeoff'!$B$3:$B$194,0)),"")</x:f>
      </x:c>
      <x:c r="H233" s="53"/>
      <x:c r="I233" s="60"/>
      <x:c r="J233" s="60"/>
      <x:c r="K233" s="82" t="str">
        <x:f t="shared" si="18">IF(OR(B233="",I233="",I233=0),"",E233/I233)</x:f>
      </x:c>
      <x:c r="L233" s="60"/>
      <x:c r="M233" s="82" t="str">
        <x:f t="shared" si="19">IF(L233&gt;0,L233,K233)</x:f>
      </x:c>
      <x:c r="N233" s="53"/>
      <x:c r="O233" s="53"/>
      <x:c r="P233" s="53"/>
      <x:c r="Q233" s="81" t="str">
        <x:f>IFERROR(INDEX('Resource Rate Library'!$C$5:$C$85,MATCH(P233,'Resource Rate Library'!$A$5:$A$85,0)),"")</x:f>
      </x:c>
      <x:c r="R233" s="53"/>
      <x:c r="S233" s="53"/>
      <x:c r="T233" s="81" t="str">
        <x:f>IFERROR(INDEX('Resource Rate Library'!$E$5:$E$85,MATCH(P233,'Resource Rate Library'!$A$5:$A$85,0)),"")</x:f>
      </x:c>
      <x:c r="U233" s="62"/>
      <x:c r="V233" s="62"/>
      <x:c r="W233" s="83" t="n">
        <x:f>IFERROR(INDEX('Resource Rate Library'!$I$5:$I$85,MATCH(P233,'Resource Rate Library'!$A$5:$A$85,0)),0)</x:f>
        <x:v>0</x:v>
      </x:c>
      <x:c r="X233" s="52"/>
      <x:c r="Y233" s="83" t="n">
        <x:f t="shared" si="20">IF(X233&gt;0,X233,W233)</x:f>
        <x:v>0</x:v>
      </x:c>
      <x:c r="Z233" s="83" t="str">
        <x:f t="shared" si="21">IF(B233="","",IF(N233="Time x Count",M233*R233*IF(U233="",1,U233)*Y233,IF(N233="QS Qty x Factor",E233*R233*(1+IF(V233="",0,V233))*Y233,IF(N233="Direct Qty",S233*(1+IF(V233="",0,V233))*Y233,IF(N233="Lump Sum / Quote",S233*Y233,0)))))</x:f>
      </x:c>
      <x:c r="AA233" s="81" t="str">
        <x:f>IFERROR(INDEX('Resource Rate Library'!$N$5:$N$85,MATCH(P233,'Resource Rate Library'!$A$5:$A$85,0)),"")</x:f>
      </x:c>
      <x:c r="AB233" s="53"/>
      <x:c r="AC233" s="59"/>
      <x:c r="AD233" s="81" t="str">
        <x:f>IFERROR(INDEX('Resource Rate Library'!$G$5:$G$85,MATCH(P233,'Resource Rate Library'!$A$5:$A$85,0)),"")</x:f>
      </x:c>
      <x:c r="AE233" s="81" t="str">
        <x:f>IFERROR(INDEX('Resource Rate Library'!$H$5:$H$85,MATCH(P233,'Resource Rate Library'!$A$5:$A$85,0)),"")</x:f>
      </x:c>
      <x:c r="AF233" s="53"/>
      <x:c r="AG233" s="53"/>
      <x:c r="AH233" s="53"/>
      <x:c r="AI233" s="81" t="str">
        <x:f t="shared" si="22">IF(B233="","",IF(AND(P233="",N233&lt;&gt;"Lump Sum / Quote"),"RESOURCE CODE",IF(Y233=0,"RATE MISSING",IF(AND(O233="Plant",AD233="Yes",COUNTIFS($B$7:$B$306,B233,$O$7:$O$306,"Labour",$Q$7:$Q$306,"*Operator*")&gt;0),"OPERATOR DOUBLE-COUNT",IF(AND(O233="Plant",AE233="Yes",COUNTIFS($B$7:$B$306,B233,$Q$7:$Q$306,"*Fuel*")&gt;0),"FUEL DOUBLE-COUNT",IF(AH233&lt;&gt;"Yes","VERIFY","OK"))))))</x:f>
      </x:c>
      <x:c r="AJ233" s="54"/>
      <x:c r="AK233" s="473"/>
      <x:c r="AL233" s="473"/>
      <x:c r="AM233" s="473"/>
      <x:c r="AN233" s="500" t="n">
        <x:f>IF(AND(AK233="Yes",OR(O233="Labour",O233="Plant")),Z233,0)</x:f>
        <x:v>0</x:v>
      </x:c>
    </x:row>
    <x:row r="234">
      <x:c r="A234" s="80" t="str">
        <x:f>IF(B234="","",B234&amp;"-"&amp;TEXT(COUNTIF($B$7:B234,B234),"000"))</x:f>
      </x:c>
      <x:c r="B234" s="53"/>
      <x:c r="C234" s="81" t="str">
        <x:f>IFERROR(INDEX('QS Takeoff'!$A$3:$A$194,MATCH(B234,'QS Takeoff'!$B$3:$B$194,0)),"")</x:f>
      </x:c>
      <x:c r="D234" s="81" t="str">
        <x:f>IFERROR(INDEX('QS Takeoff'!$C$3:$C$194,MATCH(B234,'QS Takeoff'!$B$3:$B$194,0)),"")</x:f>
      </x:c>
      <x:c r="E234" s="81" t="str">
        <x:f>IFERROR(INDEX('QS Takeoff'!$E$3:$E$194,MATCH(B234,'QS Takeoff'!$B$3:$B$194,0)),"")</x:f>
      </x:c>
      <x:c r="F234" s="81" t="str">
        <x:f>IFERROR(INDEX('QS Takeoff'!$D$3:$D$194,MATCH(B234,'QS Takeoff'!$B$3:$B$194,0)),"")</x:f>
      </x:c>
      <x:c r="G234" s="81" t="str">
        <x:f>IFERROR(INDEX('QS Takeoff'!$J$3:$J$194,MATCH(B234,'QS Takeoff'!$B$3:$B$194,0)),"")</x:f>
      </x:c>
      <x:c r="H234" s="53"/>
      <x:c r="I234" s="60"/>
      <x:c r="J234" s="60"/>
      <x:c r="K234" s="82" t="str">
        <x:f t="shared" si="18">IF(OR(B234="",I234="",I234=0),"",E234/I234)</x:f>
      </x:c>
      <x:c r="L234" s="60"/>
      <x:c r="M234" s="82" t="str">
        <x:f t="shared" si="19">IF(L234&gt;0,L234,K234)</x:f>
      </x:c>
      <x:c r="N234" s="53"/>
      <x:c r="O234" s="53"/>
      <x:c r="P234" s="53"/>
      <x:c r="Q234" s="81" t="str">
        <x:f>IFERROR(INDEX('Resource Rate Library'!$C$5:$C$85,MATCH(P234,'Resource Rate Library'!$A$5:$A$85,0)),"")</x:f>
      </x:c>
      <x:c r="R234" s="53"/>
      <x:c r="S234" s="53"/>
      <x:c r="T234" s="81" t="str">
        <x:f>IFERROR(INDEX('Resource Rate Library'!$E$5:$E$85,MATCH(P234,'Resource Rate Library'!$A$5:$A$85,0)),"")</x:f>
      </x:c>
      <x:c r="U234" s="62"/>
      <x:c r="V234" s="62"/>
      <x:c r="W234" s="83" t="n">
        <x:f>IFERROR(INDEX('Resource Rate Library'!$I$5:$I$85,MATCH(P234,'Resource Rate Library'!$A$5:$A$85,0)),0)</x:f>
        <x:v>0</x:v>
      </x:c>
      <x:c r="X234" s="52"/>
      <x:c r="Y234" s="83" t="n">
        <x:f t="shared" si="20">IF(X234&gt;0,X234,W234)</x:f>
        <x:v>0</x:v>
      </x:c>
      <x:c r="Z234" s="83" t="str">
        <x:f t="shared" si="21">IF(B234="","",IF(N234="Time x Count",M234*R234*IF(U234="",1,U234)*Y234,IF(N234="QS Qty x Factor",E234*R234*(1+IF(V234="",0,V234))*Y234,IF(N234="Direct Qty",S234*(1+IF(V234="",0,V234))*Y234,IF(N234="Lump Sum / Quote",S234*Y234,0)))))</x:f>
      </x:c>
      <x:c r="AA234" s="81" t="str">
        <x:f>IFERROR(INDEX('Resource Rate Library'!$N$5:$N$85,MATCH(P234,'Resource Rate Library'!$A$5:$A$85,0)),"")</x:f>
      </x:c>
      <x:c r="AB234" s="53"/>
      <x:c r="AC234" s="59"/>
      <x:c r="AD234" s="81" t="str">
        <x:f>IFERROR(INDEX('Resource Rate Library'!$G$5:$G$85,MATCH(P234,'Resource Rate Library'!$A$5:$A$85,0)),"")</x:f>
      </x:c>
      <x:c r="AE234" s="81" t="str">
        <x:f>IFERROR(INDEX('Resource Rate Library'!$H$5:$H$85,MATCH(P234,'Resource Rate Library'!$A$5:$A$85,0)),"")</x:f>
      </x:c>
      <x:c r="AF234" s="53"/>
      <x:c r="AG234" s="53"/>
      <x:c r="AH234" s="53"/>
      <x:c r="AI234" s="81" t="str">
        <x:f t="shared" si="22">IF(B234="","",IF(AND(P234="",N234&lt;&gt;"Lump Sum / Quote"),"RESOURCE CODE",IF(Y234=0,"RATE MISSING",IF(AND(O234="Plant",AD234="Yes",COUNTIFS($B$7:$B$306,B234,$O$7:$O$306,"Labour",$Q$7:$Q$306,"*Operator*")&gt;0),"OPERATOR DOUBLE-COUNT",IF(AND(O234="Plant",AE234="Yes",COUNTIFS($B$7:$B$306,B234,$Q$7:$Q$306,"*Fuel*")&gt;0),"FUEL DOUBLE-COUNT",IF(AH234&lt;&gt;"Yes","VERIFY","OK"))))))</x:f>
      </x:c>
      <x:c r="AJ234" s="54"/>
      <x:c r="AK234" s="473"/>
      <x:c r="AL234" s="473"/>
      <x:c r="AM234" s="473"/>
      <x:c r="AN234" s="500" t="n">
        <x:f>IF(AND(AK234="Yes",OR(O234="Labour",O234="Plant")),Z234,0)</x:f>
        <x:v>0</x:v>
      </x:c>
    </x:row>
    <x:row r="235">
      <x:c r="A235" s="80" t="str">
        <x:f>IF(B235="","",B235&amp;"-"&amp;TEXT(COUNTIF($B$7:B235,B235),"000"))</x:f>
      </x:c>
      <x:c r="B235" s="53"/>
      <x:c r="C235" s="81" t="str">
        <x:f>IFERROR(INDEX('QS Takeoff'!$A$3:$A$194,MATCH(B235,'QS Takeoff'!$B$3:$B$194,0)),"")</x:f>
      </x:c>
      <x:c r="D235" s="81" t="str">
        <x:f>IFERROR(INDEX('QS Takeoff'!$C$3:$C$194,MATCH(B235,'QS Takeoff'!$B$3:$B$194,0)),"")</x:f>
      </x:c>
      <x:c r="E235" s="81" t="str">
        <x:f>IFERROR(INDEX('QS Takeoff'!$E$3:$E$194,MATCH(B235,'QS Takeoff'!$B$3:$B$194,0)),"")</x:f>
      </x:c>
      <x:c r="F235" s="81" t="str">
        <x:f>IFERROR(INDEX('QS Takeoff'!$D$3:$D$194,MATCH(B235,'QS Takeoff'!$B$3:$B$194,0)),"")</x:f>
      </x:c>
      <x:c r="G235" s="81" t="str">
        <x:f>IFERROR(INDEX('QS Takeoff'!$J$3:$J$194,MATCH(B235,'QS Takeoff'!$B$3:$B$194,0)),"")</x:f>
      </x:c>
      <x:c r="H235" s="53"/>
      <x:c r="I235" s="60"/>
      <x:c r="J235" s="60"/>
      <x:c r="K235" s="82" t="str">
        <x:f t="shared" si="18">IF(OR(B235="",I235="",I235=0),"",E235/I235)</x:f>
      </x:c>
      <x:c r="L235" s="60"/>
      <x:c r="M235" s="82" t="str">
        <x:f t="shared" si="19">IF(L235&gt;0,L235,K235)</x:f>
      </x:c>
      <x:c r="N235" s="53"/>
      <x:c r="O235" s="53"/>
      <x:c r="P235" s="53"/>
      <x:c r="Q235" s="81" t="str">
        <x:f>IFERROR(INDEX('Resource Rate Library'!$C$5:$C$85,MATCH(P235,'Resource Rate Library'!$A$5:$A$85,0)),"")</x:f>
      </x:c>
      <x:c r="R235" s="53"/>
      <x:c r="S235" s="53"/>
      <x:c r="T235" s="81" t="str">
        <x:f>IFERROR(INDEX('Resource Rate Library'!$E$5:$E$85,MATCH(P235,'Resource Rate Library'!$A$5:$A$85,0)),"")</x:f>
      </x:c>
      <x:c r="U235" s="62"/>
      <x:c r="V235" s="62"/>
      <x:c r="W235" s="83" t="n">
        <x:f>IFERROR(INDEX('Resource Rate Library'!$I$5:$I$85,MATCH(P235,'Resource Rate Library'!$A$5:$A$85,0)),0)</x:f>
        <x:v>0</x:v>
      </x:c>
      <x:c r="X235" s="52"/>
      <x:c r="Y235" s="83" t="n">
        <x:f t="shared" si="20">IF(X235&gt;0,X235,W235)</x:f>
        <x:v>0</x:v>
      </x:c>
      <x:c r="Z235" s="83" t="str">
        <x:f t="shared" si="21">IF(B235="","",IF(N235="Time x Count",M235*R235*IF(U235="",1,U235)*Y235,IF(N235="QS Qty x Factor",E235*R235*(1+IF(V235="",0,V235))*Y235,IF(N235="Direct Qty",S235*(1+IF(V235="",0,V235))*Y235,IF(N235="Lump Sum / Quote",S235*Y235,0)))))</x:f>
      </x:c>
      <x:c r="AA235" s="81" t="str">
        <x:f>IFERROR(INDEX('Resource Rate Library'!$N$5:$N$85,MATCH(P235,'Resource Rate Library'!$A$5:$A$85,0)),"")</x:f>
      </x:c>
      <x:c r="AB235" s="53"/>
      <x:c r="AC235" s="59"/>
      <x:c r="AD235" s="81" t="str">
        <x:f>IFERROR(INDEX('Resource Rate Library'!$G$5:$G$85,MATCH(P235,'Resource Rate Library'!$A$5:$A$85,0)),"")</x:f>
      </x:c>
      <x:c r="AE235" s="81" t="str">
        <x:f>IFERROR(INDEX('Resource Rate Library'!$H$5:$H$85,MATCH(P235,'Resource Rate Library'!$A$5:$A$85,0)),"")</x:f>
      </x:c>
      <x:c r="AF235" s="53"/>
      <x:c r="AG235" s="53"/>
      <x:c r="AH235" s="53"/>
      <x:c r="AI235" s="81" t="str">
        <x:f t="shared" si="22">IF(B235="","",IF(AND(P235="",N235&lt;&gt;"Lump Sum / Quote"),"RESOURCE CODE",IF(Y235=0,"RATE MISSING",IF(AND(O235="Plant",AD235="Yes",COUNTIFS($B$7:$B$306,B235,$O$7:$O$306,"Labour",$Q$7:$Q$306,"*Operator*")&gt;0),"OPERATOR DOUBLE-COUNT",IF(AND(O235="Plant",AE235="Yes",COUNTIFS($B$7:$B$306,B235,$Q$7:$Q$306,"*Fuel*")&gt;0),"FUEL DOUBLE-COUNT",IF(AH235&lt;&gt;"Yes","VERIFY","OK"))))))</x:f>
      </x:c>
      <x:c r="AJ235" s="54"/>
      <x:c r="AK235" s="473"/>
      <x:c r="AL235" s="473"/>
      <x:c r="AM235" s="473"/>
      <x:c r="AN235" s="500" t="n">
        <x:f>IF(AND(AK235="Yes",OR(O235="Labour",O235="Plant")),Z235,0)</x:f>
        <x:v>0</x:v>
      </x:c>
    </x:row>
    <x:row r="236">
      <x:c r="A236" s="80" t="str">
        <x:f>IF(B236="","",B236&amp;"-"&amp;TEXT(COUNTIF($B$7:B236,B236),"000"))</x:f>
      </x:c>
      <x:c r="B236" s="53"/>
      <x:c r="C236" s="81" t="str">
        <x:f>IFERROR(INDEX('QS Takeoff'!$A$3:$A$194,MATCH(B236,'QS Takeoff'!$B$3:$B$194,0)),"")</x:f>
      </x:c>
      <x:c r="D236" s="81" t="str">
        <x:f>IFERROR(INDEX('QS Takeoff'!$C$3:$C$194,MATCH(B236,'QS Takeoff'!$B$3:$B$194,0)),"")</x:f>
      </x:c>
      <x:c r="E236" s="81" t="str">
        <x:f>IFERROR(INDEX('QS Takeoff'!$E$3:$E$194,MATCH(B236,'QS Takeoff'!$B$3:$B$194,0)),"")</x:f>
      </x:c>
      <x:c r="F236" s="81" t="str">
        <x:f>IFERROR(INDEX('QS Takeoff'!$D$3:$D$194,MATCH(B236,'QS Takeoff'!$B$3:$B$194,0)),"")</x:f>
      </x:c>
      <x:c r="G236" s="81" t="str">
        <x:f>IFERROR(INDEX('QS Takeoff'!$J$3:$J$194,MATCH(B236,'QS Takeoff'!$B$3:$B$194,0)),"")</x:f>
      </x:c>
      <x:c r="H236" s="53"/>
      <x:c r="I236" s="60"/>
      <x:c r="J236" s="60"/>
      <x:c r="K236" s="82" t="str">
        <x:f t="shared" si="18">IF(OR(B236="",I236="",I236=0),"",E236/I236)</x:f>
      </x:c>
      <x:c r="L236" s="60"/>
      <x:c r="M236" s="82" t="str">
        <x:f t="shared" si="19">IF(L236&gt;0,L236,K236)</x:f>
      </x:c>
      <x:c r="N236" s="53"/>
      <x:c r="O236" s="53"/>
      <x:c r="P236" s="53"/>
      <x:c r="Q236" s="81" t="str">
        <x:f>IFERROR(INDEX('Resource Rate Library'!$C$5:$C$85,MATCH(P236,'Resource Rate Library'!$A$5:$A$85,0)),"")</x:f>
      </x:c>
      <x:c r="R236" s="53"/>
      <x:c r="S236" s="53"/>
      <x:c r="T236" s="81" t="str">
        <x:f>IFERROR(INDEX('Resource Rate Library'!$E$5:$E$85,MATCH(P236,'Resource Rate Library'!$A$5:$A$85,0)),"")</x:f>
      </x:c>
      <x:c r="U236" s="62"/>
      <x:c r="V236" s="62"/>
      <x:c r="W236" s="83" t="n">
        <x:f>IFERROR(INDEX('Resource Rate Library'!$I$5:$I$85,MATCH(P236,'Resource Rate Library'!$A$5:$A$85,0)),0)</x:f>
        <x:v>0</x:v>
      </x:c>
      <x:c r="X236" s="52"/>
      <x:c r="Y236" s="83" t="n">
        <x:f t="shared" si="20">IF(X236&gt;0,X236,W236)</x:f>
        <x:v>0</x:v>
      </x:c>
      <x:c r="Z236" s="83" t="str">
        <x:f t="shared" si="21">IF(B236="","",IF(N236="Time x Count",M236*R236*IF(U236="",1,U236)*Y236,IF(N236="QS Qty x Factor",E236*R236*(1+IF(V236="",0,V236))*Y236,IF(N236="Direct Qty",S236*(1+IF(V236="",0,V236))*Y236,IF(N236="Lump Sum / Quote",S236*Y236,0)))))</x:f>
      </x:c>
      <x:c r="AA236" s="81" t="str">
        <x:f>IFERROR(INDEX('Resource Rate Library'!$N$5:$N$85,MATCH(P236,'Resource Rate Library'!$A$5:$A$85,0)),"")</x:f>
      </x:c>
      <x:c r="AB236" s="53"/>
      <x:c r="AC236" s="59"/>
      <x:c r="AD236" s="81" t="str">
        <x:f>IFERROR(INDEX('Resource Rate Library'!$G$5:$G$85,MATCH(P236,'Resource Rate Library'!$A$5:$A$85,0)),"")</x:f>
      </x:c>
      <x:c r="AE236" s="81" t="str">
        <x:f>IFERROR(INDEX('Resource Rate Library'!$H$5:$H$85,MATCH(P236,'Resource Rate Library'!$A$5:$A$85,0)),"")</x:f>
      </x:c>
      <x:c r="AF236" s="53"/>
      <x:c r="AG236" s="53"/>
      <x:c r="AH236" s="53"/>
      <x:c r="AI236" s="81" t="str">
        <x:f t="shared" si="22">IF(B236="","",IF(AND(P236="",N236&lt;&gt;"Lump Sum / Quote"),"RESOURCE CODE",IF(Y236=0,"RATE MISSING",IF(AND(O236="Plant",AD236="Yes",COUNTIFS($B$7:$B$306,B236,$O$7:$O$306,"Labour",$Q$7:$Q$306,"*Operator*")&gt;0),"OPERATOR DOUBLE-COUNT",IF(AND(O236="Plant",AE236="Yes",COUNTIFS($B$7:$B$306,B236,$Q$7:$Q$306,"*Fuel*")&gt;0),"FUEL DOUBLE-COUNT",IF(AH236&lt;&gt;"Yes","VERIFY","OK"))))))</x:f>
      </x:c>
      <x:c r="AJ236" s="54"/>
      <x:c r="AK236" s="473"/>
      <x:c r="AL236" s="473"/>
      <x:c r="AM236" s="473"/>
      <x:c r="AN236" s="500" t="n">
        <x:f>IF(AND(AK236="Yes",OR(O236="Labour",O236="Plant")),Z236,0)</x:f>
        <x:v>0</x:v>
      </x:c>
    </x:row>
    <x:row r="237">
      <x:c r="A237" s="80" t="str">
        <x:f>IF(B237="","",B237&amp;"-"&amp;TEXT(COUNTIF($B$7:B237,B237),"000"))</x:f>
      </x:c>
      <x:c r="B237" s="53"/>
      <x:c r="C237" s="81" t="str">
        <x:f>IFERROR(INDEX('QS Takeoff'!$A$3:$A$194,MATCH(B237,'QS Takeoff'!$B$3:$B$194,0)),"")</x:f>
      </x:c>
      <x:c r="D237" s="81" t="str">
        <x:f>IFERROR(INDEX('QS Takeoff'!$C$3:$C$194,MATCH(B237,'QS Takeoff'!$B$3:$B$194,0)),"")</x:f>
      </x:c>
      <x:c r="E237" s="81" t="str">
        <x:f>IFERROR(INDEX('QS Takeoff'!$E$3:$E$194,MATCH(B237,'QS Takeoff'!$B$3:$B$194,0)),"")</x:f>
      </x:c>
      <x:c r="F237" s="81" t="str">
        <x:f>IFERROR(INDEX('QS Takeoff'!$D$3:$D$194,MATCH(B237,'QS Takeoff'!$B$3:$B$194,0)),"")</x:f>
      </x:c>
      <x:c r="G237" s="81" t="str">
        <x:f>IFERROR(INDEX('QS Takeoff'!$J$3:$J$194,MATCH(B237,'QS Takeoff'!$B$3:$B$194,0)),"")</x:f>
      </x:c>
      <x:c r="H237" s="53"/>
      <x:c r="I237" s="60"/>
      <x:c r="J237" s="60"/>
      <x:c r="K237" s="82" t="str">
        <x:f t="shared" si="18">IF(OR(B237="",I237="",I237=0),"",E237/I237)</x:f>
      </x:c>
      <x:c r="L237" s="60"/>
      <x:c r="M237" s="82" t="str">
        <x:f t="shared" si="19">IF(L237&gt;0,L237,K237)</x:f>
      </x:c>
      <x:c r="N237" s="53"/>
      <x:c r="O237" s="53"/>
      <x:c r="P237" s="53"/>
      <x:c r="Q237" s="81" t="str">
        <x:f>IFERROR(INDEX('Resource Rate Library'!$C$5:$C$85,MATCH(P237,'Resource Rate Library'!$A$5:$A$85,0)),"")</x:f>
      </x:c>
      <x:c r="R237" s="53"/>
      <x:c r="S237" s="53"/>
      <x:c r="T237" s="81" t="str">
        <x:f>IFERROR(INDEX('Resource Rate Library'!$E$5:$E$85,MATCH(P237,'Resource Rate Library'!$A$5:$A$85,0)),"")</x:f>
      </x:c>
      <x:c r="U237" s="62"/>
      <x:c r="V237" s="62"/>
      <x:c r="W237" s="83" t="n">
        <x:f>IFERROR(INDEX('Resource Rate Library'!$I$5:$I$85,MATCH(P237,'Resource Rate Library'!$A$5:$A$85,0)),0)</x:f>
        <x:v>0</x:v>
      </x:c>
      <x:c r="X237" s="52"/>
      <x:c r="Y237" s="83" t="n">
        <x:f t="shared" si="20">IF(X237&gt;0,X237,W237)</x:f>
        <x:v>0</x:v>
      </x:c>
      <x:c r="Z237" s="83" t="str">
        <x:f t="shared" si="21">IF(B237="","",IF(N237="Time x Count",M237*R237*IF(U237="",1,U237)*Y237,IF(N237="QS Qty x Factor",E237*R237*(1+IF(V237="",0,V237))*Y237,IF(N237="Direct Qty",S237*(1+IF(V237="",0,V237))*Y237,IF(N237="Lump Sum / Quote",S237*Y237,0)))))</x:f>
      </x:c>
      <x:c r="AA237" s="81" t="str">
        <x:f>IFERROR(INDEX('Resource Rate Library'!$N$5:$N$85,MATCH(P237,'Resource Rate Library'!$A$5:$A$85,0)),"")</x:f>
      </x:c>
      <x:c r="AB237" s="53"/>
      <x:c r="AC237" s="59"/>
      <x:c r="AD237" s="81" t="str">
        <x:f>IFERROR(INDEX('Resource Rate Library'!$G$5:$G$85,MATCH(P237,'Resource Rate Library'!$A$5:$A$85,0)),"")</x:f>
      </x:c>
      <x:c r="AE237" s="81" t="str">
        <x:f>IFERROR(INDEX('Resource Rate Library'!$H$5:$H$85,MATCH(P237,'Resource Rate Library'!$A$5:$A$85,0)),"")</x:f>
      </x:c>
      <x:c r="AF237" s="53"/>
      <x:c r="AG237" s="53"/>
      <x:c r="AH237" s="53"/>
      <x:c r="AI237" s="81" t="str">
        <x:f t="shared" si="22">IF(B237="","",IF(AND(P237="",N237&lt;&gt;"Lump Sum / Quote"),"RESOURCE CODE",IF(Y237=0,"RATE MISSING",IF(AND(O237="Plant",AD237="Yes",COUNTIFS($B$7:$B$306,B237,$O$7:$O$306,"Labour",$Q$7:$Q$306,"*Operator*")&gt;0),"OPERATOR DOUBLE-COUNT",IF(AND(O237="Plant",AE237="Yes",COUNTIFS($B$7:$B$306,B237,$Q$7:$Q$306,"*Fuel*")&gt;0),"FUEL DOUBLE-COUNT",IF(AH237&lt;&gt;"Yes","VERIFY","OK"))))))</x:f>
      </x:c>
      <x:c r="AJ237" s="54"/>
      <x:c r="AK237" s="473"/>
      <x:c r="AL237" s="473"/>
      <x:c r="AM237" s="473"/>
      <x:c r="AN237" s="500" t="n">
        <x:f>IF(AND(AK237="Yes",OR(O237="Labour",O237="Plant")),Z237,0)</x:f>
        <x:v>0</x:v>
      </x:c>
    </x:row>
    <x:row r="238">
      <x:c r="A238" s="80" t="str">
        <x:f>IF(B238="","",B238&amp;"-"&amp;TEXT(COUNTIF($B$7:B238,B238),"000"))</x:f>
      </x:c>
      <x:c r="B238" s="53"/>
      <x:c r="C238" s="81" t="str">
        <x:f>IFERROR(INDEX('QS Takeoff'!$A$3:$A$194,MATCH(B238,'QS Takeoff'!$B$3:$B$194,0)),"")</x:f>
      </x:c>
      <x:c r="D238" s="81" t="str">
        <x:f>IFERROR(INDEX('QS Takeoff'!$C$3:$C$194,MATCH(B238,'QS Takeoff'!$B$3:$B$194,0)),"")</x:f>
      </x:c>
      <x:c r="E238" s="81" t="str">
        <x:f>IFERROR(INDEX('QS Takeoff'!$E$3:$E$194,MATCH(B238,'QS Takeoff'!$B$3:$B$194,0)),"")</x:f>
      </x:c>
      <x:c r="F238" s="81" t="str">
        <x:f>IFERROR(INDEX('QS Takeoff'!$D$3:$D$194,MATCH(B238,'QS Takeoff'!$B$3:$B$194,0)),"")</x:f>
      </x:c>
      <x:c r="G238" s="81" t="str">
        <x:f>IFERROR(INDEX('QS Takeoff'!$J$3:$J$194,MATCH(B238,'QS Takeoff'!$B$3:$B$194,0)),"")</x:f>
      </x:c>
      <x:c r="H238" s="53"/>
      <x:c r="I238" s="60"/>
      <x:c r="J238" s="60"/>
      <x:c r="K238" s="82" t="str">
        <x:f t="shared" si="18">IF(OR(B238="",I238="",I238=0),"",E238/I238)</x:f>
      </x:c>
      <x:c r="L238" s="60"/>
      <x:c r="M238" s="82" t="str">
        <x:f t="shared" si="19">IF(L238&gt;0,L238,K238)</x:f>
      </x:c>
      <x:c r="N238" s="53"/>
      <x:c r="O238" s="53"/>
      <x:c r="P238" s="53"/>
      <x:c r="Q238" s="81" t="str">
        <x:f>IFERROR(INDEX('Resource Rate Library'!$C$5:$C$85,MATCH(P238,'Resource Rate Library'!$A$5:$A$85,0)),"")</x:f>
      </x:c>
      <x:c r="R238" s="53"/>
      <x:c r="S238" s="53"/>
      <x:c r="T238" s="81" t="str">
        <x:f>IFERROR(INDEX('Resource Rate Library'!$E$5:$E$85,MATCH(P238,'Resource Rate Library'!$A$5:$A$85,0)),"")</x:f>
      </x:c>
      <x:c r="U238" s="62"/>
      <x:c r="V238" s="62"/>
      <x:c r="W238" s="83" t="n">
        <x:f>IFERROR(INDEX('Resource Rate Library'!$I$5:$I$85,MATCH(P238,'Resource Rate Library'!$A$5:$A$85,0)),0)</x:f>
        <x:v>0</x:v>
      </x:c>
      <x:c r="X238" s="52"/>
      <x:c r="Y238" s="83" t="n">
        <x:f t="shared" si="20">IF(X238&gt;0,X238,W238)</x:f>
        <x:v>0</x:v>
      </x:c>
      <x:c r="Z238" s="83" t="str">
        <x:f t="shared" si="21">IF(B238="","",IF(N238="Time x Count",M238*R238*IF(U238="",1,U238)*Y238,IF(N238="QS Qty x Factor",E238*R238*(1+IF(V238="",0,V238))*Y238,IF(N238="Direct Qty",S238*(1+IF(V238="",0,V238))*Y238,IF(N238="Lump Sum / Quote",S238*Y238,0)))))</x:f>
      </x:c>
      <x:c r="AA238" s="81" t="str">
        <x:f>IFERROR(INDEX('Resource Rate Library'!$N$5:$N$85,MATCH(P238,'Resource Rate Library'!$A$5:$A$85,0)),"")</x:f>
      </x:c>
      <x:c r="AB238" s="53"/>
      <x:c r="AC238" s="59"/>
      <x:c r="AD238" s="81" t="str">
        <x:f>IFERROR(INDEX('Resource Rate Library'!$G$5:$G$85,MATCH(P238,'Resource Rate Library'!$A$5:$A$85,0)),"")</x:f>
      </x:c>
      <x:c r="AE238" s="81" t="str">
        <x:f>IFERROR(INDEX('Resource Rate Library'!$H$5:$H$85,MATCH(P238,'Resource Rate Library'!$A$5:$A$85,0)),"")</x:f>
      </x:c>
      <x:c r="AF238" s="53"/>
      <x:c r="AG238" s="53"/>
      <x:c r="AH238" s="53"/>
      <x:c r="AI238" s="81" t="str">
        <x:f t="shared" si="22">IF(B238="","",IF(AND(P238="",N238&lt;&gt;"Lump Sum / Quote"),"RESOURCE CODE",IF(Y238=0,"RATE MISSING",IF(AND(O238="Plant",AD238="Yes",COUNTIFS($B$7:$B$306,B238,$O$7:$O$306,"Labour",$Q$7:$Q$306,"*Operator*")&gt;0),"OPERATOR DOUBLE-COUNT",IF(AND(O238="Plant",AE238="Yes",COUNTIFS($B$7:$B$306,B238,$Q$7:$Q$306,"*Fuel*")&gt;0),"FUEL DOUBLE-COUNT",IF(AH238&lt;&gt;"Yes","VERIFY","OK"))))))</x:f>
      </x:c>
      <x:c r="AJ238" s="54"/>
      <x:c r="AK238" s="473"/>
      <x:c r="AL238" s="473"/>
      <x:c r="AM238" s="473"/>
      <x:c r="AN238" s="500" t="n">
        <x:f>IF(AND(AK238="Yes",OR(O238="Labour",O238="Plant")),Z238,0)</x:f>
        <x:v>0</x:v>
      </x:c>
    </x:row>
    <x:row r="239">
      <x:c r="A239" s="80" t="str">
        <x:f>IF(B239="","",B239&amp;"-"&amp;TEXT(COUNTIF($B$7:B239,B239),"000"))</x:f>
      </x:c>
      <x:c r="B239" s="53"/>
      <x:c r="C239" s="81" t="str">
        <x:f>IFERROR(INDEX('QS Takeoff'!$A$3:$A$194,MATCH(B239,'QS Takeoff'!$B$3:$B$194,0)),"")</x:f>
      </x:c>
      <x:c r="D239" s="81" t="str">
        <x:f>IFERROR(INDEX('QS Takeoff'!$C$3:$C$194,MATCH(B239,'QS Takeoff'!$B$3:$B$194,0)),"")</x:f>
      </x:c>
      <x:c r="E239" s="81" t="str">
        <x:f>IFERROR(INDEX('QS Takeoff'!$E$3:$E$194,MATCH(B239,'QS Takeoff'!$B$3:$B$194,0)),"")</x:f>
      </x:c>
      <x:c r="F239" s="81" t="str">
        <x:f>IFERROR(INDEX('QS Takeoff'!$D$3:$D$194,MATCH(B239,'QS Takeoff'!$B$3:$B$194,0)),"")</x:f>
      </x:c>
      <x:c r="G239" s="81" t="str">
        <x:f>IFERROR(INDEX('QS Takeoff'!$J$3:$J$194,MATCH(B239,'QS Takeoff'!$B$3:$B$194,0)),"")</x:f>
      </x:c>
      <x:c r="H239" s="53"/>
      <x:c r="I239" s="60"/>
      <x:c r="J239" s="60"/>
      <x:c r="K239" s="82" t="str">
        <x:f t="shared" si="18">IF(OR(B239="",I239="",I239=0),"",E239/I239)</x:f>
      </x:c>
      <x:c r="L239" s="60"/>
      <x:c r="M239" s="82" t="str">
        <x:f t="shared" si="19">IF(L239&gt;0,L239,K239)</x:f>
      </x:c>
      <x:c r="N239" s="53"/>
      <x:c r="O239" s="53"/>
      <x:c r="P239" s="53"/>
      <x:c r="Q239" s="81" t="str">
        <x:f>IFERROR(INDEX('Resource Rate Library'!$C$5:$C$85,MATCH(P239,'Resource Rate Library'!$A$5:$A$85,0)),"")</x:f>
      </x:c>
      <x:c r="R239" s="53"/>
      <x:c r="S239" s="53"/>
      <x:c r="T239" s="81" t="str">
        <x:f>IFERROR(INDEX('Resource Rate Library'!$E$5:$E$85,MATCH(P239,'Resource Rate Library'!$A$5:$A$85,0)),"")</x:f>
      </x:c>
      <x:c r="U239" s="62"/>
      <x:c r="V239" s="62"/>
      <x:c r="W239" s="83" t="n">
        <x:f>IFERROR(INDEX('Resource Rate Library'!$I$5:$I$85,MATCH(P239,'Resource Rate Library'!$A$5:$A$85,0)),0)</x:f>
        <x:v>0</x:v>
      </x:c>
      <x:c r="X239" s="52"/>
      <x:c r="Y239" s="83" t="n">
        <x:f t="shared" si="20">IF(X239&gt;0,X239,W239)</x:f>
        <x:v>0</x:v>
      </x:c>
      <x:c r="Z239" s="83" t="str">
        <x:f t="shared" si="21">IF(B239="","",IF(N239="Time x Count",M239*R239*IF(U239="",1,U239)*Y239,IF(N239="QS Qty x Factor",E239*R239*(1+IF(V239="",0,V239))*Y239,IF(N239="Direct Qty",S239*(1+IF(V239="",0,V239))*Y239,IF(N239="Lump Sum / Quote",S239*Y239,0)))))</x:f>
      </x:c>
      <x:c r="AA239" s="81" t="str">
        <x:f>IFERROR(INDEX('Resource Rate Library'!$N$5:$N$85,MATCH(P239,'Resource Rate Library'!$A$5:$A$85,0)),"")</x:f>
      </x:c>
      <x:c r="AB239" s="53"/>
      <x:c r="AC239" s="59"/>
      <x:c r="AD239" s="81" t="str">
        <x:f>IFERROR(INDEX('Resource Rate Library'!$G$5:$G$85,MATCH(P239,'Resource Rate Library'!$A$5:$A$85,0)),"")</x:f>
      </x:c>
      <x:c r="AE239" s="81" t="str">
        <x:f>IFERROR(INDEX('Resource Rate Library'!$H$5:$H$85,MATCH(P239,'Resource Rate Library'!$A$5:$A$85,0)),"")</x:f>
      </x:c>
      <x:c r="AF239" s="53"/>
      <x:c r="AG239" s="53"/>
      <x:c r="AH239" s="53"/>
      <x:c r="AI239" s="81" t="str">
        <x:f t="shared" si="22">IF(B239="","",IF(AND(P239="",N239&lt;&gt;"Lump Sum / Quote"),"RESOURCE CODE",IF(Y239=0,"RATE MISSING",IF(AND(O239="Plant",AD239="Yes",COUNTIFS($B$7:$B$306,B239,$O$7:$O$306,"Labour",$Q$7:$Q$306,"*Operator*")&gt;0),"OPERATOR DOUBLE-COUNT",IF(AND(O239="Plant",AE239="Yes",COUNTIFS($B$7:$B$306,B239,$Q$7:$Q$306,"*Fuel*")&gt;0),"FUEL DOUBLE-COUNT",IF(AH239&lt;&gt;"Yes","VERIFY","OK"))))))</x:f>
      </x:c>
      <x:c r="AJ239" s="54"/>
      <x:c r="AK239" s="473"/>
      <x:c r="AL239" s="473"/>
      <x:c r="AM239" s="473"/>
      <x:c r="AN239" s="500" t="n">
        <x:f>IF(AND(AK239="Yes",OR(O239="Labour",O239="Plant")),Z239,0)</x:f>
        <x:v>0</x:v>
      </x:c>
    </x:row>
    <x:row r="240">
      <x:c r="A240" s="80" t="str">
        <x:f>IF(B240="","",B240&amp;"-"&amp;TEXT(COUNTIF($B$7:B240,B240),"000"))</x:f>
      </x:c>
      <x:c r="B240" s="53"/>
      <x:c r="C240" s="81" t="str">
        <x:f>IFERROR(INDEX('QS Takeoff'!$A$3:$A$194,MATCH(B240,'QS Takeoff'!$B$3:$B$194,0)),"")</x:f>
      </x:c>
      <x:c r="D240" s="81" t="str">
        <x:f>IFERROR(INDEX('QS Takeoff'!$C$3:$C$194,MATCH(B240,'QS Takeoff'!$B$3:$B$194,0)),"")</x:f>
      </x:c>
      <x:c r="E240" s="81" t="str">
        <x:f>IFERROR(INDEX('QS Takeoff'!$E$3:$E$194,MATCH(B240,'QS Takeoff'!$B$3:$B$194,0)),"")</x:f>
      </x:c>
      <x:c r="F240" s="81" t="str">
        <x:f>IFERROR(INDEX('QS Takeoff'!$D$3:$D$194,MATCH(B240,'QS Takeoff'!$B$3:$B$194,0)),"")</x:f>
      </x:c>
      <x:c r="G240" s="81" t="str">
        <x:f>IFERROR(INDEX('QS Takeoff'!$J$3:$J$194,MATCH(B240,'QS Takeoff'!$B$3:$B$194,0)),"")</x:f>
      </x:c>
      <x:c r="H240" s="53"/>
      <x:c r="I240" s="60"/>
      <x:c r="J240" s="60"/>
      <x:c r="K240" s="82" t="str">
        <x:f t="shared" si="18">IF(OR(B240="",I240="",I240=0),"",E240/I240)</x:f>
      </x:c>
      <x:c r="L240" s="60"/>
      <x:c r="M240" s="82" t="str">
        <x:f t="shared" si="19">IF(L240&gt;0,L240,K240)</x:f>
      </x:c>
      <x:c r="N240" s="53"/>
      <x:c r="O240" s="53"/>
      <x:c r="P240" s="53"/>
      <x:c r="Q240" s="81" t="str">
        <x:f>IFERROR(INDEX('Resource Rate Library'!$C$5:$C$85,MATCH(P240,'Resource Rate Library'!$A$5:$A$85,0)),"")</x:f>
      </x:c>
      <x:c r="R240" s="53"/>
      <x:c r="S240" s="53"/>
      <x:c r="T240" s="81" t="str">
        <x:f>IFERROR(INDEX('Resource Rate Library'!$E$5:$E$85,MATCH(P240,'Resource Rate Library'!$A$5:$A$85,0)),"")</x:f>
      </x:c>
      <x:c r="U240" s="62"/>
      <x:c r="V240" s="62"/>
      <x:c r="W240" s="83" t="n">
        <x:f>IFERROR(INDEX('Resource Rate Library'!$I$5:$I$85,MATCH(P240,'Resource Rate Library'!$A$5:$A$85,0)),0)</x:f>
        <x:v>0</x:v>
      </x:c>
      <x:c r="X240" s="52"/>
      <x:c r="Y240" s="83" t="n">
        <x:f t="shared" si="20">IF(X240&gt;0,X240,W240)</x:f>
        <x:v>0</x:v>
      </x:c>
      <x:c r="Z240" s="83" t="str">
        <x:f t="shared" si="21">IF(B240="","",IF(N240="Time x Count",M240*R240*IF(U240="",1,U240)*Y240,IF(N240="QS Qty x Factor",E240*R240*(1+IF(V240="",0,V240))*Y240,IF(N240="Direct Qty",S240*(1+IF(V240="",0,V240))*Y240,IF(N240="Lump Sum / Quote",S240*Y240,0)))))</x:f>
      </x:c>
      <x:c r="AA240" s="81" t="str">
        <x:f>IFERROR(INDEX('Resource Rate Library'!$N$5:$N$85,MATCH(P240,'Resource Rate Library'!$A$5:$A$85,0)),"")</x:f>
      </x:c>
      <x:c r="AB240" s="53"/>
      <x:c r="AC240" s="59"/>
      <x:c r="AD240" s="81" t="str">
        <x:f>IFERROR(INDEX('Resource Rate Library'!$G$5:$G$85,MATCH(P240,'Resource Rate Library'!$A$5:$A$85,0)),"")</x:f>
      </x:c>
      <x:c r="AE240" s="81" t="str">
        <x:f>IFERROR(INDEX('Resource Rate Library'!$H$5:$H$85,MATCH(P240,'Resource Rate Library'!$A$5:$A$85,0)),"")</x:f>
      </x:c>
      <x:c r="AF240" s="53"/>
      <x:c r="AG240" s="53"/>
      <x:c r="AH240" s="53"/>
      <x:c r="AI240" s="81" t="str">
        <x:f t="shared" si="22">IF(B240="","",IF(AND(P240="",N240&lt;&gt;"Lump Sum / Quote"),"RESOURCE CODE",IF(Y240=0,"RATE MISSING",IF(AND(O240="Plant",AD240="Yes",COUNTIFS($B$7:$B$306,B240,$O$7:$O$306,"Labour",$Q$7:$Q$306,"*Operator*")&gt;0),"OPERATOR DOUBLE-COUNT",IF(AND(O240="Plant",AE240="Yes",COUNTIFS($B$7:$B$306,B240,$Q$7:$Q$306,"*Fuel*")&gt;0),"FUEL DOUBLE-COUNT",IF(AH240&lt;&gt;"Yes","VERIFY","OK"))))))</x:f>
      </x:c>
      <x:c r="AJ240" s="54"/>
      <x:c r="AK240" s="473"/>
      <x:c r="AL240" s="473"/>
      <x:c r="AM240" s="473"/>
      <x:c r="AN240" s="500" t="n">
        <x:f>IF(AND(AK240="Yes",OR(O240="Labour",O240="Plant")),Z240,0)</x:f>
        <x:v>0</x:v>
      </x:c>
    </x:row>
    <x:row r="241">
      <x:c r="A241" s="80" t="str">
        <x:f>IF(B241="","",B241&amp;"-"&amp;TEXT(COUNTIF($B$7:B241,B241),"000"))</x:f>
      </x:c>
      <x:c r="B241" s="53"/>
      <x:c r="C241" s="81" t="str">
        <x:f>IFERROR(INDEX('QS Takeoff'!$A$3:$A$194,MATCH(B241,'QS Takeoff'!$B$3:$B$194,0)),"")</x:f>
      </x:c>
      <x:c r="D241" s="81" t="str">
        <x:f>IFERROR(INDEX('QS Takeoff'!$C$3:$C$194,MATCH(B241,'QS Takeoff'!$B$3:$B$194,0)),"")</x:f>
      </x:c>
      <x:c r="E241" s="81" t="str">
        <x:f>IFERROR(INDEX('QS Takeoff'!$E$3:$E$194,MATCH(B241,'QS Takeoff'!$B$3:$B$194,0)),"")</x:f>
      </x:c>
      <x:c r="F241" s="81" t="str">
        <x:f>IFERROR(INDEX('QS Takeoff'!$D$3:$D$194,MATCH(B241,'QS Takeoff'!$B$3:$B$194,0)),"")</x:f>
      </x:c>
      <x:c r="G241" s="81" t="str">
        <x:f>IFERROR(INDEX('QS Takeoff'!$J$3:$J$194,MATCH(B241,'QS Takeoff'!$B$3:$B$194,0)),"")</x:f>
      </x:c>
      <x:c r="H241" s="53"/>
      <x:c r="I241" s="60"/>
      <x:c r="J241" s="60"/>
      <x:c r="K241" s="82" t="str">
        <x:f t="shared" si="18">IF(OR(B241="",I241="",I241=0),"",E241/I241)</x:f>
      </x:c>
      <x:c r="L241" s="60"/>
      <x:c r="M241" s="82" t="str">
        <x:f t="shared" si="19">IF(L241&gt;0,L241,K241)</x:f>
      </x:c>
      <x:c r="N241" s="53"/>
      <x:c r="O241" s="53"/>
      <x:c r="P241" s="53"/>
      <x:c r="Q241" s="81" t="str">
        <x:f>IFERROR(INDEX('Resource Rate Library'!$C$5:$C$85,MATCH(P241,'Resource Rate Library'!$A$5:$A$85,0)),"")</x:f>
      </x:c>
      <x:c r="R241" s="53"/>
      <x:c r="S241" s="53"/>
      <x:c r="T241" s="81" t="str">
        <x:f>IFERROR(INDEX('Resource Rate Library'!$E$5:$E$85,MATCH(P241,'Resource Rate Library'!$A$5:$A$85,0)),"")</x:f>
      </x:c>
      <x:c r="U241" s="62"/>
      <x:c r="V241" s="62"/>
      <x:c r="W241" s="83" t="n">
        <x:f>IFERROR(INDEX('Resource Rate Library'!$I$5:$I$85,MATCH(P241,'Resource Rate Library'!$A$5:$A$85,0)),0)</x:f>
        <x:v>0</x:v>
      </x:c>
      <x:c r="X241" s="52"/>
      <x:c r="Y241" s="83" t="n">
        <x:f t="shared" si="20">IF(X241&gt;0,X241,W241)</x:f>
        <x:v>0</x:v>
      </x:c>
      <x:c r="Z241" s="83" t="str">
        <x:f t="shared" si="21">IF(B241="","",IF(N241="Time x Count",M241*R241*IF(U241="",1,U241)*Y241,IF(N241="QS Qty x Factor",E241*R241*(1+IF(V241="",0,V241))*Y241,IF(N241="Direct Qty",S241*(1+IF(V241="",0,V241))*Y241,IF(N241="Lump Sum / Quote",S241*Y241,0)))))</x:f>
      </x:c>
      <x:c r="AA241" s="81" t="str">
        <x:f>IFERROR(INDEX('Resource Rate Library'!$N$5:$N$85,MATCH(P241,'Resource Rate Library'!$A$5:$A$85,0)),"")</x:f>
      </x:c>
      <x:c r="AB241" s="53"/>
      <x:c r="AC241" s="59"/>
      <x:c r="AD241" s="81" t="str">
        <x:f>IFERROR(INDEX('Resource Rate Library'!$G$5:$G$85,MATCH(P241,'Resource Rate Library'!$A$5:$A$85,0)),"")</x:f>
      </x:c>
      <x:c r="AE241" s="81" t="str">
        <x:f>IFERROR(INDEX('Resource Rate Library'!$H$5:$H$85,MATCH(P241,'Resource Rate Library'!$A$5:$A$85,0)),"")</x:f>
      </x:c>
      <x:c r="AF241" s="53"/>
      <x:c r="AG241" s="53"/>
      <x:c r="AH241" s="53"/>
      <x:c r="AI241" s="81" t="str">
        <x:f t="shared" si="22">IF(B241="","",IF(AND(P241="",N241&lt;&gt;"Lump Sum / Quote"),"RESOURCE CODE",IF(Y241=0,"RATE MISSING",IF(AND(O241="Plant",AD241="Yes",COUNTIFS($B$7:$B$306,B241,$O$7:$O$306,"Labour",$Q$7:$Q$306,"*Operator*")&gt;0),"OPERATOR DOUBLE-COUNT",IF(AND(O241="Plant",AE241="Yes",COUNTIFS($B$7:$B$306,B241,$Q$7:$Q$306,"*Fuel*")&gt;0),"FUEL DOUBLE-COUNT",IF(AH241&lt;&gt;"Yes","VERIFY","OK"))))))</x:f>
      </x:c>
      <x:c r="AJ241" s="54"/>
      <x:c r="AK241" s="473"/>
      <x:c r="AL241" s="473"/>
      <x:c r="AM241" s="473"/>
      <x:c r="AN241" s="500" t="n">
        <x:f>IF(AND(AK241="Yes",OR(O241="Labour",O241="Plant")),Z241,0)</x:f>
        <x:v>0</x:v>
      </x:c>
    </x:row>
    <x:row r="242">
      <x:c r="A242" s="80" t="str">
        <x:f>IF(B242="","",B242&amp;"-"&amp;TEXT(COUNTIF($B$7:B242,B242),"000"))</x:f>
      </x:c>
      <x:c r="B242" s="53"/>
      <x:c r="C242" s="81" t="str">
        <x:f>IFERROR(INDEX('QS Takeoff'!$A$3:$A$194,MATCH(B242,'QS Takeoff'!$B$3:$B$194,0)),"")</x:f>
      </x:c>
      <x:c r="D242" s="81" t="str">
        <x:f>IFERROR(INDEX('QS Takeoff'!$C$3:$C$194,MATCH(B242,'QS Takeoff'!$B$3:$B$194,0)),"")</x:f>
      </x:c>
      <x:c r="E242" s="81" t="str">
        <x:f>IFERROR(INDEX('QS Takeoff'!$E$3:$E$194,MATCH(B242,'QS Takeoff'!$B$3:$B$194,0)),"")</x:f>
      </x:c>
      <x:c r="F242" s="81" t="str">
        <x:f>IFERROR(INDEX('QS Takeoff'!$D$3:$D$194,MATCH(B242,'QS Takeoff'!$B$3:$B$194,0)),"")</x:f>
      </x:c>
      <x:c r="G242" s="81" t="str">
        <x:f>IFERROR(INDEX('QS Takeoff'!$J$3:$J$194,MATCH(B242,'QS Takeoff'!$B$3:$B$194,0)),"")</x:f>
      </x:c>
      <x:c r="H242" s="53"/>
      <x:c r="I242" s="60"/>
      <x:c r="J242" s="60"/>
      <x:c r="K242" s="82" t="str">
        <x:f t="shared" si="18">IF(OR(B242="",I242="",I242=0),"",E242/I242)</x:f>
      </x:c>
      <x:c r="L242" s="60"/>
      <x:c r="M242" s="82" t="str">
        <x:f t="shared" si="19">IF(L242&gt;0,L242,K242)</x:f>
      </x:c>
      <x:c r="N242" s="53"/>
      <x:c r="O242" s="53"/>
      <x:c r="P242" s="53"/>
      <x:c r="Q242" s="81" t="str">
        <x:f>IFERROR(INDEX('Resource Rate Library'!$C$5:$C$85,MATCH(P242,'Resource Rate Library'!$A$5:$A$85,0)),"")</x:f>
      </x:c>
      <x:c r="R242" s="53"/>
      <x:c r="S242" s="53"/>
      <x:c r="T242" s="81" t="str">
        <x:f>IFERROR(INDEX('Resource Rate Library'!$E$5:$E$85,MATCH(P242,'Resource Rate Library'!$A$5:$A$85,0)),"")</x:f>
      </x:c>
      <x:c r="U242" s="62"/>
      <x:c r="V242" s="62"/>
      <x:c r="W242" s="83" t="n">
        <x:f>IFERROR(INDEX('Resource Rate Library'!$I$5:$I$85,MATCH(P242,'Resource Rate Library'!$A$5:$A$85,0)),0)</x:f>
        <x:v>0</x:v>
      </x:c>
      <x:c r="X242" s="52"/>
      <x:c r="Y242" s="83" t="n">
        <x:f t="shared" si="20">IF(X242&gt;0,X242,W242)</x:f>
        <x:v>0</x:v>
      </x:c>
      <x:c r="Z242" s="83" t="str">
        <x:f t="shared" si="21">IF(B242="","",IF(N242="Time x Count",M242*R242*IF(U242="",1,U242)*Y242,IF(N242="QS Qty x Factor",E242*R242*(1+IF(V242="",0,V242))*Y242,IF(N242="Direct Qty",S242*(1+IF(V242="",0,V242))*Y242,IF(N242="Lump Sum / Quote",S242*Y242,0)))))</x:f>
      </x:c>
      <x:c r="AA242" s="81" t="str">
        <x:f>IFERROR(INDEX('Resource Rate Library'!$N$5:$N$85,MATCH(P242,'Resource Rate Library'!$A$5:$A$85,0)),"")</x:f>
      </x:c>
      <x:c r="AB242" s="53"/>
      <x:c r="AC242" s="59"/>
      <x:c r="AD242" s="81" t="str">
        <x:f>IFERROR(INDEX('Resource Rate Library'!$G$5:$G$85,MATCH(P242,'Resource Rate Library'!$A$5:$A$85,0)),"")</x:f>
      </x:c>
      <x:c r="AE242" s="81" t="str">
        <x:f>IFERROR(INDEX('Resource Rate Library'!$H$5:$H$85,MATCH(P242,'Resource Rate Library'!$A$5:$A$85,0)),"")</x:f>
      </x:c>
      <x:c r="AF242" s="53"/>
      <x:c r="AG242" s="53"/>
      <x:c r="AH242" s="53"/>
      <x:c r="AI242" s="81" t="str">
        <x:f t="shared" si="22">IF(B242="","",IF(AND(P242="",N242&lt;&gt;"Lump Sum / Quote"),"RESOURCE CODE",IF(Y242=0,"RATE MISSING",IF(AND(O242="Plant",AD242="Yes",COUNTIFS($B$7:$B$306,B242,$O$7:$O$306,"Labour",$Q$7:$Q$306,"*Operator*")&gt;0),"OPERATOR DOUBLE-COUNT",IF(AND(O242="Plant",AE242="Yes",COUNTIFS($B$7:$B$306,B242,$Q$7:$Q$306,"*Fuel*")&gt;0),"FUEL DOUBLE-COUNT",IF(AH242&lt;&gt;"Yes","VERIFY","OK"))))))</x:f>
      </x:c>
      <x:c r="AJ242" s="54"/>
      <x:c r="AK242" s="473"/>
      <x:c r="AL242" s="473"/>
      <x:c r="AM242" s="473"/>
      <x:c r="AN242" s="500" t="n">
        <x:f>IF(AND(AK242="Yes",OR(O242="Labour",O242="Plant")),Z242,0)</x:f>
        <x:v>0</x:v>
      </x:c>
    </x:row>
    <x:row r="243">
      <x:c r="A243" s="80" t="str">
        <x:f>IF(B243="","",B243&amp;"-"&amp;TEXT(COUNTIF($B$7:B243,B243),"000"))</x:f>
      </x:c>
      <x:c r="B243" s="53"/>
      <x:c r="C243" s="81" t="str">
        <x:f>IFERROR(INDEX('QS Takeoff'!$A$3:$A$194,MATCH(B243,'QS Takeoff'!$B$3:$B$194,0)),"")</x:f>
      </x:c>
      <x:c r="D243" s="81" t="str">
        <x:f>IFERROR(INDEX('QS Takeoff'!$C$3:$C$194,MATCH(B243,'QS Takeoff'!$B$3:$B$194,0)),"")</x:f>
      </x:c>
      <x:c r="E243" s="81" t="str">
        <x:f>IFERROR(INDEX('QS Takeoff'!$E$3:$E$194,MATCH(B243,'QS Takeoff'!$B$3:$B$194,0)),"")</x:f>
      </x:c>
      <x:c r="F243" s="81" t="str">
        <x:f>IFERROR(INDEX('QS Takeoff'!$D$3:$D$194,MATCH(B243,'QS Takeoff'!$B$3:$B$194,0)),"")</x:f>
      </x:c>
      <x:c r="G243" s="81" t="str">
        <x:f>IFERROR(INDEX('QS Takeoff'!$J$3:$J$194,MATCH(B243,'QS Takeoff'!$B$3:$B$194,0)),"")</x:f>
      </x:c>
      <x:c r="H243" s="53"/>
      <x:c r="I243" s="60"/>
      <x:c r="J243" s="60"/>
      <x:c r="K243" s="82" t="str">
        <x:f t="shared" si="18">IF(OR(B243="",I243="",I243=0),"",E243/I243)</x:f>
      </x:c>
      <x:c r="L243" s="60"/>
      <x:c r="M243" s="82" t="str">
        <x:f t="shared" si="19">IF(L243&gt;0,L243,K243)</x:f>
      </x:c>
      <x:c r="N243" s="53"/>
      <x:c r="O243" s="53"/>
      <x:c r="P243" s="53"/>
      <x:c r="Q243" s="81" t="str">
        <x:f>IFERROR(INDEX('Resource Rate Library'!$C$5:$C$85,MATCH(P243,'Resource Rate Library'!$A$5:$A$85,0)),"")</x:f>
      </x:c>
      <x:c r="R243" s="53"/>
      <x:c r="S243" s="53"/>
      <x:c r="T243" s="81" t="str">
        <x:f>IFERROR(INDEX('Resource Rate Library'!$E$5:$E$85,MATCH(P243,'Resource Rate Library'!$A$5:$A$85,0)),"")</x:f>
      </x:c>
      <x:c r="U243" s="62"/>
      <x:c r="V243" s="62"/>
      <x:c r="W243" s="83" t="n">
        <x:f>IFERROR(INDEX('Resource Rate Library'!$I$5:$I$85,MATCH(P243,'Resource Rate Library'!$A$5:$A$85,0)),0)</x:f>
        <x:v>0</x:v>
      </x:c>
      <x:c r="X243" s="52"/>
      <x:c r="Y243" s="83" t="n">
        <x:f t="shared" si="20">IF(X243&gt;0,X243,W243)</x:f>
        <x:v>0</x:v>
      </x:c>
      <x:c r="Z243" s="83" t="str">
        <x:f t="shared" si="21">IF(B243="","",IF(N243="Time x Count",M243*R243*IF(U243="",1,U243)*Y243,IF(N243="QS Qty x Factor",E243*R243*(1+IF(V243="",0,V243))*Y243,IF(N243="Direct Qty",S243*(1+IF(V243="",0,V243))*Y243,IF(N243="Lump Sum / Quote",S243*Y243,0)))))</x:f>
      </x:c>
      <x:c r="AA243" s="81" t="str">
        <x:f>IFERROR(INDEX('Resource Rate Library'!$N$5:$N$85,MATCH(P243,'Resource Rate Library'!$A$5:$A$85,0)),"")</x:f>
      </x:c>
      <x:c r="AB243" s="53"/>
      <x:c r="AC243" s="59"/>
      <x:c r="AD243" s="81" t="str">
        <x:f>IFERROR(INDEX('Resource Rate Library'!$G$5:$G$85,MATCH(P243,'Resource Rate Library'!$A$5:$A$85,0)),"")</x:f>
      </x:c>
      <x:c r="AE243" s="81" t="str">
        <x:f>IFERROR(INDEX('Resource Rate Library'!$H$5:$H$85,MATCH(P243,'Resource Rate Library'!$A$5:$A$85,0)),"")</x:f>
      </x:c>
      <x:c r="AF243" s="53"/>
      <x:c r="AG243" s="53"/>
      <x:c r="AH243" s="53"/>
      <x:c r="AI243" s="81" t="str">
        <x:f t="shared" si="22">IF(B243="","",IF(AND(P243="",N243&lt;&gt;"Lump Sum / Quote"),"RESOURCE CODE",IF(Y243=0,"RATE MISSING",IF(AND(O243="Plant",AD243="Yes",COUNTIFS($B$7:$B$306,B243,$O$7:$O$306,"Labour",$Q$7:$Q$306,"*Operator*")&gt;0),"OPERATOR DOUBLE-COUNT",IF(AND(O243="Plant",AE243="Yes",COUNTIFS($B$7:$B$306,B243,$Q$7:$Q$306,"*Fuel*")&gt;0),"FUEL DOUBLE-COUNT",IF(AH243&lt;&gt;"Yes","VERIFY","OK"))))))</x:f>
      </x:c>
      <x:c r="AJ243" s="54"/>
      <x:c r="AK243" s="473"/>
      <x:c r="AL243" s="473"/>
      <x:c r="AM243" s="473"/>
      <x:c r="AN243" s="500" t="n">
        <x:f>IF(AND(AK243="Yes",OR(O243="Labour",O243="Plant")),Z243,0)</x:f>
        <x:v>0</x:v>
      </x:c>
    </x:row>
    <x:row r="244">
      <x:c r="A244" s="80" t="str">
        <x:f>IF(B244="","",B244&amp;"-"&amp;TEXT(COUNTIF($B$7:B244,B244),"000"))</x:f>
      </x:c>
      <x:c r="B244" s="53"/>
      <x:c r="C244" s="81" t="str">
        <x:f>IFERROR(INDEX('QS Takeoff'!$A$3:$A$194,MATCH(B244,'QS Takeoff'!$B$3:$B$194,0)),"")</x:f>
      </x:c>
      <x:c r="D244" s="81" t="str">
        <x:f>IFERROR(INDEX('QS Takeoff'!$C$3:$C$194,MATCH(B244,'QS Takeoff'!$B$3:$B$194,0)),"")</x:f>
      </x:c>
      <x:c r="E244" s="81" t="str">
        <x:f>IFERROR(INDEX('QS Takeoff'!$E$3:$E$194,MATCH(B244,'QS Takeoff'!$B$3:$B$194,0)),"")</x:f>
      </x:c>
      <x:c r="F244" s="81" t="str">
        <x:f>IFERROR(INDEX('QS Takeoff'!$D$3:$D$194,MATCH(B244,'QS Takeoff'!$B$3:$B$194,0)),"")</x:f>
      </x:c>
      <x:c r="G244" s="81" t="str">
        <x:f>IFERROR(INDEX('QS Takeoff'!$J$3:$J$194,MATCH(B244,'QS Takeoff'!$B$3:$B$194,0)),"")</x:f>
      </x:c>
      <x:c r="H244" s="53"/>
      <x:c r="I244" s="60"/>
      <x:c r="J244" s="60"/>
      <x:c r="K244" s="82" t="str">
        <x:f t="shared" si="18">IF(OR(B244="",I244="",I244=0),"",E244/I244)</x:f>
      </x:c>
      <x:c r="L244" s="60"/>
      <x:c r="M244" s="82" t="str">
        <x:f t="shared" si="19">IF(L244&gt;0,L244,K244)</x:f>
      </x:c>
      <x:c r="N244" s="53"/>
      <x:c r="O244" s="53"/>
      <x:c r="P244" s="53"/>
      <x:c r="Q244" s="81" t="str">
        <x:f>IFERROR(INDEX('Resource Rate Library'!$C$5:$C$85,MATCH(P244,'Resource Rate Library'!$A$5:$A$85,0)),"")</x:f>
      </x:c>
      <x:c r="R244" s="53"/>
      <x:c r="S244" s="53"/>
      <x:c r="T244" s="81" t="str">
        <x:f>IFERROR(INDEX('Resource Rate Library'!$E$5:$E$85,MATCH(P244,'Resource Rate Library'!$A$5:$A$85,0)),"")</x:f>
      </x:c>
      <x:c r="U244" s="62"/>
      <x:c r="V244" s="62"/>
      <x:c r="W244" s="83" t="n">
        <x:f>IFERROR(INDEX('Resource Rate Library'!$I$5:$I$85,MATCH(P244,'Resource Rate Library'!$A$5:$A$85,0)),0)</x:f>
        <x:v>0</x:v>
      </x:c>
      <x:c r="X244" s="52"/>
      <x:c r="Y244" s="83" t="n">
        <x:f t="shared" si="20">IF(X244&gt;0,X244,W244)</x:f>
        <x:v>0</x:v>
      </x:c>
      <x:c r="Z244" s="83" t="str">
        <x:f t="shared" si="21">IF(B244="","",IF(N244="Time x Count",M244*R244*IF(U244="",1,U244)*Y244,IF(N244="QS Qty x Factor",E244*R244*(1+IF(V244="",0,V244))*Y244,IF(N244="Direct Qty",S244*(1+IF(V244="",0,V244))*Y244,IF(N244="Lump Sum / Quote",S244*Y244,0)))))</x:f>
      </x:c>
      <x:c r="AA244" s="81" t="str">
        <x:f>IFERROR(INDEX('Resource Rate Library'!$N$5:$N$85,MATCH(P244,'Resource Rate Library'!$A$5:$A$85,0)),"")</x:f>
      </x:c>
      <x:c r="AB244" s="53"/>
      <x:c r="AC244" s="59"/>
      <x:c r="AD244" s="81" t="str">
        <x:f>IFERROR(INDEX('Resource Rate Library'!$G$5:$G$85,MATCH(P244,'Resource Rate Library'!$A$5:$A$85,0)),"")</x:f>
      </x:c>
      <x:c r="AE244" s="81" t="str">
        <x:f>IFERROR(INDEX('Resource Rate Library'!$H$5:$H$85,MATCH(P244,'Resource Rate Library'!$A$5:$A$85,0)),"")</x:f>
      </x:c>
      <x:c r="AF244" s="53"/>
      <x:c r="AG244" s="53"/>
      <x:c r="AH244" s="53"/>
      <x:c r="AI244" s="81" t="str">
        <x:f t="shared" si="22">IF(B244="","",IF(AND(P244="",N244&lt;&gt;"Lump Sum / Quote"),"RESOURCE CODE",IF(Y244=0,"RATE MISSING",IF(AND(O244="Plant",AD244="Yes",COUNTIFS($B$7:$B$306,B244,$O$7:$O$306,"Labour",$Q$7:$Q$306,"*Operator*")&gt;0),"OPERATOR DOUBLE-COUNT",IF(AND(O244="Plant",AE244="Yes",COUNTIFS($B$7:$B$306,B244,$Q$7:$Q$306,"*Fuel*")&gt;0),"FUEL DOUBLE-COUNT",IF(AH244&lt;&gt;"Yes","VERIFY","OK"))))))</x:f>
      </x:c>
      <x:c r="AJ244" s="54"/>
      <x:c r="AK244" s="473"/>
      <x:c r="AL244" s="473"/>
      <x:c r="AM244" s="473"/>
      <x:c r="AN244" s="500" t="n">
        <x:f>IF(AND(AK244="Yes",OR(O244="Labour",O244="Plant")),Z244,0)</x:f>
        <x:v>0</x:v>
      </x:c>
    </x:row>
    <x:row r="245">
      <x:c r="A245" s="80" t="str">
        <x:f>IF(B245="","",B245&amp;"-"&amp;TEXT(COUNTIF($B$7:B245,B245),"000"))</x:f>
      </x:c>
      <x:c r="B245" s="53"/>
      <x:c r="C245" s="81" t="str">
        <x:f>IFERROR(INDEX('QS Takeoff'!$A$3:$A$194,MATCH(B245,'QS Takeoff'!$B$3:$B$194,0)),"")</x:f>
      </x:c>
      <x:c r="D245" s="81" t="str">
        <x:f>IFERROR(INDEX('QS Takeoff'!$C$3:$C$194,MATCH(B245,'QS Takeoff'!$B$3:$B$194,0)),"")</x:f>
      </x:c>
      <x:c r="E245" s="81" t="str">
        <x:f>IFERROR(INDEX('QS Takeoff'!$E$3:$E$194,MATCH(B245,'QS Takeoff'!$B$3:$B$194,0)),"")</x:f>
      </x:c>
      <x:c r="F245" s="81" t="str">
        <x:f>IFERROR(INDEX('QS Takeoff'!$D$3:$D$194,MATCH(B245,'QS Takeoff'!$B$3:$B$194,0)),"")</x:f>
      </x:c>
      <x:c r="G245" s="81" t="str">
        <x:f>IFERROR(INDEX('QS Takeoff'!$J$3:$J$194,MATCH(B245,'QS Takeoff'!$B$3:$B$194,0)),"")</x:f>
      </x:c>
      <x:c r="H245" s="53"/>
      <x:c r="I245" s="60"/>
      <x:c r="J245" s="60"/>
      <x:c r="K245" s="82" t="str">
        <x:f t="shared" si="18">IF(OR(B245="",I245="",I245=0),"",E245/I245)</x:f>
      </x:c>
      <x:c r="L245" s="60"/>
      <x:c r="M245" s="82" t="str">
        <x:f t="shared" si="19">IF(L245&gt;0,L245,K245)</x:f>
      </x:c>
      <x:c r="N245" s="53"/>
      <x:c r="O245" s="53"/>
      <x:c r="P245" s="53"/>
      <x:c r="Q245" s="81" t="str">
        <x:f>IFERROR(INDEX('Resource Rate Library'!$C$5:$C$85,MATCH(P245,'Resource Rate Library'!$A$5:$A$85,0)),"")</x:f>
      </x:c>
      <x:c r="R245" s="53"/>
      <x:c r="S245" s="53"/>
      <x:c r="T245" s="81" t="str">
        <x:f>IFERROR(INDEX('Resource Rate Library'!$E$5:$E$85,MATCH(P245,'Resource Rate Library'!$A$5:$A$85,0)),"")</x:f>
      </x:c>
      <x:c r="U245" s="62"/>
      <x:c r="V245" s="62"/>
      <x:c r="W245" s="83" t="n">
        <x:f>IFERROR(INDEX('Resource Rate Library'!$I$5:$I$85,MATCH(P245,'Resource Rate Library'!$A$5:$A$85,0)),0)</x:f>
        <x:v>0</x:v>
      </x:c>
      <x:c r="X245" s="52"/>
      <x:c r="Y245" s="83" t="n">
        <x:f t="shared" si="20">IF(X245&gt;0,X245,W245)</x:f>
        <x:v>0</x:v>
      </x:c>
      <x:c r="Z245" s="83" t="str">
        <x:f t="shared" si="21">IF(B245="","",IF(N245="Time x Count",M245*R245*IF(U245="",1,U245)*Y245,IF(N245="QS Qty x Factor",E245*R245*(1+IF(V245="",0,V245))*Y245,IF(N245="Direct Qty",S245*(1+IF(V245="",0,V245))*Y245,IF(N245="Lump Sum / Quote",S245*Y245,0)))))</x:f>
      </x:c>
      <x:c r="AA245" s="81" t="str">
        <x:f>IFERROR(INDEX('Resource Rate Library'!$N$5:$N$85,MATCH(P245,'Resource Rate Library'!$A$5:$A$85,0)),"")</x:f>
      </x:c>
      <x:c r="AB245" s="53"/>
      <x:c r="AC245" s="59"/>
      <x:c r="AD245" s="81" t="str">
        <x:f>IFERROR(INDEX('Resource Rate Library'!$G$5:$G$85,MATCH(P245,'Resource Rate Library'!$A$5:$A$85,0)),"")</x:f>
      </x:c>
      <x:c r="AE245" s="81" t="str">
        <x:f>IFERROR(INDEX('Resource Rate Library'!$H$5:$H$85,MATCH(P245,'Resource Rate Library'!$A$5:$A$85,0)),"")</x:f>
      </x:c>
      <x:c r="AF245" s="53"/>
      <x:c r="AG245" s="53"/>
      <x:c r="AH245" s="53"/>
      <x:c r="AI245" s="81" t="str">
        <x:f t="shared" si="22">IF(B245="","",IF(AND(P245="",N245&lt;&gt;"Lump Sum / Quote"),"RESOURCE CODE",IF(Y245=0,"RATE MISSING",IF(AND(O245="Plant",AD245="Yes",COUNTIFS($B$7:$B$306,B245,$O$7:$O$306,"Labour",$Q$7:$Q$306,"*Operator*")&gt;0),"OPERATOR DOUBLE-COUNT",IF(AND(O245="Plant",AE245="Yes",COUNTIFS($B$7:$B$306,B245,$Q$7:$Q$306,"*Fuel*")&gt;0),"FUEL DOUBLE-COUNT",IF(AH245&lt;&gt;"Yes","VERIFY","OK"))))))</x:f>
      </x:c>
      <x:c r="AJ245" s="54"/>
      <x:c r="AK245" s="473"/>
      <x:c r="AL245" s="473"/>
      <x:c r="AM245" s="473"/>
      <x:c r="AN245" s="500" t="n">
        <x:f>IF(AND(AK245="Yes",OR(O245="Labour",O245="Plant")),Z245,0)</x:f>
        <x:v>0</x:v>
      </x:c>
    </x:row>
    <x:row r="246">
      <x:c r="A246" s="80" t="str">
        <x:f>IF(B246="","",B246&amp;"-"&amp;TEXT(COUNTIF($B$7:B246,B246),"000"))</x:f>
      </x:c>
      <x:c r="B246" s="53"/>
      <x:c r="C246" s="81" t="str">
        <x:f>IFERROR(INDEX('QS Takeoff'!$A$3:$A$194,MATCH(B246,'QS Takeoff'!$B$3:$B$194,0)),"")</x:f>
      </x:c>
      <x:c r="D246" s="81" t="str">
        <x:f>IFERROR(INDEX('QS Takeoff'!$C$3:$C$194,MATCH(B246,'QS Takeoff'!$B$3:$B$194,0)),"")</x:f>
      </x:c>
      <x:c r="E246" s="81" t="str">
        <x:f>IFERROR(INDEX('QS Takeoff'!$E$3:$E$194,MATCH(B246,'QS Takeoff'!$B$3:$B$194,0)),"")</x:f>
      </x:c>
      <x:c r="F246" s="81" t="str">
        <x:f>IFERROR(INDEX('QS Takeoff'!$D$3:$D$194,MATCH(B246,'QS Takeoff'!$B$3:$B$194,0)),"")</x:f>
      </x:c>
      <x:c r="G246" s="81" t="str">
        <x:f>IFERROR(INDEX('QS Takeoff'!$J$3:$J$194,MATCH(B246,'QS Takeoff'!$B$3:$B$194,0)),"")</x:f>
      </x:c>
      <x:c r="H246" s="53"/>
      <x:c r="I246" s="60"/>
      <x:c r="J246" s="60"/>
      <x:c r="K246" s="82" t="str">
        <x:f t="shared" si="18">IF(OR(B246="",I246="",I246=0),"",E246/I246)</x:f>
      </x:c>
      <x:c r="L246" s="60"/>
      <x:c r="M246" s="82" t="str">
        <x:f t="shared" si="19">IF(L246&gt;0,L246,K246)</x:f>
      </x:c>
      <x:c r="N246" s="53"/>
      <x:c r="O246" s="53"/>
      <x:c r="P246" s="53"/>
      <x:c r="Q246" s="81" t="str">
        <x:f>IFERROR(INDEX('Resource Rate Library'!$C$5:$C$85,MATCH(P246,'Resource Rate Library'!$A$5:$A$85,0)),"")</x:f>
      </x:c>
      <x:c r="R246" s="53"/>
      <x:c r="S246" s="53"/>
      <x:c r="T246" s="81" t="str">
        <x:f>IFERROR(INDEX('Resource Rate Library'!$E$5:$E$85,MATCH(P246,'Resource Rate Library'!$A$5:$A$85,0)),"")</x:f>
      </x:c>
      <x:c r="U246" s="62"/>
      <x:c r="V246" s="62"/>
      <x:c r="W246" s="83" t="n">
        <x:f>IFERROR(INDEX('Resource Rate Library'!$I$5:$I$85,MATCH(P246,'Resource Rate Library'!$A$5:$A$85,0)),0)</x:f>
        <x:v>0</x:v>
      </x:c>
      <x:c r="X246" s="52"/>
      <x:c r="Y246" s="83" t="n">
        <x:f t="shared" si="20">IF(X246&gt;0,X246,W246)</x:f>
        <x:v>0</x:v>
      </x:c>
      <x:c r="Z246" s="83" t="str">
        <x:f t="shared" si="21">IF(B246="","",IF(N246="Time x Count",M246*R246*IF(U246="",1,U246)*Y246,IF(N246="QS Qty x Factor",E246*R246*(1+IF(V246="",0,V246))*Y246,IF(N246="Direct Qty",S246*(1+IF(V246="",0,V246))*Y246,IF(N246="Lump Sum / Quote",S246*Y246,0)))))</x:f>
      </x:c>
      <x:c r="AA246" s="81" t="str">
        <x:f>IFERROR(INDEX('Resource Rate Library'!$N$5:$N$85,MATCH(P246,'Resource Rate Library'!$A$5:$A$85,0)),"")</x:f>
      </x:c>
      <x:c r="AB246" s="53"/>
      <x:c r="AC246" s="59"/>
      <x:c r="AD246" s="81" t="str">
        <x:f>IFERROR(INDEX('Resource Rate Library'!$G$5:$G$85,MATCH(P246,'Resource Rate Library'!$A$5:$A$85,0)),"")</x:f>
      </x:c>
      <x:c r="AE246" s="81" t="str">
        <x:f>IFERROR(INDEX('Resource Rate Library'!$H$5:$H$85,MATCH(P246,'Resource Rate Library'!$A$5:$A$85,0)),"")</x:f>
      </x:c>
      <x:c r="AF246" s="53"/>
      <x:c r="AG246" s="53"/>
      <x:c r="AH246" s="53"/>
      <x:c r="AI246" s="81" t="str">
        <x:f t="shared" si="22">IF(B246="","",IF(AND(P246="",N246&lt;&gt;"Lump Sum / Quote"),"RESOURCE CODE",IF(Y246=0,"RATE MISSING",IF(AND(O246="Plant",AD246="Yes",COUNTIFS($B$7:$B$306,B246,$O$7:$O$306,"Labour",$Q$7:$Q$306,"*Operator*")&gt;0),"OPERATOR DOUBLE-COUNT",IF(AND(O246="Plant",AE246="Yes",COUNTIFS($B$7:$B$306,B246,$Q$7:$Q$306,"*Fuel*")&gt;0),"FUEL DOUBLE-COUNT",IF(AH246&lt;&gt;"Yes","VERIFY","OK"))))))</x:f>
      </x:c>
      <x:c r="AJ246" s="54"/>
      <x:c r="AK246" s="473"/>
      <x:c r="AL246" s="473"/>
      <x:c r="AM246" s="473"/>
      <x:c r="AN246" s="500" t="n">
        <x:f>IF(AND(AK246="Yes",OR(O246="Labour",O246="Plant")),Z246,0)</x:f>
        <x:v>0</x:v>
      </x:c>
    </x:row>
    <x:row r="247">
      <x:c r="A247" s="80" t="str">
        <x:f>IF(B247="","",B247&amp;"-"&amp;TEXT(COUNTIF($B$7:B247,B247),"000"))</x:f>
      </x:c>
      <x:c r="B247" s="53"/>
      <x:c r="C247" s="81" t="str">
        <x:f>IFERROR(INDEX('QS Takeoff'!$A$3:$A$194,MATCH(B247,'QS Takeoff'!$B$3:$B$194,0)),"")</x:f>
      </x:c>
      <x:c r="D247" s="81" t="str">
        <x:f>IFERROR(INDEX('QS Takeoff'!$C$3:$C$194,MATCH(B247,'QS Takeoff'!$B$3:$B$194,0)),"")</x:f>
      </x:c>
      <x:c r="E247" s="81" t="str">
        <x:f>IFERROR(INDEX('QS Takeoff'!$E$3:$E$194,MATCH(B247,'QS Takeoff'!$B$3:$B$194,0)),"")</x:f>
      </x:c>
      <x:c r="F247" s="81" t="str">
        <x:f>IFERROR(INDEX('QS Takeoff'!$D$3:$D$194,MATCH(B247,'QS Takeoff'!$B$3:$B$194,0)),"")</x:f>
      </x:c>
      <x:c r="G247" s="81" t="str">
        <x:f>IFERROR(INDEX('QS Takeoff'!$J$3:$J$194,MATCH(B247,'QS Takeoff'!$B$3:$B$194,0)),"")</x:f>
      </x:c>
      <x:c r="H247" s="53"/>
      <x:c r="I247" s="60"/>
      <x:c r="J247" s="60"/>
      <x:c r="K247" s="82" t="str">
        <x:f t="shared" si="18">IF(OR(B247="",I247="",I247=0),"",E247/I247)</x:f>
      </x:c>
      <x:c r="L247" s="60"/>
      <x:c r="M247" s="82" t="str">
        <x:f t="shared" si="19">IF(L247&gt;0,L247,K247)</x:f>
      </x:c>
      <x:c r="N247" s="53"/>
      <x:c r="O247" s="53"/>
      <x:c r="P247" s="53"/>
      <x:c r="Q247" s="81" t="str">
        <x:f>IFERROR(INDEX('Resource Rate Library'!$C$5:$C$85,MATCH(P247,'Resource Rate Library'!$A$5:$A$85,0)),"")</x:f>
      </x:c>
      <x:c r="R247" s="53"/>
      <x:c r="S247" s="53"/>
      <x:c r="T247" s="81" t="str">
        <x:f>IFERROR(INDEX('Resource Rate Library'!$E$5:$E$85,MATCH(P247,'Resource Rate Library'!$A$5:$A$85,0)),"")</x:f>
      </x:c>
      <x:c r="U247" s="62"/>
      <x:c r="V247" s="62"/>
      <x:c r="W247" s="83" t="n">
        <x:f>IFERROR(INDEX('Resource Rate Library'!$I$5:$I$85,MATCH(P247,'Resource Rate Library'!$A$5:$A$85,0)),0)</x:f>
        <x:v>0</x:v>
      </x:c>
      <x:c r="X247" s="52"/>
      <x:c r="Y247" s="83" t="n">
        <x:f t="shared" si="20">IF(X247&gt;0,X247,W247)</x:f>
        <x:v>0</x:v>
      </x:c>
      <x:c r="Z247" s="83" t="str">
        <x:f t="shared" si="21">IF(B247="","",IF(N247="Time x Count",M247*R247*IF(U247="",1,U247)*Y247,IF(N247="QS Qty x Factor",E247*R247*(1+IF(V247="",0,V247))*Y247,IF(N247="Direct Qty",S247*(1+IF(V247="",0,V247))*Y247,IF(N247="Lump Sum / Quote",S247*Y247,0)))))</x:f>
      </x:c>
      <x:c r="AA247" s="81" t="str">
        <x:f>IFERROR(INDEX('Resource Rate Library'!$N$5:$N$85,MATCH(P247,'Resource Rate Library'!$A$5:$A$85,0)),"")</x:f>
      </x:c>
      <x:c r="AB247" s="53"/>
      <x:c r="AC247" s="59"/>
      <x:c r="AD247" s="81" t="str">
        <x:f>IFERROR(INDEX('Resource Rate Library'!$G$5:$G$85,MATCH(P247,'Resource Rate Library'!$A$5:$A$85,0)),"")</x:f>
      </x:c>
      <x:c r="AE247" s="81" t="str">
        <x:f>IFERROR(INDEX('Resource Rate Library'!$H$5:$H$85,MATCH(P247,'Resource Rate Library'!$A$5:$A$85,0)),"")</x:f>
      </x:c>
      <x:c r="AF247" s="53"/>
      <x:c r="AG247" s="53"/>
      <x:c r="AH247" s="53"/>
      <x:c r="AI247" s="81" t="str">
        <x:f t="shared" si="22">IF(B247="","",IF(AND(P247="",N247&lt;&gt;"Lump Sum / Quote"),"RESOURCE CODE",IF(Y247=0,"RATE MISSING",IF(AND(O247="Plant",AD247="Yes",COUNTIFS($B$7:$B$306,B247,$O$7:$O$306,"Labour",$Q$7:$Q$306,"*Operator*")&gt;0),"OPERATOR DOUBLE-COUNT",IF(AND(O247="Plant",AE247="Yes",COUNTIFS($B$7:$B$306,B247,$Q$7:$Q$306,"*Fuel*")&gt;0),"FUEL DOUBLE-COUNT",IF(AH247&lt;&gt;"Yes","VERIFY","OK"))))))</x:f>
      </x:c>
      <x:c r="AJ247" s="54"/>
      <x:c r="AK247" s="473"/>
      <x:c r="AL247" s="473"/>
      <x:c r="AM247" s="473"/>
      <x:c r="AN247" s="500" t="n">
        <x:f>IF(AND(AK247="Yes",OR(O247="Labour",O247="Plant")),Z247,0)</x:f>
        <x:v>0</x:v>
      </x:c>
    </x:row>
    <x:row r="248">
      <x:c r="A248" s="80" t="str">
        <x:f>IF(B248="","",B248&amp;"-"&amp;TEXT(COUNTIF($B$7:B248,B248),"000"))</x:f>
      </x:c>
      <x:c r="B248" s="53"/>
      <x:c r="C248" s="81" t="str">
        <x:f>IFERROR(INDEX('QS Takeoff'!$A$3:$A$194,MATCH(B248,'QS Takeoff'!$B$3:$B$194,0)),"")</x:f>
      </x:c>
      <x:c r="D248" s="81" t="str">
        <x:f>IFERROR(INDEX('QS Takeoff'!$C$3:$C$194,MATCH(B248,'QS Takeoff'!$B$3:$B$194,0)),"")</x:f>
      </x:c>
      <x:c r="E248" s="81" t="str">
        <x:f>IFERROR(INDEX('QS Takeoff'!$E$3:$E$194,MATCH(B248,'QS Takeoff'!$B$3:$B$194,0)),"")</x:f>
      </x:c>
      <x:c r="F248" s="81" t="str">
        <x:f>IFERROR(INDEX('QS Takeoff'!$D$3:$D$194,MATCH(B248,'QS Takeoff'!$B$3:$B$194,0)),"")</x:f>
      </x:c>
      <x:c r="G248" s="81" t="str">
        <x:f>IFERROR(INDEX('QS Takeoff'!$J$3:$J$194,MATCH(B248,'QS Takeoff'!$B$3:$B$194,0)),"")</x:f>
      </x:c>
      <x:c r="H248" s="53"/>
      <x:c r="I248" s="60"/>
      <x:c r="J248" s="60"/>
      <x:c r="K248" s="82" t="str">
        <x:f t="shared" si="18">IF(OR(B248="",I248="",I248=0),"",E248/I248)</x:f>
      </x:c>
      <x:c r="L248" s="60"/>
      <x:c r="M248" s="82" t="str">
        <x:f t="shared" si="19">IF(L248&gt;0,L248,K248)</x:f>
      </x:c>
      <x:c r="N248" s="53"/>
      <x:c r="O248" s="53"/>
      <x:c r="P248" s="53"/>
      <x:c r="Q248" s="81" t="str">
        <x:f>IFERROR(INDEX('Resource Rate Library'!$C$5:$C$85,MATCH(P248,'Resource Rate Library'!$A$5:$A$85,0)),"")</x:f>
      </x:c>
      <x:c r="R248" s="53"/>
      <x:c r="S248" s="53"/>
      <x:c r="T248" s="81" t="str">
        <x:f>IFERROR(INDEX('Resource Rate Library'!$E$5:$E$85,MATCH(P248,'Resource Rate Library'!$A$5:$A$85,0)),"")</x:f>
      </x:c>
      <x:c r="U248" s="62"/>
      <x:c r="V248" s="62"/>
      <x:c r="W248" s="83" t="n">
        <x:f>IFERROR(INDEX('Resource Rate Library'!$I$5:$I$85,MATCH(P248,'Resource Rate Library'!$A$5:$A$85,0)),0)</x:f>
        <x:v>0</x:v>
      </x:c>
      <x:c r="X248" s="52"/>
      <x:c r="Y248" s="83" t="n">
        <x:f t="shared" si="20">IF(X248&gt;0,X248,W248)</x:f>
        <x:v>0</x:v>
      </x:c>
      <x:c r="Z248" s="83" t="str">
        <x:f t="shared" si="21">IF(B248="","",IF(N248="Time x Count",M248*R248*IF(U248="",1,U248)*Y248,IF(N248="QS Qty x Factor",E248*R248*(1+IF(V248="",0,V248))*Y248,IF(N248="Direct Qty",S248*(1+IF(V248="",0,V248))*Y248,IF(N248="Lump Sum / Quote",S248*Y248,0)))))</x:f>
      </x:c>
      <x:c r="AA248" s="81" t="str">
        <x:f>IFERROR(INDEX('Resource Rate Library'!$N$5:$N$85,MATCH(P248,'Resource Rate Library'!$A$5:$A$85,0)),"")</x:f>
      </x:c>
      <x:c r="AB248" s="53"/>
      <x:c r="AC248" s="59"/>
      <x:c r="AD248" s="81" t="str">
        <x:f>IFERROR(INDEX('Resource Rate Library'!$G$5:$G$85,MATCH(P248,'Resource Rate Library'!$A$5:$A$85,0)),"")</x:f>
      </x:c>
      <x:c r="AE248" s="81" t="str">
        <x:f>IFERROR(INDEX('Resource Rate Library'!$H$5:$H$85,MATCH(P248,'Resource Rate Library'!$A$5:$A$85,0)),"")</x:f>
      </x:c>
      <x:c r="AF248" s="53"/>
      <x:c r="AG248" s="53"/>
      <x:c r="AH248" s="53"/>
      <x:c r="AI248" s="81" t="str">
        <x:f t="shared" si="22">IF(B248="","",IF(AND(P248="",N248&lt;&gt;"Lump Sum / Quote"),"RESOURCE CODE",IF(Y248=0,"RATE MISSING",IF(AND(O248="Plant",AD248="Yes",COUNTIFS($B$7:$B$306,B248,$O$7:$O$306,"Labour",$Q$7:$Q$306,"*Operator*")&gt;0),"OPERATOR DOUBLE-COUNT",IF(AND(O248="Plant",AE248="Yes",COUNTIFS($B$7:$B$306,B248,$Q$7:$Q$306,"*Fuel*")&gt;0),"FUEL DOUBLE-COUNT",IF(AH248&lt;&gt;"Yes","VERIFY","OK"))))))</x:f>
      </x:c>
      <x:c r="AJ248" s="54"/>
      <x:c r="AK248" s="473"/>
      <x:c r="AL248" s="473"/>
      <x:c r="AM248" s="473"/>
      <x:c r="AN248" s="500" t="n">
        <x:f>IF(AND(AK248="Yes",OR(O248="Labour",O248="Plant")),Z248,0)</x:f>
        <x:v>0</x:v>
      </x:c>
    </x:row>
    <x:row r="249">
      <x:c r="A249" s="80" t="str">
        <x:f>IF(B249="","",B249&amp;"-"&amp;TEXT(COUNTIF($B$7:B249,B249),"000"))</x:f>
      </x:c>
      <x:c r="B249" s="53"/>
      <x:c r="C249" s="81" t="str">
        <x:f>IFERROR(INDEX('QS Takeoff'!$A$3:$A$194,MATCH(B249,'QS Takeoff'!$B$3:$B$194,0)),"")</x:f>
      </x:c>
      <x:c r="D249" s="81" t="str">
        <x:f>IFERROR(INDEX('QS Takeoff'!$C$3:$C$194,MATCH(B249,'QS Takeoff'!$B$3:$B$194,0)),"")</x:f>
      </x:c>
      <x:c r="E249" s="81" t="str">
        <x:f>IFERROR(INDEX('QS Takeoff'!$E$3:$E$194,MATCH(B249,'QS Takeoff'!$B$3:$B$194,0)),"")</x:f>
      </x:c>
      <x:c r="F249" s="81" t="str">
        <x:f>IFERROR(INDEX('QS Takeoff'!$D$3:$D$194,MATCH(B249,'QS Takeoff'!$B$3:$B$194,0)),"")</x:f>
      </x:c>
      <x:c r="G249" s="81" t="str">
        <x:f>IFERROR(INDEX('QS Takeoff'!$J$3:$J$194,MATCH(B249,'QS Takeoff'!$B$3:$B$194,0)),"")</x:f>
      </x:c>
      <x:c r="H249" s="53"/>
      <x:c r="I249" s="60"/>
      <x:c r="J249" s="60"/>
      <x:c r="K249" s="82" t="str">
        <x:f t="shared" si="18">IF(OR(B249="",I249="",I249=0),"",E249/I249)</x:f>
      </x:c>
      <x:c r="L249" s="60"/>
      <x:c r="M249" s="82" t="str">
        <x:f t="shared" si="19">IF(L249&gt;0,L249,K249)</x:f>
      </x:c>
      <x:c r="N249" s="53"/>
      <x:c r="O249" s="53"/>
      <x:c r="P249" s="53"/>
      <x:c r="Q249" s="81" t="str">
        <x:f>IFERROR(INDEX('Resource Rate Library'!$C$5:$C$85,MATCH(P249,'Resource Rate Library'!$A$5:$A$85,0)),"")</x:f>
      </x:c>
      <x:c r="R249" s="53"/>
      <x:c r="S249" s="53"/>
      <x:c r="T249" s="81" t="str">
        <x:f>IFERROR(INDEX('Resource Rate Library'!$E$5:$E$85,MATCH(P249,'Resource Rate Library'!$A$5:$A$85,0)),"")</x:f>
      </x:c>
      <x:c r="U249" s="62"/>
      <x:c r="V249" s="62"/>
      <x:c r="W249" s="83" t="n">
        <x:f>IFERROR(INDEX('Resource Rate Library'!$I$5:$I$85,MATCH(P249,'Resource Rate Library'!$A$5:$A$85,0)),0)</x:f>
        <x:v>0</x:v>
      </x:c>
      <x:c r="X249" s="52"/>
      <x:c r="Y249" s="83" t="n">
        <x:f t="shared" si="20">IF(X249&gt;0,X249,W249)</x:f>
        <x:v>0</x:v>
      </x:c>
      <x:c r="Z249" s="83" t="str">
        <x:f t="shared" si="21">IF(B249="","",IF(N249="Time x Count",M249*R249*IF(U249="",1,U249)*Y249,IF(N249="QS Qty x Factor",E249*R249*(1+IF(V249="",0,V249))*Y249,IF(N249="Direct Qty",S249*(1+IF(V249="",0,V249))*Y249,IF(N249="Lump Sum / Quote",S249*Y249,0)))))</x:f>
      </x:c>
      <x:c r="AA249" s="81" t="str">
        <x:f>IFERROR(INDEX('Resource Rate Library'!$N$5:$N$85,MATCH(P249,'Resource Rate Library'!$A$5:$A$85,0)),"")</x:f>
      </x:c>
      <x:c r="AB249" s="53"/>
      <x:c r="AC249" s="59"/>
      <x:c r="AD249" s="81" t="str">
        <x:f>IFERROR(INDEX('Resource Rate Library'!$G$5:$G$85,MATCH(P249,'Resource Rate Library'!$A$5:$A$85,0)),"")</x:f>
      </x:c>
      <x:c r="AE249" s="81" t="str">
        <x:f>IFERROR(INDEX('Resource Rate Library'!$H$5:$H$85,MATCH(P249,'Resource Rate Library'!$A$5:$A$85,0)),"")</x:f>
      </x:c>
      <x:c r="AF249" s="53"/>
      <x:c r="AG249" s="53"/>
      <x:c r="AH249" s="53"/>
      <x:c r="AI249" s="81" t="str">
        <x:f t="shared" ref="AI249:AI280" si="23">IF(B249="","",IF(AND(P249="",N249&lt;&gt;"Lump Sum / Quote"),"RESOURCE CODE",IF(Y249=0,"RATE MISSING",IF(AND(O249="Plant",AD249="Yes",COUNTIFS($B$7:$B$306,B249,$O$7:$O$306,"Labour",$Q$7:$Q$306,"*Operator*")&gt;0),"OPERATOR DOUBLE-COUNT",IF(AND(O249="Plant",AE249="Yes",COUNTIFS($B$7:$B$306,B249,$Q$7:$Q$306,"*Fuel*")&gt;0),"FUEL DOUBLE-COUNT",IF(AH249&lt;&gt;"Yes","VERIFY","OK"))))))</x:f>
      </x:c>
      <x:c r="AJ249" s="54"/>
      <x:c r="AK249" s="473"/>
      <x:c r="AL249" s="473"/>
      <x:c r="AM249" s="473"/>
      <x:c r="AN249" s="500" t="n">
        <x:f>IF(AND(AK249="Yes",OR(O249="Labour",O249="Plant")),Z249,0)</x:f>
        <x:v>0</x:v>
      </x:c>
    </x:row>
    <x:row r="250">
      <x:c r="A250" s="80" t="str">
        <x:f>IF(B250="","",B250&amp;"-"&amp;TEXT(COUNTIF($B$7:B250,B250),"000"))</x:f>
      </x:c>
      <x:c r="B250" s="53"/>
      <x:c r="C250" s="81" t="str">
        <x:f>IFERROR(INDEX('QS Takeoff'!$A$3:$A$194,MATCH(B250,'QS Takeoff'!$B$3:$B$194,0)),"")</x:f>
      </x:c>
      <x:c r="D250" s="81" t="str">
        <x:f>IFERROR(INDEX('QS Takeoff'!$C$3:$C$194,MATCH(B250,'QS Takeoff'!$B$3:$B$194,0)),"")</x:f>
      </x:c>
      <x:c r="E250" s="81" t="str">
        <x:f>IFERROR(INDEX('QS Takeoff'!$E$3:$E$194,MATCH(B250,'QS Takeoff'!$B$3:$B$194,0)),"")</x:f>
      </x:c>
      <x:c r="F250" s="81" t="str">
        <x:f>IFERROR(INDEX('QS Takeoff'!$D$3:$D$194,MATCH(B250,'QS Takeoff'!$B$3:$B$194,0)),"")</x:f>
      </x:c>
      <x:c r="G250" s="81" t="str">
        <x:f>IFERROR(INDEX('QS Takeoff'!$J$3:$J$194,MATCH(B250,'QS Takeoff'!$B$3:$B$194,0)),"")</x:f>
      </x:c>
      <x:c r="H250" s="53"/>
      <x:c r="I250" s="60"/>
      <x:c r="J250" s="60"/>
      <x:c r="K250" s="82" t="str">
        <x:f t="shared" si="18">IF(OR(B250="",I250="",I250=0),"",E250/I250)</x:f>
      </x:c>
      <x:c r="L250" s="60"/>
      <x:c r="M250" s="82" t="str">
        <x:f t="shared" si="19">IF(L250&gt;0,L250,K250)</x:f>
      </x:c>
      <x:c r="N250" s="53"/>
      <x:c r="O250" s="53"/>
      <x:c r="P250" s="53"/>
      <x:c r="Q250" s="81" t="str">
        <x:f>IFERROR(INDEX('Resource Rate Library'!$C$5:$C$85,MATCH(P250,'Resource Rate Library'!$A$5:$A$85,0)),"")</x:f>
      </x:c>
      <x:c r="R250" s="53"/>
      <x:c r="S250" s="53"/>
      <x:c r="T250" s="81" t="str">
        <x:f>IFERROR(INDEX('Resource Rate Library'!$E$5:$E$85,MATCH(P250,'Resource Rate Library'!$A$5:$A$85,0)),"")</x:f>
      </x:c>
      <x:c r="U250" s="62"/>
      <x:c r="V250" s="62"/>
      <x:c r="W250" s="83" t="n">
        <x:f>IFERROR(INDEX('Resource Rate Library'!$I$5:$I$85,MATCH(P250,'Resource Rate Library'!$A$5:$A$85,0)),0)</x:f>
        <x:v>0</x:v>
      </x:c>
      <x:c r="X250" s="52"/>
      <x:c r="Y250" s="83" t="n">
        <x:f t="shared" si="20">IF(X250&gt;0,X250,W250)</x:f>
        <x:v>0</x:v>
      </x:c>
      <x:c r="Z250" s="83" t="str">
        <x:f t="shared" si="21">IF(B250="","",IF(N250="Time x Count",M250*R250*IF(U250="",1,U250)*Y250,IF(N250="QS Qty x Factor",E250*R250*(1+IF(V250="",0,V250))*Y250,IF(N250="Direct Qty",S250*(1+IF(V250="",0,V250))*Y250,IF(N250="Lump Sum / Quote",S250*Y250,0)))))</x:f>
      </x:c>
      <x:c r="AA250" s="81" t="str">
        <x:f>IFERROR(INDEX('Resource Rate Library'!$N$5:$N$85,MATCH(P250,'Resource Rate Library'!$A$5:$A$85,0)),"")</x:f>
      </x:c>
      <x:c r="AB250" s="53"/>
      <x:c r="AC250" s="59"/>
      <x:c r="AD250" s="81" t="str">
        <x:f>IFERROR(INDEX('Resource Rate Library'!$G$5:$G$85,MATCH(P250,'Resource Rate Library'!$A$5:$A$85,0)),"")</x:f>
      </x:c>
      <x:c r="AE250" s="81" t="str">
        <x:f>IFERROR(INDEX('Resource Rate Library'!$H$5:$H$85,MATCH(P250,'Resource Rate Library'!$A$5:$A$85,0)),"")</x:f>
      </x:c>
      <x:c r="AF250" s="53"/>
      <x:c r="AG250" s="53"/>
      <x:c r="AH250" s="53"/>
      <x:c r="AI250" s="81" t="str">
        <x:f t="shared" si="23">IF(B250="","",IF(AND(P250="",N250&lt;&gt;"Lump Sum / Quote"),"RESOURCE CODE",IF(Y250=0,"RATE MISSING",IF(AND(O250="Plant",AD250="Yes",COUNTIFS($B$7:$B$306,B250,$O$7:$O$306,"Labour",$Q$7:$Q$306,"*Operator*")&gt;0),"OPERATOR DOUBLE-COUNT",IF(AND(O250="Plant",AE250="Yes",COUNTIFS($B$7:$B$306,B250,$Q$7:$Q$306,"*Fuel*")&gt;0),"FUEL DOUBLE-COUNT",IF(AH250&lt;&gt;"Yes","VERIFY","OK"))))))</x:f>
      </x:c>
      <x:c r="AJ250" s="54"/>
      <x:c r="AK250" s="473"/>
      <x:c r="AL250" s="473"/>
      <x:c r="AM250" s="473"/>
      <x:c r="AN250" s="500" t="n">
        <x:f>IF(AND(AK250="Yes",OR(O250="Labour",O250="Plant")),Z250,0)</x:f>
        <x:v>0</x:v>
      </x:c>
    </x:row>
    <x:row r="251">
      <x:c r="A251" s="80" t="str">
        <x:f>IF(B251="","",B251&amp;"-"&amp;TEXT(COUNTIF($B$7:B251,B251),"000"))</x:f>
      </x:c>
      <x:c r="B251" s="53"/>
      <x:c r="C251" s="81" t="str">
        <x:f>IFERROR(INDEX('QS Takeoff'!$A$3:$A$194,MATCH(B251,'QS Takeoff'!$B$3:$B$194,0)),"")</x:f>
      </x:c>
      <x:c r="D251" s="81" t="str">
        <x:f>IFERROR(INDEX('QS Takeoff'!$C$3:$C$194,MATCH(B251,'QS Takeoff'!$B$3:$B$194,0)),"")</x:f>
      </x:c>
      <x:c r="E251" s="81" t="str">
        <x:f>IFERROR(INDEX('QS Takeoff'!$E$3:$E$194,MATCH(B251,'QS Takeoff'!$B$3:$B$194,0)),"")</x:f>
      </x:c>
      <x:c r="F251" s="81" t="str">
        <x:f>IFERROR(INDEX('QS Takeoff'!$D$3:$D$194,MATCH(B251,'QS Takeoff'!$B$3:$B$194,0)),"")</x:f>
      </x:c>
      <x:c r="G251" s="81" t="str">
        <x:f>IFERROR(INDEX('QS Takeoff'!$J$3:$J$194,MATCH(B251,'QS Takeoff'!$B$3:$B$194,0)),"")</x:f>
      </x:c>
      <x:c r="H251" s="53"/>
      <x:c r="I251" s="60"/>
      <x:c r="J251" s="60"/>
      <x:c r="K251" s="82" t="str">
        <x:f t="shared" si="18">IF(OR(B251="",I251="",I251=0),"",E251/I251)</x:f>
      </x:c>
      <x:c r="L251" s="60"/>
      <x:c r="M251" s="82" t="str">
        <x:f t="shared" si="19">IF(L251&gt;0,L251,K251)</x:f>
      </x:c>
      <x:c r="N251" s="53"/>
      <x:c r="O251" s="53"/>
      <x:c r="P251" s="53"/>
      <x:c r="Q251" s="81" t="str">
        <x:f>IFERROR(INDEX('Resource Rate Library'!$C$5:$C$85,MATCH(P251,'Resource Rate Library'!$A$5:$A$85,0)),"")</x:f>
      </x:c>
      <x:c r="R251" s="53"/>
      <x:c r="S251" s="53"/>
      <x:c r="T251" s="81" t="str">
        <x:f>IFERROR(INDEX('Resource Rate Library'!$E$5:$E$85,MATCH(P251,'Resource Rate Library'!$A$5:$A$85,0)),"")</x:f>
      </x:c>
      <x:c r="U251" s="62"/>
      <x:c r="V251" s="62"/>
      <x:c r="W251" s="83" t="n">
        <x:f>IFERROR(INDEX('Resource Rate Library'!$I$5:$I$85,MATCH(P251,'Resource Rate Library'!$A$5:$A$85,0)),0)</x:f>
        <x:v>0</x:v>
      </x:c>
      <x:c r="X251" s="52"/>
      <x:c r="Y251" s="83" t="n">
        <x:f t="shared" si="20">IF(X251&gt;0,X251,W251)</x:f>
        <x:v>0</x:v>
      </x:c>
      <x:c r="Z251" s="83" t="str">
        <x:f t="shared" si="21">IF(B251="","",IF(N251="Time x Count",M251*R251*IF(U251="",1,U251)*Y251,IF(N251="QS Qty x Factor",E251*R251*(1+IF(V251="",0,V251))*Y251,IF(N251="Direct Qty",S251*(1+IF(V251="",0,V251))*Y251,IF(N251="Lump Sum / Quote",S251*Y251,0)))))</x:f>
      </x:c>
      <x:c r="AA251" s="81" t="str">
        <x:f>IFERROR(INDEX('Resource Rate Library'!$N$5:$N$85,MATCH(P251,'Resource Rate Library'!$A$5:$A$85,0)),"")</x:f>
      </x:c>
      <x:c r="AB251" s="53"/>
      <x:c r="AC251" s="59"/>
      <x:c r="AD251" s="81" t="str">
        <x:f>IFERROR(INDEX('Resource Rate Library'!$G$5:$G$85,MATCH(P251,'Resource Rate Library'!$A$5:$A$85,0)),"")</x:f>
      </x:c>
      <x:c r="AE251" s="81" t="str">
        <x:f>IFERROR(INDEX('Resource Rate Library'!$H$5:$H$85,MATCH(P251,'Resource Rate Library'!$A$5:$A$85,0)),"")</x:f>
      </x:c>
      <x:c r="AF251" s="53"/>
      <x:c r="AG251" s="53"/>
      <x:c r="AH251" s="53"/>
      <x:c r="AI251" s="81" t="str">
        <x:f t="shared" si="23">IF(B251="","",IF(AND(P251="",N251&lt;&gt;"Lump Sum / Quote"),"RESOURCE CODE",IF(Y251=0,"RATE MISSING",IF(AND(O251="Plant",AD251="Yes",COUNTIFS($B$7:$B$306,B251,$O$7:$O$306,"Labour",$Q$7:$Q$306,"*Operator*")&gt;0),"OPERATOR DOUBLE-COUNT",IF(AND(O251="Plant",AE251="Yes",COUNTIFS($B$7:$B$306,B251,$Q$7:$Q$306,"*Fuel*")&gt;0),"FUEL DOUBLE-COUNT",IF(AH251&lt;&gt;"Yes","VERIFY","OK"))))))</x:f>
      </x:c>
      <x:c r="AJ251" s="54"/>
      <x:c r="AK251" s="473"/>
      <x:c r="AL251" s="473"/>
      <x:c r="AM251" s="473"/>
      <x:c r="AN251" s="500" t="n">
        <x:f>IF(AND(AK251="Yes",OR(O251="Labour",O251="Plant")),Z251,0)</x:f>
        <x:v>0</x:v>
      </x:c>
    </x:row>
    <x:row r="252">
      <x:c r="A252" s="80" t="str">
        <x:f>IF(B252="","",B252&amp;"-"&amp;TEXT(COUNTIF($B$7:B252,B252),"000"))</x:f>
      </x:c>
      <x:c r="B252" s="53"/>
      <x:c r="C252" s="81" t="str">
        <x:f>IFERROR(INDEX('QS Takeoff'!$A$3:$A$194,MATCH(B252,'QS Takeoff'!$B$3:$B$194,0)),"")</x:f>
      </x:c>
      <x:c r="D252" s="81" t="str">
        <x:f>IFERROR(INDEX('QS Takeoff'!$C$3:$C$194,MATCH(B252,'QS Takeoff'!$B$3:$B$194,0)),"")</x:f>
      </x:c>
      <x:c r="E252" s="81" t="str">
        <x:f>IFERROR(INDEX('QS Takeoff'!$E$3:$E$194,MATCH(B252,'QS Takeoff'!$B$3:$B$194,0)),"")</x:f>
      </x:c>
      <x:c r="F252" s="81" t="str">
        <x:f>IFERROR(INDEX('QS Takeoff'!$D$3:$D$194,MATCH(B252,'QS Takeoff'!$B$3:$B$194,0)),"")</x:f>
      </x:c>
      <x:c r="G252" s="81" t="str">
        <x:f>IFERROR(INDEX('QS Takeoff'!$J$3:$J$194,MATCH(B252,'QS Takeoff'!$B$3:$B$194,0)),"")</x:f>
      </x:c>
      <x:c r="H252" s="53"/>
      <x:c r="I252" s="60"/>
      <x:c r="J252" s="60"/>
      <x:c r="K252" s="82" t="str">
        <x:f t="shared" si="18">IF(OR(B252="",I252="",I252=0),"",E252/I252)</x:f>
      </x:c>
      <x:c r="L252" s="60"/>
      <x:c r="M252" s="82" t="str">
        <x:f t="shared" si="19">IF(L252&gt;0,L252,K252)</x:f>
      </x:c>
      <x:c r="N252" s="53"/>
      <x:c r="O252" s="53"/>
      <x:c r="P252" s="53"/>
      <x:c r="Q252" s="81" t="str">
        <x:f>IFERROR(INDEX('Resource Rate Library'!$C$5:$C$85,MATCH(P252,'Resource Rate Library'!$A$5:$A$85,0)),"")</x:f>
      </x:c>
      <x:c r="R252" s="53"/>
      <x:c r="S252" s="53"/>
      <x:c r="T252" s="81" t="str">
        <x:f>IFERROR(INDEX('Resource Rate Library'!$E$5:$E$85,MATCH(P252,'Resource Rate Library'!$A$5:$A$85,0)),"")</x:f>
      </x:c>
      <x:c r="U252" s="62"/>
      <x:c r="V252" s="62"/>
      <x:c r="W252" s="83" t="n">
        <x:f>IFERROR(INDEX('Resource Rate Library'!$I$5:$I$85,MATCH(P252,'Resource Rate Library'!$A$5:$A$85,0)),0)</x:f>
        <x:v>0</x:v>
      </x:c>
      <x:c r="X252" s="52"/>
      <x:c r="Y252" s="83" t="n">
        <x:f t="shared" si="20">IF(X252&gt;0,X252,W252)</x:f>
        <x:v>0</x:v>
      </x:c>
      <x:c r="Z252" s="83" t="str">
        <x:f t="shared" si="21">IF(B252="","",IF(N252="Time x Count",M252*R252*IF(U252="",1,U252)*Y252,IF(N252="QS Qty x Factor",E252*R252*(1+IF(V252="",0,V252))*Y252,IF(N252="Direct Qty",S252*(1+IF(V252="",0,V252))*Y252,IF(N252="Lump Sum / Quote",S252*Y252,0)))))</x:f>
      </x:c>
      <x:c r="AA252" s="81" t="str">
        <x:f>IFERROR(INDEX('Resource Rate Library'!$N$5:$N$85,MATCH(P252,'Resource Rate Library'!$A$5:$A$85,0)),"")</x:f>
      </x:c>
      <x:c r="AB252" s="53"/>
      <x:c r="AC252" s="59"/>
      <x:c r="AD252" s="81" t="str">
        <x:f>IFERROR(INDEX('Resource Rate Library'!$G$5:$G$85,MATCH(P252,'Resource Rate Library'!$A$5:$A$85,0)),"")</x:f>
      </x:c>
      <x:c r="AE252" s="81" t="str">
        <x:f>IFERROR(INDEX('Resource Rate Library'!$H$5:$H$85,MATCH(P252,'Resource Rate Library'!$A$5:$A$85,0)),"")</x:f>
      </x:c>
      <x:c r="AF252" s="53"/>
      <x:c r="AG252" s="53"/>
      <x:c r="AH252" s="53"/>
      <x:c r="AI252" s="81" t="str">
        <x:f t="shared" si="23">IF(B252="","",IF(AND(P252="",N252&lt;&gt;"Lump Sum / Quote"),"RESOURCE CODE",IF(Y252=0,"RATE MISSING",IF(AND(O252="Plant",AD252="Yes",COUNTIFS($B$7:$B$306,B252,$O$7:$O$306,"Labour",$Q$7:$Q$306,"*Operator*")&gt;0),"OPERATOR DOUBLE-COUNT",IF(AND(O252="Plant",AE252="Yes",COUNTIFS($B$7:$B$306,B252,$Q$7:$Q$306,"*Fuel*")&gt;0),"FUEL DOUBLE-COUNT",IF(AH252&lt;&gt;"Yes","VERIFY","OK"))))))</x:f>
      </x:c>
      <x:c r="AJ252" s="54"/>
      <x:c r="AK252" s="473"/>
      <x:c r="AL252" s="473"/>
      <x:c r="AM252" s="473"/>
      <x:c r="AN252" s="500" t="n">
        <x:f>IF(AND(AK252="Yes",OR(O252="Labour",O252="Plant")),Z252,0)</x:f>
        <x:v>0</x:v>
      </x:c>
    </x:row>
    <x:row r="253">
      <x:c r="A253" s="80" t="str">
        <x:f>IF(B253="","",B253&amp;"-"&amp;TEXT(COUNTIF($B$7:B253,B253),"000"))</x:f>
      </x:c>
      <x:c r="B253" s="53"/>
      <x:c r="C253" s="81" t="str">
        <x:f>IFERROR(INDEX('QS Takeoff'!$A$3:$A$194,MATCH(B253,'QS Takeoff'!$B$3:$B$194,0)),"")</x:f>
      </x:c>
      <x:c r="D253" s="81" t="str">
        <x:f>IFERROR(INDEX('QS Takeoff'!$C$3:$C$194,MATCH(B253,'QS Takeoff'!$B$3:$B$194,0)),"")</x:f>
      </x:c>
      <x:c r="E253" s="81" t="str">
        <x:f>IFERROR(INDEX('QS Takeoff'!$E$3:$E$194,MATCH(B253,'QS Takeoff'!$B$3:$B$194,0)),"")</x:f>
      </x:c>
      <x:c r="F253" s="81" t="str">
        <x:f>IFERROR(INDEX('QS Takeoff'!$D$3:$D$194,MATCH(B253,'QS Takeoff'!$B$3:$B$194,0)),"")</x:f>
      </x:c>
      <x:c r="G253" s="81" t="str">
        <x:f>IFERROR(INDEX('QS Takeoff'!$J$3:$J$194,MATCH(B253,'QS Takeoff'!$B$3:$B$194,0)),"")</x:f>
      </x:c>
      <x:c r="H253" s="53"/>
      <x:c r="I253" s="60"/>
      <x:c r="J253" s="60"/>
      <x:c r="K253" s="82" t="str">
        <x:f t="shared" si="18">IF(OR(B253="",I253="",I253=0),"",E253/I253)</x:f>
      </x:c>
      <x:c r="L253" s="60"/>
      <x:c r="M253" s="82" t="str">
        <x:f t="shared" si="19">IF(L253&gt;0,L253,K253)</x:f>
      </x:c>
      <x:c r="N253" s="53"/>
      <x:c r="O253" s="53"/>
      <x:c r="P253" s="53"/>
      <x:c r="Q253" s="81" t="str">
        <x:f>IFERROR(INDEX('Resource Rate Library'!$C$5:$C$85,MATCH(P253,'Resource Rate Library'!$A$5:$A$85,0)),"")</x:f>
      </x:c>
      <x:c r="R253" s="53"/>
      <x:c r="S253" s="53"/>
      <x:c r="T253" s="81" t="str">
        <x:f>IFERROR(INDEX('Resource Rate Library'!$E$5:$E$85,MATCH(P253,'Resource Rate Library'!$A$5:$A$85,0)),"")</x:f>
      </x:c>
      <x:c r="U253" s="62"/>
      <x:c r="V253" s="62"/>
      <x:c r="W253" s="83" t="n">
        <x:f>IFERROR(INDEX('Resource Rate Library'!$I$5:$I$85,MATCH(P253,'Resource Rate Library'!$A$5:$A$85,0)),0)</x:f>
        <x:v>0</x:v>
      </x:c>
      <x:c r="X253" s="52"/>
      <x:c r="Y253" s="83" t="n">
        <x:f t="shared" si="20">IF(X253&gt;0,X253,W253)</x:f>
        <x:v>0</x:v>
      </x:c>
      <x:c r="Z253" s="83" t="str">
        <x:f t="shared" si="21">IF(B253="","",IF(N253="Time x Count",M253*R253*IF(U253="",1,U253)*Y253,IF(N253="QS Qty x Factor",E253*R253*(1+IF(V253="",0,V253))*Y253,IF(N253="Direct Qty",S253*(1+IF(V253="",0,V253))*Y253,IF(N253="Lump Sum / Quote",S253*Y253,0)))))</x:f>
      </x:c>
      <x:c r="AA253" s="81" t="str">
        <x:f>IFERROR(INDEX('Resource Rate Library'!$N$5:$N$85,MATCH(P253,'Resource Rate Library'!$A$5:$A$85,0)),"")</x:f>
      </x:c>
      <x:c r="AB253" s="53"/>
      <x:c r="AC253" s="59"/>
      <x:c r="AD253" s="81" t="str">
        <x:f>IFERROR(INDEX('Resource Rate Library'!$G$5:$G$85,MATCH(P253,'Resource Rate Library'!$A$5:$A$85,0)),"")</x:f>
      </x:c>
      <x:c r="AE253" s="81" t="str">
        <x:f>IFERROR(INDEX('Resource Rate Library'!$H$5:$H$85,MATCH(P253,'Resource Rate Library'!$A$5:$A$85,0)),"")</x:f>
      </x:c>
      <x:c r="AF253" s="53"/>
      <x:c r="AG253" s="53"/>
      <x:c r="AH253" s="53"/>
      <x:c r="AI253" s="81" t="str">
        <x:f t="shared" si="23">IF(B253="","",IF(AND(P253="",N253&lt;&gt;"Lump Sum / Quote"),"RESOURCE CODE",IF(Y253=0,"RATE MISSING",IF(AND(O253="Plant",AD253="Yes",COUNTIFS($B$7:$B$306,B253,$O$7:$O$306,"Labour",$Q$7:$Q$306,"*Operator*")&gt;0),"OPERATOR DOUBLE-COUNT",IF(AND(O253="Plant",AE253="Yes",COUNTIFS($B$7:$B$306,B253,$Q$7:$Q$306,"*Fuel*")&gt;0),"FUEL DOUBLE-COUNT",IF(AH253&lt;&gt;"Yes","VERIFY","OK"))))))</x:f>
      </x:c>
      <x:c r="AJ253" s="54"/>
      <x:c r="AK253" s="473"/>
      <x:c r="AL253" s="473"/>
      <x:c r="AM253" s="473"/>
      <x:c r="AN253" s="500" t="n">
        <x:f>IF(AND(AK253="Yes",OR(O253="Labour",O253="Plant")),Z253,0)</x:f>
        <x:v>0</x:v>
      </x:c>
    </x:row>
    <x:row r="254">
      <x:c r="A254" s="80" t="str">
        <x:f>IF(B254="","",B254&amp;"-"&amp;TEXT(COUNTIF($B$7:B254,B254),"000"))</x:f>
      </x:c>
      <x:c r="B254" s="53"/>
      <x:c r="C254" s="81" t="str">
        <x:f>IFERROR(INDEX('QS Takeoff'!$A$3:$A$194,MATCH(B254,'QS Takeoff'!$B$3:$B$194,0)),"")</x:f>
      </x:c>
      <x:c r="D254" s="81" t="str">
        <x:f>IFERROR(INDEX('QS Takeoff'!$C$3:$C$194,MATCH(B254,'QS Takeoff'!$B$3:$B$194,0)),"")</x:f>
      </x:c>
      <x:c r="E254" s="81" t="str">
        <x:f>IFERROR(INDEX('QS Takeoff'!$E$3:$E$194,MATCH(B254,'QS Takeoff'!$B$3:$B$194,0)),"")</x:f>
      </x:c>
      <x:c r="F254" s="81" t="str">
        <x:f>IFERROR(INDEX('QS Takeoff'!$D$3:$D$194,MATCH(B254,'QS Takeoff'!$B$3:$B$194,0)),"")</x:f>
      </x:c>
      <x:c r="G254" s="81" t="str">
        <x:f>IFERROR(INDEX('QS Takeoff'!$J$3:$J$194,MATCH(B254,'QS Takeoff'!$B$3:$B$194,0)),"")</x:f>
      </x:c>
      <x:c r="H254" s="53"/>
      <x:c r="I254" s="60"/>
      <x:c r="J254" s="60"/>
      <x:c r="K254" s="82" t="str">
        <x:f t="shared" si="18">IF(OR(B254="",I254="",I254=0),"",E254/I254)</x:f>
      </x:c>
      <x:c r="L254" s="60"/>
      <x:c r="M254" s="82" t="str">
        <x:f t="shared" si="19">IF(L254&gt;0,L254,K254)</x:f>
      </x:c>
      <x:c r="N254" s="53"/>
      <x:c r="O254" s="53"/>
      <x:c r="P254" s="53"/>
      <x:c r="Q254" s="81" t="str">
        <x:f>IFERROR(INDEX('Resource Rate Library'!$C$5:$C$85,MATCH(P254,'Resource Rate Library'!$A$5:$A$85,0)),"")</x:f>
      </x:c>
      <x:c r="R254" s="53"/>
      <x:c r="S254" s="53"/>
      <x:c r="T254" s="81" t="str">
        <x:f>IFERROR(INDEX('Resource Rate Library'!$E$5:$E$85,MATCH(P254,'Resource Rate Library'!$A$5:$A$85,0)),"")</x:f>
      </x:c>
      <x:c r="U254" s="62"/>
      <x:c r="V254" s="62"/>
      <x:c r="W254" s="83" t="n">
        <x:f>IFERROR(INDEX('Resource Rate Library'!$I$5:$I$85,MATCH(P254,'Resource Rate Library'!$A$5:$A$85,0)),0)</x:f>
        <x:v>0</x:v>
      </x:c>
      <x:c r="X254" s="52"/>
      <x:c r="Y254" s="83" t="n">
        <x:f t="shared" si="20">IF(X254&gt;0,X254,W254)</x:f>
        <x:v>0</x:v>
      </x:c>
      <x:c r="Z254" s="83" t="str">
        <x:f t="shared" si="21">IF(B254="","",IF(N254="Time x Count",M254*R254*IF(U254="",1,U254)*Y254,IF(N254="QS Qty x Factor",E254*R254*(1+IF(V254="",0,V254))*Y254,IF(N254="Direct Qty",S254*(1+IF(V254="",0,V254))*Y254,IF(N254="Lump Sum / Quote",S254*Y254,0)))))</x:f>
      </x:c>
      <x:c r="AA254" s="81" t="str">
        <x:f>IFERROR(INDEX('Resource Rate Library'!$N$5:$N$85,MATCH(P254,'Resource Rate Library'!$A$5:$A$85,0)),"")</x:f>
      </x:c>
      <x:c r="AB254" s="53"/>
      <x:c r="AC254" s="59"/>
      <x:c r="AD254" s="81" t="str">
        <x:f>IFERROR(INDEX('Resource Rate Library'!$G$5:$G$85,MATCH(P254,'Resource Rate Library'!$A$5:$A$85,0)),"")</x:f>
      </x:c>
      <x:c r="AE254" s="81" t="str">
        <x:f>IFERROR(INDEX('Resource Rate Library'!$H$5:$H$85,MATCH(P254,'Resource Rate Library'!$A$5:$A$85,0)),"")</x:f>
      </x:c>
      <x:c r="AF254" s="53"/>
      <x:c r="AG254" s="53"/>
      <x:c r="AH254" s="53"/>
      <x:c r="AI254" s="81" t="str">
        <x:f t="shared" si="23">IF(B254="","",IF(AND(P254="",N254&lt;&gt;"Lump Sum / Quote"),"RESOURCE CODE",IF(Y254=0,"RATE MISSING",IF(AND(O254="Plant",AD254="Yes",COUNTIFS($B$7:$B$306,B254,$O$7:$O$306,"Labour",$Q$7:$Q$306,"*Operator*")&gt;0),"OPERATOR DOUBLE-COUNT",IF(AND(O254="Plant",AE254="Yes",COUNTIFS($B$7:$B$306,B254,$Q$7:$Q$306,"*Fuel*")&gt;0),"FUEL DOUBLE-COUNT",IF(AH254&lt;&gt;"Yes","VERIFY","OK"))))))</x:f>
      </x:c>
      <x:c r="AJ254" s="54"/>
      <x:c r="AK254" s="473"/>
      <x:c r="AL254" s="473"/>
      <x:c r="AM254" s="473"/>
      <x:c r="AN254" s="500" t="n">
        <x:f>IF(AND(AK254="Yes",OR(O254="Labour",O254="Plant")),Z254,0)</x:f>
        <x:v>0</x:v>
      </x:c>
    </x:row>
    <x:row r="255">
      <x:c r="A255" s="80" t="str">
        <x:f>IF(B255="","",B255&amp;"-"&amp;TEXT(COUNTIF($B$7:B255,B255),"000"))</x:f>
      </x:c>
      <x:c r="B255" s="53"/>
      <x:c r="C255" s="81" t="str">
        <x:f>IFERROR(INDEX('QS Takeoff'!$A$3:$A$194,MATCH(B255,'QS Takeoff'!$B$3:$B$194,0)),"")</x:f>
      </x:c>
      <x:c r="D255" s="81" t="str">
        <x:f>IFERROR(INDEX('QS Takeoff'!$C$3:$C$194,MATCH(B255,'QS Takeoff'!$B$3:$B$194,0)),"")</x:f>
      </x:c>
      <x:c r="E255" s="81" t="str">
        <x:f>IFERROR(INDEX('QS Takeoff'!$E$3:$E$194,MATCH(B255,'QS Takeoff'!$B$3:$B$194,0)),"")</x:f>
      </x:c>
      <x:c r="F255" s="81" t="str">
        <x:f>IFERROR(INDEX('QS Takeoff'!$D$3:$D$194,MATCH(B255,'QS Takeoff'!$B$3:$B$194,0)),"")</x:f>
      </x:c>
      <x:c r="G255" s="81" t="str">
        <x:f>IFERROR(INDEX('QS Takeoff'!$J$3:$J$194,MATCH(B255,'QS Takeoff'!$B$3:$B$194,0)),"")</x:f>
      </x:c>
      <x:c r="H255" s="53"/>
      <x:c r="I255" s="60"/>
      <x:c r="J255" s="60"/>
      <x:c r="K255" s="82" t="str">
        <x:f t="shared" si="18">IF(OR(B255="",I255="",I255=0),"",E255/I255)</x:f>
      </x:c>
      <x:c r="L255" s="60"/>
      <x:c r="M255" s="82" t="str">
        <x:f t="shared" si="19">IF(L255&gt;0,L255,K255)</x:f>
      </x:c>
      <x:c r="N255" s="53"/>
      <x:c r="O255" s="53"/>
      <x:c r="P255" s="53"/>
      <x:c r="Q255" s="81" t="str">
        <x:f>IFERROR(INDEX('Resource Rate Library'!$C$5:$C$85,MATCH(P255,'Resource Rate Library'!$A$5:$A$85,0)),"")</x:f>
      </x:c>
      <x:c r="R255" s="53"/>
      <x:c r="S255" s="53"/>
      <x:c r="T255" s="81" t="str">
        <x:f>IFERROR(INDEX('Resource Rate Library'!$E$5:$E$85,MATCH(P255,'Resource Rate Library'!$A$5:$A$85,0)),"")</x:f>
      </x:c>
      <x:c r="U255" s="62"/>
      <x:c r="V255" s="62"/>
      <x:c r="W255" s="83" t="n">
        <x:f>IFERROR(INDEX('Resource Rate Library'!$I$5:$I$85,MATCH(P255,'Resource Rate Library'!$A$5:$A$85,0)),0)</x:f>
        <x:v>0</x:v>
      </x:c>
      <x:c r="X255" s="52"/>
      <x:c r="Y255" s="83" t="n">
        <x:f t="shared" si="20">IF(X255&gt;0,X255,W255)</x:f>
        <x:v>0</x:v>
      </x:c>
      <x:c r="Z255" s="83" t="str">
        <x:f t="shared" si="21">IF(B255="","",IF(N255="Time x Count",M255*R255*IF(U255="",1,U255)*Y255,IF(N255="QS Qty x Factor",E255*R255*(1+IF(V255="",0,V255))*Y255,IF(N255="Direct Qty",S255*(1+IF(V255="",0,V255))*Y255,IF(N255="Lump Sum / Quote",S255*Y255,0)))))</x:f>
      </x:c>
      <x:c r="AA255" s="81" t="str">
        <x:f>IFERROR(INDEX('Resource Rate Library'!$N$5:$N$85,MATCH(P255,'Resource Rate Library'!$A$5:$A$85,0)),"")</x:f>
      </x:c>
      <x:c r="AB255" s="53"/>
      <x:c r="AC255" s="59"/>
      <x:c r="AD255" s="81" t="str">
        <x:f>IFERROR(INDEX('Resource Rate Library'!$G$5:$G$85,MATCH(P255,'Resource Rate Library'!$A$5:$A$85,0)),"")</x:f>
      </x:c>
      <x:c r="AE255" s="81" t="str">
        <x:f>IFERROR(INDEX('Resource Rate Library'!$H$5:$H$85,MATCH(P255,'Resource Rate Library'!$A$5:$A$85,0)),"")</x:f>
      </x:c>
      <x:c r="AF255" s="53"/>
      <x:c r="AG255" s="53"/>
      <x:c r="AH255" s="53"/>
      <x:c r="AI255" s="81" t="str">
        <x:f t="shared" si="23">IF(B255="","",IF(AND(P255="",N255&lt;&gt;"Lump Sum / Quote"),"RESOURCE CODE",IF(Y255=0,"RATE MISSING",IF(AND(O255="Plant",AD255="Yes",COUNTIFS($B$7:$B$306,B255,$O$7:$O$306,"Labour",$Q$7:$Q$306,"*Operator*")&gt;0),"OPERATOR DOUBLE-COUNT",IF(AND(O255="Plant",AE255="Yes",COUNTIFS($B$7:$B$306,B255,$Q$7:$Q$306,"*Fuel*")&gt;0),"FUEL DOUBLE-COUNT",IF(AH255&lt;&gt;"Yes","VERIFY","OK"))))))</x:f>
      </x:c>
      <x:c r="AJ255" s="54"/>
      <x:c r="AK255" s="473"/>
      <x:c r="AL255" s="473"/>
      <x:c r="AM255" s="473"/>
      <x:c r="AN255" s="500" t="n">
        <x:f>IF(AND(AK255="Yes",OR(O255="Labour",O255="Plant")),Z255,0)</x:f>
        <x:v>0</x:v>
      </x:c>
    </x:row>
    <x:row r="256">
      <x:c r="A256" s="80" t="str">
        <x:f>IF(B256="","",B256&amp;"-"&amp;TEXT(COUNTIF($B$7:B256,B256),"000"))</x:f>
      </x:c>
      <x:c r="B256" s="53"/>
      <x:c r="C256" s="81" t="str">
        <x:f>IFERROR(INDEX('QS Takeoff'!$A$3:$A$194,MATCH(B256,'QS Takeoff'!$B$3:$B$194,0)),"")</x:f>
      </x:c>
      <x:c r="D256" s="81" t="str">
        <x:f>IFERROR(INDEX('QS Takeoff'!$C$3:$C$194,MATCH(B256,'QS Takeoff'!$B$3:$B$194,0)),"")</x:f>
      </x:c>
      <x:c r="E256" s="81" t="str">
        <x:f>IFERROR(INDEX('QS Takeoff'!$E$3:$E$194,MATCH(B256,'QS Takeoff'!$B$3:$B$194,0)),"")</x:f>
      </x:c>
      <x:c r="F256" s="81" t="str">
        <x:f>IFERROR(INDEX('QS Takeoff'!$D$3:$D$194,MATCH(B256,'QS Takeoff'!$B$3:$B$194,0)),"")</x:f>
      </x:c>
      <x:c r="G256" s="81" t="str">
        <x:f>IFERROR(INDEX('QS Takeoff'!$J$3:$J$194,MATCH(B256,'QS Takeoff'!$B$3:$B$194,0)),"")</x:f>
      </x:c>
      <x:c r="H256" s="53"/>
      <x:c r="I256" s="60"/>
      <x:c r="J256" s="60"/>
      <x:c r="K256" s="82" t="str">
        <x:f t="shared" si="18">IF(OR(B256="",I256="",I256=0),"",E256/I256)</x:f>
      </x:c>
      <x:c r="L256" s="60"/>
      <x:c r="M256" s="82" t="str">
        <x:f t="shared" si="19">IF(L256&gt;0,L256,K256)</x:f>
      </x:c>
      <x:c r="N256" s="53"/>
      <x:c r="O256" s="53"/>
      <x:c r="P256" s="53"/>
      <x:c r="Q256" s="81" t="str">
        <x:f>IFERROR(INDEX('Resource Rate Library'!$C$5:$C$85,MATCH(P256,'Resource Rate Library'!$A$5:$A$85,0)),"")</x:f>
      </x:c>
      <x:c r="R256" s="53"/>
      <x:c r="S256" s="53"/>
      <x:c r="T256" s="81" t="str">
        <x:f>IFERROR(INDEX('Resource Rate Library'!$E$5:$E$85,MATCH(P256,'Resource Rate Library'!$A$5:$A$85,0)),"")</x:f>
      </x:c>
      <x:c r="U256" s="62"/>
      <x:c r="V256" s="62"/>
      <x:c r="W256" s="83" t="n">
        <x:f>IFERROR(INDEX('Resource Rate Library'!$I$5:$I$85,MATCH(P256,'Resource Rate Library'!$A$5:$A$85,0)),0)</x:f>
        <x:v>0</x:v>
      </x:c>
      <x:c r="X256" s="52"/>
      <x:c r="Y256" s="83" t="n">
        <x:f t="shared" si="20">IF(X256&gt;0,X256,W256)</x:f>
        <x:v>0</x:v>
      </x:c>
      <x:c r="Z256" s="83" t="str">
        <x:f t="shared" si="21">IF(B256="","",IF(N256="Time x Count",M256*R256*IF(U256="",1,U256)*Y256,IF(N256="QS Qty x Factor",E256*R256*(1+IF(V256="",0,V256))*Y256,IF(N256="Direct Qty",S256*(1+IF(V256="",0,V256))*Y256,IF(N256="Lump Sum / Quote",S256*Y256,0)))))</x:f>
      </x:c>
      <x:c r="AA256" s="81" t="str">
        <x:f>IFERROR(INDEX('Resource Rate Library'!$N$5:$N$85,MATCH(P256,'Resource Rate Library'!$A$5:$A$85,0)),"")</x:f>
      </x:c>
      <x:c r="AB256" s="53"/>
      <x:c r="AC256" s="59"/>
      <x:c r="AD256" s="81" t="str">
        <x:f>IFERROR(INDEX('Resource Rate Library'!$G$5:$G$85,MATCH(P256,'Resource Rate Library'!$A$5:$A$85,0)),"")</x:f>
      </x:c>
      <x:c r="AE256" s="81" t="str">
        <x:f>IFERROR(INDEX('Resource Rate Library'!$H$5:$H$85,MATCH(P256,'Resource Rate Library'!$A$5:$A$85,0)),"")</x:f>
      </x:c>
      <x:c r="AF256" s="53"/>
      <x:c r="AG256" s="53"/>
      <x:c r="AH256" s="53"/>
      <x:c r="AI256" s="81" t="str">
        <x:f t="shared" si="23">IF(B256="","",IF(AND(P256="",N256&lt;&gt;"Lump Sum / Quote"),"RESOURCE CODE",IF(Y256=0,"RATE MISSING",IF(AND(O256="Plant",AD256="Yes",COUNTIFS($B$7:$B$306,B256,$O$7:$O$306,"Labour",$Q$7:$Q$306,"*Operator*")&gt;0),"OPERATOR DOUBLE-COUNT",IF(AND(O256="Plant",AE256="Yes",COUNTIFS($B$7:$B$306,B256,$Q$7:$Q$306,"*Fuel*")&gt;0),"FUEL DOUBLE-COUNT",IF(AH256&lt;&gt;"Yes","VERIFY","OK"))))))</x:f>
      </x:c>
      <x:c r="AJ256" s="54"/>
      <x:c r="AK256" s="473"/>
      <x:c r="AL256" s="473"/>
      <x:c r="AM256" s="473"/>
      <x:c r="AN256" s="500" t="n">
        <x:f>IF(AND(AK256="Yes",OR(O256="Labour",O256="Plant")),Z256,0)</x:f>
        <x:v>0</x:v>
      </x:c>
    </x:row>
    <x:row r="257">
      <x:c r="A257" s="80" t="str">
        <x:f>IF(B257="","",B257&amp;"-"&amp;TEXT(COUNTIF($B$7:B257,B257),"000"))</x:f>
      </x:c>
      <x:c r="B257" s="53"/>
      <x:c r="C257" s="81" t="str">
        <x:f>IFERROR(INDEX('QS Takeoff'!$A$3:$A$194,MATCH(B257,'QS Takeoff'!$B$3:$B$194,0)),"")</x:f>
      </x:c>
      <x:c r="D257" s="81" t="str">
        <x:f>IFERROR(INDEX('QS Takeoff'!$C$3:$C$194,MATCH(B257,'QS Takeoff'!$B$3:$B$194,0)),"")</x:f>
      </x:c>
      <x:c r="E257" s="81" t="str">
        <x:f>IFERROR(INDEX('QS Takeoff'!$E$3:$E$194,MATCH(B257,'QS Takeoff'!$B$3:$B$194,0)),"")</x:f>
      </x:c>
      <x:c r="F257" s="81" t="str">
        <x:f>IFERROR(INDEX('QS Takeoff'!$D$3:$D$194,MATCH(B257,'QS Takeoff'!$B$3:$B$194,0)),"")</x:f>
      </x:c>
      <x:c r="G257" s="81" t="str">
        <x:f>IFERROR(INDEX('QS Takeoff'!$J$3:$J$194,MATCH(B257,'QS Takeoff'!$B$3:$B$194,0)),"")</x:f>
      </x:c>
      <x:c r="H257" s="53"/>
      <x:c r="I257" s="60"/>
      <x:c r="J257" s="60"/>
      <x:c r="K257" s="82" t="str">
        <x:f t="shared" si="18">IF(OR(B257="",I257="",I257=0),"",E257/I257)</x:f>
      </x:c>
      <x:c r="L257" s="60"/>
      <x:c r="M257" s="82" t="str">
        <x:f t="shared" si="19">IF(L257&gt;0,L257,K257)</x:f>
      </x:c>
      <x:c r="N257" s="53"/>
      <x:c r="O257" s="53"/>
      <x:c r="P257" s="53"/>
      <x:c r="Q257" s="81" t="str">
        <x:f>IFERROR(INDEX('Resource Rate Library'!$C$5:$C$85,MATCH(P257,'Resource Rate Library'!$A$5:$A$85,0)),"")</x:f>
      </x:c>
      <x:c r="R257" s="53"/>
      <x:c r="S257" s="53"/>
      <x:c r="T257" s="81" t="str">
        <x:f>IFERROR(INDEX('Resource Rate Library'!$E$5:$E$85,MATCH(P257,'Resource Rate Library'!$A$5:$A$85,0)),"")</x:f>
      </x:c>
      <x:c r="U257" s="62"/>
      <x:c r="V257" s="62"/>
      <x:c r="W257" s="83" t="n">
        <x:f>IFERROR(INDEX('Resource Rate Library'!$I$5:$I$85,MATCH(P257,'Resource Rate Library'!$A$5:$A$85,0)),0)</x:f>
        <x:v>0</x:v>
      </x:c>
      <x:c r="X257" s="52"/>
      <x:c r="Y257" s="83" t="n">
        <x:f t="shared" si="20">IF(X257&gt;0,X257,W257)</x:f>
        <x:v>0</x:v>
      </x:c>
      <x:c r="Z257" s="83" t="str">
        <x:f t="shared" si="21">IF(B257="","",IF(N257="Time x Count",M257*R257*IF(U257="",1,U257)*Y257,IF(N257="QS Qty x Factor",E257*R257*(1+IF(V257="",0,V257))*Y257,IF(N257="Direct Qty",S257*(1+IF(V257="",0,V257))*Y257,IF(N257="Lump Sum / Quote",S257*Y257,0)))))</x:f>
      </x:c>
      <x:c r="AA257" s="81" t="str">
        <x:f>IFERROR(INDEX('Resource Rate Library'!$N$5:$N$85,MATCH(P257,'Resource Rate Library'!$A$5:$A$85,0)),"")</x:f>
      </x:c>
      <x:c r="AB257" s="53"/>
      <x:c r="AC257" s="59"/>
      <x:c r="AD257" s="81" t="str">
        <x:f>IFERROR(INDEX('Resource Rate Library'!$G$5:$G$85,MATCH(P257,'Resource Rate Library'!$A$5:$A$85,0)),"")</x:f>
      </x:c>
      <x:c r="AE257" s="81" t="str">
        <x:f>IFERROR(INDEX('Resource Rate Library'!$H$5:$H$85,MATCH(P257,'Resource Rate Library'!$A$5:$A$85,0)),"")</x:f>
      </x:c>
      <x:c r="AF257" s="53"/>
      <x:c r="AG257" s="53"/>
      <x:c r="AH257" s="53"/>
      <x:c r="AI257" s="81" t="str">
        <x:f t="shared" si="23">IF(B257="","",IF(AND(P257="",N257&lt;&gt;"Lump Sum / Quote"),"RESOURCE CODE",IF(Y257=0,"RATE MISSING",IF(AND(O257="Plant",AD257="Yes",COUNTIFS($B$7:$B$306,B257,$O$7:$O$306,"Labour",$Q$7:$Q$306,"*Operator*")&gt;0),"OPERATOR DOUBLE-COUNT",IF(AND(O257="Plant",AE257="Yes",COUNTIFS($B$7:$B$306,B257,$Q$7:$Q$306,"*Fuel*")&gt;0),"FUEL DOUBLE-COUNT",IF(AH257&lt;&gt;"Yes","VERIFY","OK"))))))</x:f>
      </x:c>
      <x:c r="AJ257" s="54"/>
      <x:c r="AK257" s="473"/>
      <x:c r="AL257" s="473"/>
      <x:c r="AM257" s="473"/>
      <x:c r="AN257" s="500" t="n">
        <x:f>IF(AND(AK257="Yes",OR(O257="Labour",O257="Plant")),Z257,0)</x:f>
        <x:v>0</x:v>
      </x:c>
    </x:row>
    <x:row r="258">
      <x:c r="A258" s="80" t="str">
        <x:f>IF(B258="","",B258&amp;"-"&amp;TEXT(COUNTIF($B$7:B258,B258),"000"))</x:f>
      </x:c>
      <x:c r="B258" s="53"/>
      <x:c r="C258" s="81" t="str">
        <x:f>IFERROR(INDEX('QS Takeoff'!$A$3:$A$194,MATCH(B258,'QS Takeoff'!$B$3:$B$194,0)),"")</x:f>
      </x:c>
      <x:c r="D258" s="81" t="str">
        <x:f>IFERROR(INDEX('QS Takeoff'!$C$3:$C$194,MATCH(B258,'QS Takeoff'!$B$3:$B$194,0)),"")</x:f>
      </x:c>
      <x:c r="E258" s="81" t="str">
        <x:f>IFERROR(INDEX('QS Takeoff'!$E$3:$E$194,MATCH(B258,'QS Takeoff'!$B$3:$B$194,0)),"")</x:f>
      </x:c>
      <x:c r="F258" s="81" t="str">
        <x:f>IFERROR(INDEX('QS Takeoff'!$D$3:$D$194,MATCH(B258,'QS Takeoff'!$B$3:$B$194,0)),"")</x:f>
      </x:c>
      <x:c r="G258" s="81" t="str">
        <x:f>IFERROR(INDEX('QS Takeoff'!$J$3:$J$194,MATCH(B258,'QS Takeoff'!$B$3:$B$194,0)),"")</x:f>
      </x:c>
      <x:c r="H258" s="53"/>
      <x:c r="I258" s="60"/>
      <x:c r="J258" s="60"/>
      <x:c r="K258" s="82" t="str">
        <x:f t="shared" si="18">IF(OR(B258="",I258="",I258=0),"",E258/I258)</x:f>
      </x:c>
      <x:c r="L258" s="60"/>
      <x:c r="M258" s="82" t="str">
        <x:f t="shared" si="19">IF(L258&gt;0,L258,K258)</x:f>
      </x:c>
      <x:c r="N258" s="53"/>
      <x:c r="O258" s="53"/>
      <x:c r="P258" s="53"/>
      <x:c r="Q258" s="81" t="str">
        <x:f>IFERROR(INDEX('Resource Rate Library'!$C$5:$C$85,MATCH(P258,'Resource Rate Library'!$A$5:$A$85,0)),"")</x:f>
      </x:c>
      <x:c r="R258" s="53"/>
      <x:c r="S258" s="53"/>
      <x:c r="T258" s="81" t="str">
        <x:f>IFERROR(INDEX('Resource Rate Library'!$E$5:$E$85,MATCH(P258,'Resource Rate Library'!$A$5:$A$85,0)),"")</x:f>
      </x:c>
      <x:c r="U258" s="62"/>
      <x:c r="V258" s="62"/>
      <x:c r="W258" s="83" t="n">
        <x:f>IFERROR(INDEX('Resource Rate Library'!$I$5:$I$85,MATCH(P258,'Resource Rate Library'!$A$5:$A$85,0)),0)</x:f>
        <x:v>0</x:v>
      </x:c>
      <x:c r="X258" s="52"/>
      <x:c r="Y258" s="83" t="n">
        <x:f t="shared" si="20">IF(X258&gt;0,X258,W258)</x:f>
        <x:v>0</x:v>
      </x:c>
      <x:c r="Z258" s="83" t="str">
        <x:f t="shared" si="21">IF(B258="","",IF(N258="Time x Count",M258*R258*IF(U258="",1,U258)*Y258,IF(N258="QS Qty x Factor",E258*R258*(1+IF(V258="",0,V258))*Y258,IF(N258="Direct Qty",S258*(1+IF(V258="",0,V258))*Y258,IF(N258="Lump Sum / Quote",S258*Y258,0)))))</x:f>
      </x:c>
      <x:c r="AA258" s="81" t="str">
        <x:f>IFERROR(INDEX('Resource Rate Library'!$N$5:$N$85,MATCH(P258,'Resource Rate Library'!$A$5:$A$85,0)),"")</x:f>
      </x:c>
      <x:c r="AB258" s="53"/>
      <x:c r="AC258" s="59"/>
      <x:c r="AD258" s="81" t="str">
        <x:f>IFERROR(INDEX('Resource Rate Library'!$G$5:$G$85,MATCH(P258,'Resource Rate Library'!$A$5:$A$85,0)),"")</x:f>
      </x:c>
      <x:c r="AE258" s="81" t="str">
        <x:f>IFERROR(INDEX('Resource Rate Library'!$H$5:$H$85,MATCH(P258,'Resource Rate Library'!$A$5:$A$85,0)),"")</x:f>
      </x:c>
      <x:c r="AF258" s="53"/>
      <x:c r="AG258" s="53"/>
      <x:c r="AH258" s="53"/>
      <x:c r="AI258" s="81" t="str">
        <x:f t="shared" si="23">IF(B258="","",IF(AND(P258="",N258&lt;&gt;"Lump Sum / Quote"),"RESOURCE CODE",IF(Y258=0,"RATE MISSING",IF(AND(O258="Plant",AD258="Yes",COUNTIFS($B$7:$B$306,B258,$O$7:$O$306,"Labour",$Q$7:$Q$306,"*Operator*")&gt;0),"OPERATOR DOUBLE-COUNT",IF(AND(O258="Plant",AE258="Yes",COUNTIFS($B$7:$B$306,B258,$Q$7:$Q$306,"*Fuel*")&gt;0),"FUEL DOUBLE-COUNT",IF(AH258&lt;&gt;"Yes","VERIFY","OK"))))))</x:f>
      </x:c>
      <x:c r="AJ258" s="54"/>
      <x:c r="AK258" s="473"/>
      <x:c r="AL258" s="473"/>
      <x:c r="AM258" s="473"/>
      <x:c r="AN258" s="500" t="n">
        <x:f>IF(AND(AK258="Yes",OR(O258="Labour",O258="Plant")),Z258,0)</x:f>
        <x:v>0</x:v>
      </x:c>
    </x:row>
    <x:row r="259">
      <x:c r="A259" s="80" t="str">
        <x:f>IF(B259="","",B259&amp;"-"&amp;TEXT(COUNTIF($B$7:B259,B259),"000"))</x:f>
      </x:c>
      <x:c r="B259" s="53"/>
      <x:c r="C259" s="81" t="str">
        <x:f>IFERROR(INDEX('QS Takeoff'!$A$3:$A$194,MATCH(B259,'QS Takeoff'!$B$3:$B$194,0)),"")</x:f>
      </x:c>
      <x:c r="D259" s="81" t="str">
        <x:f>IFERROR(INDEX('QS Takeoff'!$C$3:$C$194,MATCH(B259,'QS Takeoff'!$B$3:$B$194,0)),"")</x:f>
      </x:c>
      <x:c r="E259" s="81" t="str">
        <x:f>IFERROR(INDEX('QS Takeoff'!$E$3:$E$194,MATCH(B259,'QS Takeoff'!$B$3:$B$194,0)),"")</x:f>
      </x:c>
      <x:c r="F259" s="81" t="str">
        <x:f>IFERROR(INDEX('QS Takeoff'!$D$3:$D$194,MATCH(B259,'QS Takeoff'!$B$3:$B$194,0)),"")</x:f>
      </x:c>
      <x:c r="G259" s="81" t="str">
        <x:f>IFERROR(INDEX('QS Takeoff'!$J$3:$J$194,MATCH(B259,'QS Takeoff'!$B$3:$B$194,0)),"")</x:f>
      </x:c>
      <x:c r="H259" s="53"/>
      <x:c r="I259" s="60"/>
      <x:c r="J259" s="60"/>
      <x:c r="K259" s="82" t="str">
        <x:f t="shared" si="18">IF(OR(B259="",I259="",I259=0),"",E259/I259)</x:f>
      </x:c>
      <x:c r="L259" s="60"/>
      <x:c r="M259" s="82" t="str">
        <x:f t="shared" si="19">IF(L259&gt;0,L259,K259)</x:f>
      </x:c>
      <x:c r="N259" s="53"/>
      <x:c r="O259" s="53"/>
      <x:c r="P259" s="53"/>
      <x:c r="Q259" s="81" t="str">
        <x:f>IFERROR(INDEX('Resource Rate Library'!$C$5:$C$85,MATCH(P259,'Resource Rate Library'!$A$5:$A$85,0)),"")</x:f>
      </x:c>
      <x:c r="R259" s="53"/>
      <x:c r="S259" s="53"/>
      <x:c r="T259" s="81" t="str">
        <x:f>IFERROR(INDEX('Resource Rate Library'!$E$5:$E$85,MATCH(P259,'Resource Rate Library'!$A$5:$A$85,0)),"")</x:f>
      </x:c>
      <x:c r="U259" s="62"/>
      <x:c r="V259" s="62"/>
      <x:c r="W259" s="83" t="n">
        <x:f>IFERROR(INDEX('Resource Rate Library'!$I$5:$I$85,MATCH(P259,'Resource Rate Library'!$A$5:$A$85,0)),0)</x:f>
        <x:v>0</x:v>
      </x:c>
      <x:c r="X259" s="52"/>
      <x:c r="Y259" s="83" t="n">
        <x:f t="shared" si="20">IF(X259&gt;0,X259,W259)</x:f>
        <x:v>0</x:v>
      </x:c>
      <x:c r="Z259" s="83" t="str">
        <x:f t="shared" si="21">IF(B259="","",IF(N259="Time x Count",M259*R259*IF(U259="",1,U259)*Y259,IF(N259="QS Qty x Factor",E259*R259*(1+IF(V259="",0,V259))*Y259,IF(N259="Direct Qty",S259*(1+IF(V259="",0,V259))*Y259,IF(N259="Lump Sum / Quote",S259*Y259,0)))))</x:f>
      </x:c>
      <x:c r="AA259" s="81" t="str">
        <x:f>IFERROR(INDEX('Resource Rate Library'!$N$5:$N$85,MATCH(P259,'Resource Rate Library'!$A$5:$A$85,0)),"")</x:f>
      </x:c>
      <x:c r="AB259" s="53"/>
      <x:c r="AC259" s="59"/>
      <x:c r="AD259" s="81" t="str">
        <x:f>IFERROR(INDEX('Resource Rate Library'!$G$5:$G$85,MATCH(P259,'Resource Rate Library'!$A$5:$A$85,0)),"")</x:f>
      </x:c>
      <x:c r="AE259" s="81" t="str">
        <x:f>IFERROR(INDEX('Resource Rate Library'!$H$5:$H$85,MATCH(P259,'Resource Rate Library'!$A$5:$A$85,0)),"")</x:f>
      </x:c>
      <x:c r="AF259" s="53"/>
      <x:c r="AG259" s="53"/>
      <x:c r="AH259" s="53"/>
      <x:c r="AI259" s="81" t="str">
        <x:f t="shared" si="23">IF(B259="","",IF(AND(P259="",N259&lt;&gt;"Lump Sum / Quote"),"RESOURCE CODE",IF(Y259=0,"RATE MISSING",IF(AND(O259="Plant",AD259="Yes",COUNTIFS($B$7:$B$306,B259,$O$7:$O$306,"Labour",$Q$7:$Q$306,"*Operator*")&gt;0),"OPERATOR DOUBLE-COUNT",IF(AND(O259="Plant",AE259="Yes",COUNTIFS($B$7:$B$306,B259,$Q$7:$Q$306,"*Fuel*")&gt;0),"FUEL DOUBLE-COUNT",IF(AH259&lt;&gt;"Yes","VERIFY","OK"))))))</x:f>
      </x:c>
      <x:c r="AJ259" s="54"/>
      <x:c r="AK259" s="473"/>
      <x:c r="AL259" s="473"/>
      <x:c r="AM259" s="473"/>
      <x:c r="AN259" s="500" t="n">
        <x:f>IF(AND(AK259="Yes",OR(O259="Labour",O259="Plant")),Z259,0)</x:f>
        <x:v>0</x:v>
      </x:c>
    </x:row>
    <x:row r="260">
      <x:c r="A260" s="80" t="str">
        <x:f>IF(B260="","",B260&amp;"-"&amp;TEXT(COUNTIF($B$7:B260,B260),"000"))</x:f>
      </x:c>
      <x:c r="B260" s="53"/>
      <x:c r="C260" s="81" t="str">
        <x:f>IFERROR(INDEX('QS Takeoff'!$A$3:$A$194,MATCH(B260,'QS Takeoff'!$B$3:$B$194,0)),"")</x:f>
      </x:c>
      <x:c r="D260" s="81" t="str">
        <x:f>IFERROR(INDEX('QS Takeoff'!$C$3:$C$194,MATCH(B260,'QS Takeoff'!$B$3:$B$194,0)),"")</x:f>
      </x:c>
      <x:c r="E260" s="81" t="str">
        <x:f>IFERROR(INDEX('QS Takeoff'!$E$3:$E$194,MATCH(B260,'QS Takeoff'!$B$3:$B$194,0)),"")</x:f>
      </x:c>
      <x:c r="F260" s="81" t="str">
        <x:f>IFERROR(INDEX('QS Takeoff'!$D$3:$D$194,MATCH(B260,'QS Takeoff'!$B$3:$B$194,0)),"")</x:f>
      </x:c>
      <x:c r="G260" s="81" t="str">
        <x:f>IFERROR(INDEX('QS Takeoff'!$J$3:$J$194,MATCH(B260,'QS Takeoff'!$B$3:$B$194,0)),"")</x:f>
      </x:c>
      <x:c r="H260" s="53"/>
      <x:c r="I260" s="60"/>
      <x:c r="J260" s="60"/>
      <x:c r="K260" s="82" t="str">
        <x:f t="shared" si="18">IF(OR(B260="",I260="",I260=0),"",E260/I260)</x:f>
      </x:c>
      <x:c r="L260" s="60"/>
      <x:c r="M260" s="82" t="str">
        <x:f t="shared" si="19">IF(L260&gt;0,L260,K260)</x:f>
      </x:c>
      <x:c r="N260" s="53"/>
      <x:c r="O260" s="53"/>
      <x:c r="P260" s="53"/>
      <x:c r="Q260" s="81" t="str">
        <x:f>IFERROR(INDEX('Resource Rate Library'!$C$5:$C$85,MATCH(P260,'Resource Rate Library'!$A$5:$A$85,0)),"")</x:f>
      </x:c>
      <x:c r="R260" s="53"/>
      <x:c r="S260" s="53"/>
      <x:c r="T260" s="81" t="str">
        <x:f>IFERROR(INDEX('Resource Rate Library'!$E$5:$E$85,MATCH(P260,'Resource Rate Library'!$A$5:$A$85,0)),"")</x:f>
      </x:c>
      <x:c r="U260" s="62"/>
      <x:c r="V260" s="62"/>
      <x:c r="W260" s="83" t="n">
        <x:f>IFERROR(INDEX('Resource Rate Library'!$I$5:$I$85,MATCH(P260,'Resource Rate Library'!$A$5:$A$85,0)),0)</x:f>
        <x:v>0</x:v>
      </x:c>
      <x:c r="X260" s="52"/>
      <x:c r="Y260" s="83" t="n">
        <x:f t="shared" si="20">IF(X260&gt;0,X260,W260)</x:f>
        <x:v>0</x:v>
      </x:c>
      <x:c r="Z260" s="83" t="str">
        <x:f t="shared" si="21">IF(B260="","",IF(N260="Time x Count",M260*R260*IF(U260="",1,U260)*Y260,IF(N260="QS Qty x Factor",E260*R260*(1+IF(V260="",0,V260))*Y260,IF(N260="Direct Qty",S260*(1+IF(V260="",0,V260))*Y260,IF(N260="Lump Sum / Quote",S260*Y260,0)))))</x:f>
      </x:c>
      <x:c r="AA260" s="81" t="str">
        <x:f>IFERROR(INDEX('Resource Rate Library'!$N$5:$N$85,MATCH(P260,'Resource Rate Library'!$A$5:$A$85,0)),"")</x:f>
      </x:c>
      <x:c r="AB260" s="53"/>
      <x:c r="AC260" s="59"/>
      <x:c r="AD260" s="81" t="str">
        <x:f>IFERROR(INDEX('Resource Rate Library'!$G$5:$G$85,MATCH(P260,'Resource Rate Library'!$A$5:$A$85,0)),"")</x:f>
      </x:c>
      <x:c r="AE260" s="81" t="str">
        <x:f>IFERROR(INDEX('Resource Rate Library'!$H$5:$H$85,MATCH(P260,'Resource Rate Library'!$A$5:$A$85,0)),"")</x:f>
      </x:c>
      <x:c r="AF260" s="53"/>
      <x:c r="AG260" s="53"/>
      <x:c r="AH260" s="53"/>
      <x:c r="AI260" s="81" t="str">
        <x:f t="shared" si="23">IF(B260="","",IF(AND(P260="",N260&lt;&gt;"Lump Sum / Quote"),"RESOURCE CODE",IF(Y260=0,"RATE MISSING",IF(AND(O260="Plant",AD260="Yes",COUNTIFS($B$7:$B$306,B260,$O$7:$O$306,"Labour",$Q$7:$Q$306,"*Operator*")&gt;0),"OPERATOR DOUBLE-COUNT",IF(AND(O260="Plant",AE260="Yes",COUNTIFS($B$7:$B$306,B260,$Q$7:$Q$306,"*Fuel*")&gt;0),"FUEL DOUBLE-COUNT",IF(AH260&lt;&gt;"Yes","VERIFY","OK"))))))</x:f>
      </x:c>
      <x:c r="AJ260" s="54"/>
      <x:c r="AK260" s="473"/>
      <x:c r="AL260" s="473"/>
      <x:c r="AM260" s="473"/>
      <x:c r="AN260" s="500" t="n">
        <x:f>IF(AND(AK260="Yes",OR(O260="Labour",O260="Plant")),Z260,0)</x:f>
        <x:v>0</x:v>
      </x:c>
    </x:row>
    <x:row r="261">
      <x:c r="A261" s="80" t="str">
        <x:f>IF(B261="","",B261&amp;"-"&amp;TEXT(COUNTIF($B$7:B261,B261),"000"))</x:f>
      </x:c>
      <x:c r="B261" s="53"/>
      <x:c r="C261" s="81" t="str">
        <x:f>IFERROR(INDEX('QS Takeoff'!$A$3:$A$194,MATCH(B261,'QS Takeoff'!$B$3:$B$194,0)),"")</x:f>
      </x:c>
      <x:c r="D261" s="81" t="str">
        <x:f>IFERROR(INDEX('QS Takeoff'!$C$3:$C$194,MATCH(B261,'QS Takeoff'!$B$3:$B$194,0)),"")</x:f>
      </x:c>
      <x:c r="E261" s="81" t="str">
        <x:f>IFERROR(INDEX('QS Takeoff'!$E$3:$E$194,MATCH(B261,'QS Takeoff'!$B$3:$B$194,0)),"")</x:f>
      </x:c>
      <x:c r="F261" s="81" t="str">
        <x:f>IFERROR(INDEX('QS Takeoff'!$D$3:$D$194,MATCH(B261,'QS Takeoff'!$B$3:$B$194,0)),"")</x:f>
      </x:c>
      <x:c r="G261" s="81" t="str">
        <x:f>IFERROR(INDEX('QS Takeoff'!$J$3:$J$194,MATCH(B261,'QS Takeoff'!$B$3:$B$194,0)),"")</x:f>
      </x:c>
      <x:c r="H261" s="53"/>
      <x:c r="I261" s="60"/>
      <x:c r="J261" s="60"/>
      <x:c r="K261" s="82" t="str">
        <x:f t="shared" si="18">IF(OR(B261="",I261="",I261=0),"",E261/I261)</x:f>
      </x:c>
      <x:c r="L261" s="60"/>
      <x:c r="M261" s="82" t="str">
        <x:f t="shared" si="19">IF(L261&gt;0,L261,K261)</x:f>
      </x:c>
      <x:c r="N261" s="53"/>
      <x:c r="O261" s="53"/>
      <x:c r="P261" s="53"/>
      <x:c r="Q261" s="81" t="str">
        <x:f>IFERROR(INDEX('Resource Rate Library'!$C$5:$C$85,MATCH(P261,'Resource Rate Library'!$A$5:$A$85,0)),"")</x:f>
      </x:c>
      <x:c r="R261" s="53"/>
      <x:c r="S261" s="53"/>
      <x:c r="T261" s="81" t="str">
        <x:f>IFERROR(INDEX('Resource Rate Library'!$E$5:$E$85,MATCH(P261,'Resource Rate Library'!$A$5:$A$85,0)),"")</x:f>
      </x:c>
      <x:c r="U261" s="62"/>
      <x:c r="V261" s="62"/>
      <x:c r="W261" s="83" t="n">
        <x:f>IFERROR(INDEX('Resource Rate Library'!$I$5:$I$85,MATCH(P261,'Resource Rate Library'!$A$5:$A$85,0)),0)</x:f>
        <x:v>0</x:v>
      </x:c>
      <x:c r="X261" s="52"/>
      <x:c r="Y261" s="83" t="n">
        <x:f t="shared" si="20">IF(X261&gt;0,X261,W261)</x:f>
        <x:v>0</x:v>
      </x:c>
      <x:c r="Z261" s="83" t="str">
        <x:f t="shared" si="21">IF(B261="","",IF(N261="Time x Count",M261*R261*IF(U261="",1,U261)*Y261,IF(N261="QS Qty x Factor",E261*R261*(1+IF(V261="",0,V261))*Y261,IF(N261="Direct Qty",S261*(1+IF(V261="",0,V261))*Y261,IF(N261="Lump Sum / Quote",S261*Y261,0)))))</x:f>
      </x:c>
      <x:c r="AA261" s="81" t="str">
        <x:f>IFERROR(INDEX('Resource Rate Library'!$N$5:$N$85,MATCH(P261,'Resource Rate Library'!$A$5:$A$85,0)),"")</x:f>
      </x:c>
      <x:c r="AB261" s="53"/>
      <x:c r="AC261" s="59"/>
      <x:c r="AD261" s="81" t="str">
        <x:f>IFERROR(INDEX('Resource Rate Library'!$G$5:$G$85,MATCH(P261,'Resource Rate Library'!$A$5:$A$85,0)),"")</x:f>
      </x:c>
      <x:c r="AE261" s="81" t="str">
        <x:f>IFERROR(INDEX('Resource Rate Library'!$H$5:$H$85,MATCH(P261,'Resource Rate Library'!$A$5:$A$85,0)),"")</x:f>
      </x:c>
      <x:c r="AF261" s="53"/>
      <x:c r="AG261" s="53"/>
      <x:c r="AH261" s="53"/>
      <x:c r="AI261" s="81" t="str">
        <x:f t="shared" si="23">IF(B261="","",IF(AND(P261="",N261&lt;&gt;"Lump Sum / Quote"),"RESOURCE CODE",IF(Y261=0,"RATE MISSING",IF(AND(O261="Plant",AD261="Yes",COUNTIFS($B$7:$B$306,B261,$O$7:$O$306,"Labour",$Q$7:$Q$306,"*Operator*")&gt;0),"OPERATOR DOUBLE-COUNT",IF(AND(O261="Plant",AE261="Yes",COUNTIFS($B$7:$B$306,B261,$Q$7:$Q$306,"*Fuel*")&gt;0),"FUEL DOUBLE-COUNT",IF(AH261&lt;&gt;"Yes","VERIFY","OK"))))))</x:f>
      </x:c>
      <x:c r="AJ261" s="54"/>
      <x:c r="AK261" s="473"/>
      <x:c r="AL261" s="473"/>
      <x:c r="AM261" s="473"/>
      <x:c r="AN261" s="500" t="n">
        <x:f>IF(AND(AK261="Yes",OR(O261="Labour",O261="Plant")),Z261,0)</x:f>
        <x:v>0</x:v>
      </x:c>
    </x:row>
    <x:row r="262">
      <x:c r="A262" s="80" t="str">
        <x:f>IF(B262="","",B262&amp;"-"&amp;TEXT(COUNTIF($B$7:B262,B262),"000"))</x:f>
      </x:c>
      <x:c r="B262" s="53"/>
      <x:c r="C262" s="81" t="str">
        <x:f>IFERROR(INDEX('QS Takeoff'!$A$3:$A$194,MATCH(B262,'QS Takeoff'!$B$3:$B$194,0)),"")</x:f>
      </x:c>
      <x:c r="D262" s="81" t="str">
        <x:f>IFERROR(INDEX('QS Takeoff'!$C$3:$C$194,MATCH(B262,'QS Takeoff'!$B$3:$B$194,0)),"")</x:f>
      </x:c>
      <x:c r="E262" s="81" t="str">
        <x:f>IFERROR(INDEX('QS Takeoff'!$E$3:$E$194,MATCH(B262,'QS Takeoff'!$B$3:$B$194,0)),"")</x:f>
      </x:c>
      <x:c r="F262" s="81" t="str">
        <x:f>IFERROR(INDEX('QS Takeoff'!$D$3:$D$194,MATCH(B262,'QS Takeoff'!$B$3:$B$194,0)),"")</x:f>
      </x:c>
      <x:c r="G262" s="81" t="str">
        <x:f>IFERROR(INDEX('QS Takeoff'!$J$3:$J$194,MATCH(B262,'QS Takeoff'!$B$3:$B$194,0)),"")</x:f>
      </x:c>
      <x:c r="H262" s="53"/>
      <x:c r="I262" s="60"/>
      <x:c r="J262" s="60"/>
      <x:c r="K262" s="82" t="str">
        <x:f t="shared" si="18">IF(OR(B262="",I262="",I262=0),"",E262/I262)</x:f>
      </x:c>
      <x:c r="L262" s="60"/>
      <x:c r="M262" s="82" t="str">
        <x:f t="shared" si="19">IF(L262&gt;0,L262,K262)</x:f>
      </x:c>
      <x:c r="N262" s="53"/>
      <x:c r="O262" s="53"/>
      <x:c r="P262" s="53"/>
      <x:c r="Q262" s="81" t="str">
        <x:f>IFERROR(INDEX('Resource Rate Library'!$C$5:$C$85,MATCH(P262,'Resource Rate Library'!$A$5:$A$85,0)),"")</x:f>
      </x:c>
      <x:c r="R262" s="53"/>
      <x:c r="S262" s="53"/>
      <x:c r="T262" s="81" t="str">
        <x:f>IFERROR(INDEX('Resource Rate Library'!$E$5:$E$85,MATCH(P262,'Resource Rate Library'!$A$5:$A$85,0)),"")</x:f>
      </x:c>
      <x:c r="U262" s="62"/>
      <x:c r="V262" s="62"/>
      <x:c r="W262" s="83" t="n">
        <x:f>IFERROR(INDEX('Resource Rate Library'!$I$5:$I$85,MATCH(P262,'Resource Rate Library'!$A$5:$A$85,0)),0)</x:f>
        <x:v>0</x:v>
      </x:c>
      <x:c r="X262" s="52"/>
      <x:c r="Y262" s="83" t="n">
        <x:f t="shared" si="20">IF(X262&gt;0,X262,W262)</x:f>
        <x:v>0</x:v>
      </x:c>
      <x:c r="Z262" s="83" t="str">
        <x:f t="shared" si="21">IF(B262="","",IF(N262="Time x Count",M262*R262*IF(U262="",1,U262)*Y262,IF(N262="QS Qty x Factor",E262*R262*(1+IF(V262="",0,V262))*Y262,IF(N262="Direct Qty",S262*(1+IF(V262="",0,V262))*Y262,IF(N262="Lump Sum / Quote",S262*Y262,0)))))</x:f>
      </x:c>
      <x:c r="AA262" s="81" t="str">
        <x:f>IFERROR(INDEX('Resource Rate Library'!$N$5:$N$85,MATCH(P262,'Resource Rate Library'!$A$5:$A$85,0)),"")</x:f>
      </x:c>
      <x:c r="AB262" s="53"/>
      <x:c r="AC262" s="59"/>
      <x:c r="AD262" s="81" t="str">
        <x:f>IFERROR(INDEX('Resource Rate Library'!$G$5:$G$85,MATCH(P262,'Resource Rate Library'!$A$5:$A$85,0)),"")</x:f>
      </x:c>
      <x:c r="AE262" s="81" t="str">
        <x:f>IFERROR(INDEX('Resource Rate Library'!$H$5:$H$85,MATCH(P262,'Resource Rate Library'!$A$5:$A$85,0)),"")</x:f>
      </x:c>
      <x:c r="AF262" s="53"/>
      <x:c r="AG262" s="53"/>
      <x:c r="AH262" s="53"/>
      <x:c r="AI262" s="81" t="str">
        <x:f t="shared" si="23">IF(B262="","",IF(AND(P262="",N262&lt;&gt;"Lump Sum / Quote"),"RESOURCE CODE",IF(Y262=0,"RATE MISSING",IF(AND(O262="Plant",AD262="Yes",COUNTIFS($B$7:$B$306,B262,$O$7:$O$306,"Labour",$Q$7:$Q$306,"*Operator*")&gt;0),"OPERATOR DOUBLE-COUNT",IF(AND(O262="Plant",AE262="Yes",COUNTIFS($B$7:$B$306,B262,$Q$7:$Q$306,"*Fuel*")&gt;0),"FUEL DOUBLE-COUNT",IF(AH262&lt;&gt;"Yes","VERIFY","OK"))))))</x:f>
      </x:c>
      <x:c r="AJ262" s="54"/>
      <x:c r="AK262" s="473"/>
      <x:c r="AL262" s="473"/>
      <x:c r="AM262" s="473"/>
      <x:c r="AN262" s="500" t="n">
        <x:f>IF(AND(AK262="Yes",OR(O262="Labour",O262="Plant")),Z262,0)</x:f>
        <x:v>0</x:v>
      </x:c>
    </x:row>
    <x:row r="263">
      <x:c r="A263" s="80" t="str">
        <x:f>IF(B263="","",B263&amp;"-"&amp;TEXT(COUNTIF($B$7:B263,B263),"000"))</x:f>
      </x:c>
      <x:c r="B263" s="53"/>
      <x:c r="C263" s="81" t="str">
        <x:f>IFERROR(INDEX('QS Takeoff'!$A$3:$A$194,MATCH(B263,'QS Takeoff'!$B$3:$B$194,0)),"")</x:f>
      </x:c>
      <x:c r="D263" s="81" t="str">
        <x:f>IFERROR(INDEX('QS Takeoff'!$C$3:$C$194,MATCH(B263,'QS Takeoff'!$B$3:$B$194,0)),"")</x:f>
      </x:c>
      <x:c r="E263" s="81" t="str">
        <x:f>IFERROR(INDEX('QS Takeoff'!$E$3:$E$194,MATCH(B263,'QS Takeoff'!$B$3:$B$194,0)),"")</x:f>
      </x:c>
      <x:c r="F263" s="81" t="str">
        <x:f>IFERROR(INDEX('QS Takeoff'!$D$3:$D$194,MATCH(B263,'QS Takeoff'!$B$3:$B$194,0)),"")</x:f>
      </x:c>
      <x:c r="G263" s="81" t="str">
        <x:f>IFERROR(INDEX('QS Takeoff'!$J$3:$J$194,MATCH(B263,'QS Takeoff'!$B$3:$B$194,0)),"")</x:f>
      </x:c>
      <x:c r="H263" s="53"/>
      <x:c r="I263" s="60"/>
      <x:c r="J263" s="60"/>
      <x:c r="K263" s="82" t="str">
        <x:f t="shared" ref="K263:K306" si="24">IF(OR(B263="",I263="",I263=0),"",E263/I263)</x:f>
      </x:c>
      <x:c r="L263" s="60"/>
      <x:c r="M263" s="82" t="str">
        <x:f t="shared" ref="M263:M306" si="25">IF(L263&gt;0,L263,K263)</x:f>
      </x:c>
      <x:c r="N263" s="53"/>
      <x:c r="O263" s="53"/>
      <x:c r="P263" s="53"/>
      <x:c r="Q263" s="81" t="str">
        <x:f>IFERROR(INDEX('Resource Rate Library'!$C$5:$C$85,MATCH(P263,'Resource Rate Library'!$A$5:$A$85,0)),"")</x:f>
      </x:c>
      <x:c r="R263" s="53"/>
      <x:c r="S263" s="53"/>
      <x:c r="T263" s="81" t="str">
        <x:f>IFERROR(INDEX('Resource Rate Library'!$E$5:$E$85,MATCH(P263,'Resource Rate Library'!$A$5:$A$85,0)),"")</x:f>
      </x:c>
      <x:c r="U263" s="62"/>
      <x:c r="V263" s="62"/>
      <x:c r="W263" s="83" t="n">
        <x:f>IFERROR(INDEX('Resource Rate Library'!$I$5:$I$85,MATCH(P263,'Resource Rate Library'!$A$5:$A$85,0)),0)</x:f>
        <x:v>0</x:v>
      </x:c>
      <x:c r="X263" s="52"/>
      <x:c r="Y263" s="83" t="n">
        <x:f t="shared" ref="Y263:Y306" si="26">IF(X263&gt;0,X263,W263)</x:f>
        <x:v>0</x:v>
      </x:c>
      <x:c r="Z263" s="83" t="str">
        <x:f t="shared" ref="Z263:Z306" si="27">IF(B263="","",IF(N263="Time x Count",M263*R263*IF(U263="",1,U263)*Y263,IF(N263="QS Qty x Factor",E263*R263*(1+IF(V263="",0,V263))*Y263,IF(N263="Direct Qty",S263*(1+IF(V263="",0,V263))*Y263,IF(N263="Lump Sum / Quote",S263*Y263,0)))))</x:f>
      </x:c>
      <x:c r="AA263" s="81" t="str">
        <x:f>IFERROR(INDEX('Resource Rate Library'!$N$5:$N$85,MATCH(P263,'Resource Rate Library'!$A$5:$A$85,0)),"")</x:f>
      </x:c>
      <x:c r="AB263" s="53"/>
      <x:c r="AC263" s="59"/>
      <x:c r="AD263" s="81" t="str">
        <x:f>IFERROR(INDEX('Resource Rate Library'!$G$5:$G$85,MATCH(P263,'Resource Rate Library'!$A$5:$A$85,0)),"")</x:f>
      </x:c>
      <x:c r="AE263" s="81" t="str">
        <x:f>IFERROR(INDEX('Resource Rate Library'!$H$5:$H$85,MATCH(P263,'Resource Rate Library'!$A$5:$A$85,0)),"")</x:f>
      </x:c>
      <x:c r="AF263" s="53"/>
      <x:c r="AG263" s="53"/>
      <x:c r="AH263" s="53"/>
      <x:c r="AI263" s="81" t="str">
        <x:f t="shared" si="23">IF(B263="","",IF(AND(P263="",N263&lt;&gt;"Lump Sum / Quote"),"RESOURCE CODE",IF(Y263=0,"RATE MISSING",IF(AND(O263="Plant",AD263="Yes",COUNTIFS($B$7:$B$306,B263,$O$7:$O$306,"Labour",$Q$7:$Q$306,"*Operator*")&gt;0),"OPERATOR DOUBLE-COUNT",IF(AND(O263="Plant",AE263="Yes",COUNTIFS($B$7:$B$306,B263,$Q$7:$Q$306,"*Fuel*")&gt;0),"FUEL DOUBLE-COUNT",IF(AH263&lt;&gt;"Yes","VERIFY","OK"))))))</x:f>
      </x:c>
      <x:c r="AJ263" s="54"/>
      <x:c r="AK263" s="473"/>
      <x:c r="AL263" s="473"/>
      <x:c r="AM263" s="473"/>
      <x:c r="AN263" s="500" t="n">
        <x:f>IF(AND(AK263="Yes",OR(O263="Labour",O263="Plant")),Z263,0)</x:f>
        <x:v>0</x:v>
      </x:c>
    </x:row>
    <x:row r="264">
      <x:c r="A264" s="80" t="str">
        <x:f>IF(B264="","",B264&amp;"-"&amp;TEXT(COUNTIF($B$7:B264,B264),"000"))</x:f>
      </x:c>
      <x:c r="B264" s="53"/>
      <x:c r="C264" s="81" t="str">
        <x:f>IFERROR(INDEX('QS Takeoff'!$A$3:$A$194,MATCH(B264,'QS Takeoff'!$B$3:$B$194,0)),"")</x:f>
      </x:c>
      <x:c r="D264" s="81" t="str">
        <x:f>IFERROR(INDEX('QS Takeoff'!$C$3:$C$194,MATCH(B264,'QS Takeoff'!$B$3:$B$194,0)),"")</x:f>
      </x:c>
      <x:c r="E264" s="81" t="str">
        <x:f>IFERROR(INDEX('QS Takeoff'!$E$3:$E$194,MATCH(B264,'QS Takeoff'!$B$3:$B$194,0)),"")</x:f>
      </x:c>
      <x:c r="F264" s="81" t="str">
        <x:f>IFERROR(INDEX('QS Takeoff'!$D$3:$D$194,MATCH(B264,'QS Takeoff'!$B$3:$B$194,0)),"")</x:f>
      </x:c>
      <x:c r="G264" s="81" t="str">
        <x:f>IFERROR(INDEX('QS Takeoff'!$J$3:$J$194,MATCH(B264,'QS Takeoff'!$B$3:$B$194,0)),"")</x:f>
      </x:c>
      <x:c r="H264" s="53"/>
      <x:c r="I264" s="60"/>
      <x:c r="J264" s="60"/>
      <x:c r="K264" s="82" t="str">
        <x:f t="shared" si="24">IF(OR(B264="",I264="",I264=0),"",E264/I264)</x:f>
      </x:c>
      <x:c r="L264" s="60"/>
      <x:c r="M264" s="82" t="str">
        <x:f t="shared" si="25">IF(L264&gt;0,L264,K264)</x:f>
      </x:c>
      <x:c r="N264" s="53"/>
      <x:c r="O264" s="53"/>
      <x:c r="P264" s="53"/>
      <x:c r="Q264" s="81" t="str">
        <x:f>IFERROR(INDEX('Resource Rate Library'!$C$5:$C$85,MATCH(P264,'Resource Rate Library'!$A$5:$A$85,0)),"")</x:f>
      </x:c>
      <x:c r="R264" s="53"/>
      <x:c r="S264" s="53"/>
      <x:c r="T264" s="81" t="str">
        <x:f>IFERROR(INDEX('Resource Rate Library'!$E$5:$E$85,MATCH(P264,'Resource Rate Library'!$A$5:$A$85,0)),"")</x:f>
      </x:c>
      <x:c r="U264" s="62"/>
      <x:c r="V264" s="62"/>
      <x:c r="W264" s="83" t="n">
        <x:f>IFERROR(INDEX('Resource Rate Library'!$I$5:$I$85,MATCH(P264,'Resource Rate Library'!$A$5:$A$85,0)),0)</x:f>
        <x:v>0</x:v>
      </x:c>
      <x:c r="X264" s="52"/>
      <x:c r="Y264" s="83" t="n">
        <x:f t="shared" si="26">IF(X264&gt;0,X264,W264)</x:f>
        <x:v>0</x:v>
      </x:c>
      <x:c r="Z264" s="83" t="str">
        <x:f t="shared" si="27">IF(B264="","",IF(N264="Time x Count",M264*R264*IF(U264="",1,U264)*Y264,IF(N264="QS Qty x Factor",E264*R264*(1+IF(V264="",0,V264))*Y264,IF(N264="Direct Qty",S264*(1+IF(V264="",0,V264))*Y264,IF(N264="Lump Sum / Quote",S264*Y264,0)))))</x:f>
      </x:c>
      <x:c r="AA264" s="81" t="str">
        <x:f>IFERROR(INDEX('Resource Rate Library'!$N$5:$N$85,MATCH(P264,'Resource Rate Library'!$A$5:$A$85,0)),"")</x:f>
      </x:c>
      <x:c r="AB264" s="53"/>
      <x:c r="AC264" s="59"/>
      <x:c r="AD264" s="81" t="str">
        <x:f>IFERROR(INDEX('Resource Rate Library'!$G$5:$G$85,MATCH(P264,'Resource Rate Library'!$A$5:$A$85,0)),"")</x:f>
      </x:c>
      <x:c r="AE264" s="81" t="str">
        <x:f>IFERROR(INDEX('Resource Rate Library'!$H$5:$H$85,MATCH(P264,'Resource Rate Library'!$A$5:$A$85,0)),"")</x:f>
      </x:c>
      <x:c r="AF264" s="53"/>
      <x:c r="AG264" s="53"/>
      <x:c r="AH264" s="53"/>
      <x:c r="AI264" s="81" t="str">
        <x:f t="shared" si="23">IF(B264="","",IF(AND(P264="",N264&lt;&gt;"Lump Sum / Quote"),"RESOURCE CODE",IF(Y264=0,"RATE MISSING",IF(AND(O264="Plant",AD264="Yes",COUNTIFS($B$7:$B$306,B264,$O$7:$O$306,"Labour",$Q$7:$Q$306,"*Operator*")&gt;0),"OPERATOR DOUBLE-COUNT",IF(AND(O264="Plant",AE264="Yes",COUNTIFS($B$7:$B$306,B264,$Q$7:$Q$306,"*Fuel*")&gt;0),"FUEL DOUBLE-COUNT",IF(AH264&lt;&gt;"Yes","VERIFY","OK"))))))</x:f>
      </x:c>
      <x:c r="AJ264" s="54"/>
      <x:c r="AK264" s="473"/>
      <x:c r="AL264" s="473"/>
      <x:c r="AM264" s="473"/>
      <x:c r="AN264" s="500" t="n">
        <x:f>IF(AND(AK264="Yes",OR(O264="Labour",O264="Plant")),Z264,0)</x:f>
        <x:v>0</x:v>
      </x:c>
    </x:row>
    <x:row r="265">
      <x:c r="A265" s="80" t="str">
        <x:f>IF(B265="","",B265&amp;"-"&amp;TEXT(COUNTIF($B$7:B265,B265),"000"))</x:f>
      </x:c>
      <x:c r="B265" s="53"/>
      <x:c r="C265" s="81" t="str">
        <x:f>IFERROR(INDEX('QS Takeoff'!$A$3:$A$194,MATCH(B265,'QS Takeoff'!$B$3:$B$194,0)),"")</x:f>
      </x:c>
      <x:c r="D265" s="81" t="str">
        <x:f>IFERROR(INDEX('QS Takeoff'!$C$3:$C$194,MATCH(B265,'QS Takeoff'!$B$3:$B$194,0)),"")</x:f>
      </x:c>
      <x:c r="E265" s="81" t="str">
        <x:f>IFERROR(INDEX('QS Takeoff'!$E$3:$E$194,MATCH(B265,'QS Takeoff'!$B$3:$B$194,0)),"")</x:f>
      </x:c>
      <x:c r="F265" s="81" t="str">
        <x:f>IFERROR(INDEX('QS Takeoff'!$D$3:$D$194,MATCH(B265,'QS Takeoff'!$B$3:$B$194,0)),"")</x:f>
      </x:c>
      <x:c r="G265" s="81" t="str">
        <x:f>IFERROR(INDEX('QS Takeoff'!$J$3:$J$194,MATCH(B265,'QS Takeoff'!$B$3:$B$194,0)),"")</x:f>
      </x:c>
      <x:c r="H265" s="53"/>
      <x:c r="I265" s="60"/>
      <x:c r="J265" s="60"/>
      <x:c r="K265" s="82" t="str">
        <x:f t="shared" si="24">IF(OR(B265="",I265="",I265=0),"",E265/I265)</x:f>
      </x:c>
      <x:c r="L265" s="60"/>
      <x:c r="M265" s="82" t="str">
        <x:f t="shared" si="25">IF(L265&gt;0,L265,K265)</x:f>
      </x:c>
      <x:c r="N265" s="53"/>
      <x:c r="O265" s="53"/>
      <x:c r="P265" s="53"/>
      <x:c r="Q265" s="81" t="str">
        <x:f>IFERROR(INDEX('Resource Rate Library'!$C$5:$C$85,MATCH(P265,'Resource Rate Library'!$A$5:$A$85,0)),"")</x:f>
      </x:c>
      <x:c r="R265" s="53"/>
      <x:c r="S265" s="53"/>
      <x:c r="T265" s="81" t="str">
        <x:f>IFERROR(INDEX('Resource Rate Library'!$E$5:$E$85,MATCH(P265,'Resource Rate Library'!$A$5:$A$85,0)),"")</x:f>
      </x:c>
      <x:c r="U265" s="62"/>
      <x:c r="V265" s="62"/>
      <x:c r="W265" s="83" t="n">
        <x:f>IFERROR(INDEX('Resource Rate Library'!$I$5:$I$85,MATCH(P265,'Resource Rate Library'!$A$5:$A$85,0)),0)</x:f>
        <x:v>0</x:v>
      </x:c>
      <x:c r="X265" s="52"/>
      <x:c r="Y265" s="83" t="n">
        <x:f t="shared" si="26">IF(X265&gt;0,X265,W265)</x:f>
        <x:v>0</x:v>
      </x:c>
      <x:c r="Z265" s="83" t="str">
        <x:f t="shared" si="27">IF(B265="","",IF(N265="Time x Count",M265*R265*IF(U265="",1,U265)*Y265,IF(N265="QS Qty x Factor",E265*R265*(1+IF(V265="",0,V265))*Y265,IF(N265="Direct Qty",S265*(1+IF(V265="",0,V265))*Y265,IF(N265="Lump Sum / Quote",S265*Y265,0)))))</x:f>
      </x:c>
      <x:c r="AA265" s="81" t="str">
        <x:f>IFERROR(INDEX('Resource Rate Library'!$N$5:$N$85,MATCH(P265,'Resource Rate Library'!$A$5:$A$85,0)),"")</x:f>
      </x:c>
      <x:c r="AB265" s="53"/>
      <x:c r="AC265" s="59"/>
      <x:c r="AD265" s="81" t="str">
        <x:f>IFERROR(INDEX('Resource Rate Library'!$G$5:$G$85,MATCH(P265,'Resource Rate Library'!$A$5:$A$85,0)),"")</x:f>
      </x:c>
      <x:c r="AE265" s="81" t="str">
        <x:f>IFERROR(INDEX('Resource Rate Library'!$H$5:$H$85,MATCH(P265,'Resource Rate Library'!$A$5:$A$85,0)),"")</x:f>
      </x:c>
      <x:c r="AF265" s="53"/>
      <x:c r="AG265" s="53"/>
      <x:c r="AH265" s="53"/>
      <x:c r="AI265" s="81" t="str">
        <x:f t="shared" si="23">IF(B265="","",IF(AND(P265="",N265&lt;&gt;"Lump Sum / Quote"),"RESOURCE CODE",IF(Y265=0,"RATE MISSING",IF(AND(O265="Plant",AD265="Yes",COUNTIFS($B$7:$B$306,B265,$O$7:$O$306,"Labour",$Q$7:$Q$306,"*Operator*")&gt;0),"OPERATOR DOUBLE-COUNT",IF(AND(O265="Plant",AE265="Yes",COUNTIFS($B$7:$B$306,B265,$Q$7:$Q$306,"*Fuel*")&gt;0),"FUEL DOUBLE-COUNT",IF(AH265&lt;&gt;"Yes","VERIFY","OK"))))))</x:f>
      </x:c>
      <x:c r="AJ265" s="54"/>
      <x:c r="AK265" s="473"/>
      <x:c r="AL265" s="473"/>
      <x:c r="AM265" s="473"/>
      <x:c r="AN265" s="500" t="n">
        <x:f>IF(AND(AK265="Yes",OR(O265="Labour",O265="Plant")),Z265,0)</x:f>
        <x:v>0</x:v>
      </x:c>
    </x:row>
    <x:row r="266">
      <x:c r="A266" s="80" t="str">
        <x:f>IF(B266="","",B266&amp;"-"&amp;TEXT(COUNTIF($B$7:B266,B266),"000"))</x:f>
      </x:c>
      <x:c r="B266" s="53"/>
      <x:c r="C266" s="81" t="str">
        <x:f>IFERROR(INDEX('QS Takeoff'!$A$3:$A$194,MATCH(B266,'QS Takeoff'!$B$3:$B$194,0)),"")</x:f>
      </x:c>
      <x:c r="D266" s="81" t="str">
        <x:f>IFERROR(INDEX('QS Takeoff'!$C$3:$C$194,MATCH(B266,'QS Takeoff'!$B$3:$B$194,0)),"")</x:f>
      </x:c>
      <x:c r="E266" s="81" t="str">
        <x:f>IFERROR(INDEX('QS Takeoff'!$E$3:$E$194,MATCH(B266,'QS Takeoff'!$B$3:$B$194,0)),"")</x:f>
      </x:c>
      <x:c r="F266" s="81" t="str">
        <x:f>IFERROR(INDEX('QS Takeoff'!$D$3:$D$194,MATCH(B266,'QS Takeoff'!$B$3:$B$194,0)),"")</x:f>
      </x:c>
      <x:c r="G266" s="81" t="str">
        <x:f>IFERROR(INDEX('QS Takeoff'!$J$3:$J$194,MATCH(B266,'QS Takeoff'!$B$3:$B$194,0)),"")</x:f>
      </x:c>
      <x:c r="H266" s="53"/>
      <x:c r="I266" s="60"/>
      <x:c r="J266" s="60"/>
      <x:c r="K266" s="82" t="str">
        <x:f t="shared" si="24">IF(OR(B266="",I266="",I266=0),"",E266/I266)</x:f>
      </x:c>
      <x:c r="L266" s="60"/>
      <x:c r="M266" s="82" t="str">
        <x:f t="shared" si="25">IF(L266&gt;0,L266,K266)</x:f>
      </x:c>
      <x:c r="N266" s="53"/>
      <x:c r="O266" s="53"/>
      <x:c r="P266" s="53"/>
      <x:c r="Q266" s="81" t="str">
        <x:f>IFERROR(INDEX('Resource Rate Library'!$C$5:$C$85,MATCH(P266,'Resource Rate Library'!$A$5:$A$85,0)),"")</x:f>
      </x:c>
      <x:c r="R266" s="53"/>
      <x:c r="S266" s="53"/>
      <x:c r="T266" s="81" t="str">
        <x:f>IFERROR(INDEX('Resource Rate Library'!$E$5:$E$85,MATCH(P266,'Resource Rate Library'!$A$5:$A$85,0)),"")</x:f>
      </x:c>
      <x:c r="U266" s="62"/>
      <x:c r="V266" s="62"/>
      <x:c r="W266" s="83" t="n">
        <x:f>IFERROR(INDEX('Resource Rate Library'!$I$5:$I$85,MATCH(P266,'Resource Rate Library'!$A$5:$A$85,0)),0)</x:f>
        <x:v>0</x:v>
      </x:c>
      <x:c r="X266" s="52"/>
      <x:c r="Y266" s="83" t="n">
        <x:f t="shared" si="26">IF(X266&gt;0,X266,W266)</x:f>
        <x:v>0</x:v>
      </x:c>
      <x:c r="Z266" s="83" t="str">
        <x:f t="shared" si="27">IF(B266="","",IF(N266="Time x Count",M266*R266*IF(U266="",1,U266)*Y266,IF(N266="QS Qty x Factor",E266*R266*(1+IF(V266="",0,V266))*Y266,IF(N266="Direct Qty",S266*(1+IF(V266="",0,V266))*Y266,IF(N266="Lump Sum / Quote",S266*Y266,0)))))</x:f>
      </x:c>
      <x:c r="AA266" s="81" t="str">
        <x:f>IFERROR(INDEX('Resource Rate Library'!$N$5:$N$85,MATCH(P266,'Resource Rate Library'!$A$5:$A$85,0)),"")</x:f>
      </x:c>
      <x:c r="AB266" s="53"/>
      <x:c r="AC266" s="59"/>
      <x:c r="AD266" s="81" t="str">
        <x:f>IFERROR(INDEX('Resource Rate Library'!$G$5:$G$85,MATCH(P266,'Resource Rate Library'!$A$5:$A$85,0)),"")</x:f>
      </x:c>
      <x:c r="AE266" s="81" t="str">
        <x:f>IFERROR(INDEX('Resource Rate Library'!$H$5:$H$85,MATCH(P266,'Resource Rate Library'!$A$5:$A$85,0)),"")</x:f>
      </x:c>
      <x:c r="AF266" s="53"/>
      <x:c r="AG266" s="53"/>
      <x:c r="AH266" s="53"/>
      <x:c r="AI266" s="81" t="str">
        <x:f t="shared" si="23">IF(B266="","",IF(AND(P266="",N266&lt;&gt;"Lump Sum / Quote"),"RESOURCE CODE",IF(Y266=0,"RATE MISSING",IF(AND(O266="Plant",AD266="Yes",COUNTIFS($B$7:$B$306,B266,$O$7:$O$306,"Labour",$Q$7:$Q$306,"*Operator*")&gt;0),"OPERATOR DOUBLE-COUNT",IF(AND(O266="Plant",AE266="Yes",COUNTIFS($B$7:$B$306,B266,$Q$7:$Q$306,"*Fuel*")&gt;0),"FUEL DOUBLE-COUNT",IF(AH266&lt;&gt;"Yes","VERIFY","OK"))))))</x:f>
      </x:c>
      <x:c r="AJ266" s="54"/>
      <x:c r="AK266" s="473"/>
      <x:c r="AL266" s="473"/>
      <x:c r="AM266" s="473"/>
      <x:c r="AN266" s="500" t="n">
        <x:f>IF(AND(AK266="Yes",OR(O266="Labour",O266="Plant")),Z266,0)</x:f>
        <x:v>0</x:v>
      </x:c>
    </x:row>
    <x:row r="267">
      <x:c r="A267" s="80" t="str">
        <x:f>IF(B267="","",B267&amp;"-"&amp;TEXT(COUNTIF($B$7:B267,B267),"000"))</x:f>
      </x:c>
      <x:c r="B267" s="53"/>
      <x:c r="C267" s="81" t="str">
        <x:f>IFERROR(INDEX('QS Takeoff'!$A$3:$A$194,MATCH(B267,'QS Takeoff'!$B$3:$B$194,0)),"")</x:f>
      </x:c>
      <x:c r="D267" s="81" t="str">
        <x:f>IFERROR(INDEX('QS Takeoff'!$C$3:$C$194,MATCH(B267,'QS Takeoff'!$B$3:$B$194,0)),"")</x:f>
      </x:c>
      <x:c r="E267" s="81" t="str">
        <x:f>IFERROR(INDEX('QS Takeoff'!$E$3:$E$194,MATCH(B267,'QS Takeoff'!$B$3:$B$194,0)),"")</x:f>
      </x:c>
      <x:c r="F267" s="81" t="str">
        <x:f>IFERROR(INDEX('QS Takeoff'!$D$3:$D$194,MATCH(B267,'QS Takeoff'!$B$3:$B$194,0)),"")</x:f>
      </x:c>
      <x:c r="G267" s="81" t="str">
        <x:f>IFERROR(INDEX('QS Takeoff'!$J$3:$J$194,MATCH(B267,'QS Takeoff'!$B$3:$B$194,0)),"")</x:f>
      </x:c>
      <x:c r="H267" s="53"/>
      <x:c r="I267" s="60"/>
      <x:c r="J267" s="60"/>
      <x:c r="K267" s="82" t="str">
        <x:f t="shared" si="24">IF(OR(B267="",I267="",I267=0),"",E267/I267)</x:f>
      </x:c>
      <x:c r="L267" s="60"/>
      <x:c r="M267" s="82" t="str">
        <x:f t="shared" si="25">IF(L267&gt;0,L267,K267)</x:f>
      </x:c>
      <x:c r="N267" s="53"/>
      <x:c r="O267" s="53"/>
      <x:c r="P267" s="53"/>
      <x:c r="Q267" s="81" t="str">
        <x:f>IFERROR(INDEX('Resource Rate Library'!$C$5:$C$85,MATCH(P267,'Resource Rate Library'!$A$5:$A$85,0)),"")</x:f>
      </x:c>
      <x:c r="R267" s="53"/>
      <x:c r="S267" s="53"/>
      <x:c r="T267" s="81" t="str">
        <x:f>IFERROR(INDEX('Resource Rate Library'!$E$5:$E$85,MATCH(P267,'Resource Rate Library'!$A$5:$A$85,0)),"")</x:f>
      </x:c>
      <x:c r="U267" s="62"/>
      <x:c r="V267" s="62"/>
      <x:c r="W267" s="83" t="n">
        <x:f>IFERROR(INDEX('Resource Rate Library'!$I$5:$I$85,MATCH(P267,'Resource Rate Library'!$A$5:$A$85,0)),0)</x:f>
        <x:v>0</x:v>
      </x:c>
      <x:c r="X267" s="52"/>
      <x:c r="Y267" s="83" t="n">
        <x:f t="shared" si="26">IF(X267&gt;0,X267,W267)</x:f>
        <x:v>0</x:v>
      </x:c>
      <x:c r="Z267" s="83" t="str">
        <x:f t="shared" si="27">IF(B267="","",IF(N267="Time x Count",M267*R267*IF(U267="",1,U267)*Y267,IF(N267="QS Qty x Factor",E267*R267*(1+IF(V267="",0,V267))*Y267,IF(N267="Direct Qty",S267*(1+IF(V267="",0,V267))*Y267,IF(N267="Lump Sum / Quote",S267*Y267,0)))))</x:f>
      </x:c>
      <x:c r="AA267" s="81" t="str">
        <x:f>IFERROR(INDEX('Resource Rate Library'!$N$5:$N$85,MATCH(P267,'Resource Rate Library'!$A$5:$A$85,0)),"")</x:f>
      </x:c>
      <x:c r="AB267" s="53"/>
      <x:c r="AC267" s="59"/>
      <x:c r="AD267" s="81" t="str">
        <x:f>IFERROR(INDEX('Resource Rate Library'!$G$5:$G$85,MATCH(P267,'Resource Rate Library'!$A$5:$A$85,0)),"")</x:f>
      </x:c>
      <x:c r="AE267" s="81" t="str">
        <x:f>IFERROR(INDEX('Resource Rate Library'!$H$5:$H$85,MATCH(P267,'Resource Rate Library'!$A$5:$A$85,0)),"")</x:f>
      </x:c>
      <x:c r="AF267" s="53"/>
      <x:c r="AG267" s="53"/>
      <x:c r="AH267" s="53"/>
      <x:c r="AI267" s="81" t="str">
        <x:f t="shared" si="23">IF(B267="","",IF(AND(P267="",N267&lt;&gt;"Lump Sum / Quote"),"RESOURCE CODE",IF(Y267=0,"RATE MISSING",IF(AND(O267="Plant",AD267="Yes",COUNTIFS($B$7:$B$306,B267,$O$7:$O$306,"Labour",$Q$7:$Q$306,"*Operator*")&gt;0),"OPERATOR DOUBLE-COUNT",IF(AND(O267="Plant",AE267="Yes",COUNTIFS($B$7:$B$306,B267,$Q$7:$Q$306,"*Fuel*")&gt;0),"FUEL DOUBLE-COUNT",IF(AH267&lt;&gt;"Yes","VERIFY","OK"))))))</x:f>
      </x:c>
      <x:c r="AJ267" s="54"/>
      <x:c r="AK267" s="473"/>
      <x:c r="AL267" s="473"/>
      <x:c r="AM267" s="473"/>
      <x:c r="AN267" s="500" t="n">
        <x:f>IF(AND(AK267="Yes",OR(O267="Labour",O267="Plant")),Z267,0)</x:f>
        <x:v>0</x:v>
      </x:c>
    </x:row>
    <x:row r="268">
      <x:c r="A268" s="80" t="str">
        <x:f>IF(B268="","",B268&amp;"-"&amp;TEXT(COUNTIF($B$7:B268,B268),"000"))</x:f>
      </x:c>
      <x:c r="B268" s="53"/>
      <x:c r="C268" s="81" t="str">
        <x:f>IFERROR(INDEX('QS Takeoff'!$A$3:$A$194,MATCH(B268,'QS Takeoff'!$B$3:$B$194,0)),"")</x:f>
      </x:c>
      <x:c r="D268" s="81" t="str">
        <x:f>IFERROR(INDEX('QS Takeoff'!$C$3:$C$194,MATCH(B268,'QS Takeoff'!$B$3:$B$194,0)),"")</x:f>
      </x:c>
      <x:c r="E268" s="81" t="str">
        <x:f>IFERROR(INDEX('QS Takeoff'!$E$3:$E$194,MATCH(B268,'QS Takeoff'!$B$3:$B$194,0)),"")</x:f>
      </x:c>
      <x:c r="F268" s="81" t="str">
        <x:f>IFERROR(INDEX('QS Takeoff'!$D$3:$D$194,MATCH(B268,'QS Takeoff'!$B$3:$B$194,0)),"")</x:f>
      </x:c>
      <x:c r="G268" s="81" t="str">
        <x:f>IFERROR(INDEX('QS Takeoff'!$J$3:$J$194,MATCH(B268,'QS Takeoff'!$B$3:$B$194,0)),"")</x:f>
      </x:c>
      <x:c r="H268" s="53"/>
      <x:c r="I268" s="60"/>
      <x:c r="J268" s="60"/>
      <x:c r="K268" s="82" t="str">
        <x:f t="shared" si="24">IF(OR(B268="",I268="",I268=0),"",E268/I268)</x:f>
      </x:c>
      <x:c r="L268" s="60"/>
      <x:c r="M268" s="82" t="str">
        <x:f t="shared" si="25">IF(L268&gt;0,L268,K268)</x:f>
      </x:c>
      <x:c r="N268" s="53"/>
      <x:c r="O268" s="53"/>
      <x:c r="P268" s="53"/>
      <x:c r="Q268" s="81" t="str">
        <x:f>IFERROR(INDEX('Resource Rate Library'!$C$5:$C$85,MATCH(P268,'Resource Rate Library'!$A$5:$A$85,0)),"")</x:f>
      </x:c>
      <x:c r="R268" s="53"/>
      <x:c r="S268" s="53"/>
      <x:c r="T268" s="81" t="str">
        <x:f>IFERROR(INDEX('Resource Rate Library'!$E$5:$E$85,MATCH(P268,'Resource Rate Library'!$A$5:$A$85,0)),"")</x:f>
      </x:c>
      <x:c r="U268" s="62"/>
      <x:c r="V268" s="62"/>
      <x:c r="W268" s="83" t="n">
        <x:f>IFERROR(INDEX('Resource Rate Library'!$I$5:$I$85,MATCH(P268,'Resource Rate Library'!$A$5:$A$85,0)),0)</x:f>
        <x:v>0</x:v>
      </x:c>
      <x:c r="X268" s="52"/>
      <x:c r="Y268" s="83" t="n">
        <x:f t="shared" si="26">IF(X268&gt;0,X268,W268)</x:f>
        <x:v>0</x:v>
      </x:c>
      <x:c r="Z268" s="83" t="str">
        <x:f t="shared" si="27">IF(B268="","",IF(N268="Time x Count",M268*R268*IF(U268="",1,U268)*Y268,IF(N268="QS Qty x Factor",E268*R268*(1+IF(V268="",0,V268))*Y268,IF(N268="Direct Qty",S268*(1+IF(V268="",0,V268))*Y268,IF(N268="Lump Sum / Quote",S268*Y268,0)))))</x:f>
      </x:c>
      <x:c r="AA268" s="81" t="str">
        <x:f>IFERROR(INDEX('Resource Rate Library'!$N$5:$N$85,MATCH(P268,'Resource Rate Library'!$A$5:$A$85,0)),"")</x:f>
      </x:c>
      <x:c r="AB268" s="53"/>
      <x:c r="AC268" s="59"/>
      <x:c r="AD268" s="81" t="str">
        <x:f>IFERROR(INDEX('Resource Rate Library'!$G$5:$G$85,MATCH(P268,'Resource Rate Library'!$A$5:$A$85,0)),"")</x:f>
      </x:c>
      <x:c r="AE268" s="81" t="str">
        <x:f>IFERROR(INDEX('Resource Rate Library'!$H$5:$H$85,MATCH(P268,'Resource Rate Library'!$A$5:$A$85,0)),"")</x:f>
      </x:c>
      <x:c r="AF268" s="53"/>
      <x:c r="AG268" s="53"/>
      <x:c r="AH268" s="53"/>
      <x:c r="AI268" s="81" t="str">
        <x:f t="shared" si="23">IF(B268="","",IF(AND(P268="",N268&lt;&gt;"Lump Sum / Quote"),"RESOURCE CODE",IF(Y268=0,"RATE MISSING",IF(AND(O268="Plant",AD268="Yes",COUNTIFS($B$7:$B$306,B268,$O$7:$O$306,"Labour",$Q$7:$Q$306,"*Operator*")&gt;0),"OPERATOR DOUBLE-COUNT",IF(AND(O268="Plant",AE268="Yes",COUNTIFS($B$7:$B$306,B268,$Q$7:$Q$306,"*Fuel*")&gt;0),"FUEL DOUBLE-COUNT",IF(AH268&lt;&gt;"Yes","VERIFY","OK"))))))</x:f>
      </x:c>
      <x:c r="AJ268" s="54"/>
      <x:c r="AK268" s="473"/>
      <x:c r="AL268" s="473"/>
      <x:c r="AM268" s="473"/>
      <x:c r="AN268" s="500" t="n">
        <x:f>IF(AND(AK268="Yes",OR(O268="Labour",O268="Plant")),Z268,0)</x:f>
        <x:v>0</x:v>
      </x:c>
    </x:row>
    <x:row r="269">
      <x:c r="A269" s="80" t="str">
        <x:f>IF(B269="","",B269&amp;"-"&amp;TEXT(COUNTIF($B$7:B269,B269),"000"))</x:f>
      </x:c>
      <x:c r="B269" s="53"/>
      <x:c r="C269" s="81" t="str">
        <x:f>IFERROR(INDEX('QS Takeoff'!$A$3:$A$194,MATCH(B269,'QS Takeoff'!$B$3:$B$194,0)),"")</x:f>
      </x:c>
      <x:c r="D269" s="81" t="str">
        <x:f>IFERROR(INDEX('QS Takeoff'!$C$3:$C$194,MATCH(B269,'QS Takeoff'!$B$3:$B$194,0)),"")</x:f>
      </x:c>
      <x:c r="E269" s="81" t="str">
        <x:f>IFERROR(INDEX('QS Takeoff'!$E$3:$E$194,MATCH(B269,'QS Takeoff'!$B$3:$B$194,0)),"")</x:f>
      </x:c>
      <x:c r="F269" s="81" t="str">
        <x:f>IFERROR(INDEX('QS Takeoff'!$D$3:$D$194,MATCH(B269,'QS Takeoff'!$B$3:$B$194,0)),"")</x:f>
      </x:c>
      <x:c r="G269" s="81" t="str">
        <x:f>IFERROR(INDEX('QS Takeoff'!$J$3:$J$194,MATCH(B269,'QS Takeoff'!$B$3:$B$194,0)),"")</x:f>
      </x:c>
      <x:c r="H269" s="53"/>
      <x:c r="I269" s="60"/>
      <x:c r="J269" s="60"/>
      <x:c r="K269" s="82" t="str">
        <x:f t="shared" si="24">IF(OR(B269="",I269="",I269=0),"",E269/I269)</x:f>
      </x:c>
      <x:c r="L269" s="60"/>
      <x:c r="M269" s="82" t="str">
        <x:f t="shared" si="25">IF(L269&gt;0,L269,K269)</x:f>
      </x:c>
      <x:c r="N269" s="53"/>
      <x:c r="O269" s="53"/>
      <x:c r="P269" s="53"/>
      <x:c r="Q269" s="81" t="str">
        <x:f>IFERROR(INDEX('Resource Rate Library'!$C$5:$C$85,MATCH(P269,'Resource Rate Library'!$A$5:$A$85,0)),"")</x:f>
      </x:c>
      <x:c r="R269" s="53"/>
      <x:c r="S269" s="53"/>
      <x:c r="T269" s="81" t="str">
        <x:f>IFERROR(INDEX('Resource Rate Library'!$E$5:$E$85,MATCH(P269,'Resource Rate Library'!$A$5:$A$85,0)),"")</x:f>
      </x:c>
      <x:c r="U269" s="62"/>
      <x:c r="V269" s="62"/>
      <x:c r="W269" s="83" t="n">
        <x:f>IFERROR(INDEX('Resource Rate Library'!$I$5:$I$85,MATCH(P269,'Resource Rate Library'!$A$5:$A$85,0)),0)</x:f>
        <x:v>0</x:v>
      </x:c>
      <x:c r="X269" s="52"/>
      <x:c r="Y269" s="83" t="n">
        <x:f t="shared" si="26">IF(X269&gt;0,X269,W269)</x:f>
        <x:v>0</x:v>
      </x:c>
      <x:c r="Z269" s="83" t="str">
        <x:f t="shared" si="27">IF(B269="","",IF(N269="Time x Count",M269*R269*IF(U269="",1,U269)*Y269,IF(N269="QS Qty x Factor",E269*R269*(1+IF(V269="",0,V269))*Y269,IF(N269="Direct Qty",S269*(1+IF(V269="",0,V269))*Y269,IF(N269="Lump Sum / Quote",S269*Y269,0)))))</x:f>
      </x:c>
      <x:c r="AA269" s="81" t="str">
        <x:f>IFERROR(INDEX('Resource Rate Library'!$N$5:$N$85,MATCH(P269,'Resource Rate Library'!$A$5:$A$85,0)),"")</x:f>
      </x:c>
      <x:c r="AB269" s="53"/>
      <x:c r="AC269" s="59"/>
      <x:c r="AD269" s="81" t="str">
        <x:f>IFERROR(INDEX('Resource Rate Library'!$G$5:$G$85,MATCH(P269,'Resource Rate Library'!$A$5:$A$85,0)),"")</x:f>
      </x:c>
      <x:c r="AE269" s="81" t="str">
        <x:f>IFERROR(INDEX('Resource Rate Library'!$H$5:$H$85,MATCH(P269,'Resource Rate Library'!$A$5:$A$85,0)),"")</x:f>
      </x:c>
      <x:c r="AF269" s="53"/>
      <x:c r="AG269" s="53"/>
      <x:c r="AH269" s="53"/>
      <x:c r="AI269" s="81" t="str">
        <x:f t="shared" si="23">IF(B269="","",IF(AND(P269="",N269&lt;&gt;"Lump Sum / Quote"),"RESOURCE CODE",IF(Y269=0,"RATE MISSING",IF(AND(O269="Plant",AD269="Yes",COUNTIFS($B$7:$B$306,B269,$O$7:$O$306,"Labour",$Q$7:$Q$306,"*Operator*")&gt;0),"OPERATOR DOUBLE-COUNT",IF(AND(O269="Plant",AE269="Yes",COUNTIFS($B$7:$B$306,B269,$Q$7:$Q$306,"*Fuel*")&gt;0),"FUEL DOUBLE-COUNT",IF(AH269&lt;&gt;"Yes","VERIFY","OK"))))))</x:f>
      </x:c>
      <x:c r="AJ269" s="54"/>
      <x:c r="AK269" s="473"/>
      <x:c r="AL269" s="473"/>
      <x:c r="AM269" s="473"/>
      <x:c r="AN269" s="500" t="n">
        <x:f>IF(AND(AK269="Yes",OR(O269="Labour",O269="Plant")),Z269,0)</x:f>
        <x:v>0</x:v>
      </x:c>
    </x:row>
    <x:row r="270">
      <x:c r="A270" s="80" t="str">
        <x:f>IF(B270="","",B270&amp;"-"&amp;TEXT(COUNTIF($B$7:B270,B270),"000"))</x:f>
      </x:c>
      <x:c r="B270" s="53"/>
      <x:c r="C270" s="81" t="str">
        <x:f>IFERROR(INDEX('QS Takeoff'!$A$3:$A$194,MATCH(B270,'QS Takeoff'!$B$3:$B$194,0)),"")</x:f>
      </x:c>
      <x:c r="D270" s="81" t="str">
        <x:f>IFERROR(INDEX('QS Takeoff'!$C$3:$C$194,MATCH(B270,'QS Takeoff'!$B$3:$B$194,0)),"")</x:f>
      </x:c>
      <x:c r="E270" s="81" t="str">
        <x:f>IFERROR(INDEX('QS Takeoff'!$E$3:$E$194,MATCH(B270,'QS Takeoff'!$B$3:$B$194,0)),"")</x:f>
      </x:c>
      <x:c r="F270" s="81" t="str">
        <x:f>IFERROR(INDEX('QS Takeoff'!$D$3:$D$194,MATCH(B270,'QS Takeoff'!$B$3:$B$194,0)),"")</x:f>
      </x:c>
      <x:c r="G270" s="81" t="str">
        <x:f>IFERROR(INDEX('QS Takeoff'!$J$3:$J$194,MATCH(B270,'QS Takeoff'!$B$3:$B$194,0)),"")</x:f>
      </x:c>
      <x:c r="H270" s="53"/>
      <x:c r="I270" s="60"/>
      <x:c r="J270" s="60"/>
      <x:c r="K270" s="82" t="str">
        <x:f t="shared" si="24">IF(OR(B270="",I270="",I270=0),"",E270/I270)</x:f>
      </x:c>
      <x:c r="L270" s="60"/>
      <x:c r="M270" s="82" t="str">
        <x:f t="shared" si="25">IF(L270&gt;0,L270,K270)</x:f>
      </x:c>
      <x:c r="N270" s="53"/>
      <x:c r="O270" s="53"/>
      <x:c r="P270" s="53"/>
      <x:c r="Q270" s="81" t="str">
        <x:f>IFERROR(INDEX('Resource Rate Library'!$C$5:$C$85,MATCH(P270,'Resource Rate Library'!$A$5:$A$85,0)),"")</x:f>
      </x:c>
      <x:c r="R270" s="53"/>
      <x:c r="S270" s="53"/>
      <x:c r="T270" s="81" t="str">
        <x:f>IFERROR(INDEX('Resource Rate Library'!$E$5:$E$85,MATCH(P270,'Resource Rate Library'!$A$5:$A$85,0)),"")</x:f>
      </x:c>
      <x:c r="U270" s="62"/>
      <x:c r="V270" s="62"/>
      <x:c r="W270" s="83" t="n">
        <x:f>IFERROR(INDEX('Resource Rate Library'!$I$5:$I$85,MATCH(P270,'Resource Rate Library'!$A$5:$A$85,0)),0)</x:f>
        <x:v>0</x:v>
      </x:c>
      <x:c r="X270" s="52"/>
      <x:c r="Y270" s="83" t="n">
        <x:f t="shared" si="26">IF(X270&gt;0,X270,W270)</x:f>
        <x:v>0</x:v>
      </x:c>
      <x:c r="Z270" s="83" t="str">
        <x:f t="shared" si="27">IF(B270="","",IF(N270="Time x Count",M270*R270*IF(U270="",1,U270)*Y270,IF(N270="QS Qty x Factor",E270*R270*(1+IF(V270="",0,V270))*Y270,IF(N270="Direct Qty",S270*(1+IF(V270="",0,V270))*Y270,IF(N270="Lump Sum / Quote",S270*Y270,0)))))</x:f>
      </x:c>
      <x:c r="AA270" s="81" t="str">
        <x:f>IFERROR(INDEX('Resource Rate Library'!$N$5:$N$85,MATCH(P270,'Resource Rate Library'!$A$5:$A$85,0)),"")</x:f>
      </x:c>
      <x:c r="AB270" s="53"/>
      <x:c r="AC270" s="59"/>
      <x:c r="AD270" s="81" t="str">
        <x:f>IFERROR(INDEX('Resource Rate Library'!$G$5:$G$85,MATCH(P270,'Resource Rate Library'!$A$5:$A$85,0)),"")</x:f>
      </x:c>
      <x:c r="AE270" s="81" t="str">
        <x:f>IFERROR(INDEX('Resource Rate Library'!$H$5:$H$85,MATCH(P270,'Resource Rate Library'!$A$5:$A$85,0)),"")</x:f>
      </x:c>
      <x:c r="AF270" s="53"/>
      <x:c r="AG270" s="53"/>
      <x:c r="AH270" s="53"/>
      <x:c r="AI270" s="81" t="str">
        <x:f t="shared" si="23">IF(B270="","",IF(AND(P270="",N270&lt;&gt;"Lump Sum / Quote"),"RESOURCE CODE",IF(Y270=0,"RATE MISSING",IF(AND(O270="Plant",AD270="Yes",COUNTIFS($B$7:$B$306,B270,$O$7:$O$306,"Labour",$Q$7:$Q$306,"*Operator*")&gt;0),"OPERATOR DOUBLE-COUNT",IF(AND(O270="Plant",AE270="Yes",COUNTIFS($B$7:$B$306,B270,$Q$7:$Q$306,"*Fuel*")&gt;0),"FUEL DOUBLE-COUNT",IF(AH270&lt;&gt;"Yes","VERIFY","OK"))))))</x:f>
      </x:c>
      <x:c r="AJ270" s="54"/>
      <x:c r="AK270" s="473"/>
      <x:c r="AL270" s="473"/>
      <x:c r="AM270" s="473"/>
      <x:c r="AN270" s="500" t="n">
        <x:f>IF(AND(AK270="Yes",OR(O270="Labour",O270="Plant")),Z270,0)</x:f>
        <x:v>0</x:v>
      </x:c>
    </x:row>
    <x:row r="271">
      <x:c r="A271" s="80" t="str">
        <x:f>IF(B271="","",B271&amp;"-"&amp;TEXT(COUNTIF($B$7:B271,B271),"000"))</x:f>
      </x:c>
      <x:c r="B271" s="53"/>
      <x:c r="C271" s="81" t="str">
        <x:f>IFERROR(INDEX('QS Takeoff'!$A$3:$A$194,MATCH(B271,'QS Takeoff'!$B$3:$B$194,0)),"")</x:f>
      </x:c>
      <x:c r="D271" s="81" t="str">
        <x:f>IFERROR(INDEX('QS Takeoff'!$C$3:$C$194,MATCH(B271,'QS Takeoff'!$B$3:$B$194,0)),"")</x:f>
      </x:c>
      <x:c r="E271" s="81" t="str">
        <x:f>IFERROR(INDEX('QS Takeoff'!$E$3:$E$194,MATCH(B271,'QS Takeoff'!$B$3:$B$194,0)),"")</x:f>
      </x:c>
      <x:c r="F271" s="81" t="str">
        <x:f>IFERROR(INDEX('QS Takeoff'!$D$3:$D$194,MATCH(B271,'QS Takeoff'!$B$3:$B$194,0)),"")</x:f>
      </x:c>
      <x:c r="G271" s="81" t="str">
        <x:f>IFERROR(INDEX('QS Takeoff'!$J$3:$J$194,MATCH(B271,'QS Takeoff'!$B$3:$B$194,0)),"")</x:f>
      </x:c>
      <x:c r="H271" s="53"/>
      <x:c r="I271" s="60"/>
      <x:c r="J271" s="60"/>
      <x:c r="K271" s="82" t="str">
        <x:f t="shared" si="24">IF(OR(B271="",I271="",I271=0),"",E271/I271)</x:f>
      </x:c>
      <x:c r="L271" s="60"/>
      <x:c r="M271" s="82" t="str">
        <x:f t="shared" si="25">IF(L271&gt;0,L271,K271)</x:f>
      </x:c>
      <x:c r="N271" s="53"/>
      <x:c r="O271" s="53"/>
      <x:c r="P271" s="53"/>
      <x:c r="Q271" s="81" t="str">
        <x:f>IFERROR(INDEX('Resource Rate Library'!$C$5:$C$85,MATCH(P271,'Resource Rate Library'!$A$5:$A$85,0)),"")</x:f>
      </x:c>
      <x:c r="R271" s="53"/>
      <x:c r="S271" s="53"/>
      <x:c r="T271" s="81" t="str">
        <x:f>IFERROR(INDEX('Resource Rate Library'!$E$5:$E$85,MATCH(P271,'Resource Rate Library'!$A$5:$A$85,0)),"")</x:f>
      </x:c>
      <x:c r="U271" s="62"/>
      <x:c r="V271" s="62"/>
      <x:c r="W271" s="83" t="n">
        <x:f>IFERROR(INDEX('Resource Rate Library'!$I$5:$I$85,MATCH(P271,'Resource Rate Library'!$A$5:$A$85,0)),0)</x:f>
        <x:v>0</x:v>
      </x:c>
      <x:c r="X271" s="52"/>
      <x:c r="Y271" s="83" t="n">
        <x:f t="shared" si="26">IF(X271&gt;0,X271,W271)</x:f>
        <x:v>0</x:v>
      </x:c>
      <x:c r="Z271" s="83" t="str">
        <x:f t="shared" si="27">IF(B271="","",IF(N271="Time x Count",M271*R271*IF(U271="",1,U271)*Y271,IF(N271="QS Qty x Factor",E271*R271*(1+IF(V271="",0,V271))*Y271,IF(N271="Direct Qty",S271*(1+IF(V271="",0,V271))*Y271,IF(N271="Lump Sum / Quote",S271*Y271,0)))))</x:f>
      </x:c>
      <x:c r="AA271" s="81" t="str">
        <x:f>IFERROR(INDEX('Resource Rate Library'!$N$5:$N$85,MATCH(P271,'Resource Rate Library'!$A$5:$A$85,0)),"")</x:f>
      </x:c>
      <x:c r="AB271" s="53"/>
      <x:c r="AC271" s="59"/>
      <x:c r="AD271" s="81" t="str">
        <x:f>IFERROR(INDEX('Resource Rate Library'!$G$5:$G$85,MATCH(P271,'Resource Rate Library'!$A$5:$A$85,0)),"")</x:f>
      </x:c>
      <x:c r="AE271" s="81" t="str">
        <x:f>IFERROR(INDEX('Resource Rate Library'!$H$5:$H$85,MATCH(P271,'Resource Rate Library'!$A$5:$A$85,0)),"")</x:f>
      </x:c>
      <x:c r="AF271" s="53"/>
      <x:c r="AG271" s="53"/>
      <x:c r="AH271" s="53"/>
      <x:c r="AI271" s="81" t="str">
        <x:f t="shared" si="23">IF(B271="","",IF(AND(P271="",N271&lt;&gt;"Lump Sum / Quote"),"RESOURCE CODE",IF(Y271=0,"RATE MISSING",IF(AND(O271="Plant",AD271="Yes",COUNTIFS($B$7:$B$306,B271,$O$7:$O$306,"Labour",$Q$7:$Q$306,"*Operator*")&gt;0),"OPERATOR DOUBLE-COUNT",IF(AND(O271="Plant",AE271="Yes",COUNTIFS($B$7:$B$306,B271,$Q$7:$Q$306,"*Fuel*")&gt;0),"FUEL DOUBLE-COUNT",IF(AH271&lt;&gt;"Yes","VERIFY","OK"))))))</x:f>
      </x:c>
      <x:c r="AJ271" s="54"/>
      <x:c r="AK271" s="473"/>
      <x:c r="AL271" s="473"/>
      <x:c r="AM271" s="473"/>
      <x:c r="AN271" s="500" t="n">
        <x:f>IF(AND(AK271="Yes",OR(O271="Labour",O271="Plant")),Z271,0)</x:f>
        <x:v>0</x:v>
      </x:c>
    </x:row>
    <x:row r="272">
      <x:c r="A272" s="80" t="str">
        <x:f>IF(B272="","",B272&amp;"-"&amp;TEXT(COUNTIF($B$7:B272,B272),"000"))</x:f>
      </x:c>
      <x:c r="B272" s="53"/>
      <x:c r="C272" s="81" t="str">
        <x:f>IFERROR(INDEX('QS Takeoff'!$A$3:$A$194,MATCH(B272,'QS Takeoff'!$B$3:$B$194,0)),"")</x:f>
      </x:c>
      <x:c r="D272" s="81" t="str">
        <x:f>IFERROR(INDEX('QS Takeoff'!$C$3:$C$194,MATCH(B272,'QS Takeoff'!$B$3:$B$194,0)),"")</x:f>
      </x:c>
      <x:c r="E272" s="81" t="str">
        <x:f>IFERROR(INDEX('QS Takeoff'!$E$3:$E$194,MATCH(B272,'QS Takeoff'!$B$3:$B$194,0)),"")</x:f>
      </x:c>
      <x:c r="F272" s="81" t="str">
        <x:f>IFERROR(INDEX('QS Takeoff'!$D$3:$D$194,MATCH(B272,'QS Takeoff'!$B$3:$B$194,0)),"")</x:f>
      </x:c>
      <x:c r="G272" s="81" t="str">
        <x:f>IFERROR(INDEX('QS Takeoff'!$J$3:$J$194,MATCH(B272,'QS Takeoff'!$B$3:$B$194,0)),"")</x:f>
      </x:c>
      <x:c r="H272" s="53"/>
      <x:c r="I272" s="60"/>
      <x:c r="J272" s="60"/>
      <x:c r="K272" s="82" t="str">
        <x:f t="shared" si="24">IF(OR(B272="",I272="",I272=0),"",E272/I272)</x:f>
      </x:c>
      <x:c r="L272" s="60"/>
      <x:c r="M272" s="82" t="str">
        <x:f t="shared" si="25">IF(L272&gt;0,L272,K272)</x:f>
      </x:c>
      <x:c r="N272" s="53"/>
      <x:c r="O272" s="53"/>
      <x:c r="P272" s="53"/>
      <x:c r="Q272" s="81" t="str">
        <x:f>IFERROR(INDEX('Resource Rate Library'!$C$5:$C$85,MATCH(P272,'Resource Rate Library'!$A$5:$A$85,0)),"")</x:f>
      </x:c>
      <x:c r="R272" s="53"/>
      <x:c r="S272" s="53"/>
      <x:c r="T272" s="81" t="str">
        <x:f>IFERROR(INDEX('Resource Rate Library'!$E$5:$E$85,MATCH(P272,'Resource Rate Library'!$A$5:$A$85,0)),"")</x:f>
      </x:c>
      <x:c r="U272" s="62"/>
      <x:c r="V272" s="62"/>
      <x:c r="W272" s="83" t="n">
        <x:f>IFERROR(INDEX('Resource Rate Library'!$I$5:$I$85,MATCH(P272,'Resource Rate Library'!$A$5:$A$85,0)),0)</x:f>
        <x:v>0</x:v>
      </x:c>
      <x:c r="X272" s="52"/>
      <x:c r="Y272" s="83" t="n">
        <x:f t="shared" si="26">IF(X272&gt;0,X272,W272)</x:f>
        <x:v>0</x:v>
      </x:c>
      <x:c r="Z272" s="83" t="str">
        <x:f t="shared" si="27">IF(B272="","",IF(N272="Time x Count",M272*R272*IF(U272="",1,U272)*Y272,IF(N272="QS Qty x Factor",E272*R272*(1+IF(V272="",0,V272))*Y272,IF(N272="Direct Qty",S272*(1+IF(V272="",0,V272))*Y272,IF(N272="Lump Sum / Quote",S272*Y272,0)))))</x:f>
      </x:c>
      <x:c r="AA272" s="81" t="str">
        <x:f>IFERROR(INDEX('Resource Rate Library'!$N$5:$N$85,MATCH(P272,'Resource Rate Library'!$A$5:$A$85,0)),"")</x:f>
      </x:c>
      <x:c r="AB272" s="53"/>
      <x:c r="AC272" s="59"/>
      <x:c r="AD272" s="81" t="str">
        <x:f>IFERROR(INDEX('Resource Rate Library'!$G$5:$G$85,MATCH(P272,'Resource Rate Library'!$A$5:$A$85,0)),"")</x:f>
      </x:c>
      <x:c r="AE272" s="81" t="str">
        <x:f>IFERROR(INDEX('Resource Rate Library'!$H$5:$H$85,MATCH(P272,'Resource Rate Library'!$A$5:$A$85,0)),"")</x:f>
      </x:c>
      <x:c r="AF272" s="53"/>
      <x:c r="AG272" s="53"/>
      <x:c r="AH272" s="53"/>
      <x:c r="AI272" s="81" t="str">
        <x:f t="shared" si="23">IF(B272="","",IF(AND(P272="",N272&lt;&gt;"Lump Sum / Quote"),"RESOURCE CODE",IF(Y272=0,"RATE MISSING",IF(AND(O272="Plant",AD272="Yes",COUNTIFS($B$7:$B$306,B272,$O$7:$O$306,"Labour",$Q$7:$Q$306,"*Operator*")&gt;0),"OPERATOR DOUBLE-COUNT",IF(AND(O272="Plant",AE272="Yes",COUNTIFS($B$7:$B$306,B272,$Q$7:$Q$306,"*Fuel*")&gt;0),"FUEL DOUBLE-COUNT",IF(AH272&lt;&gt;"Yes","VERIFY","OK"))))))</x:f>
      </x:c>
      <x:c r="AJ272" s="54"/>
      <x:c r="AK272" s="473"/>
      <x:c r="AL272" s="473"/>
      <x:c r="AM272" s="473"/>
      <x:c r="AN272" s="500" t="n">
        <x:f>IF(AND(AK272="Yes",OR(O272="Labour",O272="Plant")),Z272,0)</x:f>
        <x:v>0</x:v>
      </x:c>
    </x:row>
    <x:row r="273">
      <x:c r="A273" s="80" t="str">
        <x:f>IF(B273="","",B273&amp;"-"&amp;TEXT(COUNTIF($B$7:B273,B273),"000"))</x:f>
      </x:c>
      <x:c r="B273" s="53"/>
      <x:c r="C273" s="81" t="str">
        <x:f>IFERROR(INDEX('QS Takeoff'!$A$3:$A$194,MATCH(B273,'QS Takeoff'!$B$3:$B$194,0)),"")</x:f>
      </x:c>
      <x:c r="D273" s="81" t="str">
        <x:f>IFERROR(INDEX('QS Takeoff'!$C$3:$C$194,MATCH(B273,'QS Takeoff'!$B$3:$B$194,0)),"")</x:f>
      </x:c>
      <x:c r="E273" s="81" t="str">
        <x:f>IFERROR(INDEX('QS Takeoff'!$E$3:$E$194,MATCH(B273,'QS Takeoff'!$B$3:$B$194,0)),"")</x:f>
      </x:c>
      <x:c r="F273" s="81" t="str">
        <x:f>IFERROR(INDEX('QS Takeoff'!$D$3:$D$194,MATCH(B273,'QS Takeoff'!$B$3:$B$194,0)),"")</x:f>
      </x:c>
      <x:c r="G273" s="81" t="str">
        <x:f>IFERROR(INDEX('QS Takeoff'!$J$3:$J$194,MATCH(B273,'QS Takeoff'!$B$3:$B$194,0)),"")</x:f>
      </x:c>
      <x:c r="H273" s="53"/>
      <x:c r="I273" s="60"/>
      <x:c r="J273" s="60"/>
      <x:c r="K273" s="82" t="str">
        <x:f t="shared" si="24">IF(OR(B273="",I273="",I273=0),"",E273/I273)</x:f>
      </x:c>
      <x:c r="L273" s="60"/>
      <x:c r="M273" s="82" t="str">
        <x:f t="shared" si="25">IF(L273&gt;0,L273,K273)</x:f>
      </x:c>
      <x:c r="N273" s="53"/>
      <x:c r="O273" s="53"/>
      <x:c r="P273" s="53"/>
      <x:c r="Q273" s="81" t="str">
        <x:f>IFERROR(INDEX('Resource Rate Library'!$C$5:$C$85,MATCH(P273,'Resource Rate Library'!$A$5:$A$85,0)),"")</x:f>
      </x:c>
      <x:c r="R273" s="53"/>
      <x:c r="S273" s="53"/>
      <x:c r="T273" s="81" t="str">
        <x:f>IFERROR(INDEX('Resource Rate Library'!$E$5:$E$85,MATCH(P273,'Resource Rate Library'!$A$5:$A$85,0)),"")</x:f>
      </x:c>
      <x:c r="U273" s="62"/>
      <x:c r="V273" s="62"/>
      <x:c r="W273" s="83" t="n">
        <x:f>IFERROR(INDEX('Resource Rate Library'!$I$5:$I$85,MATCH(P273,'Resource Rate Library'!$A$5:$A$85,0)),0)</x:f>
        <x:v>0</x:v>
      </x:c>
      <x:c r="X273" s="52"/>
      <x:c r="Y273" s="83" t="n">
        <x:f t="shared" si="26">IF(X273&gt;0,X273,W273)</x:f>
        <x:v>0</x:v>
      </x:c>
      <x:c r="Z273" s="83" t="str">
        <x:f t="shared" si="27">IF(B273="","",IF(N273="Time x Count",M273*R273*IF(U273="",1,U273)*Y273,IF(N273="QS Qty x Factor",E273*R273*(1+IF(V273="",0,V273))*Y273,IF(N273="Direct Qty",S273*(1+IF(V273="",0,V273))*Y273,IF(N273="Lump Sum / Quote",S273*Y273,0)))))</x:f>
      </x:c>
      <x:c r="AA273" s="81" t="str">
        <x:f>IFERROR(INDEX('Resource Rate Library'!$N$5:$N$85,MATCH(P273,'Resource Rate Library'!$A$5:$A$85,0)),"")</x:f>
      </x:c>
      <x:c r="AB273" s="53"/>
      <x:c r="AC273" s="59"/>
      <x:c r="AD273" s="81" t="str">
        <x:f>IFERROR(INDEX('Resource Rate Library'!$G$5:$G$85,MATCH(P273,'Resource Rate Library'!$A$5:$A$85,0)),"")</x:f>
      </x:c>
      <x:c r="AE273" s="81" t="str">
        <x:f>IFERROR(INDEX('Resource Rate Library'!$H$5:$H$85,MATCH(P273,'Resource Rate Library'!$A$5:$A$85,0)),"")</x:f>
      </x:c>
      <x:c r="AF273" s="53"/>
      <x:c r="AG273" s="53"/>
      <x:c r="AH273" s="53"/>
      <x:c r="AI273" s="81" t="str">
        <x:f t="shared" si="23">IF(B273="","",IF(AND(P273="",N273&lt;&gt;"Lump Sum / Quote"),"RESOURCE CODE",IF(Y273=0,"RATE MISSING",IF(AND(O273="Plant",AD273="Yes",COUNTIFS($B$7:$B$306,B273,$O$7:$O$306,"Labour",$Q$7:$Q$306,"*Operator*")&gt;0),"OPERATOR DOUBLE-COUNT",IF(AND(O273="Plant",AE273="Yes",COUNTIFS($B$7:$B$306,B273,$Q$7:$Q$306,"*Fuel*")&gt;0),"FUEL DOUBLE-COUNT",IF(AH273&lt;&gt;"Yes","VERIFY","OK"))))))</x:f>
      </x:c>
      <x:c r="AJ273" s="54"/>
      <x:c r="AK273" s="473"/>
      <x:c r="AL273" s="473"/>
      <x:c r="AM273" s="473"/>
      <x:c r="AN273" s="500" t="n">
        <x:f>IF(AND(AK273="Yes",OR(O273="Labour",O273="Plant")),Z273,0)</x:f>
        <x:v>0</x:v>
      </x:c>
    </x:row>
    <x:row r="274">
      <x:c r="A274" s="80" t="str">
        <x:f>IF(B274="","",B274&amp;"-"&amp;TEXT(COUNTIF($B$7:B274,B274),"000"))</x:f>
      </x:c>
      <x:c r="B274" s="53"/>
      <x:c r="C274" s="81" t="str">
        <x:f>IFERROR(INDEX('QS Takeoff'!$A$3:$A$194,MATCH(B274,'QS Takeoff'!$B$3:$B$194,0)),"")</x:f>
      </x:c>
      <x:c r="D274" s="81" t="str">
        <x:f>IFERROR(INDEX('QS Takeoff'!$C$3:$C$194,MATCH(B274,'QS Takeoff'!$B$3:$B$194,0)),"")</x:f>
      </x:c>
      <x:c r="E274" s="81" t="str">
        <x:f>IFERROR(INDEX('QS Takeoff'!$E$3:$E$194,MATCH(B274,'QS Takeoff'!$B$3:$B$194,0)),"")</x:f>
      </x:c>
      <x:c r="F274" s="81" t="str">
        <x:f>IFERROR(INDEX('QS Takeoff'!$D$3:$D$194,MATCH(B274,'QS Takeoff'!$B$3:$B$194,0)),"")</x:f>
      </x:c>
      <x:c r="G274" s="81" t="str">
        <x:f>IFERROR(INDEX('QS Takeoff'!$J$3:$J$194,MATCH(B274,'QS Takeoff'!$B$3:$B$194,0)),"")</x:f>
      </x:c>
      <x:c r="H274" s="53"/>
      <x:c r="I274" s="60"/>
      <x:c r="J274" s="60"/>
      <x:c r="K274" s="82" t="str">
        <x:f t="shared" si="24">IF(OR(B274="",I274="",I274=0),"",E274/I274)</x:f>
      </x:c>
      <x:c r="L274" s="60"/>
      <x:c r="M274" s="82" t="str">
        <x:f t="shared" si="25">IF(L274&gt;0,L274,K274)</x:f>
      </x:c>
      <x:c r="N274" s="53"/>
      <x:c r="O274" s="53"/>
      <x:c r="P274" s="53"/>
      <x:c r="Q274" s="81" t="str">
        <x:f>IFERROR(INDEX('Resource Rate Library'!$C$5:$C$85,MATCH(P274,'Resource Rate Library'!$A$5:$A$85,0)),"")</x:f>
      </x:c>
      <x:c r="R274" s="53"/>
      <x:c r="S274" s="53"/>
      <x:c r="T274" s="81" t="str">
        <x:f>IFERROR(INDEX('Resource Rate Library'!$E$5:$E$85,MATCH(P274,'Resource Rate Library'!$A$5:$A$85,0)),"")</x:f>
      </x:c>
      <x:c r="U274" s="62"/>
      <x:c r="V274" s="62"/>
      <x:c r="W274" s="83" t="n">
        <x:f>IFERROR(INDEX('Resource Rate Library'!$I$5:$I$85,MATCH(P274,'Resource Rate Library'!$A$5:$A$85,0)),0)</x:f>
        <x:v>0</x:v>
      </x:c>
      <x:c r="X274" s="52"/>
      <x:c r="Y274" s="83" t="n">
        <x:f t="shared" si="26">IF(X274&gt;0,X274,W274)</x:f>
        <x:v>0</x:v>
      </x:c>
      <x:c r="Z274" s="83" t="str">
        <x:f t="shared" si="27">IF(B274="","",IF(N274="Time x Count",M274*R274*IF(U274="",1,U274)*Y274,IF(N274="QS Qty x Factor",E274*R274*(1+IF(V274="",0,V274))*Y274,IF(N274="Direct Qty",S274*(1+IF(V274="",0,V274))*Y274,IF(N274="Lump Sum / Quote",S274*Y274,0)))))</x:f>
      </x:c>
      <x:c r="AA274" s="81" t="str">
        <x:f>IFERROR(INDEX('Resource Rate Library'!$N$5:$N$85,MATCH(P274,'Resource Rate Library'!$A$5:$A$85,0)),"")</x:f>
      </x:c>
      <x:c r="AB274" s="53"/>
      <x:c r="AC274" s="59"/>
      <x:c r="AD274" s="81" t="str">
        <x:f>IFERROR(INDEX('Resource Rate Library'!$G$5:$G$85,MATCH(P274,'Resource Rate Library'!$A$5:$A$85,0)),"")</x:f>
      </x:c>
      <x:c r="AE274" s="81" t="str">
        <x:f>IFERROR(INDEX('Resource Rate Library'!$H$5:$H$85,MATCH(P274,'Resource Rate Library'!$A$5:$A$85,0)),"")</x:f>
      </x:c>
      <x:c r="AF274" s="53"/>
      <x:c r="AG274" s="53"/>
      <x:c r="AH274" s="53"/>
      <x:c r="AI274" s="81" t="str">
        <x:f t="shared" si="23">IF(B274="","",IF(AND(P274="",N274&lt;&gt;"Lump Sum / Quote"),"RESOURCE CODE",IF(Y274=0,"RATE MISSING",IF(AND(O274="Plant",AD274="Yes",COUNTIFS($B$7:$B$306,B274,$O$7:$O$306,"Labour",$Q$7:$Q$306,"*Operator*")&gt;0),"OPERATOR DOUBLE-COUNT",IF(AND(O274="Plant",AE274="Yes",COUNTIFS($B$7:$B$306,B274,$Q$7:$Q$306,"*Fuel*")&gt;0),"FUEL DOUBLE-COUNT",IF(AH274&lt;&gt;"Yes","VERIFY","OK"))))))</x:f>
      </x:c>
      <x:c r="AJ274" s="54"/>
      <x:c r="AK274" s="473"/>
      <x:c r="AL274" s="473"/>
      <x:c r="AM274" s="473"/>
      <x:c r="AN274" s="500" t="n">
        <x:f>IF(AND(AK274="Yes",OR(O274="Labour",O274="Plant")),Z274,0)</x:f>
        <x:v>0</x:v>
      </x:c>
    </x:row>
    <x:row r="275">
      <x:c r="A275" s="80" t="str">
        <x:f>IF(B275="","",B275&amp;"-"&amp;TEXT(COUNTIF($B$7:B275,B275),"000"))</x:f>
      </x:c>
      <x:c r="B275" s="53"/>
      <x:c r="C275" s="81" t="str">
        <x:f>IFERROR(INDEX('QS Takeoff'!$A$3:$A$194,MATCH(B275,'QS Takeoff'!$B$3:$B$194,0)),"")</x:f>
      </x:c>
      <x:c r="D275" s="81" t="str">
        <x:f>IFERROR(INDEX('QS Takeoff'!$C$3:$C$194,MATCH(B275,'QS Takeoff'!$B$3:$B$194,0)),"")</x:f>
      </x:c>
      <x:c r="E275" s="81" t="str">
        <x:f>IFERROR(INDEX('QS Takeoff'!$E$3:$E$194,MATCH(B275,'QS Takeoff'!$B$3:$B$194,0)),"")</x:f>
      </x:c>
      <x:c r="F275" s="81" t="str">
        <x:f>IFERROR(INDEX('QS Takeoff'!$D$3:$D$194,MATCH(B275,'QS Takeoff'!$B$3:$B$194,0)),"")</x:f>
      </x:c>
      <x:c r="G275" s="81" t="str">
        <x:f>IFERROR(INDEX('QS Takeoff'!$J$3:$J$194,MATCH(B275,'QS Takeoff'!$B$3:$B$194,0)),"")</x:f>
      </x:c>
      <x:c r="H275" s="53"/>
      <x:c r="I275" s="60"/>
      <x:c r="J275" s="60"/>
      <x:c r="K275" s="82" t="str">
        <x:f t="shared" si="24">IF(OR(B275="",I275="",I275=0),"",E275/I275)</x:f>
      </x:c>
      <x:c r="L275" s="60"/>
      <x:c r="M275" s="82" t="str">
        <x:f t="shared" si="25">IF(L275&gt;0,L275,K275)</x:f>
      </x:c>
      <x:c r="N275" s="53"/>
      <x:c r="O275" s="53"/>
      <x:c r="P275" s="53"/>
      <x:c r="Q275" s="81" t="str">
        <x:f>IFERROR(INDEX('Resource Rate Library'!$C$5:$C$85,MATCH(P275,'Resource Rate Library'!$A$5:$A$85,0)),"")</x:f>
      </x:c>
      <x:c r="R275" s="53"/>
      <x:c r="S275" s="53"/>
      <x:c r="T275" s="81" t="str">
        <x:f>IFERROR(INDEX('Resource Rate Library'!$E$5:$E$85,MATCH(P275,'Resource Rate Library'!$A$5:$A$85,0)),"")</x:f>
      </x:c>
      <x:c r="U275" s="62"/>
      <x:c r="V275" s="62"/>
      <x:c r="W275" s="83" t="n">
        <x:f>IFERROR(INDEX('Resource Rate Library'!$I$5:$I$85,MATCH(P275,'Resource Rate Library'!$A$5:$A$85,0)),0)</x:f>
        <x:v>0</x:v>
      </x:c>
      <x:c r="X275" s="52"/>
      <x:c r="Y275" s="83" t="n">
        <x:f t="shared" si="26">IF(X275&gt;0,X275,W275)</x:f>
        <x:v>0</x:v>
      </x:c>
      <x:c r="Z275" s="83" t="str">
        <x:f t="shared" si="27">IF(B275="","",IF(N275="Time x Count",M275*R275*IF(U275="",1,U275)*Y275,IF(N275="QS Qty x Factor",E275*R275*(1+IF(V275="",0,V275))*Y275,IF(N275="Direct Qty",S275*(1+IF(V275="",0,V275))*Y275,IF(N275="Lump Sum / Quote",S275*Y275,0)))))</x:f>
      </x:c>
      <x:c r="AA275" s="81" t="str">
        <x:f>IFERROR(INDEX('Resource Rate Library'!$N$5:$N$85,MATCH(P275,'Resource Rate Library'!$A$5:$A$85,0)),"")</x:f>
      </x:c>
      <x:c r="AB275" s="53"/>
      <x:c r="AC275" s="59"/>
      <x:c r="AD275" s="81" t="str">
        <x:f>IFERROR(INDEX('Resource Rate Library'!$G$5:$G$85,MATCH(P275,'Resource Rate Library'!$A$5:$A$85,0)),"")</x:f>
      </x:c>
      <x:c r="AE275" s="81" t="str">
        <x:f>IFERROR(INDEX('Resource Rate Library'!$H$5:$H$85,MATCH(P275,'Resource Rate Library'!$A$5:$A$85,0)),"")</x:f>
      </x:c>
      <x:c r="AF275" s="53"/>
      <x:c r="AG275" s="53"/>
      <x:c r="AH275" s="53"/>
      <x:c r="AI275" s="81" t="str">
        <x:f t="shared" si="23">IF(B275="","",IF(AND(P275="",N275&lt;&gt;"Lump Sum / Quote"),"RESOURCE CODE",IF(Y275=0,"RATE MISSING",IF(AND(O275="Plant",AD275="Yes",COUNTIFS($B$7:$B$306,B275,$O$7:$O$306,"Labour",$Q$7:$Q$306,"*Operator*")&gt;0),"OPERATOR DOUBLE-COUNT",IF(AND(O275="Plant",AE275="Yes",COUNTIFS($B$7:$B$306,B275,$Q$7:$Q$306,"*Fuel*")&gt;0),"FUEL DOUBLE-COUNT",IF(AH275&lt;&gt;"Yes","VERIFY","OK"))))))</x:f>
      </x:c>
      <x:c r="AJ275" s="54"/>
      <x:c r="AK275" s="473"/>
      <x:c r="AL275" s="473"/>
      <x:c r="AM275" s="473"/>
      <x:c r="AN275" s="500" t="n">
        <x:f>IF(AND(AK275="Yes",OR(O275="Labour",O275="Plant")),Z275,0)</x:f>
        <x:v>0</x:v>
      </x:c>
    </x:row>
    <x:row r="276">
      <x:c r="A276" s="80" t="str">
        <x:f>IF(B276="","",B276&amp;"-"&amp;TEXT(COUNTIF($B$7:B276,B276),"000"))</x:f>
      </x:c>
      <x:c r="B276" s="53"/>
      <x:c r="C276" s="81" t="str">
        <x:f>IFERROR(INDEX('QS Takeoff'!$A$3:$A$194,MATCH(B276,'QS Takeoff'!$B$3:$B$194,0)),"")</x:f>
      </x:c>
      <x:c r="D276" s="81" t="str">
        <x:f>IFERROR(INDEX('QS Takeoff'!$C$3:$C$194,MATCH(B276,'QS Takeoff'!$B$3:$B$194,0)),"")</x:f>
      </x:c>
      <x:c r="E276" s="81" t="str">
        <x:f>IFERROR(INDEX('QS Takeoff'!$E$3:$E$194,MATCH(B276,'QS Takeoff'!$B$3:$B$194,0)),"")</x:f>
      </x:c>
      <x:c r="F276" s="81" t="str">
        <x:f>IFERROR(INDEX('QS Takeoff'!$D$3:$D$194,MATCH(B276,'QS Takeoff'!$B$3:$B$194,0)),"")</x:f>
      </x:c>
      <x:c r="G276" s="81" t="str">
        <x:f>IFERROR(INDEX('QS Takeoff'!$J$3:$J$194,MATCH(B276,'QS Takeoff'!$B$3:$B$194,0)),"")</x:f>
      </x:c>
      <x:c r="H276" s="53"/>
      <x:c r="I276" s="60"/>
      <x:c r="J276" s="60"/>
      <x:c r="K276" s="82" t="str">
        <x:f t="shared" si="24">IF(OR(B276="",I276="",I276=0),"",E276/I276)</x:f>
      </x:c>
      <x:c r="L276" s="60"/>
      <x:c r="M276" s="82" t="str">
        <x:f t="shared" si="25">IF(L276&gt;0,L276,K276)</x:f>
      </x:c>
      <x:c r="N276" s="53"/>
      <x:c r="O276" s="53"/>
      <x:c r="P276" s="53"/>
      <x:c r="Q276" s="81" t="str">
        <x:f>IFERROR(INDEX('Resource Rate Library'!$C$5:$C$85,MATCH(P276,'Resource Rate Library'!$A$5:$A$85,0)),"")</x:f>
      </x:c>
      <x:c r="R276" s="53"/>
      <x:c r="S276" s="53"/>
      <x:c r="T276" s="81" t="str">
        <x:f>IFERROR(INDEX('Resource Rate Library'!$E$5:$E$85,MATCH(P276,'Resource Rate Library'!$A$5:$A$85,0)),"")</x:f>
      </x:c>
      <x:c r="U276" s="62"/>
      <x:c r="V276" s="62"/>
      <x:c r="W276" s="83" t="n">
        <x:f>IFERROR(INDEX('Resource Rate Library'!$I$5:$I$85,MATCH(P276,'Resource Rate Library'!$A$5:$A$85,0)),0)</x:f>
        <x:v>0</x:v>
      </x:c>
      <x:c r="X276" s="52"/>
      <x:c r="Y276" s="83" t="n">
        <x:f t="shared" si="26">IF(X276&gt;0,X276,W276)</x:f>
        <x:v>0</x:v>
      </x:c>
      <x:c r="Z276" s="83" t="str">
        <x:f t="shared" si="27">IF(B276="","",IF(N276="Time x Count",M276*R276*IF(U276="",1,U276)*Y276,IF(N276="QS Qty x Factor",E276*R276*(1+IF(V276="",0,V276))*Y276,IF(N276="Direct Qty",S276*(1+IF(V276="",0,V276))*Y276,IF(N276="Lump Sum / Quote",S276*Y276,0)))))</x:f>
      </x:c>
      <x:c r="AA276" s="81" t="str">
        <x:f>IFERROR(INDEX('Resource Rate Library'!$N$5:$N$85,MATCH(P276,'Resource Rate Library'!$A$5:$A$85,0)),"")</x:f>
      </x:c>
      <x:c r="AB276" s="53"/>
      <x:c r="AC276" s="59"/>
      <x:c r="AD276" s="81" t="str">
        <x:f>IFERROR(INDEX('Resource Rate Library'!$G$5:$G$85,MATCH(P276,'Resource Rate Library'!$A$5:$A$85,0)),"")</x:f>
      </x:c>
      <x:c r="AE276" s="81" t="str">
        <x:f>IFERROR(INDEX('Resource Rate Library'!$H$5:$H$85,MATCH(P276,'Resource Rate Library'!$A$5:$A$85,0)),"")</x:f>
      </x:c>
      <x:c r="AF276" s="53"/>
      <x:c r="AG276" s="53"/>
      <x:c r="AH276" s="53"/>
      <x:c r="AI276" s="81" t="str">
        <x:f t="shared" si="23">IF(B276="","",IF(AND(P276="",N276&lt;&gt;"Lump Sum / Quote"),"RESOURCE CODE",IF(Y276=0,"RATE MISSING",IF(AND(O276="Plant",AD276="Yes",COUNTIFS($B$7:$B$306,B276,$O$7:$O$306,"Labour",$Q$7:$Q$306,"*Operator*")&gt;0),"OPERATOR DOUBLE-COUNT",IF(AND(O276="Plant",AE276="Yes",COUNTIFS($B$7:$B$306,B276,$Q$7:$Q$306,"*Fuel*")&gt;0),"FUEL DOUBLE-COUNT",IF(AH276&lt;&gt;"Yes","VERIFY","OK"))))))</x:f>
      </x:c>
      <x:c r="AJ276" s="54"/>
      <x:c r="AK276" s="473"/>
      <x:c r="AL276" s="473"/>
      <x:c r="AM276" s="473"/>
      <x:c r="AN276" s="500" t="n">
        <x:f>IF(AND(AK276="Yes",OR(O276="Labour",O276="Plant")),Z276,0)</x:f>
        <x:v>0</x:v>
      </x:c>
    </x:row>
    <x:row r="277">
      <x:c r="A277" s="80" t="str">
        <x:f>IF(B277="","",B277&amp;"-"&amp;TEXT(COUNTIF($B$7:B277,B277),"000"))</x:f>
      </x:c>
      <x:c r="B277" s="53"/>
      <x:c r="C277" s="81" t="str">
        <x:f>IFERROR(INDEX('QS Takeoff'!$A$3:$A$194,MATCH(B277,'QS Takeoff'!$B$3:$B$194,0)),"")</x:f>
      </x:c>
      <x:c r="D277" s="81" t="str">
        <x:f>IFERROR(INDEX('QS Takeoff'!$C$3:$C$194,MATCH(B277,'QS Takeoff'!$B$3:$B$194,0)),"")</x:f>
      </x:c>
      <x:c r="E277" s="81" t="str">
        <x:f>IFERROR(INDEX('QS Takeoff'!$E$3:$E$194,MATCH(B277,'QS Takeoff'!$B$3:$B$194,0)),"")</x:f>
      </x:c>
      <x:c r="F277" s="81" t="str">
        <x:f>IFERROR(INDEX('QS Takeoff'!$D$3:$D$194,MATCH(B277,'QS Takeoff'!$B$3:$B$194,0)),"")</x:f>
      </x:c>
      <x:c r="G277" s="81" t="str">
        <x:f>IFERROR(INDEX('QS Takeoff'!$J$3:$J$194,MATCH(B277,'QS Takeoff'!$B$3:$B$194,0)),"")</x:f>
      </x:c>
      <x:c r="H277" s="53"/>
      <x:c r="I277" s="60"/>
      <x:c r="J277" s="60"/>
      <x:c r="K277" s="82" t="str">
        <x:f t="shared" si="24">IF(OR(B277="",I277="",I277=0),"",E277/I277)</x:f>
      </x:c>
      <x:c r="L277" s="60"/>
      <x:c r="M277" s="82" t="str">
        <x:f t="shared" si="25">IF(L277&gt;0,L277,K277)</x:f>
      </x:c>
      <x:c r="N277" s="53"/>
      <x:c r="O277" s="53"/>
      <x:c r="P277" s="53"/>
      <x:c r="Q277" s="81" t="str">
        <x:f>IFERROR(INDEX('Resource Rate Library'!$C$5:$C$85,MATCH(P277,'Resource Rate Library'!$A$5:$A$85,0)),"")</x:f>
      </x:c>
      <x:c r="R277" s="53"/>
      <x:c r="S277" s="53"/>
      <x:c r="T277" s="81" t="str">
        <x:f>IFERROR(INDEX('Resource Rate Library'!$E$5:$E$85,MATCH(P277,'Resource Rate Library'!$A$5:$A$85,0)),"")</x:f>
      </x:c>
      <x:c r="U277" s="62"/>
      <x:c r="V277" s="62"/>
      <x:c r="W277" s="83" t="n">
        <x:f>IFERROR(INDEX('Resource Rate Library'!$I$5:$I$85,MATCH(P277,'Resource Rate Library'!$A$5:$A$85,0)),0)</x:f>
        <x:v>0</x:v>
      </x:c>
      <x:c r="X277" s="52"/>
      <x:c r="Y277" s="83" t="n">
        <x:f t="shared" si="26">IF(X277&gt;0,X277,W277)</x:f>
        <x:v>0</x:v>
      </x:c>
      <x:c r="Z277" s="83" t="str">
        <x:f t="shared" si="27">IF(B277="","",IF(N277="Time x Count",M277*R277*IF(U277="",1,U277)*Y277,IF(N277="QS Qty x Factor",E277*R277*(1+IF(V277="",0,V277))*Y277,IF(N277="Direct Qty",S277*(1+IF(V277="",0,V277))*Y277,IF(N277="Lump Sum / Quote",S277*Y277,0)))))</x:f>
      </x:c>
      <x:c r="AA277" s="81" t="str">
        <x:f>IFERROR(INDEX('Resource Rate Library'!$N$5:$N$85,MATCH(P277,'Resource Rate Library'!$A$5:$A$85,0)),"")</x:f>
      </x:c>
      <x:c r="AB277" s="53"/>
      <x:c r="AC277" s="59"/>
      <x:c r="AD277" s="81" t="str">
        <x:f>IFERROR(INDEX('Resource Rate Library'!$G$5:$G$85,MATCH(P277,'Resource Rate Library'!$A$5:$A$85,0)),"")</x:f>
      </x:c>
      <x:c r="AE277" s="81" t="str">
        <x:f>IFERROR(INDEX('Resource Rate Library'!$H$5:$H$85,MATCH(P277,'Resource Rate Library'!$A$5:$A$85,0)),"")</x:f>
      </x:c>
      <x:c r="AF277" s="53"/>
      <x:c r="AG277" s="53"/>
      <x:c r="AH277" s="53"/>
      <x:c r="AI277" s="81" t="str">
        <x:f t="shared" si="23">IF(B277="","",IF(AND(P277="",N277&lt;&gt;"Lump Sum / Quote"),"RESOURCE CODE",IF(Y277=0,"RATE MISSING",IF(AND(O277="Plant",AD277="Yes",COUNTIFS($B$7:$B$306,B277,$O$7:$O$306,"Labour",$Q$7:$Q$306,"*Operator*")&gt;0),"OPERATOR DOUBLE-COUNT",IF(AND(O277="Plant",AE277="Yes",COUNTIFS($B$7:$B$306,B277,$Q$7:$Q$306,"*Fuel*")&gt;0),"FUEL DOUBLE-COUNT",IF(AH277&lt;&gt;"Yes","VERIFY","OK"))))))</x:f>
      </x:c>
      <x:c r="AJ277" s="54"/>
      <x:c r="AK277" s="473"/>
      <x:c r="AL277" s="473"/>
      <x:c r="AM277" s="473"/>
      <x:c r="AN277" s="500" t="n">
        <x:f>IF(AND(AK277="Yes",OR(O277="Labour",O277="Plant")),Z277,0)</x:f>
        <x:v>0</x:v>
      </x:c>
    </x:row>
    <x:row r="278">
      <x:c r="A278" s="80" t="str">
        <x:f>IF(B278="","",B278&amp;"-"&amp;TEXT(COUNTIF($B$7:B278,B278),"000"))</x:f>
      </x:c>
      <x:c r="B278" s="53"/>
      <x:c r="C278" s="81" t="str">
        <x:f>IFERROR(INDEX('QS Takeoff'!$A$3:$A$194,MATCH(B278,'QS Takeoff'!$B$3:$B$194,0)),"")</x:f>
      </x:c>
      <x:c r="D278" s="81" t="str">
        <x:f>IFERROR(INDEX('QS Takeoff'!$C$3:$C$194,MATCH(B278,'QS Takeoff'!$B$3:$B$194,0)),"")</x:f>
      </x:c>
      <x:c r="E278" s="81" t="str">
        <x:f>IFERROR(INDEX('QS Takeoff'!$E$3:$E$194,MATCH(B278,'QS Takeoff'!$B$3:$B$194,0)),"")</x:f>
      </x:c>
      <x:c r="F278" s="81" t="str">
        <x:f>IFERROR(INDEX('QS Takeoff'!$D$3:$D$194,MATCH(B278,'QS Takeoff'!$B$3:$B$194,0)),"")</x:f>
      </x:c>
      <x:c r="G278" s="81" t="str">
        <x:f>IFERROR(INDEX('QS Takeoff'!$J$3:$J$194,MATCH(B278,'QS Takeoff'!$B$3:$B$194,0)),"")</x:f>
      </x:c>
      <x:c r="H278" s="53"/>
      <x:c r="I278" s="60"/>
      <x:c r="J278" s="60"/>
      <x:c r="K278" s="82" t="str">
        <x:f t="shared" si="24">IF(OR(B278="",I278="",I278=0),"",E278/I278)</x:f>
      </x:c>
      <x:c r="L278" s="60"/>
      <x:c r="M278" s="82" t="str">
        <x:f t="shared" si="25">IF(L278&gt;0,L278,K278)</x:f>
      </x:c>
      <x:c r="N278" s="53"/>
      <x:c r="O278" s="53"/>
      <x:c r="P278" s="53"/>
      <x:c r="Q278" s="81" t="str">
        <x:f>IFERROR(INDEX('Resource Rate Library'!$C$5:$C$85,MATCH(P278,'Resource Rate Library'!$A$5:$A$85,0)),"")</x:f>
      </x:c>
      <x:c r="R278" s="53"/>
      <x:c r="S278" s="53"/>
      <x:c r="T278" s="81" t="str">
        <x:f>IFERROR(INDEX('Resource Rate Library'!$E$5:$E$85,MATCH(P278,'Resource Rate Library'!$A$5:$A$85,0)),"")</x:f>
      </x:c>
      <x:c r="U278" s="62"/>
      <x:c r="V278" s="62"/>
      <x:c r="W278" s="83" t="n">
        <x:f>IFERROR(INDEX('Resource Rate Library'!$I$5:$I$85,MATCH(P278,'Resource Rate Library'!$A$5:$A$85,0)),0)</x:f>
        <x:v>0</x:v>
      </x:c>
      <x:c r="X278" s="52"/>
      <x:c r="Y278" s="83" t="n">
        <x:f t="shared" si="26">IF(X278&gt;0,X278,W278)</x:f>
        <x:v>0</x:v>
      </x:c>
      <x:c r="Z278" s="83" t="str">
        <x:f t="shared" si="27">IF(B278="","",IF(N278="Time x Count",M278*R278*IF(U278="",1,U278)*Y278,IF(N278="QS Qty x Factor",E278*R278*(1+IF(V278="",0,V278))*Y278,IF(N278="Direct Qty",S278*(1+IF(V278="",0,V278))*Y278,IF(N278="Lump Sum / Quote",S278*Y278,0)))))</x:f>
      </x:c>
      <x:c r="AA278" s="81" t="str">
        <x:f>IFERROR(INDEX('Resource Rate Library'!$N$5:$N$85,MATCH(P278,'Resource Rate Library'!$A$5:$A$85,0)),"")</x:f>
      </x:c>
      <x:c r="AB278" s="53"/>
      <x:c r="AC278" s="59"/>
      <x:c r="AD278" s="81" t="str">
        <x:f>IFERROR(INDEX('Resource Rate Library'!$G$5:$G$85,MATCH(P278,'Resource Rate Library'!$A$5:$A$85,0)),"")</x:f>
      </x:c>
      <x:c r="AE278" s="81" t="str">
        <x:f>IFERROR(INDEX('Resource Rate Library'!$H$5:$H$85,MATCH(P278,'Resource Rate Library'!$A$5:$A$85,0)),"")</x:f>
      </x:c>
      <x:c r="AF278" s="53"/>
      <x:c r="AG278" s="53"/>
      <x:c r="AH278" s="53"/>
      <x:c r="AI278" s="81" t="str">
        <x:f t="shared" si="23">IF(B278="","",IF(AND(P278="",N278&lt;&gt;"Lump Sum / Quote"),"RESOURCE CODE",IF(Y278=0,"RATE MISSING",IF(AND(O278="Plant",AD278="Yes",COUNTIFS($B$7:$B$306,B278,$O$7:$O$306,"Labour",$Q$7:$Q$306,"*Operator*")&gt;0),"OPERATOR DOUBLE-COUNT",IF(AND(O278="Plant",AE278="Yes",COUNTIFS($B$7:$B$306,B278,$Q$7:$Q$306,"*Fuel*")&gt;0),"FUEL DOUBLE-COUNT",IF(AH278&lt;&gt;"Yes","VERIFY","OK"))))))</x:f>
      </x:c>
      <x:c r="AJ278" s="54"/>
      <x:c r="AK278" s="473"/>
      <x:c r="AL278" s="473"/>
      <x:c r="AM278" s="473"/>
      <x:c r="AN278" s="500" t="n">
        <x:f>IF(AND(AK278="Yes",OR(O278="Labour",O278="Plant")),Z278,0)</x:f>
        <x:v>0</x:v>
      </x:c>
    </x:row>
    <x:row r="279">
      <x:c r="A279" s="80" t="str">
        <x:f>IF(B279="","",B279&amp;"-"&amp;TEXT(COUNTIF($B$7:B279,B279),"000"))</x:f>
      </x:c>
      <x:c r="B279" s="53"/>
      <x:c r="C279" s="81" t="str">
        <x:f>IFERROR(INDEX('QS Takeoff'!$A$3:$A$194,MATCH(B279,'QS Takeoff'!$B$3:$B$194,0)),"")</x:f>
      </x:c>
      <x:c r="D279" s="81" t="str">
        <x:f>IFERROR(INDEX('QS Takeoff'!$C$3:$C$194,MATCH(B279,'QS Takeoff'!$B$3:$B$194,0)),"")</x:f>
      </x:c>
      <x:c r="E279" s="81" t="str">
        <x:f>IFERROR(INDEX('QS Takeoff'!$E$3:$E$194,MATCH(B279,'QS Takeoff'!$B$3:$B$194,0)),"")</x:f>
      </x:c>
      <x:c r="F279" s="81" t="str">
        <x:f>IFERROR(INDEX('QS Takeoff'!$D$3:$D$194,MATCH(B279,'QS Takeoff'!$B$3:$B$194,0)),"")</x:f>
      </x:c>
      <x:c r="G279" s="81" t="str">
        <x:f>IFERROR(INDEX('QS Takeoff'!$J$3:$J$194,MATCH(B279,'QS Takeoff'!$B$3:$B$194,0)),"")</x:f>
      </x:c>
      <x:c r="H279" s="53"/>
      <x:c r="I279" s="60"/>
      <x:c r="J279" s="60"/>
      <x:c r="K279" s="82" t="str">
        <x:f t="shared" si="24">IF(OR(B279="",I279="",I279=0),"",E279/I279)</x:f>
      </x:c>
      <x:c r="L279" s="60"/>
      <x:c r="M279" s="82" t="str">
        <x:f t="shared" si="25">IF(L279&gt;0,L279,K279)</x:f>
      </x:c>
      <x:c r="N279" s="53"/>
      <x:c r="O279" s="53"/>
      <x:c r="P279" s="53"/>
      <x:c r="Q279" s="81" t="str">
        <x:f>IFERROR(INDEX('Resource Rate Library'!$C$5:$C$85,MATCH(P279,'Resource Rate Library'!$A$5:$A$85,0)),"")</x:f>
      </x:c>
      <x:c r="R279" s="53"/>
      <x:c r="S279" s="53"/>
      <x:c r="T279" s="81" t="str">
        <x:f>IFERROR(INDEX('Resource Rate Library'!$E$5:$E$85,MATCH(P279,'Resource Rate Library'!$A$5:$A$85,0)),"")</x:f>
      </x:c>
      <x:c r="U279" s="62"/>
      <x:c r="V279" s="62"/>
      <x:c r="W279" s="83" t="n">
        <x:f>IFERROR(INDEX('Resource Rate Library'!$I$5:$I$85,MATCH(P279,'Resource Rate Library'!$A$5:$A$85,0)),0)</x:f>
        <x:v>0</x:v>
      </x:c>
      <x:c r="X279" s="52"/>
      <x:c r="Y279" s="83" t="n">
        <x:f t="shared" si="26">IF(X279&gt;0,X279,W279)</x:f>
        <x:v>0</x:v>
      </x:c>
      <x:c r="Z279" s="83" t="str">
        <x:f t="shared" si="27">IF(B279="","",IF(N279="Time x Count",M279*R279*IF(U279="",1,U279)*Y279,IF(N279="QS Qty x Factor",E279*R279*(1+IF(V279="",0,V279))*Y279,IF(N279="Direct Qty",S279*(1+IF(V279="",0,V279))*Y279,IF(N279="Lump Sum / Quote",S279*Y279,0)))))</x:f>
      </x:c>
      <x:c r="AA279" s="81" t="str">
        <x:f>IFERROR(INDEX('Resource Rate Library'!$N$5:$N$85,MATCH(P279,'Resource Rate Library'!$A$5:$A$85,0)),"")</x:f>
      </x:c>
      <x:c r="AB279" s="53"/>
      <x:c r="AC279" s="59"/>
      <x:c r="AD279" s="81" t="str">
        <x:f>IFERROR(INDEX('Resource Rate Library'!$G$5:$G$85,MATCH(P279,'Resource Rate Library'!$A$5:$A$85,0)),"")</x:f>
      </x:c>
      <x:c r="AE279" s="81" t="str">
        <x:f>IFERROR(INDEX('Resource Rate Library'!$H$5:$H$85,MATCH(P279,'Resource Rate Library'!$A$5:$A$85,0)),"")</x:f>
      </x:c>
      <x:c r="AF279" s="53"/>
      <x:c r="AG279" s="53"/>
      <x:c r="AH279" s="53"/>
      <x:c r="AI279" s="81" t="str">
        <x:f t="shared" si="23">IF(B279="","",IF(AND(P279="",N279&lt;&gt;"Lump Sum / Quote"),"RESOURCE CODE",IF(Y279=0,"RATE MISSING",IF(AND(O279="Plant",AD279="Yes",COUNTIFS($B$7:$B$306,B279,$O$7:$O$306,"Labour",$Q$7:$Q$306,"*Operator*")&gt;0),"OPERATOR DOUBLE-COUNT",IF(AND(O279="Plant",AE279="Yes",COUNTIFS($B$7:$B$306,B279,$Q$7:$Q$306,"*Fuel*")&gt;0),"FUEL DOUBLE-COUNT",IF(AH279&lt;&gt;"Yes","VERIFY","OK"))))))</x:f>
      </x:c>
      <x:c r="AJ279" s="54"/>
      <x:c r="AK279" s="473"/>
      <x:c r="AL279" s="473"/>
      <x:c r="AM279" s="473"/>
      <x:c r="AN279" s="500" t="n">
        <x:f>IF(AND(AK279="Yes",OR(O279="Labour",O279="Plant")),Z279,0)</x:f>
        <x:v>0</x:v>
      </x:c>
    </x:row>
    <x:row r="280">
      <x:c r="A280" s="80" t="str">
        <x:f>IF(B280="","",B280&amp;"-"&amp;TEXT(COUNTIF($B$7:B280,B280),"000"))</x:f>
      </x:c>
      <x:c r="B280" s="53"/>
      <x:c r="C280" s="81" t="str">
        <x:f>IFERROR(INDEX('QS Takeoff'!$A$3:$A$194,MATCH(B280,'QS Takeoff'!$B$3:$B$194,0)),"")</x:f>
      </x:c>
      <x:c r="D280" s="81" t="str">
        <x:f>IFERROR(INDEX('QS Takeoff'!$C$3:$C$194,MATCH(B280,'QS Takeoff'!$B$3:$B$194,0)),"")</x:f>
      </x:c>
      <x:c r="E280" s="81" t="str">
        <x:f>IFERROR(INDEX('QS Takeoff'!$E$3:$E$194,MATCH(B280,'QS Takeoff'!$B$3:$B$194,0)),"")</x:f>
      </x:c>
      <x:c r="F280" s="81" t="str">
        <x:f>IFERROR(INDEX('QS Takeoff'!$D$3:$D$194,MATCH(B280,'QS Takeoff'!$B$3:$B$194,0)),"")</x:f>
      </x:c>
      <x:c r="G280" s="81" t="str">
        <x:f>IFERROR(INDEX('QS Takeoff'!$J$3:$J$194,MATCH(B280,'QS Takeoff'!$B$3:$B$194,0)),"")</x:f>
      </x:c>
      <x:c r="H280" s="53"/>
      <x:c r="I280" s="60"/>
      <x:c r="J280" s="60"/>
      <x:c r="K280" s="82" t="str">
        <x:f t="shared" si="24">IF(OR(B280="",I280="",I280=0),"",E280/I280)</x:f>
      </x:c>
      <x:c r="L280" s="60"/>
      <x:c r="M280" s="82" t="str">
        <x:f t="shared" si="25">IF(L280&gt;0,L280,K280)</x:f>
      </x:c>
      <x:c r="N280" s="53"/>
      <x:c r="O280" s="53"/>
      <x:c r="P280" s="53"/>
      <x:c r="Q280" s="81" t="str">
        <x:f>IFERROR(INDEX('Resource Rate Library'!$C$5:$C$85,MATCH(P280,'Resource Rate Library'!$A$5:$A$85,0)),"")</x:f>
      </x:c>
      <x:c r="R280" s="53"/>
      <x:c r="S280" s="53"/>
      <x:c r="T280" s="81" t="str">
        <x:f>IFERROR(INDEX('Resource Rate Library'!$E$5:$E$85,MATCH(P280,'Resource Rate Library'!$A$5:$A$85,0)),"")</x:f>
      </x:c>
      <x:c r="U280" s="62"/>
      <x:c r="V280" s="62"/>
      <x:c r="W280" s="83" t="n">
        <x:f>IFERROR(INDEX('Resource Rate Library'!$I$5:$I$85,MATCH(P280,'Resource Rate Library'!$A$5:$A$85,0)),0)</x:f>
        <x:v>0</x:v>
      </x:c>
      <x:c r="X280" s="52"/>
      <x:c r="Y280" s="83" t="n">
        <x:f t="shared" si="26">IF(X280&gt;0,X280,W280)</x:f>
        <x:v>0</x:v>
      </x:c>
      <x:c r="Z280" s="83" t="str">
        <x:f t="shared" si="27">IF(B280="","",IF(N280="Time x Count",M280*R280*IF(U280="",1,U280)*Y280,IF(N280="QS Qty x Factor",E280*R280*(1+IF(V280="",0,V280))*Y280,IF(N280="Direct Qty",S280*(1+IF(V280="",0,V280))*Y280,IF(N280="Lump Sum / Quote",S280*Y280,0)))))</x:f>
      </x:c>
      <x:c r="AA280" s="81" t="str">
        <x:f>IFERROR(INDEX('Resource Rate Library'!$N$5:$N$85,MATCH(P280,'Resource Rate Library'!$A$5:$A$85,0)),"")</x:f>
      </x:c>
      <x:c r="AB280" s="53"/>
      <x:c r="AC280" s="59"/>
      <x:c r="AD280" s="81" t="str">
        <x:f>IFERROR(INDEX('Resource Rate Library'!$G$5:$G$85,MATCH(P280,'Resource Rate Library'!$A$5:$A$85,0)),"")</x:f>
      </x:c>
      <x:c r="AE280" s="81" t="str">
        <x:f>IFERROR(INDEX('Resource Rate Library'!$H$5:$H$85,MATCH(P280,'Resource Rate Library'!$A$5:$A$85,0)),"")</x:f>
      </x:c>
      <x:c r="AF280" s="53"/>
      <x:c r="AG280" s="53"/>
      <x:c r="AH280" s="53"/>
      <x:c r="AI280" s="81" t="str">
        <x:f t="shared" si="23">IF(B280="","",IF(AND(P280="",N280&lt;&gt;"Lump Sum / Quote"),"RESOURCE CODE",IF(Y280=0,"RATE MISSING",IF(AND(O280="Plant",AD280="Yes",COUNTIFS($B$7:$B$306,B280,$O$7:$O$306,"Labour",$Q$7:$Q$306,"*Operator*")&gt;0),"OPERATOR DOUBLE-COUNT",IF(AND(O280="Plant",AE280="Yes",COUNTIFS($B$7:$B$306,B280,$Q$7:$Q$306,"*Fuel*")&gt;0),"FUEL DOUBLE-COUNT",IF(AH280&lt;&gt;"Yes","VERIFY","OK"))))))</x:f>
      </x:c>
      <x:c r="AJ280" s="54"/>
      <x:c r="AK280" s="473"/>
      <x:c r="AL280" s="473"/>
      <x:c r="AM280" s="473"/>
      <x:c r="AN280" s="500" t="n">
        <x:f>IF(AND(AK280="Yes",OR(O280="Labour",O280="Plant")),Z280,0)</x:f>
        <x:v>0</x:v>
      </x:c>
    </x:row>
    <x:row r="281">
      <x:c r="A281" s="80" t="str">
        <x:f>IF(B281="","",B281&amp;"-"&amp;TEXT(COUNTIF($B$7:B281,B281),"000"))</x:f>
      </x:c>
      <x:c r="B281" s="53"/>
      <x:c r="C281" s="81" t="str">
        <x:f>IFERROR(INDEX('QS Takeoff'!$A$3:$A$194,MATCH(B281,'QS Takeoff'!$B$3:$B$194,0)),"")</x:f>
      </x:c>
      <x:c r="D281" s="81" t="str">
        <x:f>IFERROR(INDEX('QS Takeoff'!$C$3:$C$194,MATCH(B281,'QS Takeoff'!$B$3:$B$194,0)),"")</x:f>
      </x:c>
      <x:c r="E281" s="81" t="str">
        <x:f>IFERROR(INDEX('QS Takeoff'!$E$3:$E$194,MATCH(B281,'QS Takeoff'!$B$3:$B$194,0)),"")</x:f>
      </x:c>
      <x:c r="F281" s="81" t="str">
        <x:f>IFERROR(INDEX('QS Takeoff'!$D$3:$D$194,MATCH(B281,'QS Takeoff'!$B$3:$B$194,0)),"")</x:f>
      </x:c>
      <x:c r="G281" s="81" t="str">
        <x:f>IFERROR(INDEX('QS Takeoff'!$J$3:$J$194,MATCH(B281,'QS Takeoff'!$B$3:$B$194,0)),"")</x:f>
      </x:c>
      <x:c r="H281" s="53"/>
      <x:c r="I281" s="60"/>
      <x:c r="J281" s="60"/>
      <x:c r="K281" s="82" t="str">
        <x:f t="shared" si="24">IF(OR(B281="",I281="",I281=0),"",E281/I281)</x:f>
      </x:c>
      <x:c r="L281" s="60"/>
      <x:c r="M281" s="82" t="str">
        <x:f t="shared" si="25">IF(L281&gt;0,L281,K281)</x:f>
      </x:c>
      <x:c r="N281" s="53"/>
      <x:c r="O281" s="53"/>
      <x:c r="P281" s="53"/>
      <x:c r="Q281" s="81" t="str">
        <x:f>IFERROR(INDEX('Resource Rate Library'!$C$5:$C$85,MATCH(P281,'Resource Rate Library'!$A$5:$A$85,0)),"")</x:f>
      </x:c>
      <x:c r="R281" s="53"/>
      <x:c r="S281" s="53"/>
      <x:c r="T281" s="81" t="str">
        <x:f>IFERROR(INDEX('Resource Rate Library'!$E$5:$E$85,MATCH(P281,'Resource Rate Library'!$A$5:$A$85,0)),"")</x:f>
      </x:c>
      <x:c r="U281" s="62"/>
      <x:c r="V281" s="62"/>
      <x:c r="W281" s="83" t="n">
        <x:f>IFERROR(INDEX('Resource Rate Library'!$I$5:$I$85,MATCH(P281,'Resource Rate Library'!$A$5:$A$85,0)),0)</x:f>
        <x:v>0</x:v>
      </x:c>
      <x:c r="X281" s="52"/>
      <x:c r="Y281" s="83" t="n">
        <x:f t="shared" si="26">IF(X281&gt;0,X281,W281)</x:f>
        <x:v>0</x:v>
      </x:c>
      <x:c r="Z281" s="83" t="str">
        <x:f t="shared" si="27">IF(B281="","",IF(N281="Time x Count",M281*R281*IF(U281="",1,U281)*Y281,IF(N281="QS Qty x Factor",E281*R281*(1+IF(V281="",0,V281))*Y281,IF(N281="Direct Qty",S281*(1+IF(V281="",0,V281))*Y281,IF(N281="Lump Sum / Quote",S281*Y281,0)))))</x:f>
      </x:c>
      <x:c r="AA281" s="81" t="str">
        <x:f>IFERROR(INDEX('Resource Rate Library'!$N$5:$N$85,MATCH(P281,'Resource Rate Library'!$A$5:$A$85,0)),"")</x:f>
      </x:c>
      <x:c r="AB281" s="53"/>
      <x:c r="AC281" s="59"/>
      <x:c r="AD281" s="81" t="str">
        <x:f>IFERROR(INDEX('Resource Rate Library'!$G$5:$G$85,MATCH(P281,'Resource Rate Library'!$A$5:$A$85,0)),"")</x:f>
      </x:c>
      <x:c r="AE281" s="81" t="str">
        <x:f>IFERROR(INDEX('Resource Rate Library'!$H$5:$H$85,MATCH(P281,'Resource Rate Library'!$A$5:$A$85,0)),"")</x:f>
      </x:c>
      <x:c r="AF281" s="53"/>
      <x:c r="AG281" s="53"/>
      <x:c r="AH281" s="53"/>
      <x:c r="AI281" s="81" t="str">
        <x:f t="shared" ref="AI281:AI306" si="28">IF(B281="","",IF(AND(P281="",N281&lt;&gt;"Lump Sum / Quote"),"RESOURCE CODE",IF(Y281=0,"RATE MISSING",IF(AND(O281="Plant",AD281="Yes",COUNTIFS($B$7:$B$306,B281,$O$7:$O$306,"Labour",$Q$7:$Q$306,"*Operator*")&gt;0),"OPERATOR DOUBLE-COUNT",IF(AND(O281="Plant",AE281="Yes",COUNTIFS($B$7:$B$306,B281,$Q$7:$Q$306,"*Fuel*")&gt;0),"FUEL DOUBLE-COUNT",IF(AH281&lt;&gt;"Yes","VERIFY","OK"))))))</x:f>
      </x:c>
      <x:c r="AJ281" s="54"/>
      <x:c r="AK281" s="473"/>
      <x:c r="AL281" s="473"/>
      <x:c r="AM281" s="473"/>
      <x:c r="AN281" s="500" t="n">
        <x:f>IF(AND(AK281="Yes",OR(O281="Labour",O281="Plant")),Z281,0)</x:f>
        <x:v>0</x:v>
      </x:c>
    </x:row>
    <x:row r="282">
      <x:c r="A282" s="80" t="str">
        <x:f>IF(B282="","",B282&amp;"-"&amp;TEXT(COUNTIF($B$7:B282,B282),"000"))</x:f>
      </x:c>
      <x:c r="B282" s="53"/>
      <x:c r="C282" s="81" t="str">
        <x:f>IFERROR(INDEX('QS Takeoff'!$A$3:$A$194,MATCH(B282,'QS Takeoff'!$B$3:$B$194,0)),"")</x:f>
      </x:c>
      <x:c r="D282" s="81" t="str">
        <x:f>IFERROR(INDEX('QS Takeoff'!$C$3:$C$194,MATCH(B282,'QS Takeoff'!$B$3:$B$194,0)),"")</x:f>
      </x:c>
      <x:c r="E282" s="81" t="str">
        <x:f>IFERROR(INDEX('QS Takeoff'!$E$3:$E$194,MATCH(B282,'QS Takeoff'!$B$3:$B$194,0)),"")</x:f>
      </x:c>
      <x:c r="F282" s="81" t="str">
        <x:f>IFERROR(INDEX('QS Takeoff'!$D$3:$D$194,MATCH(B282,'QS Takeoff'!$B$3:$B$194,0)),"")</x:f>
      </x:c>
      <x:c r="G282" s="81" t="str">
        <x:f>IFERROR(INDEX('QS Takeoff'!$J$3:$J$194,MATCH(B282,'QS Takeoff'!$B$3:$B$194,0)),"")</x:f>
      </x:c>
      <x:c r="H282" s="53"/>
      <x:c r="I282" s="60"/>
      <x:c r="J282" s="60"/>
      <x:c r="K282" s="82" t="str">
        <x:f t="shared" si="24">IF(OR(B282="",I282="",I282=0),"",E282/I282)</x:f>
      </x:c>
      <x:c r="L282" s="60"/>
      <x:c r="M282" s="82" t="str">
        <x:f t="shared" si="25">IF(L282&gt;0,L282,K282)</x:f>
      </x:c>
      <x:c r="N282" s="53"/>
      <x:c r="O282" s="53"/>
      <x:c r="P282" s="53"/>
      <x:c r="Q282" s="81" t="str">
        <x:f>IFERROR(INDEX('Resource Rate Library'!$C$5:$C$85,MATCH(P282,'Resource Rate Library'!$A$5:$A$85,0)),"")</x:f>
      </x:c>
      <x:c r="R282" s="53"/>
      <x:c r="S282" s="53"/>
      <x:c r="T282" s="81" t="str">
        <x:f>IFERROR(INDEX('Resource Rate Library'!$E$5:$E$85,MATCH(P282,'Resource Rate Library'!$A$5:$A$85,0)),"")</x:f>
      </x:c>
      <x:c r="U282" s="62"/>
      <x:c r="V282" s="62"/>
      <x:c r="W282" s="83" t="n">
        <x:f>IFERROR(INDEX('Resource Rate Library'!$I$5:$I$85,MATCH(P282,'Resource Rate Library'!$A$5:$A$85,0)),0)</x:f>
        <x:v>0</x:v>
      </x:c>
      <x:c r="X282" s="52"/>
      <x:c r="Y282" s="83" t="n">
        <x:f t="shared" si="26">IF(X282&gt;0,X282,W282)</x:f>
        <x:v>0</x:v>
      </x:c>
      <x:c r="Z282" s="83" t="str">
        <x:f t="shared" si="27">IF(B282="","",IF(N282="Time x Count",M282*R282*IF(U282="",1,U282)*Y282,IF(N282="QS Qty x Factor",E282*R282*(1+IF(V282="",0,V282))*Y282,IF(N282="Direct Qty",S282*(1+IF(V282="",0,V282))*Y282,IF(N282="Lump Sum / Quote",S282*Y282,0)))))</x:f>
      </x:c>
      <x:c r="AA282" s="81" t="str">
        <x:f>IFERROR(INDEX('Resource Rate Library'!$N$5:$N$85,MATCH(P282,'Resource Rate Library'!$A$5:$A$85,0)),"")</x:f>
      </x:c>
      <x:c r="AB282" s="53"/>
      <x:c r="AC282" s="59"/>
      <x:c r="AD282" s="81" t="str">
        <x:f>IFERROR(INDEX('Resource Rate Library'!$G$5:$G$85,MATCH(P282,'Resource Rate Library'!$A$5:$A$85,0)),"")</x:f>
      </x:c>
      <x:c r="AE282" s="81" t="str">
        <x:f>IFERROR(INDEX('Resource Rate Library'!$H$5:$H$85,MATCH(P282,'Resource Rate Library'!$A$5:$A$85,0)),"")</x:f>
      </x:c>
      <x:c r="AF282" s="53"/>
      <x:c r="AG282" s="53"/>
      <x:c r="AH282" s="53"/>
      <x:c r="AI282" s="81" t="str">
        <x:f t="shared" si="28">IF(B282="","",IF(AND(P282="",N282&lt;&gt;"Lump Sum / Quote"),"RESOURCE CODE",IF(Y282=0,"RATE MISSING",IF(AND(O282="Plant",AD282="Yes",COUNTIFS($B$7:$B$306,B282,$O$7:$O$306,"Labour",$Q$7:$Q$306,"*Operator*")&gt;0),"OPERATOR DOUBLE-COUNT",IF(AND(O282="Plant",AE282="Yes",COUNTIFS($B$7:$B$306,B282,$Q$7:$Q$306,"*Fuel*")&gt;0),"FUEL DOUBLE-COUNT",IF(AH282&lt;&gt;"Yes","VERIFY","OK"))))))</x:f>
      </x:c>
      <x:c r="AJ282" s="54"/>
      <x:c r="AK282" s="473"/>
      <x:c r="AL282" s="473"/>
      <x:c r="AM282" s="473"/>
      <x:c r="AN282" s="500" t="n">
        <x:f>IF(AND(AK282="Yes",OR(O282="Labour",O282="Plant")),Z282,0)</x:f>
        <x:v>0</x:v>
      </x:c>
    </x:row>
    <x:row r="283">
      <x:c r="A283" s="80" t="str">
        <x:f>IF(B283="","",B283&amp;"-"&amp;TEXT(COUNTIF($B$7:B283,B283),"000"))</x:f>
      </x:c>
      <x:c r="B283" s="53"/>
      <x:c r="C283" s="81" t="str">
        <x:f>IFERROR(INDEX('QS Takeoff'!$A$3:$A$194,MATCH(B283,'QS Takeoff'!$B$3:$B$194,0)),"")</x:f>
      </x:c>
      <x:c r="D283" s="81" t="str">
        <x:f>IFERROR(INDEX('QS Takeoff'!$C$3:$C$194,MATCH(B283,'QS Takeoff'!$B$3:$B$194,0)),"")</x:f>
      </x:c>
      <x:c r="E283" s="81" t="str">
        <x:f>IFERROR(INDEX('QS Takeoff'!$E$3:$E$194,MATCH(B283,'QS Takeoff'!$B$3:$B$194,0)),"")</x:f>
      </x:c>
      <x:c r="F283" s="81" t="str">
        <x:f>IFERROR(INDEX('QS Takeoff'!$D$3:$D$194,MATCH(B283,'QS Takeoff'!$B$3:$B$194,0)),"")</x:f>
      </x:c>
      <x:c r="G283" s="81" t="str">
        <x:f>IFERROR(INDEX('QS Takeoff'!$J$3:$J$194,MATCH(B283,'QS Takeoff'!$B$3:$B$194,0)),"")</x:f>
      </x:c>
      <x:c r="H283" s="53"/>
      <x:c r="I283" s="60"/>
      <x:c r="J283" s="60"/>
      <x:c r="K283" s="82" t="str">
        <x:f t="shared" si="24">IF(OR(B283="",I283="",I283=0),"",E283/I283)</x:f>
      </x:c>
      <x:c r="L283" s="60"/>
      <x:c r="M283" s="82" t="str">
        <x:f t="shared" si="25">IF(L283&gt;0,L283,K283)</x:f>
      </x:c>
      <x:c r="N283" s="53"/>
      <x:c r="O283" s="53"/>
      <x:c r="P283" s="53"/>
      <x:c r="Q283" s="81" t="str">
        <x:f>IFERROR(INDEX('Resource Rate Library'!$C$5:$C$85,MATCH(P283,'Resource Rate Library'!$A$5:$A$85,0)),"")</x:f>
      </x:c>
      <x:c r="R283" s="53"/>
      <x:c r="S283" s="53"/>
      <x:c r="T283" s="81" t="str">
        <x:f>IFERROR(INDEX('Resource Rate Library'!$E$5:$E$85,MATCH(P283,'Resource Rate Library'!$A$5:$A$85,0)),"")</x:f>
      </x:c>
      <x:c r="U283" s="62"/>
      <x:c r="V283" s="62"/>
      <x:c r="W283" s="83" t="n">
        <x:f>IFERROR(INDEX('Resource Rate Library'!$I$5:$I$85,MATCH(P283,'Resource Rate Library'!$A$5:$A$85,0)),0)</x:f>
        <x:v>0</x:v>
      </x:c>
      <x:c r="X283" s="52"/>
      <x:c r="Y283" s="83" t="n">
        <x:f t="shared" si="26">IF(X283&gt;0,X283,W283)</x:f>
        <x:v>0</x:v>
      </x:c>
      <x:c r="Z283" s="83" t="str">
        <x:f t="shared" si="27">IF(B283="","",IF(N283="Time x Count",M283*R283*IF(U283="",1,U283)*Y283,IF(N283="QS Qty x Factor",E283*R283*(1+IF(V283="",0,V283))*Y283,IF(N283="Direct Qty",S283*(1+IF(V283="",0,V283))*Y283,IF(N283="Lump Sum / Quote",S283*Y283,0)))))</x:f>
      </x:c>
      <x:c r="AA283" s="81" t="str">
        <x:f>IFERROR(INDEX('Resource Rate Library'!$N$5:$N$85,MATCH(P283,'Resource Rate Library'!$A$5:$A$85,0)),"")</x:f>
      </x:c>
      <x:c r="AB283" s="53"/>
      <x:c r="AC283" s="59"/>
      <x:c r="AD283" s="81" t="str">
        <x:f>IFERROR(INDEX('Resource Rate Library'!$G$5:$G$85,MATCH(P283,'Resource Rate Library'!$A$5:$A$85,0)),"")</x:f>
      </x:c>
      <x:c r="AE283" s="81" t="str">
        <x:f>IFERROR(INDEX('Resource Rate Library'!$H$5:$H$85,MATCH(P283,'Resource Rate Library'!$A$5:$A$85,0)),"")</x:f>
      </x:c>
      <x:c r="AF283" s="53"/>
      <x:c r="AG283" s="53"/>
      <x:c r="AH283" s="53"/>
      <x:c r="AI283" s="81" t="str">
        <x:f t="shared" si="28">IF(B283="","",IF(AND(P283="",N283&lt;&gt;"Lump Sum / Quote"),"RESOURCE CODE",IF(Y283=0,"RATE MISSING",IF(AND(O283="Plant",AD283="Yes",COUNTIFS($B$7:$B$306,B283,$O$7:$O$306,"Labour",$Q$7:$Q$306,"*Operator*")&gt;0),"OPERATOR DOUBLE-COUNT",IF(AND(O283="Plant",AE283="Yes",COUNTIFS($B$7:$B$306,B283,$Q$7:$Q$306,"*Fuel*")&gt;0),"FUEL DOUBLE-COUNT",IF(AH283&lt;&gt;"Yes","VERIFY","OK"))))))</x:f>
      </x:c>
      <x:c r="AJ283" s="54"/>
      <x:c r="AK283" s="473"/>
      <x:c r="AL283" s="473"/>
      <x:c r="AM283" s="473"/>
      <x:c r="AN283" s="500" t="n">
        <x:f>IF(AND(AK283="Yes",OR(O283="Labour",O283="Plant")),Z283,0)</x:f>
        <x:v>0</x:v>
      </x:c>
    </x:row>
    <x:row r="284">
      <x:c r="A284" s="80" t="str">
        <x:f>IF(B284="","",B284&amp;"-"&amp;TEXT(COUNTIF($B$7:B284,B284),"000"))</x:f>
      </x:c>
      <x:c r="B284" s="53"/>
      <x:c r="C284" s="81" t="str">
        <x:f>IFERROR(INDEX('QS Takeoff'!$A$3:$A$194,MATCH(B284,'QS Takeoff'!$B$3:$B$194,0)),"")</x:f>
      </x:c>
      <x:c r="D284" s="81" t="str">
        <x:f>IFERROR(INDEX('QS Takeoff'!$C$3:$C$194,MATCH(B284,'QS Takeoff'!$B$3:$B$194,0)),"")</x:f>
      </x:c>
      <x:c r="E284" s="81" t="str">
        <x:f>IFERROR(INDEX('QS Takeoff'!$E$3:$E$194,MATCH(B284,'QS Takeoff'!$B$3:$B$194,0)),"")</x:f>
      </x:c>
      <x:c r="F284" s="81" t="str">
        <x:f>IFERROR(INDEX('QS Takeoff'!$D$3:$D$194,MATCH(B284,'QS Takeoff'!$B$3:$B$194,0)),"")</x:f>
      </x:c>
      <x:c r="G284" s="81" t="str">
        <x:f>IFERROR(INDEX('QS Takeoff'!$J$3:$J$194,MATCH(B284,'QS Takeoff'!$B$3:$B$194,0)),"")</x:f>
      </x:c>
      <x:c r="H284" s="53"/>
      <x:c r="I284" s="60"/>
      <x:c r="J284" s="60"/>
      <x:c r="K284" s="82" t="str">
        <x:f t="shared" si="24">IF(OR(B284="",I284="",I284=0),"",E284/I284)</x:f>
      </x:c>
      <x:c r="L284" s="60"/>
      <x:c r="M284" s="82" t="str">
        <x:f t="shared" si="25">IF(L284&gt;0,L284,K284)</x:f>
      </x:c>
      <x:c r="N284" s="53"/>
      <x:c r="O284" s="53"/>
      <x:c r="P284" s="53"/>
      <x:c r="Q284" s="81" t="str">
        <x:f>IFERROR(INDEX('Resource Rate Library'!$C$5:$C$85,MATCH(P284,'Resource Rate Library'!$A$5:$A$85,0)),"")</x:f>
      </x:c>
      <x:c r="R284" s="53"/>
      <x:c r="S284" s="53"/>
      <x:c r="T284" s="81" t="str">
        <x:f>IFERROR(INDEX('Resource Rate Library'!$E$5:$E$85,MATCH(P284,'Resource Rate Library'!$A$5:$A$85,0)),"")</x:f>
      </x:c>
      <x:c r="U284" s="62"/>
      <x:c r="V284" s="62"/>
      <x:c r="W284" s="83" t="n">
        <x:f>IFERROR(INDEX('Resource Rate Library'!$I$5:$I$85,MATCH(P284,'Resource Rate Library'!$A$5:$A$85,0)),0)</x:f>
        <x:v>0</x:v>
      </x:c>
      <x:c r="X284" s="52"/>
      <x:c r="Y284" s="83" t="n">
        <x:f t="shared" si="26">IF(X284&gt;0,X284,W284)</x:f>
        <x:v>0</x:v>
      </x:c>
      <x:c r="Z284" s="83" t="str">
        <x:f t="shared" si="27">IF(B284="","",IF(N284="Time x Count",M284*R284*IF(U284="",1,U284)*Y284,IF(N284="QS Qty x Factor",E284*R284*(1+IF(V284="",0,V284))*Y284,IF(N284="Direct Qty",S284*(1+IF(V284="",0,V284))*Y284,IF(N284="Lump Sum / Quote",S284*Y284,0)))))</x:f>
      </x:c>
      <x:c r="AA284" s="81" t="str">
        <x:f>IFERROR(INDEX('Resource Rate Library'!$N$5:$N$85,MATCH(P284,'Resource Rate Library'!$A$5:$A$85,0)),"")</x:f>
      </x:c>
      <x:c r="AB284" s="53"/>
      <x:c r="AC284" s="59"/>
      <x:c r="AD284" s="81" t="str">
        <x:f>IFERROR(INDEX('Resource Rate Library'!$G$5:$G$85,MATCH(P284,'Resource Rate Library'!$A$5:$A$85,0)),"")</x:f>
      </x:c>
      <x:c r="AE284" s="81" t="str">
        <x:f>IFERROR(INDEX('Resource Rate Library'!$H$5:$H$85,MATCH(P284,'Resource Rate Library'!$A$5:$A$85,0)),"")</x:f>
      </x:c>
      <x:c r="AF284" s="53"/>
      <x:c r="AG284" s="53"/>
      <x:c r="AH284" s="53"/>
      <x:c r="AI284" s="81" t="str">
        <x:f t="shared" si="28">IF(B284="","",IF(AND(P284="",N284&lt;&gt;"Lump Sum / Quote"),"RESOURCE CODE",IF(Y284=0,"RATE MISSING",IF(AND(O284="Plant",AD284="Yes",COUNTIFS($B$7:$B$306,B284,$O$7:$O$306,"Labour",$Q$7:$Q$306,"*Operator*")&gt;0),"OPERATOR DOUBLE-COUNT",IF(AND(O284="Plant",AE284="Yes",COUNTIFS($B$7:$B$306,B284,$Q$7:$Q$306,"*Fuel*")&gt;0),"FUEL DOUBLE-COUNT",IF(AH284&lt;&gt;"Yes","VERIFY","OK"))))))</x:f>
      </x:c>
      <x:c r="AJ284" s="54"/>
      <x:c r="AK284" s="473"/>
      <x:c r="AL284" s="473"/>
      <x:c r="AM284" s="473"/>
      <x:c r="AN284" s="500" t="n">
        <x:f>IF(AND(AK284="Yes",OR(O284="Labour",O284="Plant")),Z284,0)</x:f>
        <x:v>0</x:v>
      </x:c>
    </x:row>
    <x:row r="285">
      <x:c r="A285" s="80" t="str">
        <x:f>IF(B285="","",B285&amp;"-"&amp;TEXT(COUNTIF($B$7:B285,B285),"000"))</x:f>
      </x:c>
      <x:c r="B285" s="53"/>
      <x:c r="C285" s="81" t="str">
        <x:f>IFERROR(INDEX('QS Takeoff'!$A$3:$A$194,MATCH(B285,'QS Takeoff'!$B$3:$B$194,0)),"")</x:f>
      </x:c>
      <x:c r="D285" s="81" t="str">
        <x:f>IFERROR(INDEX('QS Takeoff'!$C$3:$C$194,MATCH(B285,'QS Takeoff'!$B$3:$B$194,0)),"")</x:f>
      </x:c>
      <x:c r="E285" s="81" t="str">
        <x:f>IFERROR(INDEX('QS Takeoff'!$E$3:$E$194,MATCH(B285,'QS Takeoff'!$B$3:$B$194,0)),"")</x:f>
      </x:c>
      <x:c r="F285" s="81" t="str">
        <x:f>IFERROR(INDEX('QS Takeoff'!$D$3:$D$194,MATCH(B285,'QS Takeoff'!$B$3:$B$194,0)),"")</x:f>
      </x:c>
      <x:c r="G285" s="81" t="str">
        <x:f>IFERROR(INDEX('QS Takeoff'!$J$3:$J$194,MATCH(B285,'QS Takeoff'!$B$3:$B$194,0)),"")</x:f>
      </x:c>
      <x:c r="H285" s="53"/>
      <x:c r="I285" s="60"/>
      <x:c r="J285" s="60"/>
      <x:c r="K285" s="82" t="str">
        <x:f t="shared" si="24">IF(OR(B285="",I285="",I285=0),"",E285/I285)</x:f>
      </x:c>
      <x:c r="L285" s="60"/>
      <x:c r="M285" s="82" t="str">
        <x:f t="shared" si="25">IF(L285&gt;0,L285,K285)</x:f>
      </x:c>
      <x:c r="N285" s="53"/>
      <x:c r="O285" s="53"/>
      <x:c r="P285" s="53"/>
      <x:c r="Q285" s="81" t="str">
        <x:f>IFERROR(INDEX('Resource Rate Library'!$C$5:$C$85,MATCH(P285,'Resource Rate Library'!$A$5:$A$85,0)),"")</x:f>
      </x:c>
      <x:c r="R285" s="53"/>
      <x:c r="S285" s="53"/>
      <x:c r="T285" s="81" t="str">
        <x:f>IFERROR(INDEX('Resource Rate Library'!$E$5:$E$85,MATCH(P285,'Resource Rate Library'!$A$5:$A$85,0)),"")</x:f>
      </x:c>
      <x:c r="U285" s="62"/>
      <x:c r="V285" s="62"/>
      <x:c r="W285" s="83" t="n">
        <x:f>IFERROR(INDEX('Resource Rate Library'!$I$5:$I$85,MATCH(P285,'Resource Rate Library'!$A$5:$A$85,0)),0)</x:f>
        <x:v>0</x:v>
      </x:c>
      <x:c r="X285" s="52"/>
      <x:c r="Y285" s="83" t="n">
        <x:f t="shared" si="26">IF(X285&gt;0,X285,W285)</x:f>
        <x:v>0</x:v>
      </x:c>
      <x:c r="Z285" s="83" t="str">
        <x:f t="shared" si="27">IF(B285="","",IF(N285="Time x Count",M285*R285*IF(U285="",1,U285)*Y285,IF(N285="QS Qty x Factor",E285*R285*(1+IF(V285="",0,V285))*Y285,IF(N285="Direct Qty",S285*(1+IF(V285="",0,V285))*Y285,IF(N285="Lump Sum / Quote",S285*Y285,0)))))</x:f>
      </x:c>
      <x:c r="AA285" s="81" t="str">
        <x:f>IFERROR(INDEX('Resource Rate Library'!$N$5:$N$85,MATCH(P285,'Resource Rate Library'!$A$5:$A$85,0)),"")</x:f>
      </x:c>
      <x:c r="AB285" s="53"/>
      <x:c r="AC285" s="59"/>
      <x:c r="AD285" s="81" t="str">
        <x:f>IFERROR(INDEX('Resource Rate Library'!$G$5:$G$85,MATCH(P285,'Resource Rate Library'!$A$5:$A$85,0)),"")</x:f>
      </x:c>
      <x:c r="AE285" s="81" t="str">
        <x:f>IFERROR(INDEX('Resource Rate Library'!$H$5:$H$85,MATCH(P285,'Resource Rate Library'!$A$5:$A$85,0)),"")</x:f>
      </x:c>
      <x:c r="AF285" s="53"/>
      <x:c r="AG285" s="53"/>
      <x:c r="AH285" s="53"/>
      <x:c r="AI285" s="81" t="str">
        <x:f t="shared" si="28">IF(B285="","",IF(AND(P285="",N285&lt;&gt;"Lump Sum / Quote"),"RESOURCE CODE",IF(Y285=0,"RATE MISSING",IF(AND(O285="Plant",AD285="Yes",COUNTIFS($B$7:$B$306,B285,$O$7:$O$306,"Labour",$Q$7:$Q$306,"*Operator*")&gt;0),"OPERATOR DOUBLE-COUNT",IF(AND(O285="Plant",AE285="Yes",COUNTIFS($B$7:$B$306,B285,$Q$7:$Q$306,"*Fuel*")&gt;0),"FUEL DOUBLE-COUNT",IF(AH285&lt;&gt;"Yes","VERIFY","OK"))))))</x:f>
      </x:c>
      <x:c r="AJ285" s="54"/>
      <x:c r="AK285" s="473"/>
      <x:c r="AL285" s="473"/>
      <x:c r="AM285" s="473"/>
      <x:c r="AN285" s="500" t="n">
        <x:f>IF(AND(AK285="Yes",OR(O285="Labour",O285="Plant")),Z285,0)</x:f>
        <x:v>0</x:v>
      </x:c>
    </x:row>
    <x:row r="286">
      <x:c r="A286" s="80" t="str">
        <x:f>IF(B286="","",B286&amp;"-"&amp;TEXT(COUNTIF($B$7:B286,B286),"000"))</x:f>
      </x:c>
      <x:c r="B286" s="53"/>
      <x:c r="C286" s="81" t="str">
        <x:f>IFERROR(INDEX('QS Takeoff'!$A$3:$A$194,MATCH(B286,'QS Takeoff'!$B$3:$B$194,0)),"")</x:f>
      </x:c>
      <x:c r="D286" s="81" t="str">
        <x:f>IFERROR(INDEX('QS Takeoff'!$C$3:$C$194,MATCH(B286,'QS Takeoff'!$B$3:$B$194,0)),"")</x:f>
      </x:c>
      <x:c r="E286" s="81" t="str">
        <x:f>IFERROR(INDEX('QS Takeoff'!$E$3:$E$194,MATCH(B286,'QS Takeoff'!$B$3:$B$194,0)),"")</x:f>
      </x:c>
      <x:c r="F286" s="81" t="str">
        <x:f>IFERROR(INDEX('QS Takeoff'!$D$3:$D$194,MATCH(B286,'QS Takeoff'!$B$3:$B$194,0)),"")</x:f>
      </x:c>
      <x:c r="G286" s="81" t="str">
        <x:f>IFERROR(INDEX('QS Takeoff'!$J$3:$J$194,MATCH(B286,'QS Takeoff'!$B$3:$B$194,0)),"")</x:f>
      </x:c>
      <x:c r="H286" s="53"/>
      <x:c r="I286" s="60"/>
      <x:c r="J286" s="60"/>
      <x:c r="K286" s="82" t="str">
        <x:f t="shared" si="24">IF(OR(B286="",I286="",I286=0),"",E286/I286)</x:f>
      </x:c>
      <x:c r="L286" s="60"/>
      <x:c r="M286" s="82" t="str">
        <x:f t="shared" si="25">IF(L286&gt;0,L286,K286)</x:f>
      </x:c>
      <x:c r="N286" s="53"/>
      <x:c r="O286" s="53"/>
      <x:c r="P286" s="53"/>
      <x:c r="Q286" s="81" t="str">
        <x:f>IFERROR(INDEX('Resource Rate Library'!$C$5:$C$85,MATCH(P286,'Resource Rate Library'!$A$5:$A$85,0)),"")</x:f>
      </x:c>
      <x:c r="R286" s="53"/>
      <x:c r="S286" s="53"/>
      <x:c r="T286" s="81" t="str">
        <x:f>IFERROR(INDEX('Resource Rate Library'!$E$5:$E$85,MATCH(P286,'Resource Rate Library'!$A$5:$A$85,0)),"")</x:f>
      </x:c>
      <x:c r="U286" s="62"/>
      <x:c r="V286" s="62"/>
      <x:c r="W286" s="83" t="n">
        <x:f>IFERROR(INDEX('Resource Rate Library'!$I$5:$I$85,MATCH(P286,'Resource Rate Library'!$A$5:$A$85,0)),0)</x:f>
        <x:v>0</x:v>
      </x:c>
      <x:c r="X286" s="52"/>
      <x:c r="Y286" s="83" t="n">
        <x:f t="shared" si="26">IF(X286&gt;0,X286,W286)</x:f>
        <x:v>0</x:v>
      </x:c>
      <x:c r="Z286" s="83" t="str">
        <x:f t="shared" si="27">IF(B286="","",IF(N286="Time x Count",M286*R286*IF(U286="",1,U286)*Y286,IF(N286="QS Qty x Factor",E286*R286*(1+IF(V286="",0,V286))*Y286,IF(N286="Direct Qty",S286*(1+IF(V286="",0,V286))*Y286,IF(N286="Lump Sum / Quote",S286*Y286,0)))))</x:f>
      </x:c>
      <x:c r="AA286" s="81" t="str">
        <x:f>IFERROR(INDEX('Resource Rate Library'!$N$5:$N$85,MATCH(P286,'Resource Rate Library'!$A$5:$A$85,0)),"")</x:f>
      </x:c>
      <x:c r="AB286" s="53"/>
      <x:c r="AC286" s="59"/>
      <x:c r="AD286" s="81" t="str">
        <x:f>IFERROR(INDEX('Resource Rate Library'!$G$5:$G$85,MATCH(P286,'Resource Rate Library'!$A$5:$A$85,0)),"")</x:f>
      </x:c>
      <x:c r="AE286" s="81" t="str">
        <x:f>IFERROR(INDEX('Resource Rate Library'!$H$5:$H$85,MATCH(P286,'Resource Rate Library'!$A$5:$A$85,0)),"")</x:f>
      </x:c>
      <x:c r="AF286" s="53"/>
      <x:c r="AG286" s="53"/>
      <x:c r="AH286" s="53"/>
      <x:c r="AI286" s="81" t="str">
        <x:f t="shared" si="28">IF(B286="","",IF(AND(P286="",N286&lt;&gt;"Lump Sum / Quote"),"RESOURCE CODE",IF(Y286=0,"RATE MISSING",IF(AND(O286="Plant",AD286="Yes",COUNTIFS($B$7:$B$306,B286,$O$7:$O$306,"Labour",$Q$7:$Q$306,"*Operator*")&gt;0),"OPERATOR DOUBLE-COUNT",IF(AND(O286="Plant",AE286="Yes",COUNTIFS($B$7:$B$306,B286,$Q$7:$Q$306,"*Fuel*")&gt;0),"FUEL DOUBLE-COUNT",IF(AH286&lt;&gt;"Yes","VERIFY","OK"))))))</x:f>
      </x:c>
      <x:c r="AJ286" s="54"/>
      <x:c r="AK286" s="473"/>
      <x:c r="AL286" s="473"/>
      <x:c r="AM286" s="473"/>
      <x:c r="AN286" s="500" t="n">
        <x:f>IF(AND(AK286="Yes",OR(O286="Labour",O286="Plant")),Z286,0)</x:f>
        <x:v>0</x:v>
      </x:c>
    </x:row>
    <x:row r="287">
      <x:c r="A287" s="80" t="str">
        <x:f>IF(B287="","",B287&amp;"-"&amp;TEXT(COUNTIF($B$7:B287,B287),"000"))</x:f>
      </x:c>
      <x:c r="B287" s="53"/>
      <x:c r="C287" s="81" t="str">
        <x:f>IFERROR(INDEX('QS Takeoff'!$A$3:$A$194,MATCH(B287,'QS Takeoff'!$B$3:$B$194,0)),"")</x:f>
      </x:c>
      <x:c r="D287" s="81" t="str">
        <x:f>IFERROR(INDEX('QS Takeoff'!$C$3:$C$194,MATCH(B287,'QS Takeoff'!$B$3:$B$194,0)),"")</x:f>
      </x:c>
      <x:c r="E287" s="81" t="str">
        <x:f>IFERROR(INDEX('QS Takeoff'!$E$3:$E$194,MATCH(B287,'QS Takeoff'!$B$3:$B$194,0)),"")</x:f>
      </x:c>
      <x:c r="F287" s="81" t="str">
        <x:f>IFERROR(INDEX('QS Takeoff'!$D$3:$D$194,MATCH(B287,'QS Takeoff'!$B$3:$B$194,0)),"")</x:f>
      </x:c>
      <x:c r="G287" s="81" t="str">
        <x:f>IFERROR(INDEX('QS Takeoff'!$J$3:$J$194,MATCH(B287,'QS Takeoff'!$B$3:$B$194,0)),"")</x:f>
      </x:c>
      <x:c r="H287" s="53"/>
      <x:c r="I287" s="60"/>
      <x:c r="J287" s="60"/>
      <x:c r="K287" s="82" t="str">
        <x:f t="shared" si="24">IF(OR(B287="",I287="",I287=0),"",E287/I287)</x:f>
      </x:c>
      <x:c r="L287" s="60"/>
      <x:c r="M287" s="82" t="str">
        <x:f t="shared" si="25">IF(L287&gt;0,L287,K287)</x:f>
      </x:c>
      <x:c r="N287" s="53"/>
      <x:c r="O287" s="53"/>
      <x:c r="P287" s="53"/>
      <x:c r="Q287" s="81" t="str">
        <x:f>IFERROR(INDEX('Resource Rate Library'!$C$5:$C$85,MATCH(P287,'Resource Rate Library'!$A$5:$A$85,0)),"")</x:f>
      </x:c>
      <x:c r="R287" s="53"/>
      <x:c r="S287" s="53"/>
      <x:c r="T287" s="81" t="str">
        <x:f>IFERROR(INDEX('Resource Rate Library'!$E$5:$E$85,MATCH(P287,'Resource Rate Library'!$A$5:$A$85,0)),"")</x:f>
      </x:c>
      <x:c r="U287" s="62"/>
      <x:c r="V287" s="62"/>
      <x:c r="W287" s="83" t="n">
        <x:f>IFERROR(INDEX('Resource Rate Library'!$I$5:$I$85,MATCH(P287,'Resource Rate Library'!$A$5:$A$85,0)),0)</x:f>
        <x:v>0</x:v>
      </x:c>
      <x:c r="X287" s="52"/>
      <x:c r="Y287" s="83" t="n">
        <x:f t="shared" si="26">IF(X287&gt;0,X287,W287)</x:f>
        <x:v>0</x:v>
      </x:c>
      <x:c r="Z287" s="83" t="str">
        <x:f t="shared" si="27">IF(B287="","",IF(N287="Time x Count",M287*R287*IF(U287="",1,U287)*Y287,IF(N287="QS Qty x Factor",E287*R287*(1+IF(V287="",0,V287))*Y287,IF(N287="Direct Qty",S287*(1+IF(V287="",0,V287))*Y287,IF(N287="Lump Sum / Quote",S287*Y287,0)))))</x:f>
      </x:c>
      <x:c r="AA287" s="81" t="str">
        <x:f>IFERROR(INDEX('Resource Rate Library'!$N$5:$N$85,MATCH(P287,'Resource Rate Library'!$A$5:$A$85,0)),"")</x:f>
      </x:c>
      <x:c r="AB287" s="53"/>
      <x:c r="AC287" s="59"/>
      <x:c r="AD287" s="81" t="str">
        <x:f>IFERROR(INDEX('Resource Rate Library'!$G$5:$G$85,MATCH(P287,'Resource Rate Library'!$A$5:$A$85,0)),"")</x:f>
      </x:c>
      <x:c r="AE287" s="81" t="str">
        <x:f>IFERROR(INDEX('Resource Rate Library'!$H$5:$H$85,MATCH(P287,'Resource Rate Library'!$A$5:$A$85,0)),"")</x:f>
      </x:c>
      <x:c r="AF287" s="53"/>
      <x:c r="AG287" s="53"/>
      <x:c r="AH287" s="53"/>
      <x:c r="AI287" s="81" t="str">
        <x:f t="shared" si="28">IF(B287="","",IF(AND(P287="",N287&lt;&gt;"Lump Sum / Quote"),"RESOURCE CODE",IF(Y287=0,"RATE MISSING",IF(AND(O287="Plant",AD287="Yes",COUNTIFS($B$7:$B$306,B287,$O$7:$O$306,"Labour",$Q$7:$Q$306,"*Operator*")&gt;0),"OPERATOR DOUBLE-COUNT",IF(AND(O287="Plant",AE287="Yes",COUNTIFS($B$7:$B$306,B287,$Q$7:$Q$306,"*Fuel*")&gt;0),"FUEL DOUBLE-COUNT",IF(AH287&lt;&gt;"Yes","VERIFY","OK"))))))</x:f>
      </x:c>
      <x:c r="AJ287" s="54"/>
      <x:c r="AK287" s="473"/>
      <x:c r="AL287" s="473"/>
      <x:c r="AM287" s="473"/>
      <x:c r="AN287" s="500" t="n">
        <x:f>IF(AND(AK287="Yes",OR(O287="Labour",O287="Plant")),Z287,0)</x:f>
        <x:v>0</x:v>
      </x:c>
    </x:row>
    <x:row r="288">
      <x:c r="A288" s="80" t="str">
        <x:f>IF(B288="","",B288&amp;"-"&amp;TEXT(COUNTIF($B$7:B288,B288),"000"))</x:f>
      </x:c>
      <x:c r="B288" s="53"/>
      <x:c r="C288" s="81" t="str">
        <x:f>IFERROR(INDEX('QS Takeoff'!$A$3:$A$194,MATCH(B288,'QS Takeoff'!$B$3:$B$194,0)),"")</x:f>
      </x:c>
      <x:c r="D288" s="81" t="str">
        <x:f>IFERROR(INDEX('QS Takeoff'!$C$3:$C$194,MATCH(B288,'QS Takeoff'!$B$3:$B$194,0)),"")</x:f>
      </x:c>
      <x:c r="E288" s="81" t="str">
        <x:f>IFERROR(INDEX('QS Takeoff'!$E$3:$E$194,MATCH(B288,'QS Takeoff'!$B$3:$B$194,0)),"")</x:f>
      </x:c>
      <x:c r="F288" s="81" t="str">
        <x:f>IFERROR(INDEX('QS Takeoff'!$D$3:$D$194,MATCH(B288,'QS Takeoff'!$B$3:$B$194,0)),"")</x:f>
      </x:c>
      <x:c r="G288" s="81" t="str">
        <x:f>IFERROR(INDEX('QS Takeoff'!$J$3:$J$194,MATCH(B288,'QS Takeoff'!$B$3:$B$194,0)),"")</x:f>
      </x:c>
      <x:c r="H288" s="53"/>
      <x:c r="I288" s="60"/>
      <x:c r="J288" s="60"/>
      <x:c r="K288" s="82" t="str">
        <x:f t="shared" si="24">IF(OR(B288="",I288="",I288=0),"",E288/I288)</x:f>
      </x:c>
      <x:c r="L288" s="60"/>
      <x:c r="M288" s="82" t="str">
        <x:f t="shared" si="25">IF(L288&gt;0,L288,K288)</x:f>
      </x:c>
      <x:c r="N288" s="53"/>
      <x:c r="O288" s="53"/>
      <x:c r="P288" s="53"/>
      <x:c r="Q288" s="81" t="str">
        <x:f>IFERROR(INDEX('Resource Rate Library'!$C$5:$C$85,MATCH(P288,'Resource Rate Library'!$A$5:$A$85,0)),"")</x:f>
      </x:c>
      <x:c r="R288" s="53"/>
      <x:c r="S288" s="53"/>
      <x:c r="T288" s="81" t="str">
        <x:f>IFERROR(INDEX('Resource Rate Library'!$E$5:$E$85,MATCH(P288,'Resource Rate Library'!$A$5:$A$85,0)),"")</x:f>
      </x:c>
      <x:c r="U288" s="62"/>
      <x:c r="V288" s="62"/>
      <x:c r="W288" s="83" t="n">
        <x:f>IFERROR(INDEX('Resource Rate Library'!$I$5:$I$85,MATCH(P288,'Resource Rate Library'!$A$5:$A$85,0)),0)</x:f>
        <x:v>0</x:v>
      </x:c>
      <x:c r="X288" s="52"/>
      <x:c r="Y288" s="83" t="n">
        <x:f t="shared" si="26">IF(X288&gt;0,X288,W288)</x:f>
        <x:v>0</x:v>
      </x:c>
      <x:c r="Z288" s="83" t="str">
        <x:f t="shared" si="27">IF(B288="","",IF(N288="Time x Count",M288*R288*IF(U288="",1,U288)*Y288,IF(N288="QS Qty x Factor",E288*R288*(1+IF(V288="",0,V288))*Y288,IF(N288="Direct Qty",S288*(1+IF(V288="",0,V288))*Y288,IF(N288="Lump Sum / Quote",S288*Y288,0)))))</x:f>
      </x:c>
      <x:c r="AA288" s="81" t="str">
        <x:f>IFERROR(INDEX('Resource Rate Library'!$N$5:$N$85,MATCH(P288,'Resource Rate Library'!$A$5:$A$85,0)),"")</x:f>
      </x:c>
      <x:c r="AB288" s="53"/>
      <x:c r="AC288" s="59"/>
      <x:c r="AD288" s="81" t="str">
        <x:f>IFERROR(INDEX('Resource Rate Library'!$G$5:$G$85,MATCH(P288,'Resource Rate Library'!$A$5:$A$85,0)),"")</x:f>
      </x:c>
      <x:c r="AE288" s="81" t="str">
        <x:f>IFERROR(INDEX('Resource Rate Library'!$H$5:$H$85,MATCH(P288,'Resource Rate Library'!$A$5:$A$85,0)),"")</x:f>
      </x:c>
      <x:c r="AF288" s="53"/>
      <x:c r="AG288" s="53"/>
      <x:c r="AH288" s="53"/>
      <x:c r="AI288" s="81" t="str">
        <x:f t="shared" si="28">IF(B288="","",IF(AND(P288="",N288&lt;&gt;"Lump Sum / Quote"),"RESOURCE CODE",IF(Y288=0,"RATE MISSING",IF(AND(O288="Plant",AD288="Yes",COUNTIFS($B$7:$B$306,B288,$O$7:$O$306,"Labour",$Q$7:$Q$306,"*Operator*")&gt;0),"OPERATOR DOUBLE-COUNT",IF(AND(O288="Plant",AE288="Yes",COUNTIFS($B$7:$B$306,B288,$Q$7:$Q$306,"*Fuel*")&gt;0),"FUEL DOUBLE-COUNT",IF(AH288&lt;&gt;"Yes","VERIFY","OK"))))))</x:f>
      </x:c>
      <x:c r="AJ288" s="54"/>
      <x:c r="AK288" s="473"/>
      <x:c r="AL288" s="473"/>
      <x:c r="AM288" s="473"/>
      <x:c r="AN288" s="500" t="n">
        <x:f>IF(AND(AK288="Yes",OR(O288="Labour",O288="Plant")),Z288,0)</x:f>
        <x:v>0</x:v>
      </x:c>
    </x:row>
    <x:row r="289">
      <x:c r="A289" s="80" t="str">
        <x:f>IF(B289="","",B289&amp;"-"&amp;TEXT(COUNTIF($B$7:B289,B289),"000"))</x:f>
      </x:c>
      <x:c r="B289" s="53"/>
      <x:c r="C289" s="81" t="str">
        <x:f>IFERROR(INDEX('QS Takeoff'!$A$3:$A$194,MATCH(B289,'QS Takeoff'!$B$3:$B$194,0)),"")</x:f>
      </x:c>
      <x:c r="D289" s="81" t="str">
        <x:f>IFERROR(INDEX('QS Takeoff'!$C$3:$C$194,MATCH(B289,'QS Takeoff'!$B$3:$B$194,0)),"")</x:f>
      </x:c>
      <x:c r="E289" s="81" t="str">
        <x:f>IFERROR(INDEX('QS Takeoff'!$E$3:$E$194,MATCH(B289,'QS Takeoff'!$B$3:$B$194,0)),"")</x:f>
      </x:c>
      <x:c r="F289" s="81" t="str">
        <x:f>IFERROR(INDEX('QS Takeoff'!$D$3:$D$194,MATCH(B289,'QS Takeoff'!$B$3:$B$194,0)),"")</x:f>
      </x:c>
      <x:c r="G289" s="81" t="str">
        <x:f>IFERROR(INDEX('QS Takeoff'!$J$3:$J$194,MATCH(B289,'QS Takeoff'!$B$3:$B$194,0)),"")</x:f>
      </x:c>
      <x:c r="H289" s="53"/>
      <x:c r="I289" s="60"/>
      <x:c r="J289" s="60"/>
      <x:c r="K289" s="82" t="str">
        <x:f t="shared" si="24">IF(OR(B289="",I289="",I289=0),"",E289/I289)</x:f>
      </x:c>
      <x:c r="L289" s="60"/>
      <x:c r="M289" s="82" t="str">
        <x:f t="shared" si="25">IF(L289&gt;0,L289,K289)</x:f>
      </x:c>
      <x:c r="N289" s="53"/>
      <x:c r="O289" s="53"/>
      <x:c r="P289" s="53"/>
      <x:c r="Q289" s="81" t="str">
        <x:f>IFERROR(INDEX('Resource Rate Library'!$C$5:$C$85,MATCH(P289,'Resource Rate Library'!$A$5:$A$85,0)),"")</x:f>
      </x:c>
      <x:c r="R289" s="53"/>
      <x:c r="S289" s="53"/>
      <x:c r="T289" s="81" t="str">
        <x:f>IFERROR(INDEX('Resource Rate Library'!$E$5:$E$85,MATCH(P289,'Resource Rate Library'!$A$5:$A$85,0)),"")</x:f>
      </x:c>
      <x:c r="U289" s="62"/>
      <x:c r="V289" s="62"/>
      <x:c r="W289" s="83" t="n">
        <x:f>IFERROR(INDEX('Resource Rate Library'!$I$5:$I$85,MATCH(P289,'Resource Rate Library'!$A$5:$A$85,0)),0)</x:f>
        <x:v>0</x:v>
      </x:c>
      <x:c r="X289" s="52"/>
      <x:c r="Y289" s="83" t="n">
        <x:f t="shared" si="26">IF(X289&gt;0,X289,W289)</x:f>
        <x:v>0</x:v>
      </x:c>
      <x:c r="Z289" s="83" t="str">
        <x:f t="shared" si="27">IF(B289="","",IF(N289="Time x Count",M289*R289*IF(U289="",1,U289)*Y289,IF(N289="QS Qty x Factor",E289*R289*(1+IF(V289="",0,V289))*Y289,IF(N289="Direct Qty",S289*(1+IF(V289="",0,V289))*Y289,IF(N289="Lump Sum / Quote",S289*Y289,0)))))</x:f>
      </x:c>
      <x:c r="AA289" s="81" t="str">
        <x:f>IFERROR(INDEX('Resource Rate Library'!$N$5:$N$85,MATCH(P289,'Resource Rate Library'!$A$5:$A$85,0)),"")</x:f>
      </x:c>
      <x:c r="AB289" s="53"/>
      <x:c r="AC289" s="59"/>
      <x:c r="AD289" s="81" t="str">
        <x:f>IFERROR(INDEX('Resource Rate Library'!$G$5:$G$85,MATCH(P289,'Resource Rate Library'!$A$5:$A$85,0)),"")</x:f>
      </x:c>
      <x:c r="AE289" s="81" t="str">
        <x:f>IFERROR(INDEX('Resource Rate Library'!$H$5:$H$85,MATCH(P289,'Resource Rate Library'!$A$5:$A$85,0)),"")</x:f>
      </x:c>
      <x:c r="AF289" s="53"/>
      <x:c r="AG289" s="53"/>
      <x:c r="AH289" s="53"/>
      <x:c r="AI289" s="81" t="str">
        <x:f t="shared" si="28">IF(B289="","",IF(AND(P289="",N289&lt;&gt;"Lump Sum / Quote"),"RESOURCE CODE",IF(Y289=0,"RATE MISSING",IF(AND(O289="Plant",AD289="Yes",COUNTIFS($B$7:$B$306,B289,$O$7:$O$306,"Labour",$Q$7:$Q$306,"*Operator*")&gt;0),"OPERATOR DOUBLE-COUNT",IF(AND(O289="Plant",AE289="Yes",COUNTIFS($B$7:$B$306,B289,$Q$7:$Q$306,"*Fuel*")&gt;0),"FUEL DOUBLE-COUNT",IF(AH289&lt;&gt;"Yes","VERIFY","OK"))))))</x:f>
      </x:c>
      <x:c r="AJ289" s="54"/>
      <x:c r="AK289" s="473"/>
      <x:c r="AL289" s="473"/>
      <x:c r="AM289" s="473"/>
      <x:c r="AN289" s="500" t="n">
        <x:f>IF(AND(AK289="Yes",OR(O289="Labour",O289="Plant")),Z289,0)</x:f>
        <x:v>0</x:v>
      </x:c>
    </x:row>
    <x:row r="290">
      <x:c r="A290" s="80" t="str">
        <x:f>IF(B290="","",B290&amp;"-"&amp;TEXT(COUNTIF($B$7:B290,B290),"000"))</x:f>
      </x:c>
      <x:c r="B290" s="53"/>
      <x:c r="C290" s="81" t="str">
        <x:f>IFERROR(INDEX('QS Takeoff'!$A$3:$A$194,MATCH(B290,'QS Takeoff'!$B$3:$B$194,0)),"")</x:f>
      </x:c>
      <x:c r="D290" s="81" t="str">
        <x:f>IFERROR(INDEX('QS Takeoff'!$C$3:$C$194,MATCH(B290,'QS Takeoff'!$B$3:$B$194,0)),"")</x:f>
      </x:c>
      <x:c r="E290" s="81" t="str">
        <x:f>IFERROR(INDEX('QS Takeoff'!$E$3:$E$194,MATCH(B290,'QS Takeoff'!$B$3:$B$194,0)),"")</x:f>
      </x:c>
      <x:c r="F290" s="81" t="str">
        <x:f>IFERROR(INDEX('QS Takeoff'!$D$3:$D$194,MATCH(B290,'QS Takeoff'!$B$3:$B$194,0)),"")</x:f>
      </x:c>
      <x:c r="G290" s="81" t="str">
        <x:f>IFERROR(INDEX('QS Takeoff'!$J$3:$J$194,MATCH(B290,'QS Takeoff'!$B$3:$B$194,0)),"")</x:f>
      </x:c>
      <x:c r="H290" s="53"/>
      <x:c r="I290" s="60"/>
      <x:c r="J290" s="60"/>
      <x:c r="K290" s="82" t="str">
        <x:f t="shared" si="24">IF(OR(B290="",I290="",I290=0),"",E290/I290)</x:f>
      </x:c>
      <x:c r="L290" s="60"/>
      <x:c r="M290" s="82" t="str">
        <x:f t="shared" si="25">IF(L290&gt;0,L290,K290)</x:f>
      </x:c>
      <x:c r="N290" s="53"/>
      <x:c r="O290" s="53"/>
      <x:c r="P290" s="53"/>
      <x:c r="Q290" s="81" t="str">
        <x:f>IFERROR(INDEX('Resource Rate Library'!$C$5:$C$85,MATCH(P290,'Resource Rate Library'!$A$5:$A$85,0)),"")</x:f>
      </x:c>
      <x:c r="R290" s="53"/>
      <x:c r="S290" s="53"/>
      <x:c r="T290" s="81" t="str">
        <x:f>IFERROR(INDEX('Resource Rate Library'!$E$5:$E$85,MATCH(P290,'Resource Rate Library'!$A$5:$A$85,0)),"")</x:f>
      </x:c>
      <x:c r="U290" s="62"/>
      <x:c r="V290" s="62"/>
      <x:c r="W290" s="83" t="n">
        <x:f>IFERROR(INDEX('Resource Rate Library'!$I$5:$I$85,MATCH(P290,'Resource Rate Library'!$A$5:$A$85,0)),0)</x:f>
        <x:v>0</x:v>
      </x:c>
      <x:c r="X290" s="52"/>
      <x:c r="Y290" s="83" t="n">
        <x:f t="shared" si="26">IF(X290&gt;0,X290,W290)</x:f>
        <x:v>0</x:v>
      </x:c>
      <x:c r="Z290" s="83" t="str">
        <x:f t="shared" si="27">IF(B290="","",IF(N290="Time x Count",M290*R290*IF(U290="",1,U290)*Y290,IF(N290="QS Qty x Factor",E290*R290*(1+IF(V290="",0,V290))*Y290,IF(N290="Direct Qty",S290*(1+IF(V290="",0,V290))*Y290,IF(N290="Lump Sum / Quote",S290*Y290,0)))))</x:f>
      </x:c>
      <x:c r="AA290" s="81" t="str">
        <x:f>IFERROR(INDEX('Resource Rate Library'!$N$5:$N$85,MATCH(P290,'Resource Rate Library'!$A$5:$A$85,0)),"")</x:f>
      </x:c>
      <x:c r="AB290" s="53"/>
      <x:c r="AC290" s="59"/>
      <x:c r="AD290" s="81" t="str">
        <x:f>IFERROR(INDEX('Resource Rate Library'!$G$5:$G$85,MATCH(P290,'Resource Rate Library'!$A$5:$A$85,0)),"")</x:f>
      </x:c>
      <x:c r="AE290" s="81" t="str">
        <x:f>IFERROR(INDEX('Resource Rate Library'!$H$5:$H$85,MATCH(P290,'Resource Rate Library'!$A$5:$A$85,0)),"")</x:f>
      </x:c>
      <x:c r="AF290" s="53"/>
      <x:c r="AG290" s="53"/>
      <x:c r="AH290" s="53"/>
      <x:c r="AI290" s="81" t="str">
        <x:f t="shared" si="28">IF(B290="","",IF(AND(P290="",N290&lt;&gt;"Lump Sum / Quote"),"RESOURCE CODE",IF(Y290=0,"RATE MISSING",IF(AND(O290="Plant",AD290="Yes",COUNTIFS($B$7:$B$306,B290,$O$7:$O$306,"Labour",$Q$7:$Q$306,"*Operator*")&gt;0),"OPERATOR DOUBLE-COUNT",IF(AND(O290="Plant",AE290="Yes",COUNTIFS($B$7:$B$306,B290,$Q$7:$Q$306,"*Fuel*")&gt;0),"FUEL DOUBLE-COUNT",IF(AH290&lt;&gt;"Yes","VERIFY","OK"))))))</x:f>
      </x:c>
      <x:c r="AJ290" s="54"/>
      <x:c r="AK290" s="473"/>
      <x:c r="AL290" s="473"/>
      <x:c r="AM290" s="473"/>
      <x:c r="AN290" s="500" t="n">
        <x:f>IF(AND(AK290="Yes",OR(O290="Labour",O290="Plant")),Z290,0)</x:f>
        <x:v>0</x:v>
      </x:c>
    </x:row>
    <x:row r="291">
      <x:c r="A291" s="80" t="str">
        <x:f>IF(B291="","",B291&amp;"-"&amp;TEXT(COUNTIF($B$7:B291,B291),"000"))</x:f>
      </x:c>
      <x:c r="B291" s="53"/>
      <x:c r="C291" s="81" t="str">
        <x:f>IFERROR(INDEX('QS Takeoff'!$A$3:$A$194,MATCH(B291,'QS Takeoff'!$B$3:$B$194,0)),"")</x:f>
      </x:c>
      <x:c r="D291" s="81" t="str">
        <x:f>IFERROR(INDEX('QS Takeoff'!$C$3:$C$194,MATCH(B291,'QS Takeoff'!$B$3:$B$194,0)),"")</x:f>
      </x:c>
      <x:c r="E291" s="81" t="str">
        <x:f>IFERROR(INDEX('QS Takeoff'!$E$3:$E$194,MATCH(B291,'QS Takeoff'!$B$3:$B$194,0)),"")</x:f>
      </x:c>
      <x:c r="F291" s="81" t="str">
        <x:f>IFERROR(INDEX('QS Takeoff'!$D$3:$D$194,MATCH(B291,'QS Takeoff'!$B$3:$B$194,0)),"")</x:f>
      </x:c>
      <x:c r="G291" s="81" t="str">
        <x:f>IFERROR(INDEX('QS Takeoff'!$J$3:$J$194,MATCH(B291,'QS Takeoff'!$B$3:$B$194,0)),"")</x:f>
      </x:c>
      <x:c r="H291" s="53"/>
      <x:c r="I291" s="60"/>
      <x:c r="J291" s="60"/>
      <x:c r="K291" s="82" t="str">
        <x:f t="shared" si="24">IF(OR(B291="",I291="",I291=0),"",E291/I291)</x:f>
      </x:c>
      <x:c r="L291" s="60"/>
      <x:c r="M291" s="82" t="str">
        <x:f t="shared" si="25">IF(L291&gt;0,L291,K291)</x:f>
      </x:c>
      <x:c r="N291" s="53"/>
      <x:c r="O291" s="53"/>
      <x:c r="P291" s="53"/>
      <x:c r="Q291" s="81" t="str">
        <x:f>IFERROR(INDEX('Resource Rate Library'!$C$5:$C$85,MATCH(P291,'Resource Rate Library'!$A$5:$A$85,0)),"")</x:f>
      </x:c>
      <x:c r="R291" s="53"/>
      <x:c r="S291" s="53"/>
      <x:c r="T291" s="81" t="str">
        <x:f>IFERROR(INDEX('Resource Rate Library'!$E$5:$E$85,MATCH(P291,'Resource Rate Library'!$A$5:$A$85,0)),"")</x:f>
      </x:c>
      <x:c r="U291" s="62"/>
      <x:c r="V291" s="62"/>
      <x:c r="W291" s="83" t="n">
        <x:f>IFERROR(INDEX('Resource Rate Library'!$I$5:$I$85,MATCH(P291,'Resource Rate Library'!$A$5:$A$85,0)),0)</x:f>
        <x:v>0</x:v>
      </x:c>
      <x:c r="X291" s="52"/>
      <x:c r="Y291" s="83" t="n">
        <x:f t="shared" si="26">IF(X291&gt;0,X291,W291)</x:f>
        <x:v>0</x:v>
      </x:c>
      <x:c r="Z291" s="83" t="str">
        <x:f t="shared" si="27">IF(B291="","",IF(N291="Time x Count",M291*R291*IF(U291="",1,U291)*Y291,IF(N291="QS Qty x Factor",E291*R291*(1+IF(V291="",0,V291))*Y291,IF(N291="Direct Qty",S291*(1+IF(V291="",0,V291))*Y291,IF(N291="Lump Sum / Quote",S291*Y291,0)))))</x:f>
      </x:c>
      <x:c r="AA291" s="81" t="str">
        <x:f>IFERROR(INDEX('Resource Rate Library'!$N$5:$N$85,MATCH(P291,'Resource Rate Library'!$A$5:$A$85,0)),"")</x:f>
      </x:c>
      <x:c r="AB291" s="53"/>
      <x:c r="AC291" s="59"/>
      <x:c r="AD291" s="81" t="str">
        <x:f>IFERROR(INDEX('Resource Rate Library'!$G$5:$G$85,MATCH(P291,'Resource Rate Library'!$A$5:$A$85,0)),"")</x:f>
      </x:c>
      <x:c r="AE291" s="81" t="str">
        <x:f>IFERROR(INDEX('Resource Rate Library'!$H$5:$H$85,MATCH(P291,'Resource Rate Library'!$A$5:$A$85,0)),"")</x:f>
      </x:c>
      <x:c r="AF291" s="53"/>
      <x:c r="AG291" s="53"/>
      <x:c r="AH291" s="53"/>
      <x:c r="AI291" s="81" t="str">
        <x:f t="shared" si="28">IF(B291="","",IF(AND(P291="",N291&lt;&gt;"Lump Sum / Quote"),"RESOURCE CODE",IF(Y291=0,"RATE MISSING",IF(AND(O291="Plant",AD291="Yes",COUNTIFS($B$7:$B$306,B291,$O$7:$O$306,"Labour",$Q$7:$Q$306,"*Operator*")&gt;0),"OPERATOR DOUBLE-COUNT",IF(AND(O291="Plant",AE291="Yes",COUNTIFS($B$7:$B$306,B291,$Q$7:$Q$306,"*Fuel*")&gt;0),"FUEL DOUBLE-COUNT",IF(AH291&lt;&gt;"Yes","VERIFY","OK"))))))</x:f>
      </x:c>
      <x:c r="AJ291" s="54"/>
      <x:c r="AK291" s="473"/>
      <x:c r="AL291" s="473"/>
      <x:c r="AM291" s="473"/>
      <x:c r="AN291" s="500" t="n">
        <x:f>IF(AND(AK291="Yes",OR(O291="Labour",O291="Plant")),Z291,0)</x:f>
        <x:v>0</x:v>
      </x:c>
    </x:row>
    <x:row r="292">
      <x:c r="A292" s="80" t="str">
        <x:f>IF(B292="","",B292&amp;"-"&amp;TEXT(COUNTIF($B$7:B292,B292),"000"))</x:f>
      </x:c>
      <x:c r="B292" s="53"/>
      <x:c r="C292" s="81" t="str">
        <x:f>IFERROR(INDEX('QS Takeoff'!$A$3:$A$194,MATCH(B292,'QS Takeoff'!$B$3:$B$194,0)),"")</x:f>
      </x:c>
      <x:c r="D292" s="81" t="str">
        <x:f>IFERROR(INDEX('QS Takeoff'!$C$3:$C$194,MATCH(B292,'QS Takeoff'!$B$3:$B$194,0)),"")</x:f>
      </x:c>
      <x:c r="E292" s="81" t="str">
        <x:f>IFERROR(INDEX('QS Takeoff'!$E$3:$E$194,MATCH(B292,'QS Takeoff'!$B$3:$B$194,0)),"")</x:f>
      </x:c>
      <x:c r="F292" s="81" t="str">
        <x:f>IFERROR(INDEX('QS Takeoff'!$D$3:$D$194,MATCH(B292,'QS Takeoff'!$B$3:$B$194,0)),"")</x:f>
      </x:c>
      <x:c r="G292" s="81" t="str">
        <x:f>IFERROR(INDEX('QS Takeoff'!$J$3:$J$194,MATCH(B292,'QS Takeoff'!$B$3:$B$194,0)),"")</x:f>
      </x:c>
      <x:c r="H292" s="53"/>
      <x:c r="I292" s="60"/>
      <x:c r="J292" s="60"/>
      <x:c r="K292" s="82" t="str">
        <x:f t="shared" si="24">IF(OR(B292="",I292="",I292=0),"",E292/I292)</x:f>
      </x:c>
      <x:c r="L292" s="60"/>
      <x:c r="M292" s="82" t="str">
        <x:f t="shared" si="25">IF(L292&gt;0,L292,K292)</x:f>
      </x:c>
      <x:c r="N292" s="53"/>
      <x:c r="O292" s="53"/>
      <x:c r="P292" s="53"/>
      <x:c r="Q292" s="81" t="str">
        <x:f>IFERROR(INDEX('Resource Rate Library'!$C$5:$C$85,MATCH(P292,'Resource Rate Library'!$A$5:$A$85,0)),"")</x:f>
      </x:c>
      <x:c r="R292" s="53"/>
      <x:c r="S292" s="53"/>
      <x:c r="T292" s="81" t="str">
        <x:f>IFERROR(INDEX('Resource Rate Library'!$E$5:$E$85,MATCH(P292,'Resource Rate Library'!$A$5:$A$85,0)),"")</x:f>
      </x:c>
      <x:c r="U292" s="62"/>
      <x:c r="V292" s="62"/>
      <x:c r="W292" s="83" t="n">
        <x:f>IFERROR(INDEX('Resource Rate Library'!$I$5:$I$85,MATCH(P292,'Resource Rate Library'!$A$5:$A$85,0)),0)</x:f>
        <x:v>0</x:v>
      </x:c>
      <x:c r="X292" s="52"/>
      <x:c r="Y292" s="83" t="n">
        <x:f t="shared" si="26">IF(X292&gt;0,X292,W292)</x:f>
        <x:v>0</x:v>
      </x:c>
      <x:c r="Z292" s="83" t="str">
        <x:f t="shared" si="27">IF(B292="","",IF(N292="Time x Count",M292*R292*IF(U292="",1,U292)*Y292,IF(N292="QS Qty x Factor",E292*R292*(1+IF(V292="",0,V292))*Y292,IF(N292="Direct Qty",S292*(1+IF(V292="",0,V292))*Y292,IF(N292="Lump Sum / Quote",S292*Y292,0)))))</x:f>
      </x:c>
      <x:c r="AA292" s="81" t="str">
        <x:f>IFERROR(INDEX('Resource Rate Library'!$N$5:$N$85,MATCH(P292,'Resource Rate Library'!$A$5:$A$85,0)),"")</x:f>
      </x:c>
      <x:c r="AB292" s="53"/>
      <x:c r="AC292" s="59"/>
      <x:c r="AD292" s="81" t="str">
        <x:f>IFERROR(INDEX('Resource Rate Library'!$G$5:$G$85,MATCH(P292,'Resource Rate Library'!$A$5:$A$85,0)),"")</x:f>
      </x:c>
      <x:c r="AE292" s="81" t="str">
        <x:f>IFERROR(INDEX('Resource Rate Library'!$H$5:$H$85,MATCH(P292,'Resource Rate Library'!$A$5:$A$85,0)),"")</x:f>
      </x:c>
      <x:c r="AF292" s="53"/>
      <x:c r="AG292" s="53"/>
      <x:c r="AH292" s="53"/>
      <x:c r="AI292" s="81" t="str">
        <x:f t="shared" si="28">IF(B292="","",IF(AND(P292="",N292&lt;&gt;"Lump Sum / Quote"),"RESOURCE CODE",IF(Y292=0,"RATE MISSING",IF(AND(O292="Plant",AD292="Yes",COUNTIFS($B$7:$B$306,B292,$O$7:$O$306,"Labour",$Q$7:$Q$306,"*Operator*")&gt;0),"OPERATOR DOUBLE-COUNT",IF(AND(O292="Plant",AE292="Yes",COUNTIFS($B$7:$B$306,B292,$Q$7:$Q$306,"*Fuel*")&gt;0),"FUEL DOUBLE-COUNT",IF(AH292&lt;&gt;"Yes","VERIFY","OK"))))))</x:f>
      </x:c>
      <x:c r="AJ292" s="54"/>
      <x:c r="AK292" s="473"/>
      <x:c r="AL292" s="473"/>
      <x:c r="AM292" s="473"/>
      <x:c r="AN292" s="500" t="n">
        <x:f>IF(AND(AK292="Yes",OR(O292="Labour",O292="Plant")),Z292,0)</x:f>
        <x:v>0</x:v>
      </x:c>
    </x:row>
    <x:row r="293">
      <x:c r="A293" s="80" t="str">
        <x:f>IF(B293="","",B293&amp;"-"&amp;TEXT(COUNTIF($B$7:B293,B293),"000"))</x:f>
      </x:c>
      <x:c r="B293" s="53"/>
      <x:c r="C293" s="81" t="str">
        <x:f>IFERROR(INDEX('QS Takeoff'!$A$3:$A$194,MATCH(B293,'QS Takeoff'!$B$3:$B$194,0)),"")</x:f>
      </x:c>
      <x:c r="D293" s="81" t="str">
        <x:f>IFERROR(INDEX('QS Takeoff'!$C$3:$C$194,MATCH(B293,'QS Takeoff'!$B$3:$B$194,0)),"")</x:f>
      </x:c>
      <x:c r="E293" s="81" t="str">
        <x:f>IFERROR(INDEX('QS Takeoff'!$E$3:$E$194,MATCH(B293,'QS Takeoff'!$B$3:$B$194,0)),"")</x:f>
      </x:c>
      <x:c r="F293" s="81" t="str">
        <x:f>IFERROR(INDEX('QS Takeoff'!$D$3:$D$194,MATCH(B293,'QS Takeoff'!$B$3:$B$194,0)),"")</x:f>
      </x:c>
      <x:c r="G293" s="81" t="str">
        <x:f>IFERROR(INDEX('QS Takeoff'!$J$3:$J$194,MATCH(B293,'QS Takeoff'!$B$3:$B$194,0)),"")</x:f>
      </x:c>
      <x:c r="H293" s="53"/>
      <x:c r="I293" s="60"/>
      <x:c r="J293" s="60"/>
      <x:c r="K293" s="82" t="str">
        <x:f t="shared" si="24">IF(OR(B293="",I293="",I293=0),"",E293/I293)</x:f>
      </x:c>
      <x:c r="L293" s="60"/>
      <x:c r="M293" s="82" t="str">
        <x:f t="shared" si="25">IF(L293&gt;0,L293,K293)</x:f>
      </x:c>
      <x:c r="N293" s="53"/>
      <x:c r="O293" s="53"/>
      <x:c r="P293" s="53"/>
      <x:c r="Q293" s="81" t="str">
        <x:f>IFERROR(INDEX('Resource Rate Library'!$C$5:$C$85,MATCH(P293,'Resource Rate Library'!$A$5:$A$85,0)),"")</x:f>
      </x:c>
      <x:c r="R293" s="53"/>
      <x:c r="S293" s="53"/>
      <x:c r="T293" s="81" t="str">
        <x:f>IFERROR(INDEX('Resource Rate Library'!$E$5:$E$85,MATCH(P293,'Resource Rate Library'!$A$5:$A$85,0)),"")</x:f>
      </x:c>
      <x:c r="U293" s="62"/>
      <x:c r="V293" s="62"/>
      <x:c r="W293" s="83" t="n">
        <x:f>IFERROR(INDEX('Resource Rate Library'!$I$5:$I$85,MATCH(P293,'Resource Rate Library'!$A$5:$A$85,0)),0)</x:f>
        <x:v>0</x:v>
      </x:c>
      <x:c r="X293" s="52"/>
      <x:c r="Y293" s="83" t="n">
        <x:f t="shared" si="26">IF(X293&gt;0,X293,W293)</x:f>
        <x:v>0</x:v>
      </x:c>
      <x:c r="Z293" s="83" t="str">
        <x:f t="shared" si="27">IF(B293="","",IF(N293="Time x Count",M293*R293*IF(U293="",1,U293)*Y293,IF(N293="QS Qty x Factor",E293*R293*(1+IF(V293="",0,V293))*Y293,IF(N293="Direct Qty",S293*(1+IF(V293="",0,V293))*Y293,IF(N293="Lump Sum / Quote",S293*Y293,0)))))</x:f>
      </x:c>
      <x:c r="AA293" s="81" t="str">
        <x:f>IFERROR(INDEX('Resource Rate Library'!$N$5:$N$85,MATCH(P293,'Resource Rate Library'!$A$5:$A$85,0)),"")</x:f>
      </x:c>
      <x:c r="AB293" s="53"/>
      <x:c r="AC293" s="59"/>
      <x:c r="AD293" s="81" t="str">
        <x:f>IFERROR(INDEX('Resource Rate Library'!$G$5:$G$85,MATCH(P293,'Resource Rate Library'!$A$5:$A$85,0)),"")</x:f>
      </x:c>
      <x:c r="AE293" s="81" t="str">
        <x:f>IFERROR(INDEX('Resource Rate Library'!$H$5:$H$85,MATCH(P293,'Resource Rate Library'!$A$5:$A$85,0)),"")</x:f>
      </x:c>
      <x:c r="AF293" s="53"/>
      <x:c r="AG293" s="53"/>
      <x:c r="AH293" s="53"/>
      <x:c r="AI293" s="81" t="str">
        <x:f t="shared" si="28">IF(B293="","",IF(AND(P293="",N293&lt;&gt;"Lump Sum / Quote"),"RESOURCE CODE",IF(Y293=0,"RATE MISSING",IF(AND(O293="Plant",AD293="Yes",COUNTIFS($B$7:$B$306,B293,$O$7:$O$306,"Labour",$Q$7:$Q$306,"*Operator*")&gt;0),"OPERATOR DOUBLE-COUNT",IF(AND(O293="Plant",AE293="Yes",COUNTIFS($B$7:$B$306,B293,$Q$7:$Q$306,"*Fuel*")&gt;0),"FUEL DOUBLE-COUNT",IF(AH293&lt;&gt;"Yes","VERIFY","OK"))))))</x:f>
      </x:c>
      <x:c r="AJ293" s="54"/>
      <x:c r="AK293" s="473"/>
      <x:c r="AL293" s="473"/>
      <x:c r="AM293" s="473"/>
      <x:c r="AN293" s="500" t="n">
        <x:f>IF(AND(AK293="Yes",OR(O293="Labour",O293="Plant")),Z293,0)</x:f>
        <x:v>0</x:v>
      </x:c>
    </x:row>
    <x:row r="294">
      <x:c r="A294" s="80" t="str">
        <x:f>IF(B294="","",B294&amp;"-"&amp;TEXT(COUNTIF($B$7:B294,B294),"000"))</x:f>
      </x:c>
      <x:c r="B294" s="53"/>
      <x:c r="C294" s="81" t="str">
        <x:f>IFERROR(INDEX('QS Takeoff'!$A$3:$A$194,MATCH(B294,'QS Takeoff'!$B$3:$B$194,0)),"")</x:f>
      </x:c>
      <x:c r="D294" s="81" t="str">
        <x:f>IFERROR(INDEX('QS Takeoff'!$C$3:$C$194,MATCH(B294,'QS Takeoff'!$B$3:$B$194,0)),"")</x:f>
      </x:c>
      <x:c r="E294" s="81" t="str">
        <x:f>IFERROR(INDEX('QS Takeoff'!$E$3:$E$194,MATCH(B294,'QS Takeoff'!$B$3:$B$194,0)),"")</x:f>
      </x:c>
      <x:c r="F294" s="81" t="str">
        <x:f>IFERROR(INDEX('QS Takeoff'!$D$3:$D$194,MATCH(B294,'QS Takeoff'!$B$3:$B$194,0)),"")</x:f>
      </x:c>
      <x:c r="G294" s="81" t="str">
        <x:f>IFERROR(INDEX('QS Takeoff'!$J$3:$J$194,MATCH(B294,'QS Takeoff'!$B$3:$B$194,0)),"")</x:f>
      </x:c>
      <x:c r="H294" s="53"/>
      <x:c r="I294" s="60"/>
      <x:c r="J294" s="60"/>
      <x:c r="K294" s="82" t="str">
        <x:f t="shared" si="24">IF(OR(B294="",I294="",I294=0),"",E294/I294)</x:f>
      </x:c>
      <x:c r="L294" s="60"/>
      <x:c r="M294" s="82" t="str">
        <x:f t="shared" si="25">IF(L294&gt;0,L294,K294)</x:f>
      </x:c>
      <x:c r="N294" s="53"/>
      <x:c r="O294" s="53"/>
      <x:c r="P294" s="53"/>
      <x:c r="Q294" s="81" t="str">
        <x:f>IFERROR(INDEX('Resource Rate Library'!$C$5:$C$85,MATCH(P294,'Resource Rate Library'!$A$5:$A$85,0)),"")</x:f>
      </x:c>
      <x:c r="R294" s="53"/>
      <x:c r="S294" s="53"/>
      <x:c r="T294" s="81" t="str">
        <x:f>IFERROR(INDEX('Resource Rate Library'!$E$5:$E$85,MATCH(P294,'Resource Rate Library'!$A$5:$A$85,0)),"")</x:f>
      </x:c>
      <x:c r="U294" s="62"/>
      <x:c r="V294" s="62"/>
      <x:c r="W294" s="83" t="n">
        <x:f>IFERROR(INDEX('Resource Rate Library'!$I$5:$I$85,MATCH(P294,'Resource Rate Library'!$A$5:$A$85,0)),0)</x:f>
        <x:v>0</x:v>
      </x:c>
      <x:c r="X294" s="52"/>
      <x:c r="Y294" s="83" t="n">
        <x:f t="shared" si="26">IF(X294&gt;0,X294,W294)</x:f>
        <x:v>0</x:v>
      </x:c>
      <x:c r="Z294" s="83" t="str">
        <x:f t="shared" si="27">IF(B294="","",IF(N294="Time x Count",M294*R294*IF(U294="",1,U294)*Y294,IF(N294="QS Qty x Factor",E294*R294*(1+IF(V294="",0,V294))*Y294,IF(N294="Direct Qty",S294*(1+IF(V294="",0,V294))*Y294,IF(N294="Lump Sum / Quote",S294*Y294,0)))))</x:f>
      </x:c>
      <x:c r="AA294" s="81" t="str">
        <x:f>IFERROR(INDEX('Resource Rate Library'!$N$5:$N$85,MATCH(P294,'Resource Rate Library'!$A$5:$A$85,0)),"")</x:f>
      </x:c>
      <x:c r="AB294" s="53"/>
      <x:c r="AC294" s="59"/>
      <x:c r="AD294" s="81" t="str">
        <x:f>IFERROR(INDEX('Resource Rate Library'!$G$5:$G$85,MATCH(P294,'Resource Rate Library'!$A$5:$A$85,0)),"")</x:f>
      </x:c>
      <x:c r="AE294" s="81" t="str">
        <x:f>IFERROR(INDEX('Resource Rate Library'!$H$5:$H$85,MATCH(P294,'Resource Rate Library'!$A$5:$A$85,0)),"")</x:f>
      </x:c>
      <x:c r="AF294" s="53"/>
      <x:c r="AG294" s="53"/>
      <x:c r="AH294" s="53"/>
      <x:c r="AI294" s="81" t="str">
        <x:f t="shared" si="28">IF(B294="","",IF(AND(P294="",N294&lt;&gt;"Lump Sum / Quote"),"RESOURCE CODE",IF(Y294=0,"RATE MISSING",IF(AND(O294="Plant",AD294="Yes",COUNTIFS($B$7:$B$306,B294,$O$7:$O$306,"Labour",$Q$7:$Q$306,"*Operator*")&gt;0),"OPERATOR DOUBLE-COUNT",IF(AND(O294="Plant",AE294="Yes",COUNTIFS($B$7:$B$306,B294,$Q$7:$Q$306,"*Fuel*")&gt;0),"FUEL DOUBLE-COUNT",IF(AH294&lt;&gt;"Yes","VERIFY","OK"))))))</x:f>
      </x:c>
      <x:c r="AJ294" s="54"/>
      <x:c r="AK294" s="473"/>
      <x:c r="AL294" s="473"/>
      <x:c r="AM294" s="473"/>
      <x:c r="AN294" s="500" t="n">
        <x:f>IF(AND(AK294="Yes",OR(O294="Labour",O294="Plant")),Z294,0)</x:f>
        <x:v>0</x:v>
      </x:c>
    </x:row>
    <x:row r="295">
      <x:c r="A295" s="80" t="str">
        <x:f>IF(B295="","",B295&amp;"-"&amp;TEXT(COUNTIF($B$7:B295,B295),"000"))</x:f>
      </x:c>
      <x:c r="B295" s="53"/>
      <x:c r="C295" s="81" t="str">
        <x:f>IFERROR(INDEX('QS Takeoff'!$A$3:$A$194,MATCH(B295,'QS Takeoff'!$B$3:$B$194,0)),"")</x:f>
      </x:c>
      <x:c r="D295" s="81" t="str">
        <x:f>IFERROR(INDEX('QS Takeoff'!$C$3:$C$194,MATCH(B295,'QS Takeoff'!$B$3:$B$194,0)),"")</x:f>
      </x:c>
      <x:c r="E295" s="81" t="str">
        <x:f>IFERROR(INDEX('QS Takeoff'!$E$3:$E$194,MATCH(B295,'QS Takeoff'!$B$3:$B$194,0)),"")</x:f>
      </x:c>
      <x:c r="F295" s="81" t="str">
        <x:f>IFERROR(INDEX('QS Takeoff'!$D$3:$D$194,MATCH(B295,'QS Takeoff'!$B$3:$B$194,0)),"")</x:f>
      </x:c>
      <x:c r="G295" s="81" t="str">
        <x:f>IFERROR(INDEX('QS Takeoff'!$J$3:$J$194,MATCH(B295,'QS Takeoff'!$B$3:$B$194,0)),"")</x:f>
      </x:c>
      <x:c r="H295" s="53"/>
      <x:c r="I295" s="60"/>
      <x:c r="J295" s="60"/>
      <x:c r="K295" s="82" t="str">
        <x:f t="shared" si="24">IF(OR(B295="",I295="",I295=0),"",E295/I295)</x:f>
      </x:c>
      <x:c r="L295" s="60"/>
      <x:c r="M295" s="82" t="str">
        <x:f t="shared" si="25">IF(L295&gt;0,L295,K295)</x:f>
      </x:c>
      <x:c r="N295" s="53"/>
      <x:c r="O295" s="53"/>
      <x:c r="P295" s="53"/>
      <x:c r="Q295" s="81" t="str">
        <x:f>IFERROR(INDEX('Resource Rate Library'!$C$5:$C$85,MATCH(P295,'Resource Rate Library'!$A$5:$A$85,0)),"")</x:f>
      </x:c>
      <x:c r="R295" s="53"/>
      <x:c r="S295" s="53"/>
      <x:c r="T295" s="81" t="str">
        <x:f>IFERROR(INDEX('Resource Rate Library'!$E$5:$E$85,MATCH(P295,'Resource Rate Library'!$A$5:$A$85,0)),"")</x:f>
      </x:c>
      <x:c r="U295" s="62"/>
      <x:c r="V295" s="62"/>
      <x:c r="W295" s="83" t="n">
        <x:f>IFERROR(INDEX('Resource Rate Library'!$I$5:$I$85,MATCH(P295,'Resource Rate Library'!$A$5:$A$85,0)),0)</x:f>
        <x:v>0</x:v>
      </x:c>
      <x:c r="X295" s="52"/>
      <x:c r="Y295" s="83" t="n">
        <x:f t="shared" si="26">IF(X295&gt;0,X295,W295)</x:f>
        <x:v>0</x:v>
      </x:c>
      <x:c r="Z295" s="83" t="str">
        <x:f t="shared" si="27">IF(B295="","",IF(N295="Time x Count",M295*R295*IF(U295="",1,U295)*Y295,IF(N295="QS Qty x Factor",E295*R295*(1+IF(V295="",0,V295))*Y295,IF(N295="Direct Qty",S295*(1+IF(V295="",0,V295))*Y295,IF(N295="Lump Sum / Quote",S295*Y295,0)))))</x:f>
      </x:c>
      <x:c r="AA295" s="81" t="str">
        <x:f>IFERROR(INDEX('Resource Rate Library'!$N$5:$N$85,MATCH(P295,'Resource Rate Library'!$A$5:$A$85,0)),"")</x:f>
      </x:c>
      <x:c r="AB295" s="53"/>
      <x:c r="AC295" s="59"/>
      <x:c r="AD295" s="81" t="str">
        <x:f>IFERROR(INDEX('Resource Rate Library'!$G$5:$G$85,MATCH(P295,'Resource Rate Library'!$A$5:$A$85,0)),"")</x:f>
      </x:c>
      <x:c r="AE295" s="81" t="str">
        <x:f>IFERROR(INDEX('Resource Rate Library'!$H$5:$H$85,MATCH(P295,'Resource Rate Library'!$A$5:$A$85,0)),"")</x:f>
      </x:c>
      <x:c r="AF295" s="53"/>
      <x:c r="AG295" s="53"/>
      <x:c r="AH295" s="53"/>
      <x:c r="AI295" s="81" t="str">
        <x:f t="shared" si="28">IF(B295="","",IF(AND(P295="",N295&lt;&gt;"Lump Sum / Quote"),"RESOURCE CODE",IF(Y295=0,"RATE MISSING",IF(AND(O295="Plant",AD295="Yes",COUNTIFS($B$7:$B$306,B295,$O$7:$O$306,"Labour",$Q$7:$Q$306,"*Operator*")&gt;0),"OPERATOR DOUBLE-COUNT",IF(AND(O295="Plant",AE295="Yes",COUNTIFS($B$7:$B$306,B295,$Q$7:$Q$306,"*Fuel*")&gt;0),"FUEL DOUBLE-COUNT",IF(AH295&lt;&gt;"Yes","VERIFY","OK"))))))</x:f>
      </x:c>
      <x:c r="AJ295" s="54"/>
      <x:c r="AK295" s="473"/>
      <x:c r="AL295" s="473"/>
      <x:c r="AM295" s="473"/>
      <x:c r="AN295" s="500" t="n">
        <x:f>IF(AND(AK295="Yes",OR(O295="Labour",O295="Plant")),Z295,0)</x:f>
        <x:v>0</x:v>
      </x:c>
    </x:row>
    <x:row r="296">
      <x:c r="A296" s="80" t="str">
        <x:f>IF(B296="","",B296&amp;"-"&amp;TEXT(COUNTIF($B$7:B296,B296),"000"))</x:f>
      </x:c>
      <x:c r="B296" s="53"/>
      <x:c r="C296" s="81" t="str">
        <x:f>IFERROR(INDEX('QS Takeoff'!$A$3:$A$194,MATCH(B296,'QS Takeoff'!$B$3:$B$194,0)),"")</x:f>
      </x:c>
      <x:c r="D296" s="81" t="str">
        <x:f>IFERROR(INDEX('QS Takeoff'!$C$3:$C$194,MATCH(B296,'QS Takeoff'!$B$3:$B$194,0)),"")</x:f>
      </x:c>
      <x:c r="E296" s="81" t="str">
        <x:f>IFERROR(INDEX('QS Takeoff'!$E$3:$E$194,MATCH(B296,'QS Takeoff'!$B$3:$B$194,0)),"")</x:f>
      </x:c>
      <x:c r="F296" s="81" t="str">
        <x:f>IFERROR(INDEX('QS Takeoff'!$D$3:$D$194,MATCH(B296,'QS Takeoff'!$B$3:$B$194,0)),"")</x:f>
      </x:c>
      <x:c r="G296" s="81" t="str">
        <x:f>IFERROR(INDEX('QS Takeoff'!$J$3:$J$194,MATCH(B296,'QS Takeoff'!$B$3:$B$194,0)),"")</x:f>
      </x:c>
      <x:c r="H296" s="53"/>
      <x:c r="I296" s="60"/>
      <x:c r="J296" s="60"/>
      <x:c r="K296" s="82" t="str">
        <x:f t="shared" si="24">IF(OR(B296="",I296="",I296=0),"",E296/I296)</x:f>
      </x:c>
      <x:c r="L296" s="60"/>
      <x:c r="M296" s="82" t="str">
        <x:f t="shared" si="25">IF(L296&gt;0,L296,K296)</x:f>
      </x:c>
      <x:c r="N296" s="53"/>
      <x:c r="O296" s="53"/>
      <x:c r="P296" s="53"/>
      <x:c r="Q296" s="81" t="str">
        <x:f>IFERROR(INDEX('Resource Rate Library'!$C$5:$C$85,MATCH(P296,'Resource Rate Library'!$A$5:$A$85,0)),"")</x:f>
      </x:c>
      <x:c r="R296" s="53"/>
      <x:c r="S296" s="53"/>
      <x:c r="T296" s="81" t="str">
        <x:f>IFERROR(INDEX('Resource Rate Library'!$E$5:$E$85,MATCH(P296,'Resource Rate Library'!$A$5:$A$85,0)),"")</x:f>
      </x:c>
      <x:c r="U296" s="62"/>
      <x:c r="V296" s="62"/>
      <x:c r="W296" s="83" t="n">
        <x:f>IFERROR(INDEX('Resource Rate Library'!$I$5:$I$85,MATCH(P296,'Resource Rate Library'!$A$5:$A$85,0)),0)</x:f>
        <x:v>0</x:v>
      </x:c>
      <x:c r="X296" s="52"/>
      <x:c r="Y296" s="83" t="n">
        <x:f t="shared" si="26">IF(X296&gt;0,X296,W296)</x:f>
        <x:v>0</x:v>
      </x:c>
      <x:c r="Z296" s="83" t="str">
        <x:f t="shared" si="27">IF(B296="","",IF(N296="Time x Count",M296*R296*IF(U296="",1,U296)*Y296,IF(N296="QS Qty x Factor",E296*R296*(1+IF(V296="",0,V296))*Y296,IF(N296="Direct Qty",S296*(1+IF(V296="",0,V296))*Y296,IF(N296="Lump Sum / Quote",S296*Y296,0)))))</x:f>
      </x:c>
      <x:c r="AA296" s="81" t="str">
        <x:f>IFERROR(INDEX('Resource Rate Library'!$N$5:$N$85,MATCH(P296,'Resource Rate Library'!$A$5:$A$85,0)),"")</x:f>
      </x:c>
      <x:c r="AB296" s="53"/>
      <x:c r="AC296" s="59"/>
      <x:c r="AD296" s="81" t="str">
        <x:f>IFERROR(INDEX('Resource Rate Library'!$G$5:$G$85,MATCH(P296,'Resource Rate Library'!$A$5:$A$85,0)),"")</x:f>
      </x:c>
      <x:c r="AE296" s="81" t="str">
        <x:f>IFERROR(INDEX('Resource Rate Library'!$H$5:$H$85,MATCH(P296,'Resource Rate Library'!$A$5:$A$85,0)),"")</x:f>
      </x:c>
      <x:c r="AF296" s="53"/>
      <x:c r="AG296" s="53"/>
      <x:c r="AH296" s="53"/>
      <x:c r="AI296" s="81" t="str">
        <x:f t="shared" si="28">IF(B296="","",IF(AND(P296="",N296&lt;&gt;"Lump Sum / Quote"),"RESOURCE CODE",IF(Y296=0,"RATE MISSING",IF(AND(O296="Plant",AD296="Yes",COUNTIFS($B$7:$B$306,B296,$O$7:$O$306,"Labour",$Q$7:$Q$306,"*Operator*")&gt;0),"OPERATOR DOUBLE-COUNT",IF(AND(O296="Plant",AE296="Yes",COUNTIFS($B$7:$B$306,B296,$Q$7:$Q$306,"*Fuel*")&gt;0),"FUEL DOUBLE-COUNT",IF(AH296&lt;&gt;"Yes","VERIFY","OK"))))))</x:f>
      </x:c>
      <x:c r="AJ296" s="54"/>
      <x:c r="AK296" s="473"/>
      <x:c r="AL296" s="473"/>
      <x:c r="AM296" s="473"/>
      <x:c r="AN296" s="500" t="n">
        <x:f>IF(AND(AK296="Yes",OR(O296="Labour",O296="Plant")),Z296,0)</x:f>
        <x:v>0</x:v>
      </x:c>
    </x:row>
    <x:row r="297">
      <x:c r="A297" s="80" t="str">
        <x:f>IF(B297="","",B297&amp;"-"&amp;TEXT(COUNTIF($B$7:B297,B297),"000"))</x:f>
      </x:c>
      <x:c r="B297" s="53"/>
      <x:c r="C297" s="81" t="str">
        <x:f>IFERROR(INDEX('QS Takeoff'!$A$3:$A$194,MATCH(B297,'QS Takeoff'!$B$3:$B$194,0)),"")</x:f>
      </x:c>
      <x:c r="D297" s="81" t="str">
        <x:f>IFERROR(INDEX('QS Takeoff'!$C$3:$C$194,MATCH(B297,'QS Takeoff'!$B$3:$B$194,0)),"")</x:f>
      </x:c>
      <x:c r="E297" s="81" t="str">
        <x:f>IFERROR(INDEX('QS Takeoff'!$E$3:$E$194,MATCH(B297,'QS Takeoff'!$B$3:$B$194,0)),"")</x:f>
      </x:c>
      <x:c r="F297" s="81" t="str">
        <x:f>IFERROR(INDEX('QS Takeoff'!$D$3:$D$194,MATCH(B297,'QS Takeoff'!$B$3:$B$194,0)),"")</x:f>
      </x:c>
      <x:c r="G297" s="81" t="str">
        <x:f>IFERROR(INDEX('QS Takeoff'!$J$3:$J$194,MATCH(B297,'QS Takeoff'!$B$3:$B$194,0)),"")</x:f>
      </x:c>
      <x:c r="H297" s="53"/>
      <x:c r="I297" s="60"/>
      <x:c r="J297" s="60"/>
      <x:c r="K297" s="82" t="str">
        <x:f t="shared" si="24">IF(OR(B297="",I297="",I297=0),"",E297/I297)</x:f>
      </x:c>
      <x:c r="L297" s="60"/>
      <x:c r="M297" s="82" t="str">
        <x:f t="shared" si="25">IF(L297&gt;0,L297,K297)</x:f>
      </x:c>
      <x:c r="N297" s="53"/>
      <x:c r="O297" s="53"/>
      <x:c r="P297" s="53"/>
      <x:c r="Q297" s="81" t="str">
        <x:f>IFERROR(INDEX('Resource Rate Library'!$C$5:$C$85,MATCH(P297,'Resource Rate Library'!$A$5:$A$85,0)),"")</x:f>
      </x:c>
      <x:c r="R297" s="53"/>
      <x:c r="S297" s="53"/>
      <x:c r="T297" s="81" t="str">
        <x:f>IFERROR(INDEX('Resource Rate Library'!$E$5:$E$85,MATCH(P297,'Resource Rate Library'!$A$5:$A$85,0)),"")</x:f>
      </x:c>
      <x:c r="U297" s="62"/>
      <x:c r="V297" s="62"/>
      <x:c r="W297" s="83" t="n">
        <x:f>IFERROR(INDEX('Resource Rate Library'!$I$5:$I$85,MATCH(P297,'Resource Rate Library'!$A$5:$A$85,0)),0)</x:f>
        <x:v>0</x:v>
      </x:c>
      <x:c r="X297" s="52"/>
      <x:c r="Y297" s="83" t="n">
        <x:f t="shared" si="26">IF(X297&gt;0,X297,W297)</x:f>
        <x:v>0</x:v>
      </x:c>
      <x:c r="Z297" s="83" t="str">
        <x:f t="shared" si="27">IF(B297="","",IF(N297="Time x Count",M297*R297*IF(U297="",1,U297)*Y297,IF(N297="QS Qty x Factor",E297*R297*(1+IF(V297="",0,V297))*Y297,IF(N297="Direct Qty",S297*(1+IF(V297="",0,V297))*Y297,IF(N297="Lump Sum / Quote",S297*Y297,0)))))</x:f>
      </x:c>
      <x:c r="AA297" s="81" t="str">
        <x:f>IFERROR(INDEX('Resource Rate Library'!$N$5:$N$85,MATCH(P297,'Resource Rate Library'!$A$5:$A$85,0)),"")</x:f>
      </x:c>
      <x:c r="AB297" s="53"/>
      <x:c r="AC297" s="59"/>
      <x:c r="AD297" s="81" t="str">
        <x:f>IFERROR(INDEX('Resource Rate Library'!$G$5:$G$85,MATCH(P297,'Resource Rate Library'!$A$5:$A$85,0)),"")</x:f>
      </x:c>
      <x:c r="AE297" s="81" t="str">
        <x:f>IFERROR(INDEX('Resource Rate Library'!$H$5:$H$85,MATCH(P297,'Resource Rate Library'!$A$5:$A$85,0)),"")</x:f>
      </x:c>
      <x:c r="AF297" s="53"/>
      <x:c r="AG297" s="53"/>
      <x:c r="AH297" s="53"/>
      <x:c r="AI297" s="81" t="str">
        <x:f t="shared" si="28">IF(B297="","",IF(AND(P297="",N297&lt;&gt;"Lump Sum / Quote"),"RESOURCE CODE",IF(Y297=0,"RATE MISSING",IF(AND(O297="Plant",AD297="Yes",COUNTIFS($B$7:$B$306,B297,$O$7:$O$306,"Labour",$Q$7:$Q$306,"*Operator*")&gt;0),"OPERATOR DOUBLE-COUNT",IF(AND(O297="Plant",AE297="Yes",COUNTIFS($B$7:$B$306,B297,$Q$7:$Q$306,"*Fuel*")&gt;0),"FUEL DOUBLE-COUNT",IF(AH297&lt;&gt;"Yes","VERIFY","OK"))))))</x:f>
      </x:c>
      <x:c r="AJ297" s="54"/>
      <x:c r="AK297" s="473"/>
      <x:c r="AL297" s="473"/>
      <x:c r="AM297" s="473"/>
      <x:c r="AN297" s="500" t="n">
        <x:f>IF(AND(AK297="Yes",OR(O297="Labour",O297="Plant")),Z297,0)</x:f>
        <x:v>0</x:v>
      </x:c>
    </x:row>
    <x:row r="298">
      <x:c r="A298" s="80" t="str">
        <x:f>IF(B298="","",B298&amp;"-"&amp;TEXT(COUNTIF($B$7:B298,B298),"000"))</x:f>
      </x:c>
      <x:c r="B298" s="53"/>
      <x:c r="C298" s="81" t="str">
        <x:f>IFERROR(INDEX('QS Takeoff'!$A$3:$A$194,MATCH(B298,'QS Takeoff'!$B$3:$B$194,0)),"")</x:f>
      </x:c>
      <x:c r="D298" s="81" t="str">
        <x:f>IFERROR(INDEX('QS Takeoff'!$C$3:$C$194,MATCH(B298,'QS Takeoff'!$B$3:$B$194,0)),"")</x:f>
      </x:c>
      <x:c r="E298" s="81" t="str">
        <x:f>IFERROR(INDEX('QS Takeoff'!$E$3:$E$194,MATCH(B298,'QS Takeoff'!$B$3:$B$194,0)),"")</x:f>
      </x:c>
      <x:c r="F298" s="81" t="str">
        <x:f>IFERROR(INDEX('QS Takeoff'!$D$3:$D$194,MATCH(B298,'QS Takeoff'!$B$3:$B$194,0)),"")</x:f>
      </x:c>
      <x:c r="G298" s="81" t="str">
        <x:f>IFERROR(INDEX('QS Takeoff'!$J$3:$J$194,MATCH(B298,'QS Takeoff'!$B$3:$B$194,0)),"")</x:f>
      </x:c>
      <x:c r="H298" s="53"/>
      <x:c r="I298" s="60"/>
      <x:c r="J298" s="60"/>
      <x:c r="K298" s="82" t="str">
        <x:f t="shared" si="24">IF(OR(B298="",I298="",I298=0),"",E298/I298)</x:f>
      </x:c>
      <x:c r="L298" s="60"/>
      <x:c r="M298" s="82" t="str">
        <x:f t="shared" si="25">IF(L298&gt;0,L298,K298)</x:f>
      </x:c>
      <x:c r="N298" s="53"/>
      <x:c r="O298" s="53"/>
      <x:c r="P298" s="53"/>
      <x:c r="Q298" s="81" t="str">
        <x:f>IFERROR(INDEX('Resource Rate Library'!$C$5:$C$85,MATCH(P298,'Resource Rate Library'!$A$5:$A$85,0)),"")</x:f>
      </x:c>
      <x:c r="R298" s="53"/>
      <x:c r="S298" s="53"/>
      <x:c r="T298" s="81" t="str">
        <x:f>IFERROR(INDEX('Resource Rate Library'!$E$5:$E$85,MATCH(P298,'Resource Rate Library'!$A$5:$A$85,0)),"")</x:f>
      </x:c>
      <x:c r="U298" s="62"/>
      <x:c r="V298" s="62"/>
      <x:c r="W298" s="83" t="n">
        <x:f>IFERROR(INDEX('Resource Rate Library'!$I$5:$I$85,MATCH(P298,'Resource Rate Library'!$A$5:$A$85,0)),0)</x:f>
        <x:v>0</x:v>
      </x:c>
      <x:c r="X298" s="52"/>
      <x:c r="Y298" s="83" t="n">
        <x:f t="shared" si="26">IF(X298&gt;0,X298,W298)</x:f>
        <x:v>0</x:v>
      </x:c>
      <x:c r="Z298" s="83" t="str">
        <x:f t="shared" si="27">IF(B298="","",IF(N298="Time x Count",M298*R298*IF(U298="",1,U298)*Y298,IF(N298="QS Qty x Factor",E298*R298*(1+IF(V298="",0,V298))*Y298,IF(N298="Direct Qty",S298*(1+IF(V298="",0,V298))*Y298,IF(N298="Lump Sum / Quote",S298*Y298,0)))))</x:f>
      </x:c>
      <x:c r="AA298" s="81" t="str">
        <x:f>IFERROR(INDEX('Resource Rate Library'!$N$5:$N$85,MATCH(P298,'Resource Rate Library'!$A$5:$A$85,0)),"")</x:f>
      </x:c>
      <x:c r="AB298" s="53"/>
      <x:c r="AC298" s="59"/>
      <x:c r="AD298" s="81" t="str">
        <x:f>IFERROR(INDEX('Resource Rate Library'!$G$5:$G$85,MATCH(P298,'Resource Rate Library'!$A$5:$A$85,0)),"")</x:f>
      </x:c>
      <x:c r="AE298" s="81" t="str">
        <x:f>IFERROR(INDEX('Resource Rate Library'!$H$5:$H$85,MATCH(P298,'Resource Rate Library'!$A$5:$A$85,0)),"")</x:f>
      </x:c>
      <x:c r="AF298" s="53"/>
      <x:c r="AG298" s="53"/>
      <x:c r="AH298" s="53"/>
      <x:c r="AI298" s="81" t="str">
        <x:f t="shared" si="28">IF(B298="","",IF(AND(P298="",N298&lt;&gt;"Lump Sum / Quote"),"RESOURCE CODE",IF(Y298=0,"RATE MISSING",IF(AND(O298="Plant",AD298="Yes",COUNTIFS($B$7:$B$306,B298,$O$7:$O$306,"Labour",$Q$7:$Q$306,"*Operator*")&gt;0),"OPERATOR DOUBLE-COUNT",IF(AND(O298="Plant",AE298="Yes",COUNTIFS($B$7:$B$306,B298,$Q$7:$Q$306,"*Fuel*")&gt;0),"FUEL DOUBLE-COUNT",IF(AH298&lt;&gt;"Yes","VERIFY","OK"))))))</x:f>
      </x:c>
      <x:c r="AJ298" s="54"/>
      <x:c r="AK298" s="473"/>
      <x:c r="AL298" s="473"/>
      <x:c r="AM298" s="473"/>
      <x:c r="AN298" s="500" t="n">
        <x:f>IF(AND(AK298="Yes",OR(O298="Labour",O298="Plant")),Z298,0)</x:f>
        <x:v>0</x:v>
      </x:c>
    </x:row>
    <x:row r="299">
      <x:c r="A299" s="80" t="str">
        <x:f>IF(B299="","",B299&amp;"-"&amp;TEXT(COUNTIF($B$7:B299,B299),"000"))</x:f>
      </x:c>
      <x:c r="B299" s="53"/>
      <x:c r="C299" s="81" t="str">
        <x:f>IFERROR(INDEX('QS Takeoff'!$A$3:$A$194,MATCH(B299,'QS Takeoff'!$B$3:$B$194,0)),"")</x:f>
      </x:c>
      <x:c r="D299" s="81" t="str">
        <x:f>IFERROR(INDEX('QS Takeoff'!$C$3:$C$194,MATCH(B299,'QS Takeoff'!$B$3:$B$194,0)),"")</x:f>
      </x:c>
      <x:c r="E299" s="81" t="str">
        <x:f>IFERROR(INDEX('QS Takeoff'!$E$3:$E$194,MATCH(B299,'QS Takeoff'!$B$3:$B$194,0)),"")</x:f>
      </x:c>
      <x:c r="F299" s="81" t="str">
        <x:f>IFERROR(INDEX('QS Takeoff'!$D$3:$D$194,MATCH(B299,'QS Takeoff'!$B$3:$B$194,0)),"")</x:f>
      </x:c>
      <x:c r="G299" s="81" t="str">
        <x:f>IFERROR(INDEX('QS Takeoff'!$J$3:$J$194,MATCH(B299,'QS Takeoff'!$B$3:$B$194,0)),"")</x:f>
      </x:c>
      <x:c r="H299" s="53"/>
      <x:c r="I299" s="60"/>
      <x:c r="J299" s="60"/>
      <x:c r="K299" s="82" t="str">
        <x:f t="shared" si="24">IF(OR(B299="",I299="",I299=0),"",E299/I299)</x:f>
      </x:c>
      <x:c r="L299" s="60"/>
      <x:c r="M299" s="82" t="str">
        <x:f t="shared" si="25">IF(L299&gt;0,L299,K299)</x:f>
      </x:c>
      <x:c r="N299" s="53"/>
      <x:c r="O299" s="53"/>
      <x:c r="P299" s="53"/>
      <x:c r="Q299" s="81" t="str">
        <x:f>IFERROR(INDEX('Resource Rate Library'!$C$5:$C$85,MATCH(P299,'Resource Rate Library'!$A$5:$A$85,0)),"")</x:f>
      </x:c>
      <x:c r="R299" s="53"/>
      <x:c r="S299" s="53"/>
      <x:c r="T299" s="81" t="str">
        <x:f>IFERROR(INDEX('Resource Rate Library'!$E$5:$E$85,MATCH(P299,'Resource Rate Library'!$A$5:$A$85,0)),"")</x:f>
      </x:c>
      <x:c r="U299" s="62"/>
      <x:c r="V299" s="62"/>
      <x:c r="W299" s="83" t="n">
        <x:f>IFERROR(INDEX('Resource Rate Library'!$I$5:$I$85,MATCH(P299,'Resource Rate Library'!$A$5:$A$85,0)),0)</x:f>
        <x:v>0</x:v>
      </x:c>
      <x:c r="X299" s="52"/>
      <x:c r="Y299" s="83" t="n">
        <x:f t="shared" si="26">IF(X299&gt;0,X299,W299)</x:f>
        <x:v>0</x:v>
      </x:c>
      <x:c r="Z299" s="83" t="str">
        <x:f t="shared" si="27">IF(B299="","",IF(N299="Time x Count",M299*R299*IF(U299="",1,U299)*Y299,IF(N299="QS Qty x Factor",E299*R299*(1+IF(V299="",0,V299))*Y299,IF(N299="Direct Qty",S299*(1+IF(V299="",0,V299))*Y299,IF(N299="Lump Sum / Quote",S299*Y299,0)))))</x:f>
      </x:c>
      <x:c r="AA299" s="81" t="str">
        <x:f>IFERROR(INDEX('Resource Rate Library'!$N$5:$N$85,MATCH(P299,'Resource Rate Library'!$A$5:$A$85,0)),"")</x:f>
      </x:c>
      <x:c r="AB299" s="53"/>
      <x:c r="AC299" s="59"/>
      <x:c r="AD299" s="81" t="str">
        <x:f>IFERROR(INDEX('Resource Rate Library'!$G$5:$G$85,MATCH(P299,'Resource Rate Library'!$A$5:$A$85,0)),"")</x:f>
      </x:c>
      <x:c r="AE299" s="81" t="str">
        <x:f>IFERROR(INDEX('Resource Rate Library'!$H$5:$H$85,MATCH(P299,'Resource Rate Library'!$A$5:$A$85,0)),"")</x:f>
      </x:c>
      <x:c r="AF299" s="53"/>
      <x:c r="AG299" s="53"/>
      <x:c r="AH299" s="53"/>
      <x:c r="AI299" s="81" t="str">
        <x:f t="shared" si="28">IF(B299="","",IF(AND(P299="",N299&lt;&gt;"Lump Sum / Quote"),"RESOURCE CODE",IF(Y299=0,"RATE MISSING",IF(AND(O299="Plant",AD299="Yes",COUNTIFS($B$7:$B$306,B299,$O$7:$O$306,"Labour",$Q$7:$Q$306,"*Operator*")&gt;0),"OPERATOR DOUBLE-COUNT",IF(AND(O299="Plant",AE299="Yes",COUNTIFS($B$7:$B$306,B299,$Q$7:$Q$306,"*Fuel*")&gt;0),"FUEL DOUBLE-COUNT",IF(AH299&lt;&gt;"Yes","VERIFY","OK"))))))</x:f>
      </x:c>
      <x:c r="AJ299" s="54"/>
      <x:c r="AK299" s="473"/>
      <x:c r="AL299" s="473"/>
      <x:c r="AM299" s="473"/>
      <x:c r="AN299" s="500" t="n">
        <x:f>IF(AND(AK299="Yes",OR(O299="Labour",O299="Plant")),Z299,0)</x:f>
        <x:v>0</x:v>
      </x:c>
    </x:row>
    <x:row r="300">
      <x:c r="A300" s="80" t="str">
        <x:f>IF(B300="","",B300&amp;"-"&amp;TEXT(COUNTIF($B$7:B300,B300),"000"))</x:f>
      </x:c>
      <x:c r="B300" s="53"/>
      <x:c r="C300" s="81" t="str">
        <x:f>IFERROR(INDEX('QS Takeoff'!$A$3:$A$194,MATCH(B300,'QS Takeoff'!$B$3:$B$194,0)),"")</x:f>
      </x:c>
      <x:c r="D300" s="81" t="str">
        <x:f>IFERROR(INDEX('QS Takeoff'!$C$3:$C$194,MATCH(B300,'QS Takeoff'!$B$3:$B$194,0)),"")</x:f>
      </x:c>
      <x:c r="E300" s="81" t="str">
        <x:f>IFERROR(INDEX('QS Takeoff'!$E$3:$E$194,MATCH(B300,'QS Takeoff'!$B$3:$B$194,0)),"")</x:f>
      </x:c>
      <x:c r="F300" s="81" t="str">
        <x:f>IFERROR(INDEX('QS Takeoff'!$D$3:$D$194,MATCH(B300,'QS Takeoff'!$B$3:$B$194,0)),"")</x:f>
      </x:c>
      <x:c r="G300" s="81" t="str">
        <x:f>IFERROR(INDEX('QS Takeoff'!$J$3:$J$194,MATCH(B300,'QS Takeoff'!$B$3:$B$194,0)),"")</x:f>
      </x:c>
      <x:c r="H300" s="53"/>
      <x:c r="I300" s="60"/>
      <x:c r="J300" s="60"/>
      <x:c r="K300" s="82" t="str">
        <x:f t="shared" si="24">IF(OR(B300="",I300="",I300=0),"",E300/I300)</x:f>
      </x:c>
      <x:c r="L300" s="60"/>
      <x:c r="M300" s="82" t="str">
        <x:f t="shared" si="25">IF(L300&gt;0,L300,K300)</x:f>
      </x:c>
      <x:c r="N300" s="53"/>
      <x:c r="O300" s="53"/>
      <x:c r="P300" s="53"/>
      <x:c r="Q300" s="81" t="str">
        <x:f>IFERROR(INDEX('Resource Rate Library'!$C$5:$C$85,MATCH(P300,'Resource Rate Library'!$A$5:$A$85,0)),"")</x:f>
      </x:c>
      <x:c r="R300" s="53"/>
      <x:c r="S300" s="53"/>
      <x:c r="T300" s="81" t="str">
        <x:f>IFERROR(INDEX('Resource Rate Library'!$E$5:$E$85,MATCH(P300,'Resource Rate Library'!$A$5:$A$85,0)),"")</x:f>
      </x:c>
      <x:c r="U300" s="62"/>
      <x:c r="V300" s="62"/>
      <x:c r="W300" s="83" t="n">
        <x:f>IFERROR(INDEX('Resource Rate Library'!$I$5:$I$85,MATCH(P300,'Resource Rate Library'!$A$5:$A$85,0)),0)</x:f>
        <x:v>0</x:v>
      </x:c>
      <x:c r="X300" s="52"/>
      <x:c r="Y300" s="83" t="n">
        <x:f t="shared" si="26">IF(X300&gt;0,X300,W300)</x:f>
        <x:v>0</x:v>
      </x:c>
      <x:c r="Z300" s="83" t="str">
        <x:f t="shared" si="27">IF(B300="","",IF(N300="Time x Count",M300*R300*IF(U300="",1,U300)*Y300,IF(N300="QS Qty x Factor",E300*R300*(1+IF(V300="",0,V300))*Y300,IF(N300="Direct Qty",S300*(1+IF(V300="",0,V300))*Y300,IF(N300="Lump Sum / Quote",S300*Y300,0)))))</x:f>
      </x:c>
      <x:c r="AA300" s="81" t="str">
        <x:f>IFERROR(INDEX('Resource Rate Library'!$N$5:$N$85,MATCH(P300,'Resource Rate Library'!$A$5:$A$85,0)),"")</x:f>
      </x:c>
      <x:c r="AB300" s="53"/>
      <x:c r="AC300" s="59"/>
      <x:c r="AD300" s="81" t="str">
        <x:f>IFERROR(INDEX('Resource Rate Library'!$G$5:$G$85,MATCH(P300,'Resource Rate Library'!$A$5:$A$85,0)),"")</x:f>
      </x:c>
      <x:c r="AE300" s="81" t="str">
        <x:f>IFERROR(INDEX('Resource Rate Library'!$H$5:$H$85,MATCH(P300,'Resource Rate Library'!$A$5:$A$85,0)),"")</x:f>
      </x:c>
      <x:c r="AF300" s="53"/>
      <x:c r="AG300" s="53"/>
      <x:c r="AH300" s="53"/>
      <x:c r="AI300" s="81" t="str">
        <x:f t="shared" si="28">IF(B300="","",IF(AND(P300="",N300&lt;&gt;"Lump Sum / Quote"),"RESOURCE CODE",IF(Y300=0,"RATE MISSING",IF(AND(O300="Plant",AD300="Yes",COUNTIFS($B$7:$B$306,B300,$O$7:$O$306,"Labour",$Q$7:$Q$306,"*Operator*")&gt;0),"OPERATOR DOUBLE-COUNT",IF(AND(O300="Plant",AE300="Yes",COUNTIFS($B$7:$B$306,B300,$Q$7:$Q$306,"*Fuel*")&gt;0),"FUEL DOUBLE-COUNT",IF(AH300&lt;&gt;"Yes","VERIFY","OK"))))))</x:f>
      </x:c>
      <x:c r="AJ300" s="54"/>
      <x:c r="AK300" s="473"/>
      <x:c r="AL300" s="473"/>
      <x:c r="AM300" s="473"/>
      <x:c r="AN300" s="500" t="n">
        <x:f>IF(AND(AK300="Yes",OR(O300="Labour",O300="Plant")),Z300,0)</x:f>
        <x:v>0</x:v>
      </x:c>
    </x:row>
    <x:row r="301">
      <x:c r="A301" s="80" t="str">
        <x:f>IF(B301="","",B301&amp;"-"&amp;TEXT(COUNTIF($B$7:B301,B301),"000"))</x:f>
      </x:c>
      <x:c r="B301" s="53"/>
      <x:c r="C301" s="81" t="str">
        <x:f>IFERROR(INDEX('QS Takeoff'!$A$3:$A$194,MATCH(B301,'QS Takeoff'!$B$3:$B$194,0)),"")</x:f>
      </x:c>
      <x:c r="D301" s="81" t="str">
        <x:f>IFERROR(INDEX('QS Takeoff'!$C$3:$C$194,MATCH(B301,'QS Takeoff'!$B$3:$B$194,0)),"")</x:f>
      </x:c>
      <x:c r="E301" s="81" t="str">
        <x:f>IFERROR(INDEX('QS Takeoff'!$E$3:$E$194,MATCH(B301,'QS Takeoff'!$B$3:$B$194,0)),"")</x:f>
      </x:c>
      <x:c r="F301" s="81" t="str">
        <x:f>IFERROR(INDEX('QS Takeoff'!$D$3:$D$194,MATCH(B301,'QS Takeoff'!$B$3:$B$194,0)),"")</x:f>
      </x:c>
      <x:c r="G301" s="81" t="str">
        <x:f>IFERROR(INDEX('QS Takeoff'!$J$3:$J$194,MATCH(B301,'QS Takeoff'!$B$3:$B$194,0)),"")</x:f>
      </x:c>
      <x:c r="H301" s="53"/>
      <x:c r="I301" s="60"/>
      <x:c r="J301" s="60"/>
      <x:c r="K301" s="82" t="str">
        <x:f t="shared" si="24">IF(OR(B301="",I301="",I301=0),"",E301/I301)</x:f>
      </x:c>
      <x:c r="L301" s="60"/>
      <x:c r="M301" s="82" t="str">
        <x:f t="shared" si="25">IF(L301&gt;0,L301,K301)</x:f>
      </x:c>
      <x:c r="N301" s="53"/>
      <x:c r="O301" s="53"/>
      <x:c r="P301" s="53"/>
      <x:c r="Q301" s="81" t="str">
        <x:f>IFERROR(INDEX('Resource Rate Library'!$C$5:$C$85,MATCH(P301,'Resource Rate Library'!$A$5:$A$85,0)),"")</x:f>
      </x:c>
      <x:c r="R301" s="53"/>
      <x:c r="S301" s="53"/>
      <x:c r="T301" s="81" t="str">
        <x:f>IFERROR(INDEX('Resource Rate Library'!$E$5:$E$85,MATCH(P301,'Resource Rate Library'!$A$5:$A$85,0)),"")</x:f>
      </x:c>
      <x:c r="U301" s="62"/>
      <x:c r="V301" s="62"/>
      <x:c r="W301" s="83" t="n">
        <x:f>IFERROR(INDEX('Resource Rate Library'!$I$5:$I$85,MATCH(P301,'Resource Rate Library'!$A$5:$A$85,0)),0)</x:f>
        <x:v>0</x:v>
      </x:c>
      <x:c r="X301" s="52"/>
      <x:c r="Y301" s="83" t="n">
        <x:f t="shared" si="26">IF(X301&gt;0,X301,W301)</x:f>
        <x:v>0</x:v>
      </x:c>
      <x:c r="Z301" s="83" t="str">
        <x:f t="shared" si="27">IF(B301="","",IF(N301="Time x Count",M301*R301*IF(U301="",1,U301)*Y301,IF(N301="QS Qty x Factor",E301*R301*(1+IF(V301="",0,V301))*Y301,IF(N301="Direct Qty",S301*(1+IF(V301="",0,V301))*Y301,IF(N301="Lump Sum / Quote",S301*Y301,0)))))</x:f>
      </x:c>
      <x:c r="AA301" s="81" t="str">
        <x:f>IFERROR(INDEX('Resource Rate Library'!$N$5:$N$85,MATCH(P301,'Resource Rate Library'!$A$5:$A$85,0)),"")</x:f>
      </x:c>
      <x:c r="AB301" s="53"/>
      <x:c r="AC301" s="59"/>
      <x:c r="AD301" s="81" t="str">
        <x:f>IFERROR(INDEX('Resource Rate Library'!$G$5:$G$85,MATCH(P301,'Resource Rate Library'!$A$5:$A$85,0)),"")</x:f>
      </x:c>
      <x:c r="AE301" s="81" t="str">
        <x:f>IFERROR(INDEX('Resource Rate Library'!$H$5:$H$85,MATCH(P301,'Resource Rate Library'!$A$5:$A$85,0)),"")</x:f>
      </x:c>
      <x:c r="AF301" s="53"/>
      <x:c r="AG301" s="53"/>
      <x:c r="AH301" s="53"/>
      <x:c r="AI301" s="81" t="str">
        <x:f t="shared" si="28">IF(B301="","",IF(AND(P301="",N301&lt;&gt;"Lump Sum / Quote"),"RESOURCE CODE",IF(Y301=0,"RATE MISSING",IF(AND(O301="Plant",AD301="Yes",COUNTIFS($B$7:$B$306,B301,$O$7:$O$306,"Labour",$Q$7:$Q$306,"*Operator*")&gt;0),"OPERATOR DOUBLE-COUNT",IF(AND(O301="Plant",AE301="Yes",COUNTIFS($B$7:$B$306,B301,$Q$7:$Q$306,"*Fuel*")&gt;0),"FUEL DOUBLE-COUNT",IF(AH301&lt;&gt;"Yes","VERIFY","OK"))))))</x:f>
      </x:c>
      <x:c r="AJ301" s="54"/>
      <x:c r="AK301" s="473"/>
      <x:c r="AL301" s="473"/>
      <x:c r="AM301" s="473"/>
      <x:c r="AN301" s="500" t="n">
        <x:f>IF(AND(AK301="Yes",OR(O301="Labour",O301="Plant")),Z301,0)</x:f>
        <x:v>0</x:v>
      </x:c>
    </x:row>
    <x:row r="302">
      <x:c r="A302" s="80" t="str">
        <x:f>IF(B302="","",B302&amp;"-"&amp;TEXT(COUNTIF($B$7:B302,B302),"000"))</x:f>
      </x:c>
      <x:c r="B302" s="53"/>
      <x:c r="C302" s="81" t="str">
        <x:f>IFERROR(INDEX('QS Takeoff'!$A$3:$A$194,MATCH(B302,'QS Takeoff'!$B$3:$B$194,0)),"")</x:f>
      </x:c>
      <x:c r="D302" s="81" t="str">
        <x:f>IFERROR(INDEX('QS Takeoff'!$C$3:$C$194,MATCH(B302,'QS Takeoff'!$B$3:$B$194,0)),"")</x:f>
      </x:c>
      <x:c r="E302" s="81" t="str">
        <x:f>IFERROR(INDEX('QS Takeoff'!$E$3:$E$194,MATCH(B302,'QS Takeoff'!$B$3:$B$194,0)),"")</x:f>
      </x:c>
      <x:c r="F302" s="81" t="str">
        <x:f>IFERROR(INDEX('QS Takeoff'!$D$3:$D$194,MATCH(B302,'QS Takeoff'!$B$3:$B$194,0)),"")</x:f>
      </x:c>
      <x:c r="G302" s="81" t="str">
        <x:f>IFERROR(INDEX('QS Takeoff'!$J$3:$J$194,MATCH(B302,'QS Takeoff'!$B$3:$B$194,0)),"")</x:f>
      </x:c>
      <x:c r="H302" s="53"/>
      <x:c r="I302" s="60"/>
      <x:c r="J302" s="60"/>
      <x:c r="K302" s="82" t="str">
        <x:f t="shared" si="24">IF(OR(B302="",I302="",I302=0),"",E302/I302)</x:f>
      </x:c>
      <x:c r="L302" s="60"/>
      <x:c r="M302" s="82" t="str">
        <x:f t="shared" si="25">IF(L302&gt;0,L302,K302)</x:f>
      </x:c>
      <x:c r="N302" s="53"/>
      <x:c r="O302" s="53"/>
      <x:c r="P302" s="53"/>
      <x:c r="Q302" s="81" t="str">
        <x:f>IFERROR(INDEX('Resource Rate Library'!$C$5:$C$85,MATCH(P302,'Resource Rate Library'!$A$5:$A$85,0)),"")</x:f>
      </x:c>
      <x:c r="R302" s="53"/>
      <x:c r="S302" s="53"/>
      <x:c r="T302" s="81" t="str">
        <x:f>IFERROR(INDEX('Resource Rate Library'!$E$5:$E$85,MATCH(P302,'Resource Rate Library'!$A$5:$A$85,0)),"")</x:f>
      </x:c>
      <x:c r="U302" s="62"/>
      <x:c r="V302" s="62"/>
      <x:c r="W302" s="83" t="n">
        <x:f>IFERROR(INDEX('Resource Rate Library'!$I$5:$I$85,MATCH(P302,'Resource Rate Library'!$A$5:$A$85,0)),0)</x:f>
        <x:v>0</x:v>
      </x:c>
      <x:c r="X302" s="52"/>
      <x:c r="Y302" s="83" t="n">
        <x:f t="shared" si="26">IF(X302&gt;0,X302,W302)</x:f>
        <x:v>0</x:v>
      </x:c>
      <x:c r="Z302" s="83" t="str">
        <x:f t="shared" si="27">IF(B302="","",IF(N302="Time x Count",M302*R302*IF(U302="",1,U302)*Y302,IF(N302="QS Qty x Factor",E302*R302*(1+IF(V302="",0,V302))*Y302,IF(N302="Direct Qty",S302*(1+IF(V302="",0,V302))*Y302,IF(N302="Lump Sum / Quote",S302*Y302,0)))))</x:f>
      </x:c>
      <x:c r="AA302" s="81" t="str">
        <x:f>IFERROR(INDEX('Resource Rate Library'!$N$5:$N$85,MATCH(P302,'Resource Rate Library'!$A$5:$A$85,0)),"")</x:f>
      </x:c>
      <x:c r="AB302" s="53"/>
      <x:c r="AC302" s="59"/>
      <x:c r="AD302" s="81" t="str">
        <x:f>IFERROR(INDEX('Resource Rate Library'!$G$5:$G$85,MATCH(P302,'Resource Rate Library'!$A$5:$A$85,0)),"")</x:f>
      </x:c>
      <x:c r="AE302" s="81" t="str">
        <x:f>IFERROR(INDEX('Resource Rate Library'!$H$5:$H$85,MATCH(P302,'Resource Rate Library'!$A$5:$A$85,0)),"")</x:f>
      </x:c>
      <x:c r="AF302" s="53"/>
      <x:c r="AG302" s="53"/>
      <x:c r="AH302" s="53"/>
      <x:c r="AI302" s="81" t="str">
        <x:f t="shared" si="28">IF(B302="","",IF(AND(P302="",N302&lt;&gt;"Lump Sum / Quote"),"RESOURCE CODE",IF(Y302=0,"RATE MISSING",IF(AND(O302="Plant",AD302="Yes",COUNTIFS($B$7:$B$306,B302,$O$7:$O$306,"Labour",$Q$7:$Q$306,"*Operator*")&gt;0),"OPERATOR DOUBLE-COUNT",IF(AND(O302="Plant",AE302="Yes",COUNTIFS($B$7:$B$306,B302,$Q$7:$Q$306,"*Fuel*")&gt;0),"FUEL DOUBLE-COUNT",IF(AH302&lt;&gt;"Yes","VERIFY","OK"))))))</x:f>
      </x:c>
      <x:c r="AJ302" s="54"/>
      <x:c r="AK302" s="473"/>
      <x:c r="AL302" s="473"/>
      <x:c r="AM302" s="473"/>
      <x:c r="AN302" s="500" t="n">
        <x:f>IF(AND(AK302="Yes",OR(O302="Labour",O302="Plant")),Z302,0)</x:f>
        <x:v>0</x:v>
      </x:c>
    </x:row>
    <x:row r="303">
      <x:c r="A303" s="80" t="str">
        <x:f>IF(B303="","",B303&amp;"-"&amp;TEXT(COUNTIF($B$7:B303,B303),"000"))</x:f>
      </x:c>
      <x:c r="B303" s="53"/>
      <x:c r="C303" s="81" t="str">
        <x:f>IFERROR(INDEX('QS Takeoff'!$A$3:$A$194,MATCH(B303,'QS Takeoff'!$B$3:$B$194,0)),"")</x:f>
      </x:c>
      <x:c r="D303" s="81" t="str">
        <x:f>IFERROR(INDEX('QS Takeoff'!$C$3:$C$194,MATCH(B303,'QS Takeoff'!$B$3:$B$194,0)),"")</x:f>
      </x:c>
      <x:c r="E303" s="81" t="str">
        <x:f>IFERROR(INDEX('QS Takeoff'!$E$3:$E$194,MATCH(B303,'QS Takeoff'!$B$3:$B$194,0)),"")</x:f>
      </x:c>
      <x:c r="F303" s="81" t="str">
        <x:f>IFERROR(INDEX('QS Takeoff'!$D$3:$D$194,MATCH(B303,'QS Takeoff'!$B$3:$B$194,0)),"")</x:f>
      </x:c>
      <x:c r="G303" s="81" t="str">
        <x:f>IFERROR(INDEX('QS Takeoff'!$J$3:$J$194,MATCH(B303,'QS Takeoff'!$B$3:$B$194,0)),"")</x:f>
      </x:c>
      <x:c r="H303" s="53"/>
      <x:c r="I303" s="60"/>
      <x:c r="J303" s="60"/>
      <x:c r="K303" s="82" t="str">
        <x:f t="shared" si="24">IF(OR(B303="",I303="",I303=0),"",E303/I303)</x:f>
      </x:c>
      <x:c r="L303" s="60"/>
      <x:c r="M303" s="82" t="str">
        <x:f t="shared" si="25">IF(L303&gt;0,L303,K303)</x:f>
      </x:c>
      <x:c r="N303" s="53"/>
      <x:c r="O303" s="53"/>
      <x:c r="P303" s="53"/>
      <x:c r="Q303" s="81" t="str">
        <x:f>IFERROR(INDEX('Resource Rate Library'!$C$5:$C$85,MATCH(P303,'Resource Rate Library'!$A$5:$A$85,0)),"")</x:f>
      </x:c>
      <x:c r="R303" s="53"/>
      <x:c r="S303" s="53"/>
      <x:c r="T303" s="81" t="str">
        <x:f>IFERROR(INDEX('Resource Rate Library'!$E$5:$E$85,MATCH(P303,'Resource Rate Library'!$A$5:$A$85,0)),"")</x:f>
      </x:c>
      <x:c r="U303" s="62"/>
      <x:c r="V303" s="62"/>
      <x:c r="W303" s="83" t="n">
        <x:f>IFERROR(INDEX('Resource Rate Library'!$I$5:$I$85,MATCH(P303,'Resource Rate Library'!$A$5:$A$85,0)),0)</x:f>
        <x:v>0</x:v>
      </x:c>
      <x:c r="X303" s="52"/>
      <x:c r="Y303" s="83" t="n">
        <x:f t="shared" si="26">IF(X303&gt;0,X303,W303)</x:f>
        <x:v>0</x:v>
      </x:c>
      <x:c r="Z303" s="83" t="str">
        <x:f t="shared" si="27">IF(B303="","",IF(N303="Time x Count",M303*R303*IF(U303="",1,U303)*Y303,IF(N303="QS Qty x Factor",E303*R303*(1+IF(V303="",0,V303))*Y303,IF(N303="Direct Qty",S303*(1+IF(V303="",0,V303))*Y303,IF(N303="Lump Sum / Quote",S303*Y303,0)))))</x:f>
      </x:c>
      <x:c r="AA303" s="81" t="str">
        <x:f>IFERROR(INDEX('Resource Rate Library'!$N$5:$N$85,MATCH(P303,'Resource Rate Library'!$A$5:$A$85,0)),"")</x:f>
      </x:c>
      <x:c r="AB303" s="53"/>
      <x:c r="AC303" s="59"/>
      <x:c r="AD303" s="81" t="str">
        <x:f>IFERROR(INDEX('Resource Rate Library'!$G$5:$G$85,MATCH(P303,'Resource Rate Library'!$A$5:$A$85,0)),"")</x:f>
      </x:c>
      <x:c r="AE303" s="81" t="str">
        <x:f>IFERROR(INDEX('Resource Rate Library'!$H$5:$H$85,MATCH(P303,'Resource Rate Library'!$A$5:$A$85,0)),"")</x:f>
      </x:c>
      <x:c r="AF303" s="53"/>
      <x:c r="AG303" s="53"/>
      <x:c r="AH303" s="53"/>
      <x:c r="AI303" s="81" t="str">
        <x:f t="shared" si="28">IF(B303="","",IF(AND(P303="",N303&lt;&gt;"Lump Sum / Quote"),"RESOURCE CODE",IF(Y303=0,"RATE MISSING",IF(AND(O303="Plant",AD303="Yes",COUNTIFS($B$7:$B$306,B303,$O$7:$O$306,"Labour",$Q$7:$Q$306,"*Operator*")&gt;0),"OPERATOR DOUBLE-COUNT",IF(AND(O303="Plant",AE303="Yes",COUNTIFS($B$7:$B$306,B303,$Q$7:$Q$306,"*Fuel*")&gt;0),"FUEL DOUBLE-COUNT",IF(AH303&lt;&gt;"Yes","VERIFY","OK"))))))</x:f>
      </x:c>
      <x:c r="AJ303" s="54"/>
      <x:c r="AK303" s="473"/>
      <x:c r="AL303" s="473"/>
      <x:c r="AM303" s="473"/>
      <x:c r="AN303" s="500" t="n">
        <x:f>IF(AND(AK303="Yes",OR(O303="Labour",O303="Plant")),Z303,0)</x:f>
        <x:v>0</x:v>
      </x:c>
    </x:row>
    <x:row r="304">
      <x:c r="A304" s="80" t="str">
        <x:f>IF(B304="","",B304&amp;"-"&amp;TEXT(COUNTIF($B$7:B304,B304),"000"))</x:f>
      </x:c>
      <x:c r="B304" s="53"/>
      <x:c r="C304" s="81" t="str">
        <x:f>IFERROR(INDEX('QS Takeoff'!$A$3:$A$194,MATCH(B304,'QS Takeoff'!$B$3:$B$194,0)),"")</x:f>
      </x:c>
      <x:c r="D304" s="81" t="str">
        <x:f>IFERROR(INDEX('QS Takeoff'!$C$3:$C$194,MATCH(B304,'QS Takeoff'!$B$3:$B$194,0)),"")</x:f>
      </x:c>
      <x:c r="E304" s="81" t="str">
        <x:f>IFERROR(INDEX('QS Takeoff'!$E$3:$E$194,MATCH(B304,'QS Takeoff'!$B$3:$B$194,0)),"")</x:f>
      </x:c>
      <x:c r="F304" s="81" t="str">
        <x:f>IFERROR(INDEX('QS Takeoff'!$D$3:$D$194,MATCH(B304,'QS Takeoff'!$B$3:$B$194,0)),"")</x:f>
      </x:c>
      <x:c r="G304" s="81" t="str">
        <x:f>IFERROR(INDEX('QS Takeoff'!$J$3:$J$194,MATCH(B304,'QS Takeoff'!$B$3:$B$194,0)),"")</x:f>
      </x:c>
      <x:c r="H304" s="53"/>
      <x:c r="I304" s="60"/>
      <x:c r="J304" s="60"/>
      <x:c r="K304" s="82" t="str">
        <x:f t="shared" si="24">IF(OR(B304="",I304="",I304=0),"",E304/I304)</x:f>
      </x:c>
      <x:c r="L304" s="60"/>
      <x:c r="M304" s="82" t="str">
        <x:f t="shared" si="25">IF(L304&gt;0,L304,K304)</x:f>
      </x:c>
      <x:c r="N304" s="53"/>
      <x:c r="O304" s="53"/>
      <x:c r="P304" s="53"/>
      <x:c r="Q304" s="81" t="str">
        <x:f>IFERROR(INDEX('Resource Rate Library'!$C$5:$C$85,MATCH(P304,'Resource Rate Library'!$A$5:$A$85,0)),"")</x:f>
      </x:c>
      <x:c r="R304" s="53"/>
      <x:c r="S304" s="53"/>
      <x:c r="T304" s="81" t="str">
        <x:f>IFERROR(INDEX('Resource Rate Library'!$E$5:$E$85,MATCH(P304,'Resource Rate Library'!$A$5:$A$85,0)),"")</x:f>
      </x:c>
      <x:c r="U304" s="62"/>
      <x:c r="V304" s="62"/>
      <x:c r="W304" s="83" t="n">
        <x:f>IFERROR(INDEX('Resource Rate Library'!$I$5:$I$85,MATCH(P304,'Resource Rate Library'!$A$5:$A$85,0)),0)</x:f>
        <x:v>0</x:v>
      </x:c>
      <x:c r="X304" s="52"/>
      <x:c r="Y304" s="83" t="n">
        <x:f t="shared" si="26">IF(X304&gt;0,X304,W304)</x:f>
        <x:v>0</x:v>
      </x:c>
      <x:c r="Z304" s="83" t="str">
        <x:f t="shared" si="27">IF(B304="","",IF(N304="Time x Count",M304*R304*IF(U304="",1,U304)*Y304,IF(N304="QS Qty x Factor",E304*R304*(1+IF(V304="",0,V304))*Y304,IF(N304="Direct Qty",S304*(1+IF(V304="",0,V304))*Y304,IF(N304="Lump Sum / Quote",S304*Y304,0)))))</x:f>
      </x:c>
      <x:c r="AA304" s="81" t="str">
        <x:f>IFERROR(INDEX('Resource Rate Library'!$N$5:$N$85,MATCH(P304,'Resource Rate Library'!$A$5:$A$85,0)),"")</x:f>
      </x:c>
      <x:c r="AB304" s="53"/>
      <x:c r="AC304" s="59"/>
      <x:c r="AD304" s="81" t="str">
        <x:f>IFERROR(INDEX('Resource Rate Library'!$G$5:$G$85,MATCH(P304,'Resource Rate Library'!$A$5:$A$85,0)),"")</x:f>
      </x:c>
      <x:c r="AE304" s="81" t="str">
        <x:f>IFERROR(INDEX('Resource Rate Library'!$H$5:$H$85,MATCH(P304,'Resource Rate Library'!$A$5:$A$85,0)),"")</x:f>
      </x:c>
      <x:c r="AF304" s="53"/>
      <x:c r="AG304" s="53"/>
      <x:c r="AH304" s="53"/>
      <x:c r="AI304" s="81" t="str">
        <x:f t="shared" si="28">IF(B304="","",IF(AND(P304="",N304&lt;&gt;"Lump Sum / Quote"),"RESOURCE CODE",IF(Y304=0,"RATE MISSING",IF(AND(O304="Plant",AD304="Yes",COUNTIFS($B$7:$B$306,B304,$O$7:$O$306,"Labour",$Q$7:$Q$306,"*Operator*")&gt;0),"OPERATOR DOUBLE-COUNT",IF(AND(O304="Plant",AE304="Yes",COUNTIFS($B$7:$B$306,B304,$Q$7:$Q$306,"*Fuel*")&gt;0),"FUEL DOUBLE-COUNT",IF(AH304&lt;&gt;"Yes","VERIFY","OK"))))))</x:f>
      </x:c>
      <x:c r="AJ304" s="54"/>
      <x:c r="AK304" s="473"/>
      <x:c r="AL304" s="473"/>
      <x:c r="AM304" s="473"/>
      <x:c r="AN304" s="500" t="n">
        <x:f>IF(AND(AK304="Yes",OR(O304="Labour",O304="Plant")),Z304,0)</x:f>
        <x:v>0</x:v>
      </x:c>
    </x:row>
    <x:row r="305">
      <x:c r="A305" s="80" t="str">
        <x:f>IF(B305="","",B305&amp;"-"&amp;TEXT(COUNTIF($B$7:B305,B305),"000"))</x:f>
      </x:c>
      <x:c r="B305" s="53"/>
      <x:c r="C305" s="81" t="str">
        <x:f>IFERROR(INDEX('QS Takeoff'!$A$3:$A$194,MATCH(B305,'QS Takeoff'!$B$3:$B$194,0)),"")</x:f>
      </x:c>
      <x:c r="D305" s="81" t="str">
        <x:f>IFERROR(INDEX('QS Takeoff'!$C$3:$C$194,MATCH(B305,'QS Takeoff'!$B$3:$B$194,0)),"")</x:f>
      </x:c>
      <x:c r="E305" s="81" t="str">
        <x:f>IFERROR(INDEX('QS Takeoff'!$E$3:$E$194,MATCH(B305,'QS Takeoff'!$B$3:$B$194,0)),"")</x:f>
      </x:c>
      <x:c r="F305" s="81" t="str">
        <x:f>IFERROR(INDEX('QS Takeoff'!$D$3:$D$194,MATCH(B305,'QS Takeoff'!$B$3:$B$194,0)),"")</x:f>
      </x:c>
      <x:c r="G305" s="81" t="str">
        <x:f>IFERROR(INDEX('QS Takeoff'!$J$3:$J$194,MATCH(B305,'QS Takeoff'!$B$3:$B$194,0)),"")</x:f>
      </x:c>
      <x:c r="H305" s="53"/>
      <x:c r="I305" s="60"/>
      <x:c r="J305" s="60"/>
      <x:c r="K305" s="82" t="str">
        <x:f t="shared" si="24">IF(OR(B305="",I305="",I305=0),"",E305/I305)</x:f>
      </x:c>
      <x:c r="L305" s="60"/>
      <x:c r="M305" s="82" t="str">
        <x:f t="shared" si="25">IF(L305&gt;0,L305,K305)</x:f>
      </x:c>
      <x:c r="N305" s="53"/>
      <x:c r="O305" s="53"/>
      <x:c r="P305" s="53"/>
      <x:c r="Q305" s="81" t="str">
        <x:f>IFERROR(INDEX('Resource Rate Library'!$C$5:$C$85,MATCH(P305,'Resource Rate Library'!$A$5:$A$85,0)),"")</x:f>
      </x:c>
      <x:c r="R305" s="53"/>
      <x:c r="S305" s="53"/>
      <x:c r="T305" s="81" t="str">
        <x:f>IFERROR(INDEX('Resource Rate Library'!$E$5:$E$85,MATCH(P305,'Resource Rate Library'!$A$5:$A$85,0)),"")</x:f>
      </x:c>
      <x:c r="U305" s="62"/>
      <x:c r="V305" s="62"/>
      <x:c r="W305" s="83" t="n">
        <x:f>IFERROR(INDEX('Resource Rate Library'!$I$5:$I$85,MATCH(P305,'Resource Rate Library'!$A$5:$A$85,0)),0)</x:f>
        <x:v>0</x:v>
      </x:c>
      <x:c r="X305" s="52"/>
      <x:c r="Y305" s="83" t="n">
        <x:f t="shared" si="26">IF(X305&gt;0,X305,W305)</x:f>
        <x:v>0</x:v>
      </x:c>
      <x:c r="Z305" s="83" t="str">
        <x:f t="shared" si="27">IF(B305="","",IF(N305="Time x Count",M305*R305*IF(U305="",1,U305)*Y305,IF(N305="QS Qty x Factor",E305*R305*(1+IF(V305="",0,V305))*Y305,IF(N305="Direct Qty",S305*(1+IF(V305="",0,V305))*Y305,IF(N305="Lump Sum / Quote",S305*Y305,0)))))</x:f>
      </x:c>
      <x:c r="AA305" s="81" t="str">
        <x:f>IFERROR(INDEX('Resource Rate Library'!$N$5:$N$85,MATCH(P305,'Resource Rate Library'!$A$5:$A$85,0)),"")</x:f>
      </x:c>
      <x:c r="AB305" s="53"/>
      <x:c r="AC305" s="59"/>
      <x:c r="AD305" s="81" t="str">
        <x:f>IFERROR(INDEX('Resource Rate Library'!$G$5:$G$85,MATCH(P305,'Resource Rate Library'!$A$5:$A$85,0)),"")</x:f>
      </x:c>
      <x:c r="AE305" s="81" t="str">
        <x:f>IFERROR(INDEX('Resource Rate Library'!$H$5:$H$85,MATCH(P305,'Resource Rate Library'!$A$5:$A$85,0)),"")</x:f>
      </x:c>
      <x:c r="AF305" s="53"/>
      <x:c r="AG305" s="53"/>
      <x:c r="AH305" s="53"/>
      <x:c r="AI305" s="81" t="str">
        <x:f t="shared" si="28">IF(B305="","",IF(AND(P305="",N305&lt;&gt;"Lump Sum / Quote"),"RESOURCE CODE",IF(Y305=0,"RATE MISSING",IF(AND(O305="Plant",AD305="Yes",COUNTIFS($B$7:$B$306,B305,$O$7:$O$306,"Labour",$Q$7:$Q$306,"*Operator*")&gt;0),"OPERATOR DOUBLE-COUNT",IF(AND(O305="Plant",AE305="Yes",COUNTIFS($B$7:$B$306,B305,$Q$7:$Q$306,"*Fuel*")&gt;0),"FUEL DOUBLE-COUNT",IF(AH305&lt;&gt;"Yes","VERIFY","OK"))))))</x:f>
      </x:c>
      <x:c r="AJ305" s="54"/>
      <x:c r="AK305" s="473"/>
      <x:c r="AL305" s="473"/>
      <x:c r="AM305" s="473"/>
      <x:c r="AN305" s="500" t="n">
        <x:f>IF(AND(AK305="Yes",OR(O305="Labour",O305="Plant")),Z305,0)</x:f>
        <x:v>0</x:v>
      </x:c>
    </x:row>
    <x:row r="306">
      <x:c r="A306" s="84" t="str">
        <x:f>IF(B306="","",B306&amp;"-"&amp;TEXT(COUNTIF($B$7:B306,B306),"000"))</x:f>
      </x:c>
      <x:c r="B306" s="56"/>
      <x:c r="C306" s="85" t="str">
        <x:f>IFERROR(INDEX('QS Takeoff'!$A$3:$A$194,MATCH(B306,'QS Takeoff'!$B$3:$B$194,0)),"")</x:f>
      </x:c>
      <x:c r="D306" s="85" t="str">
        <x:f>IFERROR(INDEX('QS Takeoff'!$C$3:$C$194,MATCH(B306,'QS Takeoff'!$B$3:$B$194,0)),"")</x:f>
      </x:c>
      <x:c r="E306" s="85" t="str">
        <x:f>IFERROR(INDEX('QS Takeoff'!$E$3:$E$194,MATCH(B306,'QS Takeoff'!$B$3:$B$194,0)),"")</x:f>
      </x:c>
      <x:c r="F306" s="85" t="str">
        <x:f>IFERROR(INDEX('QS Takeoff'!$D$3:$D$194,MATCH(B306,'QS Takeoff'!$B$3:$B$194,0)),"")</x:f>
      </x:c>
      <x:c r="G306" s="85" t="str">
        <x:f>IFERROR(INDEX('QS Takeoff'!$J$3:$J$194,MATCH(B306,'QS Takeoff'!$B$3:$B$194,0)),"")</x:f>
      </x:c>
      <x:c r="H306" s="56"/>
      <x:c r="I306" s="61"/>
      <x:c r="J306" s="61"/>
      <x:c r="K306" s="86" t="str">
        <x:f t="shared" si="24">IF(OR(B306="",I306="",I306=0),"",E306/I306)</x:f>
      </x:c>
      <x:c r="L306" s="61"/>
      <x:c r="M306" s="86" t="str">
        <x:f t="shared" si="25">IF(L306&gt;0,L306,K306)</x:f>
      </x:c>
      <x:c r="N306" s="56"/>
      <x:c r="O306" s="56"/>
      <x:c r="P306" s="56"/>
      <x:c r="Q306" s="85" t="str">
        <x:f>IFERROR(INDEX('Resource Rate Library'!$C$5:$C$85,MATCH(P306,'Resource Rate Library'!$A$5:$A$85,0)),"")</x:f>
      </x:c>
      <x:c r="R306" s="56"/>
      <x:c r="S306" s="56"/>
      <x:c r="T306" s="85" t="str">
        <x:f>IFERROR(INDEX('Resource Rate Library'!$E$5:$E$85,MATCH(P306,'Resource Rate Library'!$A$5:$A$85,0)),"")</x:f>
      </x:c>
      <x:c r="U306" s="63"/>
      <x:c r="V306" s="63"/>
      <x:c r="W306" s="87" t="n">
        <x:f>IFERROR(INDEX('Resource Rate Library'!$I$5:$I$85,MATCH(P306,'Resource Rate Library'!$A$5:$A$85,0)),0)</x:f>
        <x:v>0</x:v>
      </x:c>
      <x:c r="X306" s="55"/>
      <x:c r="Y306" s="87" t="n">
        <x:f t="shared" si="26">IF(X306&gt;0,X306,W306)</x:f>
        <x:v>0</x:v>
      </x:c>
      <x:c r="Z306" s="87" t="str">
        <x:f t="shared" si="27">IF(B306="","",IF(N306="Time x Count",M306*R306*IF(U306="",1,U306)*Y306,IF(N306="QS Qty x Factor",E306*R306*(1+IF(V306="",0,V306))*Y306,IF(N306="Direct Qty",S306*(1+IF(V306="",0,V306))*Y306,IF(N306="Lump Sum / Quote",S306*Y306,0)))))</x:f>
      </x:c>
      <x:c r="AA306" s="85" t="str">
        <x:f>IFERROR(INDEX('Resource Rate Library'!$N$5:$N$85,MATCH(P306,'Resource Rate Library'!$A$5:$A$85,0)),"")</x:f>
      </x:c>
      <x:c r="AB306" s="56"/>
      <x:c r="AC306" s="64"/>
      <x:c r="AD306" s="85" t="str">
        <x:f>IFERROR(INDEX('Resource Rate Library'!$G$5:$G$85,MATCH(P306,'Resource Rate Library'!$A$5:$A$85,0)),"")</x:f>
      </x:c>
      <x:c r="AE306" s="85" t="str">
        <x:f>IFERROR(INDEX('Resource Rate Library'!$H$5:$H$85,MATCH(P306,'Resource Rate Library'!$A$5:$A$85,0)),"")</x:f>
      </x:c>
      <x:c r="AF306" s="56"/>
      <x:c r="AG306" s="56"/>
      <x:c r="AH306" s="56"/>
      <x:c r="AI306" s="85" t="str">
        <x:f t="shared" si="28">IF(B306="","",IF(AND(P306="",N306&lt;&gt;"Lump Sum / Quote"),"RESOURCE CODE",IF(Y306=0,"RATE MISSING",IF(AND(O306="Plant",AD306="Yes",COUNTIFS($B$7:$B$306,B306,$O$7:$O$306,"Labour",$Q$7:$Q$306,"*Operator*")&gt;0),"OPERATOR DOUBLE-COUNT",IF(AND(O306="Plant",AE306="Yes",COUNTIFS($B$7:$B$306,B306,$Q$7:$Q$306,"*Fuel*")&gt;0),"FUEL DOUBLE-COUNT",IF(AH306&lt;&gt;"Yes","VERIFY","OK"))))))</x:f>
      </x:c>
      <x:c r="AJ306" s="57"/>
      <x:c r="AK306" s="473"/>
      <x:c r="AL306" s="473"/>
      <x:c r="AM306" s="473"/>
      <x:c r="AN306" s="500" t="n">
        <x:f>IF(AND(AK306="Yes",OR(O306="Labour",O306="Plant")),Z306,0)</x:f>
        <x:v>0</x:v>
      </x:c>
    </x:row>
  </x:sheetData>
  <x:mergeCells>
    <x:mergeCell ref="A1:AJ1"/>
    <x:mergeCell ref="A2:AJ2"/>
    <x:mergeCell ref="A3:AJ3"/>
    <x:mergeCell ref="A4:AJ4"/>
    <x:mergeCell ref="A5:AN5"/>
  </x:mergeCells>
  <x:conditionalFormatting sqref="AJ7:AJ306">
    <x:cfRule type="expression" dxfId="2" priority="1">
      <x:formula>$AJ7="OK"</x:formula>
    </x:cfRule>
    <x:cfRule type="expression" dxfId="1" priority="2">
      <x:formula>OR($AJ7="VERIFY",$AJ7="RATE MISSING",$AJ7="RESOURCE CODE")</x:formula>
    </x:cfRule>
    <x:cfRule type="expression" dxfId="0" priority="3">
      <x:formula>OR($AJ7="OPERATOR DOUBLE-COUNT",$AJ7="FUEL DOUBLE-COUNT")</x:formula>
    </x:cfRule>
  </x:conditionalFormatting>
  <x:dataValidations count="9">
    <x:dataValidation type="list" sqref="N7:N306">
      <x:formula1>"Time x Count,QS Qty x Factor,Direct Qty,Lump Sum / Quote"</x:formula1>
    </x:dataValidation>
    <x:dataValidation type="list" sqref="O7:O306">
      <x:formula1>"Labour,Plant,Material,Subcontract,Cartage,Disposal,Testing,Other"</x:formula1>
    </x:dataValidation>
    <x:dataValidation type="list" sqref="AF7:AF306">
      <x:formula1>"High,Medium,Low,Quote-backed,Not assessed"</x:formula1>
    </x:dataValidation>
    <x:dataValidation type="list" sqref="AH7:AH306">
      <x:formula1>"Yes,No,Pending"</x:formula1>
    </x:dataValidation>
    <x:dataValidation type="custom" allowBlank="1" showErrorMessage="1" errorTitle="Linked formula cell" error="This value is linked. Change the upstream input/source instead of overwriting this cell." sqref="A7:A306 AI7:AI306 AD7:AE306 Y7:AA306 W7:W306 T7:T306 Q7:Q306 M7:M306 K7:K306 C7:G306">
      <x:formula1>FALSE</x:formula1>
    </x:dataValidation>
    <x:dataValidation type="decimal" operator="greaterThanOrEqual" sqref="X81">
      <x:formula1>0</x:formula1>
    </x:dataValidation>
    <x:dataValidation type="list" sqref="AK7:AK306">
      <x:formula1>"Yes,No"</x:formula1>
    </x:dataValidation>
    <x:dataValidation type="list" sqref="AL7:AL306">
      <x:formula1>'Weather Risk'!$J$54:$J$71</x:formula1>
    </x:dataValidation>
    <x:dataValidation type="list" sqref="P7:P306">
      <x:formula1>'Resource Rate Library'!$A$5:$A$85</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3.800000190734863"/>
  <x:cols>
    <x:col min="1" max="1" width="12" customWidth="1"/>
    <x:col min="2" max="2" width="14" customWidth="1"/>
    <x:col min="3" max="3" width="16.59765625" customWidth="1"/>
    <x:col min="4" max="4" width="33.59765625" customWidth="1"/>
    <x:col min="5" max="5" width="83.296875" customWidth="1"/>
    <x:col min="6" max="6" width="25.19921875" customWidth="1"/>
    <x:col min="7" max="7" width="48.3984375" customWidth="1"/>
    <x:col min="8" max="8" width="10" customWidth="1"/>
    <x:col min="9" max="9" width="13" customWidth="1"/>
    <x:col min="10" max="10" width="15" customWidth="1"/>
    <x:col min="11" max="11" width="44" customWidth="1"/>
    <x:col min="12" max="12" width="10" customWidth="1"/>
    <x:col min="13" max="13" width="44" customWidth="1"/>
    <x:col min="14" max="14" width="10" customWidth="1"/>
    <x:col min="15" max="15" width="44" customWidth="1"/>
    <x:col min="16" max="16" width="10" customWidth="1"/>
    <x:col min="17" max="17" width="8" customWidth="1"/>
    <x:col min="18" max="18" width="13" customWidth="1"/>
    <x:col min="19" max="19" width="12" customWidth="1"/>
    <x:col min="20" max="20" width="53" customWidth="1"/>
    <x:col min="21" max="21" width="40" customWidth="1"/>
    <x:col min="22" max="22" width="38" customWidth="1"/>
  </x:cols>
  <x:sheetData>
    <x:row r="1" s="3" customFormat="1" ht="38.400001525878906" customHeight="1">
      <x:c r="A1" s="236" t="str">
        <x:v>RATE &amp; ALLOWANCE VERIFICATION - MASTER ESTIMATE WORKBOOK REV4</x:v>
      </x:c>
      <x:c r="B1" s="236"/>
      <x:c r="C1" s="236"/>
      <x:c r="D1" s="236"/>
      <x:c r="E1" s="236"/>
      <x:c r="F1" s="236"/>
      <x:c r="G1" s="236"/>
      <x:c r="H1" s="236"/>
      <x:c r="I1" s="236"/>
      <x:c r="J1" s="236"/>
      <x:c r="K1" s="236"/>
      <x:c r="L1" s="236"/>
      <x:c r="M1" s="236"/>
      <x:c r="N1" s="236"/>
      <x:c r="O1" s="236"/>
      <x:c r="P1" s="236"/>
      <x:c r="Q1" s="236"/>
      <x:c r="R1" s="236"/>
      <x:c r="S1" s="236"/>
      <x:c r="T1" s="236"/>
      <x:c r="U1" s="236"/>
      <x:c r="V1" s="236"/>
    </x:row>
    <x:row r="2" s="3" customFormat="1" ht="34.04999923706055" customHeight="1">
      <x:c r="A2" s="237" t="str">
        <x:v>GREEN requires: (1) current primary evidence, (2) an independent market check, and (3) a first-principles quantity/scope/arithmetic check. This source-level verification remains mandatory and is separate from the Independent Estimate Verification Board. An allowance may remain AMBER; unsupported quote/design items are RED.</x:v>
      </x:c>
      <x:c r="B2" s="237"/>
      <x:c r="C2" s="237"/>
      <x:c r="D2" s="237"/>
      <x:c r="E2" s="237"/>
      <x:c r="F2" s="237"/>
      <x:c r="G2" s="237"/>
      <x:c r="H2" s="237"/>
      <x:c r="I2" s="237"/>
      <x:c r="J2" s="237"/>
      <x:c r="K2" s="237"/>
      <x:c r="L2" s="237"/>
      <x:c r="M2" s="237"/>
      <x:c r="N2" s="237"/>
      <x:c r="O2" s="237"/>
      <x:c r="P2" s="237"/>
      <x:c r="Q2" s="237"/>
      <x:c r="R2" s="237"/>
      <x:c r="S2" s="237"/>
      <x:c r="T2" s="237"/>
      <x:c r="U2" s="237"/>
      <x:c r="V2" s="237"/>
    </x:row>
    <x:row r="3" s="3" customFormat="1" ht="18.600000381469727" customHeight="1">
      <x:c r="A3" s="176" t="s">
        <x:v>72</x:v>
      </x:c>
      <x:c r="B3" s="176" t="s">
        <x:v>595</x:v>
      </x:c>
      <x:c r="C3" s="176" t="s">
        <x:v>596</x:v>
      </x:c>
      <x:c r="E3" s="176" t="s">
        <x:v>72</x:v>
      </x:c>
      <x:c r="F3" s="176" t="s">
        <x:v>595</x:v>
      </x:c>
      <x:c r="G3" s="176" t="s">
        <x:v>596</x:v>
      </x:c>
    </x:row>
    <x:row r="4" s="3" customFormat="1" ht="18.600000381469727" customHeight="1">
      <x:c r="A4" s="177" t="s">
        <x:v>597</x:v>
      </x:c>
      <x:c r="B4" s="177" t="n">
        <x:f>COUNTIF($T$8:$T$136,"GREEN - 3-point checked")+COUNTIF($T$8:$T$136,"GREEN - duplicate prevented")</x:f>
        <x:v>0</x:v>
      </x:c>
      <x:c r="C4" s="178" t="n">
        <x:f>SUMIF($T$8:$T$136,"GREEN - 3-point checked",$J$8:$J$136)+SUMIF($T$8:$T$136,"GREEN - duplicate prevented",$J$8:$J$136)</x:f>
        <x:v>0</x:v>
      </x:c>
      <x:c r="E4" s="179" t="s">
        <x:v>598</x:v>
      </x:c>
      <x:c r="F4" s="179" t="n">
        <x:f>COUNTIF($T$8:$T$136,"RED - live quote/design evidence required")+COUNTIF($T$8:$T$136,"RED - allowance basis/quote required")</x:f>
        <x:v>0</x:v>
      </x:c>
      <x:c r="G4" s="180" t="n">
        <x:f>SUMIF($T$8:$T$136,"RED - live quote/design evidence required",$J$8:$J$136)+SUMIF($T$8:$T$136,"RED - allowance basis/quote required",$J$8:$J$136)</x:f>
        <x:v>0</x:v>
      </x:c>
    </x:row>
    <x:row r="5" s="3" customFormat="1" ht="18.600000381469727" customHeight="1">
      <x:c r="A5" s="181" t="s">
        <x:v>599</x:v>
      </x:c>
      <x:c r="B5" s="181" t="n">
        <x:f>COUNTIF($T$8:$T$136,"AMBER - company cost rate required")+COUNTIF($T$8:$T$136,"AMBER - explicit allowance; second evidence required")+COUNTIF($T$8:$T$136,"AMBER - benchmark only")+COUNTIF($T$8:$T$136,"AMBER - 3-point benchmark; quote required")+COUNTIF($T$8:$T$136,"AMBER - specification/delivery quote required")+COUNTIF($T$8:$T$136,"AMBER - benchmarked PC; NZ supplier quote required")</x:f>
        <x:v>0</x:v>
      </x:c>
      <x:c r="C5" s="182" t="n">
        <x:f>SUMIF($T$8:$T$136,"AMBER - company cost rate required",$J$8:$J$136)+SUMIF($T$8:$T$136,"AMBER - explicit allowance; second evidence required",$J$8:$J$136)+SUMIF($T$8:$T$136,"AMBER - benchmark only",$J$8:$J$136)+SUMIF($T$8:$T$136,"AMBER - 3-point benchmark; quote required",$J$8:$J$136)+SUMIF($T$8:$T$136,"AMBER - specification/delivery quote required",$J$8:$J$136)+SUMIF($T$8:$T$136,"AMBER - benchmarked PC; NZ supplier quote required",$J$8:$J$136)</x:f>
        <x:v>0</x:v>
      </x:c>
      <x:c r="E5" s="183" t="s">
        <x:v>600</x:v>
      </x:c>
      <x:c r="F5" s="183" t="s">
        <x:v>601</x:v>
      </x:c>
      <x:c r="G5" s="183" t="s">
        <x:v>602</x:v>
      </x:c>
    </x:row>
    <x:row r="7" ht="37.95000076293945" customHeight="1">
      <x:c r="A7" s="95" t="s">
        <x:v>603</x:v>
      </x:c>
      <x:c r="B7" s="96" t="s">
        <x:v>604</x:v>
      </x:c>
      <x:c r="C7" s="96" t="s">
        <x:v>566</x:v>
      </x:c>
      <x:c r="D7" s="96" t="s">
        <x:v>567</x:v>
      </x:c>
      <x:c r="E7" s="96" t="s">
        <x:v>605</x:v>
      </x:c>
      <x:c r="F7" s="96" t="s">
        <x:v>352</x:v>
      </x:c>
      <x:c r="G7" s="96" t="s">
        <x:v>606</x:v>
      </x:c>
      <x:c r="H7" s="96" t="s">
        <x:v>96</x:v>
      </x:c>
      <x:c r="I7" s="96" t="s">
        <x:v>587</x:v>
      </x:c>
      <x:c r="J7" s="96" t="s">
        <x:v>588</x:v>
      </x:c>
      <x:c r="K7" s="96" t="s">
        <x:v>607</x:v>
      </x:c>
      <x:c r="L7" s="96" t="s">
        <x:v>608</x:v>
      </x:c>
      <x:c r="M7" s="96" t="s">
        <x:v>609</x:v>
      </x:c>
      <x:c r="N7" s="96" t="s">
        <x:v>610</x:v>
      </x:c>
      <x:c r="O7" s="96" t="s">
        <x:v>611</x:v>
      </x:c>
      <x:c r="P7" s="96" t="s">
        <x:v>612</x:v>
      </x:c>
      <x:c r="Q7" s="96" t="s">
        <x:v>613</x:v>
      </x:c>
      <x:c r="R7" s="96" t="s">
        <x:v>591</x:v>
      </x:c>
      <x:c r="S7" s="96" t="s">
        <x:v>367</x:v>
      </x:c>
      <x:c r="T7" s="96" t="s">
        <x:v>614</x:v>
      </x:c>
      <x:c r="U7" s="96" t="s">
        <x:v>615</x:v>
      </x:c>
      <x:c r="V7" s="97" t="s">
        <x:v>616</x:v>
      </x:c>
    </x:row>
    <x:row r="8" ht="32.400001525878906" customHeight="1">
      <x:c r="A8" s="98" t="s">
        <x:v>617</x:v>
      </x:c>
      <x:c r="B8" s="98" t="n">
        <x:f>'Resource Build-Up'!A7</x:f>
        <x:v>0</x:v>
      </x:c>
      <x:c r="C8" s="98" t="n">
        <x:f>'Resource Build-Up'!B7</x:f>
        <x:v>0</x:v>
      </x:c>
      <x:c r="D8" s="26" t="str">
        <x:f>'Resource Build-Up'!C7</x:f>
      </x:c>
      <x:c r="E8" s="26" t="n">
        <x:f>'Resource Build-Up'!H7</x:f>
        <x:v>0</x:v>
      </x:c>
      <x:c r="F8" s="26" t="n">
        <x:f>'Resource Build-Up'!P7</x:f>
        <x:v>0</x:v>
      </x:c>
      <x:c r="G8" s="26" t="n">
        <x:f>'Resource Build-Up'!Q7</x:f>
        <x:v>0</x:v>
      </x:c>
      <x:c r="H8" s="26" t="n">
        <x:f>'Resource Build-Up'!T7</x:f>
        <x:v>0</x:v>
      </x:c>
      <x:c r="I8" s="44" t="n">
        <x:f>'Resource Build-Up'!Y7</x:f>
        <x:v>0</x:v>
      </x:c>
      <x:c r="J8" s="44" t="str">
        <x:f>'Resource Build-Up'!Z7</x:f>
      </x:c>
      <x:c r="K8" s="26"/>
      <x:c r="L8" s="26"/>
      <x:c r="M8" s="26"/>
      <x:c r="N8" s="26"/>
      <x:c r="O8" s="26"/>
      <x:c r="P8" s="26"/>
      <x:c r="Q8" s="26" t="n">
        <x:f t="shared" ref="Q8:Q39" si="0">COUNTIF(L8,"PASS")+COUNTIF(N8,"PASS")+COUNTIF(P8,"PASS")</x:f>
        <x:v>0</x:v>
      </x:c>
      <x:c r="R8" s="26" t="n">
        <x:f>'Resource Build-Up'!AC7</x:f>
        <x:v>0</x:v>
      </x:c>
      <x:c r="S8" s="26" t="n">
        <x:f>'Resource Build-Up'!AF7</x:f>
        <x:v>0</x:v>
      </x:c>
      <x:c r="T8" s="99"/>
      <x:c r="U8" s="26"/>
      <x:c r="V8" s="26" t="n">
        <x:f>'Resource Build-Up'!AG7</x:f>
        <x:v>0</x:v>
      </x:c>
    </x:row>
    <x:row r="9" ht="32.400001525878906" customHeight="1">
      <x:c r="A9" s="98" t="s">
        <x:v>618</x:v>
      </x:c>
      <x:c r="B9" s="98" t="n">
        <x:f>'Resource Build-Up'!A8</x:f>
        <x:v>0</x:v>
      </x:c>
      <x:c r="C9" s="98" t="n">
        <x:f>'Resource Build-Up'!B8</x:f>
        <x:v>0</x:v>
      </x:c>
      <x:c r="D9" s="26" t="str">
        <x:f>'Resource Build-Up'!C8</x:f>
      </x:c>
      <x:c r="E9" s="26" t="n">
        <x:f>'Resource Build-Up'!H8</x:f>
        <x:v>0</x:v>
      </x:c>
      <x:c r="F9" s="26" t="n">
        <x:f>'Resource Build-Up'!P8</x:f>
        <x:v>0</x:v>
      </x:c>
      <x:c r="G9" s="26" t="n">
        <x:f>'Resource Build-Up'!Q8</x:f>
        <x:v>0</x:v>
      </x:c>
      <x:c r="H9" s="26" t="n">
        <x:f>'Resource Build-Up'!T8</x:f>
        <x:v>0</x:v>
      </x:c>
      <x:c r="I9" s="44" t="n">
        <x:f>'Resource Build-Up'!Y8</x:f>
        <x:v>0</x:v>
      </x:c>
      <x:c r="J9" s="44" t="str">
        <x:f>'Resource Build-Up'!Z8</x:f>
      </x:c>
      <x:c r="K9" s="26"/>
      <x:c r="L9" s="26"/>
      <x:c r="M9" s="26"/>
      <x:c r="N9" s="26"/>
      <x:c r="O9" s="26"/>
      <x:c r="P9" s="26"/>
      <x:c r="Q9" s="26">
        <x:f t="shared" si="0"/>
        <x:v>2</x:v>
      </x:c>
      <x:c r="R9" s="26" t="n">
        <x:f>'Resource Build-Up'!AC8</x:f>
        <x:v>0</x:v>
      </x:c>
      <x:c r="S9" s="26" t="n">
        <x:f>'Resource Build-Up'!AF8</x:f>
        <x:v>0</x:v>
      </x:c>
      <x:c r="T9" s="99"/>
      <x:c r="U9" s="26"/>
      <x:c r="V9" s="26" t="n">
        <x:f>'Resource Build-Up'!AG8</x:f>
        <x:v>0</x:v>
      </x:c>
    </x:row>
    <x:row r="10" ht="32.400001525878906" customHeight="1">
      <x:c r="A10" s="98" t="s">
        <x:v>619</x:v>
      </x:c>
      <x:c r="B10" s="98" t="n">
        <x:f>'Resource Build-Up'!A9</x:f>
        <x:v>0</x:v>
      </x:c>
      <x:c r="C10" s="98" t="n">
        <x:f>'Resource Build-Up'!B9</x:f>
        <x:v>0</x:v>
      </x:c>
      <x:c r="D10" s="26" t="str">
        <x:f>'Resource Build-Up'!C9</x:f>
      </x:c>
      <x:c r="E10" s="26" t="n">
        <x:f>'Resource Build-Up'!H9</x:f>
        <x:v>0</x:v>
      </x:c>
      <x:c r="F10" s="26" t="n">
        <x:f>'Resource Build-Up'!P9</x:f>
        <x:v>0</x:v>
      </x:c>
      <x:c r="G10" s="26" t="n">
        <x:f>'Resource Build-Up'!Q9</x:f>
        <x:v>0</x:v>
      </x:c>
      <x:c r="H10" s="26" t="n">
        <x:f>'Resource Build-Up'!T9</x:f>
        <x:v>0</x:v>
      </x:c>
      <x:c r="I10" s="44" t="n">
        <x:f>'Resource Build-Up'!Y9</x:f>
        <x:v>0</x:v>
      </x:c>
      <x:c r="J10" s="44" t="str">
        <x:f>'Resource Build-Up'!Z9</x:f>
      </x:c>
      <x:c r="K10" s="26"/>
      <x:c r="L10" s="26"/>
      <x:c r="M10" s="26"/>
      <x:c r="N10" s="26"/>
      <x:c r="O10" s="26"/>
      <x:c r="P10" s="26"/>
      <x:c r="Q10" s="26">
        <x:f t="shared" si="0"/>
        <x:v>2</x:v>
      </x:c>
      <x:c r="R10" s="26" t="n">
        <x:f>'Resource Build-Up'!AC9</x:f>
        <x:v>0</x:v>
      </x:c>
      <x:c r="S10" s="26" t="n">
        <x:f>'Resource Build-Up'!AF9</x:f>
        <x:v>0</x:v>
      </x:c>
      <x:c r="T10" s="99"/>
      <x:c r="U10" s="26"/>
      <x:c r="V10" s="26" t="n">
        <x:f>'Resource Build-Up'!AG9</x:f>
        <x:v>0</x:v>
      </x:c>
    </x:row>
    <x:row r="11" ht="32.400001525878906" customHeight="1">
      <x:c r="A11" s="98" t="s">
        <x:v>620</x:v>
      </x:c>
      <x:c r="B11" s="98" t="n">
        <x:f>'Resource Build-Up'!A10</x:f>
        <x:v>0</x:v>
      </x:c>
      <x:c r="C11" s="98" t="n">
        <x:f>'Resource Build-Up'!B10</x:f>
        <x:v>0</x:v>
      </x:c>
      <x:c r="D11" s="26" t="str">
        <x:f>'Resource Build-Up'!C10</x:f>
      </x:c>
      <x:c r="E11" s="26" t="n">
        <x:f>'Resource Build-Up'!H10</x:f>
        <x:v>0</x:v>
      </x:c>
      <x:c r="F11" s="26" t="n">
        <x:f>'Resource Build-Up'!P10</x:f>
        <x:v>0</x:v>
      </x:c>
      <x:c r="G11" s="26" t="n">
        <x:f>'Resource Build-Up'!Q10</x:f>
        <x:v>0</x:v>
      </x:c>
      <x:c r="H11" s="26" t="n">
        <x:f>'Resource Build-Up'!T10</x:f>
        <x:v>0</x:v>
      </x:c>
      <x:c r="I11" s="44" t="n">
        <x:f>'Resource Build-Up'!Y10</x:f>
        <x:v>0</x:v>
      </x:c>
      <x:c r="J11" s="44" t="str">
        <x:f>'Resource Build-Up'!Z10</x:f>
      </x:c>
      <x:c r="K11" s="26"/>
      <x:c r="L11" s="26"/>
      <x:c r="M11" s="26"/>
      <x:c r="N11" s="26"/>
      <x:c r="O11" s="26"/>
      <x:c r="P11" s="26"/>
      <x:c r="Q11" s="26">
        <x:f t="shared" si="0"/>
        <x:v>1</x:v>
      </x:c>
      <x:c r="R11" s="26" t="n">
        <x:f>'Resource Build-Up'!AC10</x:f>
        <x:v>0</x:v>
      </x:c>
      <x:c r="S11" s="26" t="n">
        <x:f>'Resource Build-Up'!AF10</x:f>
        <x:v>0</x:v>
      </x:c>
      <x:c r="T11" s="99"/>
      <x:c r="U11" s="26"/>
      <x:c r="V11" s="26" t="n">
        <x:f>'Resource Build-Up'!AG10</x:f>
        <x:v>0</x:v>
      </x:c>
    </x:row>
    <x:row r="12" ht="32.400001525878906" customHeight="1">
      <x:c r="A12" s="98" t="s">
        <x:v>621</x:v>
      </x:c>
      <x:c r="B12" s="98" t="n">
        <x:f>'Resource Build-Up'!A11</x:f>
        <x:v>0</x:v>
      </x:c>
      <x:c r="C12" s="98" t="n">
        <x:f>'Resource Build-Up'!B11</x:f>
        <x:v>0</x:v>
      </x:c>
      <x:c r="D12" s="26" t="str">
        <x:f>'Resource Build-Up'!C11</x:f>
      </x:c>
      <x:c r="E12" s="26" t="n">
        <x:f>'Resource Build-Up'!H11</x:f>
        <x:v>0</x:v>
      </x:c>
      <x:c r="F12" s="26" t="n">
        <x:f>'Resource Build-Up'!P11</x:f>
        <x:v>0</x:v>
      </x:c>
      <x:c r="G12" s="26" t="n">
        <x:f>'Resource Build-Up'!Q11</x:f>
        <x:v>0</x:v>
      </x:c>
      <x:c r="H12" s="26" t="n">
        <x:f>'Resource Build-Up'!T11</x:f>
        <x:v>0</x:v>
      </x:c>
      <x:c r="I12" s="44" t="n">
        <x:f>'Resource Build-Up'!Y11</x:f>
        <x:v>0</x:v>
      </x:c>
      <x:c r="J12" s="44" t="str">
        <x:f>'Resource Build-Up'!Z11</x:f>
      </x:c>
      <x:c r="K12" s="26"/>
      <x:c r="L12" s="26"/>
      <x:c r="M12" s="26"/>
      <x:c r="N12" s="26"/>
      <x:c r="O12" s="26"/>
      <x:c r="P12" s="26"/>
      <x:c r="Q12" s="26">
        <x:f t="shared" si="0"/>
        <x:v>1</x:v>
      </x:c>
      <x:c r="R12" s="26" t="n">
        <x:f>'Resource Build-Up'!AC11</x:f>
        <x:v>0</x:v>
      </x:c>
      <x:c r="S12" s="26" t="n">
        <x:f>'Resource Build-Up'!AF11</x:f>
        <x:v>0</x:v>
      </x:c>
      <x:c r="T12" s="99"/>
      <x:c r="U12" s="26"/>
      <x:c r="V12" s="26" t="n">
        <x:f>'Resource Build-Up'!AG11</x:f>
        <x:v>0</x:v>
      </x:c>
    </x:row>
    <x:row r="13" ht="32.400001525878906" customHeight="1">
      <x:c r="A13" s="98" t="s">
        <x:v>622</x:v>
      </x:c>
      <x:c r="B13" s="98" t="n">
        <x:f>'Resource Build-Up'!A12</x:f>
        <x:v>0</x:v>
      </x:c>
      <x:c r="C13" s="98" t="n">
        <x:f>'Resource Build-Up'!B12</x:f>
        <x:v>0</x:v>
      </x:c>
      <x:c r="D13" s="26" t="str">
        <x:f>'Resource Build-Up'!C12</x:f>
      </x:c>
      <x:c r="E13" s="26" t="n">
        <x:f>'Resource Build-Up'!H12</x:f>
        <x:v>0</x:v>
      </x:c>
      <x:c r="F13" s="26" t="n">
        <x:f>'Resource Build-Up'!P12</x:f>
        <x:v>0</x:v>
      </x:c>
      <x:c r="G13" s="26" t="n">
        <x:f>'Resource Build-Up'!Q12</x:f>
        <x:v>0</x:v>
      </x:c>
      <x:c r="H13" s="26" t="n">
        <x:f>'Resource Build-Up'!T12</x:f>
        <x:v>0</x:v>
      </x:c>
      <x:c r="I13" s="44" t="n">
        <x:f>'Resource Build-Up'!Y12</x:f>
        <x:v>0</x:v>
      </x:c>
      <x:c r="J13" s="44" t="str">
        <x:f>'Resource Build-Up'!Z12</x:f>
      </x:c>
      <x:c r="K13" s="26"/>
      <x:c r="L13" s="26"/>
      <x:c r="M13" s="26"/>
      <x:c r="N13" s="26"/>
      <x:c r="O13" s="26"/>
      <x:c r="P13" s="26"/>
      <x:c r="Q13" s="26">
        <x:f t="shared" si="0"/>
        <x:v>2</x:v>
      </x:c>
      <x:c r="R13" s="26" t="n">
        <x:f>'Resource Build-Up'!AC12</x:f>
        <x:v>0</x:v>
      </x:c>
      <x:c r="S13" s="26" t="n">
        <x:f>'Resource Build-Up'!AF12</x:f>
        <x:v>0</x:v>
      </x:c>
      <x:c r="T13" s="99"/>
      <x:c r="U13" s="26"/>
      <x:c r="V13" s="26" t="n">
        <x:f>'Resource Build-Up'!AG12</x:f>
        <x:v>0</x:v>
      </x:c>
    </x:row>
    <x:row r="14" ht="32.400001525878906" customHeight="1">
      <x:c r="A14" s="98" t="s">
        <x:v>623</x:v>
      </x:c>
      <x:c r="B14" s="98" t="n">
        <x:f>'Resource Build-Up'!A13</x:f>
        <x:v>0</x:v>
      </x:c>
      <x:c r="C14" s="98" t="n">
        <x:f>'Resource Build-Up'!B13</x:f>
        <x:v>0</x:v>
      </x:c>
      <x:c r="D14" s="26" t="str">
        <x:f>'Resource Build-Up'!C13</x:f>
      </x:c>
      <x:c r="E14" s="26" t="n">
        <x:f>'Resource Build-Up'!H13</x:f>
        <x:v>0</x:v>
      </x:c>
      <x:c r="F14" s="26" t="n">
        <x:f>'Resource Build-Up'!P13</x:f>
        <x:v>0</x:v>
      </x:c>
      <x:c r="G14" s="26" t="n">
        <x:f>'Resource Build-Up'!Q13</x:f>
        <x:v>0</x:v>
      </x:c>
      <x:c r="H14" s="26" t="n">
        <x:f>'Resource Build-Up'!T13</x:f>
        <x:v>0</x:v>
      </x:c>
      <x:c r="I14" s="44" t="n">
        <x:f>'Resource Build-Up'!Y13</x:f>
        <x:v>0</x:v>
      </x:c>
      <x:c r="J14" s="44" t="str">
        <x:f>'Resource Build-Up'!Z13</x:f>
      </x:c>
      <x:c r="K14" s="26"/>
      <x:c r="L14" s="26"/>
      <x:c r="M14" s="26"/>
      <x:c r="N14" s="26"/>
      <x:c r="O14" s="26"/>
      <x:c r="P14" s="26"/>
      <x:c r="Q14" s="26">
        <x:f t="shared" si="0"/>
        <x:v>0</x:v>
      </x:c>
      <x:c r="R14" s="26" t="n">
        <x:f>'Resource Build-Up'!AC13</x:f>
        <x:v>0</x:v>
      </x:c>
      <x:c r="S14" s="26" t="n">
        <x:f>'Resource Build-Up'!AF13</x:f>
        <x:v>0</x:v>
      </x:c>
      <x:c r="T14" s="100"/>
      <x:c r="U14" s="26"/>
      <x:c r="V14" s="26" t="n">
        <x:f>'Resource Build-Up'!AG13</x:f>
        <x:v>0</x:v>
      </x:c>
    </x:row>
    <x:row r="15" ht="32.400001525878906" customHeight="1">
      <x:c r="A15" s="98" t="s">
        <x:v>624</x:v>
      </x:c>
      <x:c r="B15" s="98" t="n">
        <x:f>'Resource Build-Up'!A14</x:f>
        <x:v>0</x:v>
      </x:c>
      <x:c r="C15" s="98" t="n">
        <x:f>'Resource Build-Up'!B14</x:f>
        <x:v>0</x:v>
      </x:c>
      <x:c r="D15" s="26" t="str">
        <x:f>'Resource Build-Up'!C14</x:f>
      </x:c>
      <x:c r="E15" s="26" t="n">
        <x:f>'Resource Build-Up'!H14</x:f>
        <x:v>0</x:v>
      </x:c>
      <x:c r="F15" s="26" t="n">
        <x:f>'Resource Build-Up'!P14</x:f>
        <x:v>0</x:v>
      </x:c>
      <x:c r="G15" s="26" t="n">
        <x:f>'Resource Build-Up'!Q14</x:f>
        <x:v>0</x:v>
      </x:c>
      <x:c r="H15" s="26" t="n">
        <x:f>'Resource Build-Up'!T14</x:f>
        <x:v>0</x:v>
      </x:c>
      <x:c r="I15" s="44" t="n">
        <x:f>'Resource Build-Up'!Y14</x:f>
        <x:v>0</x:v>
      </x:c>
      <x:c r="J15" s="44" t="str">
        <x:f>'Resource Build-Up'!Z14</x:f>
      </x:c>
      <x:c r="K15" s="26"/>
      <x:c r="L15" s="26"/>
      <x:c r="M15" s="26"/>
      <x:c r="N15" s="26"/>
      <x:c r="O15" s="26"/>
      <x:c r="P15" s="26"/>
      <x:c r="Q15" s="26">
        <x:f t="shared" si="0"/>
        <x:v>0</x:v>
      </x:c>
      <x:c r="R15" s="26" t="n">
        <x:f>'Resource Build-Up'!AC14</x:f>
        <x:v>0</x:v>
      </x:c>
      <x:c r="S15" s="26" t="n">
        <x:f>'Resource Build-Up'!AF14</x:f>
        <x:v>0</x:v>
      </x:c>
      <x:c r="T15" s="100"/>
      <x:c r="U15" s="26"/>
      <x:c r="V15" s="26" t="n">
        <x:f>'Resource Build-Up'!AG14</x:f>
        <x:v>0</x:v>
      </x:c>
    </x:row>
    <x:row r="16" ht="32.400001525878906" customHeight="1">
      <x:c r="A16" s="98" t="s">
        <x:v>625</x:v>
      </x:c>
      <x:c r="B16" s="98" t="n">
        <x:f>'Resource Build-Up'!A15</x:f>
        <x:v>0</x:v>
      </x:c>
      <x:c r="C16" s="98" t="n">
        <x:f>'Resource Build-Up'!B15</x:f>
        <x:v>0</x:v>
      </x:c>
      <x:c r="D16" s="26" t="str">
        <x:f>'Resource Build-Up'!C15</x:f>
      </x:c>
      <x:c r="E16" s="26" t="n">
        <x:f>'Resource Build-Up'!H15</x:f>
        <x:v>0</x:v>
      </x:c>
      <x:c r="F16" s="26" t="n">
        <x:f>'Resource Build-Up'!P15</x:f>
        <x:v>0</x:v>
      </x:c>
      <x:c r="G16" s="26" t="n">
        <x:f>'Resource Build-Up'!Q15</x:f>
        <x:v>0</x:v>
      </x:c>
      <x:c r="H16" s="26" t="n">
        <x:f>'Resource Build-Up'!T15</x:f>
        <x:v>0</x:v>
      </x:c>
      <x:c r="I16" s="44" t="n">
        <x:f>'Resource Build-Up'!Y15</x:f>
        <x:v>0</x:v>
      </x:c>
      <x:c r="J16" s="44" t="str">
        <x:f>'Resource Build-Up'!Z15</x:f>
      </x:c>
      <x:c r="K16" s="26"/>
      <x:c r="L16" s="26"/>
      <x:c r="M16" s="26"/>
      <x:c r="N16" s="26"/>
      <x:c r="O16" s="26"/>
      <x:c r="P16" s="26"/>
      <x:c r="Q16" s="26">
        <x:f t="shared" si="0"/>
        <x:v>0</x:v>
      </x:c>
      <x:c r="R16" s="26" t="n">
        <x:f>'Resource Build-Up'!AC15</x:f>
        <x:v>0</x:v>
      </x:c>
      <x:c r="S16" s="26" t="n">
        <x:f>'Resource Build-Up'!AF15</x:f>
        <x:v>0</x:v>
      </x:c>
      <x:c r="T16" s="100"/>
      <x:c r="U16" s="26"/>
      <x:c r="V16" s="26" t="n">
        <x:f>'Resource Build-Up'!AG15</x:f>
        <x:v>0</x:v>
      </x:c>
    </x:row>
    <x:row r="17" ht="32.400001525878906" customHeight="1">
      <x:c r="A17" s="98" t="s">
        <x:v>626</x:v>
      </x:c>
      <x:c r="B17" s="98" t="n">
        <x:f>'Resource Build-Up'!A16</x:f>
        <x:v>0</x:v>
      </x:c>
      <x:c r="C17" s="98" t="n">
        <x:f>'Resource Build-Up'!B16</x:f>
        <x:v>0</x:v>
      </x:c>
      <x:c r="D17" s="26" t="str">
        <x:f>'Resource Build-Up'!C16</x:f>
      </x:c>
      <x:c r="E17" s="26" t="n">
        <x:f>'Resource Build-Up'!H16</x:f>
        <x:v>0</x:v>
      </x:c>
      <x:c r="F17" s="26" t="n">
        <x:f>'Resource Build-Up'!P16</x:f>
        <x:v>0</x:v>
      </x:c>
      <x:c r="G17" s="26" t="n">
        <x:f>'Resource Build-Up'!Q16</x:f>
        <x:v>0</x:v>
      </x:c>
      <x:c r="H17" s="26" t="n">
        <x:f>'Resource Build-Up'!T16</x:f>
        <x:v>0</x:v>
      </x:c>
      <x:c r="I17" s="44" t="n">
        <x:f>'Resource Build-Up'!Y16</x:f>
        <x:v>0</x:v>
      </x:c>
      <x:c r="J17" s="44" t="str">
        <x:f>'Resource Build-Up'!Z16</x:f>
      </x:c>
      <x:c r="K17" s="26"/>
      <x:c r="L17" s="26"/>
      <x:c r="M17" s="26"/>
      <x:c r="N17" s="26"/>
      <x:c r="O17" s="26"/>
      <x:c r="P17" s="26"/>
      <x:c r="Q17" s="26">
        <x:f t="shared" si="0"/>
        <x:v>0</x:v>
      </x:c>
      <x:c r="R17" s="26" t="n">
        <x:f>'Resource Build-Up'!AC16</x:f>
        <x:v>0</x:v>
      </x:c>
      <x:c r="S17" s="26" t="n">
        <x:f>'Resource Build-Up'!AF16</x:f>
        <x:v>0</x:v>
      </x:c>
      <x:c r="T17" s="100"/>
      <x:c r="U17" s="26"/>
      <x:c r="V17" s="26" t="n">
        <x:f>'Resource Build-Up'!AG16</x:f>
        <x:v>0</x:v>
      </x:c>
    </x:row>
    <x:row r="18" ht="32.400001525878906" customHeight="1">
      <x:c r="A18" s="98" t="s">
        <x:v>627</x:v>
      </x:c>
      <x:c r="B18" s="98" t="n">
        <x:f>'Resource Build-Up'!A17</x:f>
        <x:v>0</x:v>
      </x:c>
      <x:c r="C18" s="98" t="n">
        <x:f>'Resource Build-Up'!B17</x:f>
        <x:v>0</x:v>
      </x:c>
      <x:c r="D18" s="26" t="str">
        <x:f>'Resource Build-Up'!C17</x:f>
      </x:c>
      <x:c r="E18" s="26" t="n">
        <x:f>'Resource Build-Up'!H17</x:f>
        <x:v>0</x:v>
      </x:c>
      <x:c r="F18" s="26" t="n">
        <x:f>'Resource Build-Up'!P17</x:f>
        <x:v>0</x:v>
      </x:c>
      <x:c r="G18" s="26" t="n">
        <x:f>'Resource Build-Up'!Q17</x:f>
        <x:v>0</x:v>
      </x:c>
      <x:c r="H18" s="26" t="n">
        <x:f>'Resource Build-Up'!T17</x:f>
        <x:v>0</x:v>
      </x:c>
      <x:c r="I18" s="44" t="n">
        <x:f>'Resource Build-Up'!Y17</x:f>
        <x:v>0</x:v>
      </x:c>
      <x:c r="J18" s="44" t="str">
        <x:f>'Resource Build-Up'!Z17</x:f>
      </x:c>
      <x:c r="K18" s="26"/>
      <x:c r="L18" s="26"/>
      <x:c r="M18" s="26"/>
      <x:c r="N18" s="26"/>
      <x:c r="O18" s="26"/>
      <x:c r="P18" s="26"/>
      <x:c r="Q18" s="26">
        <x:f t="shared" si="0"/>
        <x:v>1</x:v>
      </x:c>
      <x:c r="R18" s="26" t="n">
        <x:f>'Resource Build-Up'!AC17</x:f>
        <x:v>0</x:v>
      </x:c>
      <x:c r="S18" s="26" t="n">
        <x:f>'Resource Build-Up'!AF17</x:f>
        <x:v>0</x:v>
      </x:c>
      <x:c r="T18" s="99"/>
      <x:c r="U18" s="26"/>
      <x:c r="V18" s="26" t="n">
        <x:f>'Resource Build-Up'!AG17</x:f>
        <x:v>0</x:v>
      </x:c>
    </x:row>
    <x:row r="19" ht="32.400001525878906" customHeight="1">
      <x:c r="A19" s="98" t="s">
        <x:v>628</x:v>
      </x:c>
      <x:c r="B19" s="98" t="n">
        <x:f>'Resource Build-Up'!A18</x:f>
        <x:v>0</x:v>
      </x:c>
      <x:c r="C19" s="98" t="n">
        <x:f>'Resource Build-Up'!B18</x:f>
        <x:v>0</x:v>
      </x:c>
      <x:c r="D19" s="26" t="str">
        <x:f>'Resource Build-Up'!C18</x:f>
      </x:c>
      <x:c r="E19" s="26" t="n">
        <x:f>'Resource Build-Up'!H18</x:f>
        <x:v>0</x:v>
      </x:c>
      <x:c r="F19" s="26" t="n">
        <x:f>'Resource Build-Up'!P18</x:f>
        <x:v>0</x:v>
      </x:c>
      <x:c r="G19" s="26" t="n">
        <x:f>'Resource Build-Up'!Q18</x:f>
        <x:v>0</x:v>
      </x:c>
      <x:c r="H19" s="26" t="n">
        <x:f>'Resource Build-Up'!T18</x:f>
        <x:v>0</x:v>
      </x:c>
      <x:c r="I19" s="44" t="n">
        <x:f>'Resource Build-Up'!Y18</x:f>
        <x:v>0</x:v>
      </x:c>
      <x:c r="J19" s="44" t="str">
        <x:f>'Resource Build-Up'!Z18</x:f>
      </x:c>
      <x:c r="K19" s="26"/>
      <x:c r="L19" s="26"/>
      <x:c r="M19" s="26"/>
      <x:c r="N19" s="26"/>
      <x:c r="O19" s="26"/>
      <x:c r="P19" s="26"/>
      <x:c r="Q19" s="26">
        <x:f t="shared" si="0"/>
        <x:v>2</x:v>
      </x:c>
      <x:c r="R19" s="26" t="n">
        <x:f>'Resource Build-Up'!AC18</x:f>
        <x:v>0</x:v>
      </x:c>
      <x:c r="S19" s="26" t="n">
        <x:f>'Resource Build-Up'!AF18</x:f>
        <x:v>0</x:v>
      </x:c>
      <x:c r="T19" s="99"/>
      <x:c r="U19" s="26"/>
      <x:c r="V19" s="26" t="n">
        <x:f>'Resource Build-Up'!AG18</x:f>
        <x:v>0</x:v>
      </x:c>
    </x:row>
    <x:row r="20" ht="32.400001525878906" customHeight="1">
      <x:c r="A20" s="98" t="s">
        <x:v>629</x:v>
      </x:c>
      <x:c r="B20" s="98" t="n">
        <x:f>'Resource Build-Up'!A19</x:f>
        <x:v>0</x:v>
      </x:c>
      <x:c r="C20" s="98" t="n">
        <x:f>'Resource Build-Up'!B19</x:f>
        <x:v>0</x:v>
      </x:c>
      <x:c r="D20" s="26" t="str">
        <x:f>'Resource Build-Up'!C19</x:f>
      </x:c>
      <x:c r="E20" s="26" t="n">
        <x:f>'Resource Build-Up'!H19</x:f>
        <x:v>0</x:v>
      </x:c>
      <x:c r="F20" s="26" t="n">
        <x:f>'Resource Build-Up'!P19</x:f>
        <x:v>0</x:v>
      </x:c>
      <x:c r="G20" s="26" t="n">
        <x:f>'Resource Build-Up'!Q19</x:f>
        <x:v>0</x:v>
      </x:c>
      <x:c r="H20" s="26" t="n">
        <x:f>'Resource Build-Up'!T19</x:f>
        <x:v>0</x:v>
      </x:c>
      <x:c r="I20" s="44" t="n">
        <x:f>'Resource Build-Up'!Y19</x:f>
        <x:v>0</x:v>
      </x:c>
      <x:c r="J20" s="44" t="str">
        <x:f>'Resource Build-Up'!Z19</x:f>
      </x:c>
      <x:c r="K20" s="26"/>
      <x:c r="L20" s="26"/>
      <x:c r="M20" s="26"/>
      <x:c r="N20" s="26"/>
      <x:c r="O20" s="26"/>
      <x:c r="P20" s="26"/>
      <x:c r="Q20" s="26">
        <x:f t="shared" si="0"/>
        <x:v>0</x:v>
      </x:c>
      <x:c r="R20" s="26" t="n">
        <x:f>'Resource Build-Up'!AC19</x:f>
        <x:v>0</x:v>
      </x:c>
      <x:c r="S20" s="26" t="n">
        <x:f>'Resource Build-Up'!AF19</x:f>
        <x:v>0</x:v>
      </x:c>
      <x:c r="T20" s="100"/>
      <x:c r="U20" s="26"/>
      <x:c r="V20" s="26" t="n">
        <x:f>'Resource Build-Up'!AG19</x:f>
        <x:v>0</x:v>
      </x:c>
    </x:row>
    <x:row r="21" ht="32.400001525878906" customHeight="1">
      <x:c r="A21" s="98" t="s">
        <x:v>630</x:v>
      </x:c>
      <x:c r="B21" s="98" t="n">
        <x:f>'Resource Build-Up'!A20</x:f>
        <x:v>0</x:v>
      </x:c>
      <x:c r="C21" s="98" t="n">
        <x:f>'Resource Build-Up'!B20</x:f>
        <x:v>0</x:v>
      </x:c>
      <x:c r="D21" s="26" t="str">
        <x:f>'Resource Build-Up'!C20</x:f>
      </x:c>
      <x:c r="E21" s="26" t="n">
        <x:f>'Resource Build-Up'!H20</x:f>
        <x:v>0</x:v>
      </x:c>
      <x:c r="F21" s="26" t="n">
        <x:f>'Resource Build-Up'!P20</x:f>
        <x:v>0</x:v>
      </x:c>
      <x:c r="G21" s="26" t="n">
        <x:f>'Resource Build-Up'!Q20</x:f>
        <x:v>0</x:v>
      </x:c>
      <x:c r="H21" s="26" t="n">
        <x:f>'Resource Build-Up'!T20</x:f>
        <x:v>0</x:v>
      </x:c>
      <x:c r="I21" s="44" t="n">
        <x:f>'Resource Build-Up'!Y20</x:f>
        <x:v>0</x:v>
      </x:c>
      <x:c r="J21" s="44" t="str">
        <x:f>'Resource Build-Up'!Z20</x:f>
      </x:c>
      <x:c r="K21" s="26"/>
      <x:c r="L21" s="26"/>
      <x:c r="M21" s="26"/>
      <x:c r="N21" s="26"/>
      <x:c r="O21" s="26"/>
      <x:c r="P21" s="26"/>
      <x:c r="Q21" s="26">
        <x:f t="shared" si="0"/>
        <x:v>0</x:v>
      </x:c>
      <x:c r="R21" s="26" t="n">
        <x:f>'Resource Build-Up'!AC20</x:f>
        <x:v>0</x:v>
      </x:c>
      <x:c r="S21" s="26" t="n">
        <x:f>'Resource Build-Up'!AF20</x:f>
        <x:v>0</x:v>
      </x:c>
      <x:c r="T21" s="100"/>
      <x:c r="U21" s="26"/>
      <x:c r="V21" s="26" t="n">
        <x:f>'Resource Build-Up'!AG20</x:f>
        <x:v>0</x:v>
      </x:c>
    </x:row>
    <x:row r="22" ht="32.400001525878906" customHeight="1">
      <x:c r="A22" s="98" t="s">
        <x:v>631</x:v>
      </x:c>
      <x:c r="B22" s="98" t="n">
        <x:f>'Resource Build-Up'!A21</x:f>
        <x:v>0</x:v>
      </x:c>
      <x:c r="C22" s="98" t="n">
        <x:f>'Resource Build-Up'!B21</x:f>
        <x:v>0</x:v>
      </x:c>
      <x:c r="D22" s="26" t="str">
        <x:f>'Resource Build-Up'!C21</x:f>
      </x:c>
      <x:c r="E22" s="26" t="n">
        <x:f>'Resource Build-Up'!H21</x:f>
        <x:v>0</x:v>
      </x:c>
      <x:c r="F22" s="26" t="n">
        <x:f>'Resource Build-Up'!P21</x:f>
        <x:v>0</x:v>
      </x:c>
      <x:c r="G22" s="26" t="n">
        <x:f>'Resource Build-Up'!Q21</x:f>
        <x:v>0</x:v>
      </x:c>
      <x:c r="H22" s="26" t="n">
        <x:f>'Resource Build-Up'!T21</x:f>
        <x:v>0</x:v>
      </x:c>
      <x:c r="I22" s="44" t="n">
        <x:f>'Resource Build-Up'!Y21</x:f>
        <x:v>0</x:v>
      </x:c>
      <x:c r="J22" s="44" t="str">
        <x:f>'Resource Build-Up'!Z21</x:f>
      </x:c>
      <x:c r="K22" s="26"/>
      <x:c r="L22" s="26"/>
      <x:c r="M22" s="26"/>
      <x:c r="N22" s="26"/>
      <x:c r="O22" s="26"/>
      <x:c r="P22" s="26"/>
      <x:c r="Q22" s="26">
        <x:f t="shared" si="0"/>
        <x:v>1</x:v>
      </x:c>
      <x:c r="R22" s="26" t="n">
        <x:f>'Resource Build-Up'!AC21</x:f>
        <x:v>0</x:v>
      </x:c>
      <x:c r="S22" s="26" t="n">
        <x:f>'Resource Build-Up'!AF21</x:f>
        <x:v>0</x:v>
      </x:c>
      <x:c r="T22" s="99"/>
      <x:c r="U22" s="26"/>
      <x:c r="V22" s="26" t="n">
        <x:f>'Resource Build-Up'!AG21</x:f>
        <x:v>0</x:v>
      </x:c>
    </x:row>
    <x:row r="23" ht="32.400001525878906" customHeight="1">
      <x:c r="A23" s="98" t="s">
        <x:v>632</x:v>
      </x:c>
      <x:c r="B23" s="98" t="n">
        <x:f>'Resource Build-Up'!A22</x:f>
        <x:v>0</x:v>
      </x:c>
      <x:c r="C23" s="98" t="n">
        <x:f>'Resource Build-Up'!B22</x:f>
        <x:v>0</x:v>
      </x:c>
      <x:c r="D23" s="26" t="str">
        <x:f>'Resource Build-Up'!C22</x:f>
      </x:c>
      <x:c r="E23" s="26" t="n">
        <x:f>'Resource Build-Up'!H22</x:f>
        <x:v>0</x:v>
      </x:c>
      <x:c r="F23" s="26" t="n">
        <x:f>'Resource Build-Up'!P22</x:f>
        <x:v>0</x:v>
      </x:c>
      <x:c r="G23" s="26" t="n">
        <x:f>'Resource Build-Up'!Q22</x:f>
        <x:v>0</x:v>
      </x:c>
      <x:c r="H23" s="26" t="n">
        <x:f>'Resource Build-Up'!T22</x:f>
        <x:v>0</x:v>
      </x:c>
      <x:c r="I23" s="44" t="n">
        <x:f>'Resource Build-Up'!Y22</x:f>
        <x:v>0</x:v>
      </x:c>
      <x:c r="J23" s="44" t="str">
        <x:f>'Resource Build-Up'!Z22</x:f>
      </x:c>
      <x:c r="K23" s="26"/>
      <x:c r="L23" s="26"/>
      <x:c r="M23" s="26"/>
      <x:c r="N23" s="26"/>
      <x:c r="O23" s="26"/>
      <x:c r="P23" s="26"/>
      <x:c r="Q23" s="26">
        <x:f t="shared" si="0"/>
        <x:v>0</x:v>
      </x:c>
      <x:c r="R23" s="26" t="n">
        <x:f>'Resource Build-Up'!AC22</x:f>
        <x:v>0</x:v>
      </x:c>
      <x:c r="S23" s="26" t="n">
        <x:f>'Resource Build-Up'!AF22</x:f>
        <x:v>0</x:v>
      </x:c>
      <x:c r="T23" s="100"/>
      <x:c r="U23" s="26"/>
      <x:c r="V23" s="26" t="n">
        <x:f>'Resource Build-Up'!AG22</x:f>
        <x:v>0</x:v>
      </x:c>
    </x:row>
    <x:row r="24" ht="32.400001525878906" customHeight="1">
      <x:c r="A24" s="98" t="s">
        <x:v>633</x:v>
      </x:c>
      <x:c r="B24" s="98" t="n">
        <x:f>'Resource Build-Up'!A23</x:f>
        <x:v>0</x:v>
      </x:c>
      <x:c r="C24" s="98" t="n">
        <x:f>'Resource Build-Up'!B23</x:f>
        <x:v>0</x:v>
      </x:c>
      <x:c r="D24" s="26" t="str">
        <x:f>'Resource Build-Up'!C23</x:f>
      </x:c>
      <x:c r="E24" s="26" t="n">
        <x:f>'Resource Build-Up'!H23</x:f>
        <x:v>0</x:v>
      </x:c>
      <x:c r="F24" s="26" t="n">
        <x:f>'Resource Build-Up'!P23</x:f>
        <x:v>0</x:v>
      </x:c>
      <x:c r="G24" s="26" t="n">
        <x:f>'Resource Build-Up'!Q23</x:f>
        <x:v>0</x:v>
      </x:c>
      <x:c r="H24" s="26" t="n">
        <x:f>'Resource Build-Up'!T23</x:f>
        <x:v>0</x:v>
      </x:c>
      <x:c r="I24" s="44" t="n">
        <x:f>'Resource Build-Up'!Y23</x:f>
        <x:v>0</x:v>
      </x:c>
      <x:c r="J24" s="44" t="str">
        <x:f>'Resource Build-Up'!Z23</x:f>
      </x:c>
      <x:c r="K24" s="26"/>
      <x:c r="L24" s="26"/>
      <x:c r="M24" s="26"/>
      <x:c r="N24" s="26"/>
      <x:c r="O24" s="26"/>
      <x:c r="P24" s="26"/>
      <x:c r="Q24" s="26">
        <x:f t="shared" si="0"/>
        <x:v>1</x:v>
      </x:c>
      <x:c r="R24" s="26" t="n">
        <x:f>'Resource Build-Up'!AC23</x:f>
        <x:v>0</x:v>
      </x:c>
      <x:c r="S24" s="26" t="n">
        <x:f>'Resource Build-Up'!AF23</x:f>
        <x:v>0</x:v>
      </x:c>
      <x:c r="T24" s="99"/>
      <x:c r="U24" s="26"/>
      <x:c r="V24" s="26" t="n">
        <x:f>'Resource Build-Up'!AG23</x:f>
        <x:v>0</x:v>
      </x:c>
    </x:row>
    <x:row r="25" ht="32.400001525878906" customHeight="1">
      <x:c r="A25" s="98" t="s">
        <x:v>634</x:v>
      </x:c>
      <x:c r="B25" s="98" t="n">
        <x:f>'Resource Build-Up'!A24</x:f>
        <x:v>0</x:v>
      </x:c>
      <x:c r="C25" s="98" t="n">
        <x:f>'Resource Build-Up'!B24</x:f>
        <x:v>0</x:v>
      </x:c>
      <x:c r="D25" s="26" t="str">
        <x:f>'Resource Build-Up'!C24</x:f>
      </x:c>
      <x:c r="E25" s="26" t="n">
        <x:f>'Resource Build-Up'!H24</x:f>
        <x:v>0</x:v>
      </x:c>
      <x:c r="F25" s="26" t="n">
        <x:f>'Resource Build-Up'!P24</x:f>
        <x:v>0</x:v>
      </x:c>
      <x:c r="G25" s="26" t="n">
        <x:f>'Resource Build-Up'!Q24</x:f>
        <x:v>0</x:v>
      </x:c>
      <x:c r="H25" s="26" t="n">
        <x:f>'Resource Build-Up'!T24</x:f>
        <x:v>0</x:v>
      </x:c>
      <x:c r="I25" s="44" t="n">
        <x:f>'Resource Build-Up'!Y24</x:f>
        <x:v>0</x:v>
      </x:c>
      <x:c r="J25" s="44" t="str">
        <x:f>'Resource Build-Up'!Z24</x:f>
      </x:c>
      <x:c r="K25" s="26"/>
      <x:c r="L25" s="26"/>
      <x:c r="M25" s="26"/>
      <x:c r="N25" s="26"/>
      <x:c r="O25" s="26"/>
      <x:c r="P25" s="26"/>
      <x:c r="Q25" s="26">
        <x:f t="shared" si="0"/>
        <x:v>2</x:v>
      </x:c>
      <x:c r="R25" s="26" t="n">
        <x:f>'Resource Build-Up'!AC24</x:f>
        <x:v>0</x:v>
      </x:c>
      <x:c r="S25" s="26" t="n">
        <x:f>'Resource Build-Up'!AF24</x:f>
        <x:v>0</x:v>
      </x:c>
      <x:c r="T25" s="99"/>
      <x:c r="U25" s="26"/>
      <x:c r="V25" s="26" t="n">
        <x:f>'Resource Build-Up'!AG24</x:f>
        <x:v>0</x:v>
      </x:c>
    </x:row>
    <x:row r="26" ht="32.400001525878906" customHeight="1">
      <x:c r="A26" s="98" t="s">
        <x:v>635</x:v>
      </x:c>
      <x:c r="B26" s="98" t="n">
        <x:f>'Resource Build-Up'!A25</x:f>
        <x:v>0</x:v>
      </x:c>
      <x:c r="C26" s="98" t="n">
        <x:f>'Resource Build-Up'!B25</x:f>
        <x:v>0</x:v>
      </x:c>
      <x:c r="D26" s="26" t="str">
        <x:f>'Resource Build-Up'!C25</x:f>
      </x:c>
      <x:c r="E26" s="26" t="n">
        <x:f>'Resource Build-Up'!H25</x:f>
        <x:v>0</x:v>
      </x:c>
      <x:c r="F26" s="26" t="n">
        <x:f>'Resource Build-Up'!P25</x:f>
        <x:v>0</x:v>
      </x:c>
      <x:c r="G26" s="26" t="n">
        <x:f>'Resource Build-Up'!Q25</x:f>
        <x:v>0</x:v>
      </x:c>
      <x:c r="H26" s="26" t="n">
        <x:f>'Resource Build-Up'!T25</x:f>
        <x:v>0</x:v>
      </x:c>
      <x:c r="I26" s="44" t="n">
        <x:f>'Resource Build-Up'!Y25</x:f>
        <x:v>0</x:v>
      </x:c>
      <x:c r="J26" s="44" t="str">
        <x:f>'Resource Build-Up'!Z25</x:f>
      </x:c>
      <x:c r="K26" s="26"/>
      <x:c r="L26" s="26"/>
      <x:c r="M26" s="26"/>
      <x:c r="N26" s="26"/>
      <x:c r="O26" s="26"/>
      <x:c r="P26" s="26"/>
      <x:c r="Q26" s="26">
        <x:f t="shared" si="0"/>
        <x:v>1</x:v>
      </x:c>
      <x:c r="R26" s="26" t="n">
        <x:f>'Resource Build-Up'!AC25</x:f>
        <x:v>0</x:v>
      </x:c>
      <x:c r="S26" s="26" t="n">
        <x:f>'Resource Build-Up'!AF25</x:f>
        <x:v>0</x:v>
      </x:c>
      <x:c r="T26" s="99"/>
      <x:c r="U26" s="26"/>
      <x:c r="V26" s="26" t="n">
        <x:f>'Resource Build-Up'!AG25</x:f>
        <x:v>0</x:v>
      </x:c>
    </x:row>
    <x:row r="27" ht="32.400001525878906" customHeight="1">
      <x:c r="A27" s="98" t="s">
        <x:v>636</x:v>
      </x:c>
      <x:c r="B27" s="98" t="n">
        <x:f>'Resource Build-Up'!A26</x:f>
        <x:v>0</x:v>
      </x:c>
      <x:c r="C27" s="98" t="n">
        <x:f>'Resource Build-Up'!B26</x:f>
        <x:v>0</x:v>
      </x:c>
      <x:c r="D27" s="26" t="str">
        <x:f>'Resource Build-Up'!C26</x:f>
      </x:c>
      <x:c r="E27" s="26" t="n">
        <x:f>'Resource Build-Up'!H26</x:f>
        <x:v>0</x:v>
      </x:c>
      <x:c r="F27" s="26" t="n">
        <x:f>'Resource Build-Up'!P26</x:f>
        <x:v>0</x:v>
      </x:c>
      <x:c r="G27" s="26" t="n">
        <x:f>'Resource Build-Up'!Q26</x:f>
        <x:v>0</x:v>
      </x:c>
      <x:c r="H27" s="26" t="n">
        <x:f>'Resource Build-Up'!T26</x:f>
        <x:v>0</x:v>
      </x:c>
      <x:c r="I27" s="44" t="n">
        <x:f>'Resource Build-Up'!Y26</x:f>
        <x:v>0</x:v>
      </x:c>
      <x:c r="J27" s="44" t="str">
        <x:f>'Resource Build-Up'!Z26</x:f>
      </x:c>
      <x:c r="K27" s="26"/>
      <x:c r="L27" s="26"/>
      <x:c r="M27" s="26"/>
      <x:c r="N27" s="26"/>
      <x:c r="O27" s="26"/>
      <x:c r="P27" s="26"/>
      <x:c r="Q27" s="26">
        <x:f t="shared" si="0"/>
        <x:v>1</x:v>
      </x:c>
      <x:c r="R27" s="26" t="n">
        <x:f>'Resource Build-Up'!AC26</x:f>
        <x:v>0</x:v>
      </x:c>
      <x:c r="S27" s="26" t="n">
        <x:f>'Resource Build-Up'!AF26</x:f>
        <x:v>0</x:v>
      </x:c>
      <x:c r="T27" s="99"/>
      <x:c r="U27" s="26"/>
      <x:c r="V27" s="26" t="n">
        <x:f>'Resource Build-Up'!AG26</x:f>
        <x:v>0</x:v>
      </x:c>
    </x:row>
    <x:row r="28" ht="32.400001525878906" customHeight="1">
      <x:c r="A28" s="98" t="s">
        <x:v>637</x:v>
      </x:c>
      <x:c r="B28" s="98" t="n">
        <x:f>'Resource Build-Up'!A27</x:f>
        <x:v>0</x:v>
      </x:c>
      <x:c r="C28" s="98" t="n">
        <x:f>'Resource Build-Up'!B27</x:f>
        <x:v>0</x:v>
      </x:c>
      <x:c r="D28" s="26" t="str">
        <x:f>'Resource Build-Up'!C27</x:f>
      </x:c>
      <x:c r="E28" s="26" t="n">
        <x:f>'Resource Build-Up'!H27</x:f>
        <x:v>0</x:v>
      </x:c>
      <x:c r="F28" s="26" t="n">
        <x:f>'Resource Build-Up'!P27</x:f>
        <x:v>0</x:v>
      </x:c>
      <x:c r="G28" s="26" t="n">
        <x:f>'Resource Build-Up'!Q27</x:f>
        <x:v>0</x:v>
      </x:c>
      <x:c r="H28" s="26" t="n">
        <x:f>'Resource Build-Up'!T27</x:f>
        <x:v>0</x:v>
      </x:c>
      <x:c r="I28" s="44" t="n">
        <x:f>'Resource Build-Up'!Y27</x:f>
        <x:v>0</x:v>
      </x:c>
      <x:c r="J28" s="44" t="str">
        <x:f>'Resource Build-Up'!Z27</x:f>
      </x:c>
      <x:c r="K28" s="26"/>
      <x:c r="L28" s="26"/>
      <x:c r="M28" s="26"/>
      <x:c r="N28" s="26"/>
      <x:c r="O28" s="26"/>
      <x:c r="P28" s="26"/>
      <x:c r="Q28" s="26">
        <x:f t="shared" si="0"/>
        <x:v>3</x:v>
      </x:c>
      <x:c r="R28" s="26" t="n">
        <x:f>'Resource Build-Up'!AC27</x:f>
        <x:v>0</x:v>
      </x:c>
      <x:c r="S28" s="26" t="n">
        <x:f>'Resource Build-Up'!AF27</x:f>
        <x:v>0</x:v>
      </x:c>
      <x:c r="T28" s="101"/>
      <x:c r="U28" s="26"/>
      <x:c r="V28" s="26" t="n">
        <x:f>'Resource Build-Up'!AG27</x:f>
        <x:v>0</x:v>
      </x:c>
    </x:row>
    <x:row r="29" ht="32.400001525878906" customHeight="1">
      <x:c r="A29" s="98" t="s">
        <x:v>638</x:v>
      </x:c>
      <x:c r="B29" s="98" t="n">
        <x:f>'Resource Build-Up'!A28</x:f>
        <x:v>0</x:v>
      </x:c>
      <x:c r="C29" s="98" t="n">
        <x:f>'Resource Build-Up'!B28</x:f>
        <x:v>0</x:v>
      </x:c>
      <x:c r="D29" s="26" t="str">
        <x:f>'Resource Build-Up'!C28</x:f>
      </x:c>
      <x:c r="E29" s="26" t="n">
        <x:f>'Resource Build-Up'!H28</x:f>
        <x:v>0</x:v>
      </x:c>
      <x:c r="F29" s="26" t="n">
        <x:f>'Resource Build-Up'!P28</x:f>
        <x:v>0</x:v>
      </x:c>
      <x:c r="G29" s="26" t="n">
        <x:f>'Resource Build-Up'!Q28</x:f>
        <x:v>0</x:v>
      </x:c>
      <x:c r="H29" s="26" t="n">
        <x:f>'Resource Build-Up'!T28</x:f>
        <x:v>0</x:v>
      </x:c>
      <x:c r="I29" s="44" t="n">
        <x:f>'Resource Build-Up'!Y28</x:f>
        <x:v>0</x:v>
      </x:c>
      <x:c r="J29" s="44" t="str">
        <x:f>'Resource Build-Up'!Z28</x:f>
      </x:c>
      <x:c r="K29" s="26"/>
      <x:c r="L29" s="26"/>
      <x:c r="M29" s="26"/>
      <x:c r="N29" s="26"/>
      <x:c r="O29" s="26"/>
      <x:c r="P29" s="26"/>
      <x:c r="Q29" s="26">
        <x:f t="shared" si="0"/>
        <x:v>3</x:v>
      </x:c>
      <x:c r="R29" s="26" t="n">
        <x:f>'Resource Build-Up'!AC28</x:f>
        <x:v>0</x:v>
      </x:c>
      <x:c r="S29" s="26" t="n">
        <x:f>'Resource Build-Up'!AF28</x:f>
        <x:v>0</x:v>
      </x:c>
      <x:c r="T29" s="101"/>
      <x:c r="U29" s="26"/>
      <x:c r="V29" s="26" t="n">
        <x:f>'Resource Build-Up'!AG28</x:f>
        <x:v>0</x:v>
      </x:c>
    </x:row>
    <x:row r="30" ht="32.400001525878906" customHeight="1">
      <x:c r="A30" s="98" t="s">
        <x:v>639</x:v>
      </x:c>
      <x:c r="B30" s="98" t="n">
        <x:f>'Resource Build-Up'!A29</x:f>
        <x:v>0</x:v>
      </x:c>
      <x:c r="C30" s="98" t="n">
        <x:f>'Resource Build-Up'!B29</x:f>
        <x:v>0</x:v>
      </x:c>
      <x:c r="D30" s="26" t="str">
        <x:f>'Resource Build-Up'!C29</x:f>
      </x:c>
      <x:c r="E30" s="26" t="n">
        <x:f>'Resource Build-Up'!H29</x:f>
        <x:v>0</x:v>
      </x:c>
      <x:c r="F30" s="26" t="n">
        <x:f>'Resource Build-Up'!P29</x:f>
        <x:v>0</x:v>
      </x:c>
      <x:c r="G30" s="26" t="n">
        <x:f>'Resource Build-Up'!Q29</x:f>
        <x:v>0</x:v>
      </x:c>
      <x:c r="H30" s="26" t="n">
        <x:f>'Resource Build-Up'!T29</x:f>
        <x:v>0</x:v>
      </x:c>
      <x:c r="I30" s="44" t="n">
        <x:f>'Resource Build-Up'!Y29</x:f>
        <x:v>0</x:v>
      </x:c>
      <x:c r="J30" s="44" t="str">
        <x:f>'Resource Build-Up'!Z29</x:f>
      </x:c>
      <x:c r="K30" s="26"/>
      <x:c r="L30" s="26"/>
      <x:c r="M30" s="26"/>
      <x:c r="N30" s="26"/>
      <x:c r="O30" s="26"/>
      <x:c r="P30" s="26"/>
      <x:c r="Q30" s="26">
        <x:f t="shared" si="0"/>
        <x:v>3</x:v>
      </x:c>
      <x:c r="R30" s="26" t="n">
        <x:f>'Resource Build-Up'!AC29</x:f>
        <x:v>0</x:v>
      </x:c>
      <x:c r="S30" s="26" t="n">
        <x:f>'Resource Build-Up'!AF29</x:f>
        <x:v>0</x:v>
      </x:c>
      <x:c r="T30" s="101"/>
      <x:c r="U30" s="26"/>
      <x:c r="V30" s="26" t="n">
        <x:f>'Resource Build-Up'!AG29</x:f>
        <x:v>0</x:v>
      </x:c>
    </x:row>
    <x:row r="31" ht="32.400001525878906" customHeight="1">
      <x:c r="A31" s="98" t="s">
        <x:v>640</x:v>
      </x:c>
      <x:c r="B31" s="98" t="n">
        <x:f>'Resource Build-Up'!A30</x:f>
        <x:v>0</x:v>
      </x:c>
      <x:c r="C31" s="98" t="n">
        <x:f>'Resource Build-Up'!B30</x:f>
        <x:v>0</x:v>
      </x:c>
      <x:c r="D31" s="26" t="str">
        <x:f>'Resource Build-Up'!C30</x:f>
      </x:c>
      <x:c r="E31" s="26" t="n">
        <x:f>'Resource Build-Up'!H30</x:f>
        <x:v>0</x:v>
      </x:c>
      <x:c r="F31" s="26" t="n">
        <x:f>'Resource Build-Up'!P30</x:f>
        <x:v>0</x:v>
      </x:c>
      <x:c r="G31" s="26" t="n">
        <x:f>'Resource Build-Up'!Q30</x:f>
        <x:v>0</x:v>
      </x:c>
      <x:c r="H31" s="26" t="n">
        <x:f>'Resource Build-Up'!T30</x:f>
        <x:v>0</x:v>
      </x:c>
      <x:c r="I31" s="44" t="n">
        <x:f>'Resource Build-Up'!Y30</x:f>
        <x:v>0</x:v>
      </x:c>
      <x:c r="J31" s="44" t="str">
        <x:f>'Resource Build-Up'!Z30</x:f>
      </x:c>
      <x:c r="K31" s="26"/>
      <x:c r="L31" s="26"/>
      <x:c r="M31" s="26"/>
      <x:c r="N31" s="26"/>
      <x:c r="O31" s="26"/>
      <x:c r="P31" s="26"/>
      <x:c r="Q31" s="26">
        <x:f t="shared" si="0"/>
        <x:v>3</x:v>
      </x:c>
      <x:c r="R31" s="26" t="n">
        <x:f>'Resource Build-Up'!AC30</x:f>
        <x:v>0</x:v>
      </x:c>
      <x:c r="S31" s="26" t="n">
        <x:f>'Resource Build-Up'!AF30</x:f>
        <x:v>0</x:v>
      </x:c>
      <x:c r="T31" s="101"/>
      <x:c r="U31" s="26"/>
      <x:c r="V31" s="26" t="n">
        <x:f>'Resource Build-Up'!AG30</x:f>
        <x:v>0</x:v>
      </x:c>
    </x:row>
    <x:row r="32" ht="32.400001525878906" customHeight="1">
      <x:c r="A32" s="98" t="s">
        <x:v>641</x:v>
      </x:c>
      <x:c r="B32" s="98" t="n">
        <x:f>'Resource Build-Up'!A31</x:f>
        <x:v>0</x:v>
      </x:c>
      <x:c r="C32" s="98" t="n">
        <x:f>'Resource Build-Up'!B31</x:f>
        <x:v>0</x:v>
      </x:c>
      <x:c r="D32" s="26" t="str">
        <x:f>'Resource Build-Up'!C31</x:f>
      </x:c>
      <x:c r="E32" s="26" t="n">
        <x:f>'Resource Build-Up'!H31</x:f>
        <x:v>0</x:v>
      </x:c>
      <x:c r="F32" s="26" t="n">
        <x:f>'Resource Build-Up'!P31</x:f>
        <x:v>0</x:v>
      </x:c>
      <x:c r="G32" s="26" t="n">
        <x:f>'Resource Build-Up'!Q31</x:f>
        <x:v>0</x:v>
      </x:c>
      <x:c r="H32" s="26" t="n">
        <x:f>'Resource Build-Up'!T31</x:f>
        <x:v>0</x:v>
      </x:c>
      <x:c r="I32" s="44" t="n">
        <x:f>'Resource Build-Up'!Y31</x:f>
        <x:v>0</x:v>
      </x:c>
      <x:c r="J32" s="44" t="str">
        <x:f>'Resource Build-Up'!Z31</x:f>
      </x:c>
      <x:c r="K32" s="26"/>
      <x:c r="L32" s="26"/>
      <x:c r="M32" s="26"/>
      <x:c r="N32" s="26"/>
      <x:c r="O32" s="26"/>
      <x:c r="P32" s="26"/>
      <x:c r="Q32" s="26">
        <x:f t="shared" si="0"/>
        <x:v>1</x:v>
      </x:c>
      <x:c r="R32" s="26" t="n">
        <x:f>'Resource Build-Up'!AC31</x:f>
        <x:v>0</x:v>
      </x:c>
      <x:c r="S32" s="26" t="n">
        <x:f>'Resource Build-Up'!AF31</x:f>
        <x:v>0</x:v>
      </x:c>
      <x:c r="T32" s="99"/>
      <x:c r="U32" s="26"/>
      <x:c r="V32" s="26" t="n">
        <x:f>'Resource Build-Up'!AG31</x:f>
        <x:v>0</x:v>
      </x:c>
    </x:row>
    <x:row r="33" ht="32.400001525878906" customHeight="1">
      <x:c r="A33" s="98" t="s">
        <x:v>642</x:v>
      </x:c>
      <x:c r="B33" s="98" t="n">
        <x:f>'Resource Build-Up'!A32</x:f>
        <x:v>0</x:v>
      </x:c>
      <x:c r="C33" s="98" t="n">
        <x:f>'Resource Build-Up'!B32</x:f>
        <x:v>0</x:v>
      </x:c>
      <x:c r="D33" s="26" t="str">
        <x:f>'Resource Build-Up'!C32</x:f>
      </x:c>
      <x:c r="E33" s="26" t="n">
        <x:f>'Resource Build-Up'!H32</x:f>
        <x:v>0</x:v>
      </x:c>
      <x:c r="F33" s="26" t="n">
        <x:f>'Resource Build-Up'!P32</x:f>
        <x:v>0</x:v>
      </x:c>
      <x:c r="G33" s="26" t="n">
        <x:f>'Resource Build-Up'!Q32</x:f>
        <x:v>0</x:v>
      </x:c>
      <x:c r="H33" s="26" t="n">
        <x:f>'Resource Build-Up'!T32</x:f>
        <x:v>0</x:v>
      </x:c>
      <x:c r="I33" s="44" t="n">
        <x:f>'Resource Build-Up'!Y32</x:f>
        <x:v>0</x:v>
      </x:c>
      <x:c r="J33" s="44" t="str">
        <x:f>'Resource Build-Up'!Z32</x:f>
      </x:c>
      <x:c r="K33" s="26"/>
      <x:c r="L33" s="26"/>
      <x:c r="M33" s="26"/>
      <x:c r="N33" s="26"/>
      <x:c r="O33" s="26"/>
      <x:c r="P33" s="26"/>
      <x:c r="Q33" s="26">
        <x:f t="shared" si="0"/>
        <x:v>0</x:v>
      </x:c>
      <x:c r="R33" s="26" t="n">
        <x:f>'Resource Build-Up'!AC32</x:f>
        <x:v>0</x:v>
      </x:c>
      <x:c r="S33" s="26" t="n">
        <x:f>'Resource Build-Up'!AF32</x:f>
        <x:v>0</x:v>
      </x:c>
      <x:c r="T33" s="100"/>
      <x:c r="U33" s="26"/>
      <x:c r="V33" s="26" t="n">
        <x:f>'Resource Build-Up'!AG32</x:f>
        <x:v>0</x:v>
      </x:c>
    </x:row>
    <x:row r="34" ht="32.400001525878906" customHeight="1">
      <x:c r="A34" s="98" t="s">
        <x:v>643</x:v>
      </x:c>
      <x:c r="B34" s="98" t="n">
        <x:f>'Resource Build-Up'!A33</x:f>
        <x:v>0</x:v>
      </x:c>
      <x:c r="C34" s="98" t="n">
        <x:f>'Resource Build-Up'!B33</x:f>
        <x:v>0</x:v>
      </x:c>
      <x:c r="D34" s="26" t="str">
        <x:f>'Resource Build-Up'!C33</x:f>
      </x:c>
      <x:c r="E34" s="26" t="n">
        <x:f>'Resource Build-Up'!H33</x:f>
        <x:v>0</x:v>
      </x:c>
      <x:c r="F34" s="26" t="n">
        <x:f>'Resource Build-Up'!P33</x:f>
        <x:v>0</x:v>
      </x:c>
      <x:c r="G34" s="26" t="n">
        <x:f>'Resource Build-Up'!Q33</x:f>
        <x:v>0</x:v>
      </x:c>
      <x:c r="H34" s="26" t="n">
        <x:f>'Resource Build-Up'!T33</x:f>
        <x:v>0</x:v>
      </x:c>
      <x:c r="I34" s="44" t="n">
        <x:f>'Resource Build-Up'!Y33</x:f>
        <x:v>0</x:v>
      </x:c>
      <x:c r="J34" s="44" t="str">
        <x:f>'Resource Build-Up'!Z33</x:f>
      </x:c>
      <x:c r="K34" s="26"/>
      <x:c r="L34" s="26"/>
      <x:c r="M34" s="26"/>
      <x:c r="N34" s="26"/>
      <x:c r="O34" s="26"/>
      <x:c r="P34" s="26"/>
      <x:c r="Q34" s="26">
        <x:f t="shared" si="0"/>
        <x:v>2</x:v>
      </x:c>
      <x:c r="R34" s="26" t="n">
        <x:f>'Resource Build-Up'!AC33</x:f>
        <x:v>0</x:v>
      </x:c>
      <x:c r="S34" s="26" t="n">
        <x:f>'Resource Build-Up'!AF33</x:f>
        <x:v>0</x:v>
      </x:c>
      <x:c r="T34" s="99"/>
      <x:c r="U34" s="26"/>
      <x:c r="V34" s="26" t="n">
        <x:f>'Resource Build-Up'!AG33</x:f>
        <x:v>0</x:v>
      </x:c>
    </x:row>
    <x:row r="35" ht="32.400001525878906" customHeight="1">
      <x:c r="A35" s="98" t="s">
        <x:v>644</x:v>
      </x:c>
      <x:c r="B35" s="98" t="n">
        <x:f>'Resource Build-Up'!A34</x:f>
        <x:v>0</x:v>
      </x:c>
      <x:c r="C35" s="98" t="n">
        <x:f>'Resource Build-Up'!B34</x:f>
        <x:v>0</x:v>
      </x:c>
      <x:c r="D35" s="26" t="str">
        <x:f>'Resource Build-Up'!C34</x:f>
      </x:c>
      <x:c r="E35" s="26" t="n">
        <x:f>'Resource Build-Up'!H34</x:f>
        <x:v>0</x:v>
      </x:c>
      <x:c r="F35" s="26" t="n">
        <x:f>'Resource Build-Up'!P34</x:f>
        <x:v>0</x:v>
      </x:c>
      <x:c r="G35" s="26" t="n">
        <x:f>'Resource Build-Up'!Q34</x:f>
        <x:v>0</x:v>
      </x:c>
      <x:c r="H35" s="26" t="n">
        <x:f>'Resource Build-Up'!T34</x:f>
        <x:v>0</x:v>
      </x:c>
      <x:c r="I35" s="44" t="n">
        <x:f>'Resource Build-Up'!Y34</x:f>
        <x:v>0</x:v>
      </x:c>
      <x:c r="J35" s="44" t="str">
        <x:f>'Resource Build-Up'!Z34</x:f>
      </x:c>
      <x:c r="K35" s="26"/>
      <x:c r="L35" s="26"/>
      <x:c r="M35" s="26"/>
      <x:c r="N35" s="26"/>
      <x:c r="O35" s="26"/>
      <x:c r="P35" s="26"/>
      <x:c r="Q35" s="26">
        <x:f t="shared" si="0"/>
        <x:v>3</x:v>
      </x:c>
      <x:c r="R35" s="26" t="n">
        <x:f>'Resource Build-Up'!AC34</x:f>
        <x:v>0</x:v>
      </x:c>
      <x:c r="S35" s="26" t="n">
        <x:f>'Resource Build-Up'!AF34</x:f>
        <x:v>0</x:v>
      </x:c>
      <x:c r="T35" s="101"/>
      <x:c r="U35" s="26"/>
      <x:c r="V35" s="26" t="n">
        <x:f>'Resource Build-Up'!AG34</x:f>
        <x:v>0</x:v>
      </x:c>
    </x:row>
    <x:row r="36" ht="32.400001525878906" customHeight="1">
      <x:c r="A36" s="98" t="s">
        <x:v>645</x:v>
      </x:c>
      <x:c r="B36" s="98" t="n">
        <x:f>'Resource Build-Up'!A35</x:f>
        <x:v>0</x:v>
      </x:c>
      <x:c r="C36" s="98" t="n">
        <x:f>'Resource Build-Up'!B35</x:f>
        <x:v>0</x:v>
      </x:c>
      <x:c r="D36" s="26" t="str">
        <x:f>'Resource Build-Up'!C35</x:f>
      </x:c>
      <x:c r="E36" s="26" t="n">
        <x:f>'Resource Build-Up'!H35</x:f>
        <x:v>0</x:v>
      </x:c>
      <x:c r="F36" s="26" t="n">
        <x:f>'Resource Build-Up'!P35</x:f>
        <x:v>0</x:v>
      </x:c>
      <x:c r="G36" s="26" t="n">
        <x:f>'Resource Build-Up'!Q35</x:f>
        <x:v>0</x:v>
      </x:c>
      <x:c r="H36" s="26" t="n">
        <x:f>'Resource Build-Up'!T35</x:f>
        <x:v>0</x:v>
      </x:c>
      <x:c r="I36" s="44" t="n">
        <x:f>'Resource Build-Up'!Y35</x:f>
        <x:v>0</x:v>
      </x:c>
      <x:c r="J36" s="44" t="str">
        <x:f>'Resource Build-Up'!Z35</x:f>
      </x:c>
      <x:c r="K36" s="26"/>
      <x:c r="L36" s="26"/>
      <x:c r="M36" s="26"/>
      <x:c r="N36" s="26"/>
      <x:c r="O36" s="26"/>
      <x:c r="P36" s="26"/>
      <x:c r="Q36" s="26">
        <x:f t="shared" si="0"/>
        <x:v>2</x:v>
      </x:c>
      <x:c r="R36" s="26" t="n">
        <x:f>'Resource Build-Up'!AC35</x:f>
        <x:v>0</x:v>
      </x:c>
      <x:c r="S36" s="26" t="n">
        <x:f>'Resource Build-Up'!AF35</x:f>
        <x:v>0</x:v>
      </x:c>
      <x:c r="T36" s="99"/>
      <x:c r="U36" s="26"/>
      <x:c r="V36" s="26" t="n">
        <x:f>'Resource Build-Up'!AG35</x:f>
        <x:v>0</x:v>
      </x:c>
    </x:row>
    <x:row r="37" ht="32.400001525878906" customHeight="1">
      <x:c r="A37" s="98" t="s">
        <x:v>646</x:v>
      </x:c>
      <x:c r="B37" s="98" t="n">
        <x:f>'Resource Build-Up'!A36</x:f>
        <x:v>0</x:v>
      </x:c>
      <x:c r="C37" s="98" t="n">
        <x:f>'Resource Build-Up'!B36</x:f>
        <x:v>0</x:v>
      </x:c>
      <x:c r="D37" s="26" t="str">
        <x:f>'Resource Build-Up'!C36</x:f>
      </x:c>
      <x:c r="E37" s="26" t="n">
        <x:f>'Resource Build-Up'!H36</x:f>
        <x:v>0</x:v>
      </x:c>
      <x:c r="F37" s="26" t="n">
        <x:f>'Resource Build-Up'!P36</x:f>
        <x:v>0</x:v>
      </x:c>
      <x:c r="G37" s="26" t="n">
        <x:f>'Resource Build-Up'!Q36</x:f>
        <x:v>0</x:v>
      </x:c>
      <x:c r="H37" s="26" t="n">
        <x:f>'Resource Build-Up'!T36</x:f>
        <x:v>0</x:v>
      </x:c>
      <x:c r="I37" s="44" t="n">
        <x:f>'Resource Build-Up'!Y36</x:f>
        <x:v>0</x:v>
      </x:c>
      <x:c r="J37" s="44" t="str">
        <x:f>'Resource Build-Up'!Z36</x:f>
      </x:c>
      <x:c r="K37" s="26"/>
      <x:c r="L37" s="26"/>
      <x:c r="M37" s="26"/>
      <x:c r="N37" s="26"/>
      <x:c r="O37" s="26"/>
      <x:c r="P37" s="26"/>
      <x:c r="Q37" s="26">
        <x:f t="shared" si="0"/>
        <x:v>3</x:v>
      </x:c>
      <x:c r="R37" s="26" t="n">
        <x:f>'Resource Build-Up'!AC36</x:f>
        <x:v>0</x:v>
      </x:c>
      <x:c r="S37" s="26" t="n">
        <x:f>'Resource Build-Up'!AF36</x:f>
        <x:v>0</x:v>
      </x:c>
      <x:c r="T37" s="101"/>
      <x:c r="U37" s="26"/>
      <x:c r="V37" s="26" t="n">
        <x:f>'Resource Build-Up'!AG36</x:f>
        <x:v>0</x:v>
      </x:c>
    </x:row>
    <x:row r="38" ht="32.400001525878906" customHeight="1">
      <x:c r="A38" s="98" t="s">
        <x:v>647</x:v>
      </x:c>
      <x:c r="B38" s="98" t="n">
        <x:f>'Resource Build-Up'!A37</x:f>
        <x:v>0</x:v>
      </x:c>
      <x:c r="C38" s="98" t="n">
        <x:f>'Resource Build-Up'!B37</x:f>
        <x:v>0</x:v>
      </x:c>
      <x:c r="D38" s="26" t="str">
        <x:f>'Resource Build-Up'!C37</x:f>
      </x:c>
      <x:c r="E38" s="26" t="n">
        <x:f>'Resource Build-Up'!H37</x:f>
        <x:v>0</x:v>
      </x:c>
      <x:c r="F38" s="26" t="n">
        <x:f>'Resource Build-Up'!P37</x:f>
        <x:v>0</x:v>
      </x:c>
      <x:c r="G38" s="26" t="n">
        <x:f>'Resource Build-Up'!Q37</x:f>
        <x:v>0</x:v>
      </x:c>
      <x:c r="H38" s="26" t="n">
        <x:f>'Resource Build-Up'!T37</x:f>
        <x:v>0</x:v>
      </x:c>
      <x:c r="I38" s="44" t="n">
        <x:f>'Resource Build-Up'!Y37</x:f>
        <x:v>0</x:v>
      </x:c>
      <x:c r="J38" s="44" t="str">
        <x:f>'Resource Build-Up'!Z37</x:f>
      </x:c>
      <x:c r="K38" s="26"/>
      <x:c r="L38" s="26"/>
      <x:c r="M38" s="26"/>
      <x:c r="N38" s="26"/>
      <x:c r="O38" s="26"/>
      <x:c r="P38" s="26"/>
      <x:c r="Q38" s="26">
        <x:f t="shared" si="0"/>
        <x:v>2</x:v>
      </x:c>
      <x:c r="R38" s="26" t="n">
        <x:f>'Resource Build-Up'!AC37</x:f>
        <x:v>0</x:v>
      </x:c>
      <x:c r="S38" s="26" t="n">
        <x:f>'Resource Build-Up'!AF37</x:f>
        <x:v>0</x:v>
      </x:c>
      <x:c r="T38" s="99"/>
      <x:c r="U38" s="26"/>
      <x:c r="V38" s="26" t="n">
        <x:f>'Resource Build-Up'!AG37</x:f>
        <x:v>0</x:v>
      </x:c>
    </x:row>
    <x:row r="39" ht="32.400001525878906" customHeight="1">
      <x:c r="A39" s="98" t="s">
        <x:v>648</x:v>
      </x:c>
      <x:c r="B39" s="98" t="n">
        <x:f>'Resource Build-Up'!A38</x:f>
        <x:v>0</x:v>
      </x:c>
      <x:c r="C39" s="98" t="n">
        <x:f>'Resource Build-Up'!B38</x:f>
        <x:v>0</x:v>
      </x:c>
      <x:c r="D39" s="26" t="str">
        <x:f>'Resource Build-Up'!C38</x:f>
      </x:c>
      <x:c r="E39" s="26" t="n">
        <x:f>'Resource Build-Up'!H38</x:f>
        <x:v>0</x:v>
      </x:c>
      <x:c r="F39" s="26" t="n">
        <x:f>'Resource Build-Up'!P38</x:f>
        <x:v>0</x:v>
      </x:c>
      <x:c r="G39" s="26" t="n">
        <x:f>'Resource Build-Up'!Q38</x:f>
        <x:v>0</x:v>
      </x:c>
      <x:c r="H39" s="26" t="n">
        <x:f>'Resource Build-Up'!T38</x:f>
        <x:v>0</x:v>
      </x:c>
      <x:c r="I39" s="44" t="n">
        <x:f>'Resource Build-Up'!Y38</x:f>
        <x:v>0</x:v>
      </x:c>
      <x:c r="J39" s="44" t="str">
        <x:f>'Resource Build-Up'!Z38</x:f>
      </x:c>
      <x:c r="K39" s="26"/>
      <x:c r="L39" s="26"/>
      <x:c r="M39" s="26"/>
      <x:c r="N39" s="26"/>
      <x:c r="O39" s="26"/>
      <x:c r="P39" s="26"/>
      <x:c r="Q39" s="26">
        <x:f t="shared" si="0"/>
        <x:v>3</x:v>
      </x:c>
      <x:c r="R39" s="26" t="n">
        <x:f>'Resource Build-Up'!AC38</x:f>
        <x:v>0</x:v>
      </x:c>
      <x:c r="S39" s="26" t="n">
        <x:f>'Resource Build-Up'!AF38</x:f>
        <x:v>0</x:v>
      </x:c>
      <x:c r="T39" s="101"/>
      <x:c r="U39" s="26"/>
      <x:c r="V39" s="26" t="n">
        <x:f>'Resource Build-Up'!AG38</x:f>
        <x:v>0</x:v>
      </x:c>
    </x:row>
    <x:row r="40" ht="32.400001525878906" customHeight="1">
      <x:c r="A40" s="98" t="s">
        <x:v>649</x:v>
      </x:c>
      <x:c r="B40" s="98" t="n">
        <x:f>'Resource Build-Up'!A39</x:f>
        <x:v>0</x:v>
      </x:c>
      <x:c r="C40" s="98" t="n">
        <x:f>'Resource Build-Up'!B39</x:f>
        <x:v>0</x:v>
      </x:c>
      <x:c r="D40" s="26" t="str">
        <x:f>'Resource Build-Up'!C39</x:f>
      </x:c>
      <x:c r="E40" s="26" t="n">
        <x:f>'Resource Build-Up'!H39</x:f>
        <x:v>0</x:v>
      </x:c>
      <x:c r="F40" s="26" t="n">
        <x:f>'Resource Build-Up'!P39</x:f>
        <x:v>0</x:v>
      </x:c>
      <x:c r="G40" s="26" t="n">
        <x:f>'Resource Build-Up'!Q39</x:f>
        <x:v>0</x:v>
      </x:c>
      <x:c r="H40" s="26" t="n">
        <x:f>'Resource Build-Up'!T39</x:f>
        <x:v>0</x:v>
      </x:c>
      <x:c r="I40" s="44" t="n">
        <x:f>'Resource Build-Up'!Y39</x:f>
        <x:v>0</x:v>
      </x:c>
      <x:c r="J40" s="44" t="str">
        <x:f>'Resource Build-Up'!Z39</x:f>
      </x:c>
      <x:c r="K40" s="26"/>
      <x:c r="L40" s="26"/>
      <x:c r="M40" s="26"/>
      <x:c r="N40" s="26"/>
      <x:c r="O40" s="26"/>
      <x:c r="P40" s="26"/>
      <x:c r="Q40" s="26" t="n">
        <x:f t="shared" ref="Q40:Q71" si="1">COUNTIF(L40,"PASS")+COUNTIF(N40,"PASS")+COUNTIF(P40,"PASS")</x:f>
        <x:v>0</x:v>
      </x:c>
      <x:c r="R40" s="26" t="n">
        <x:f>'Resource Build-Up'!AC39</x:f>
        <x:v>0</x:v>
      </x:c>
      <x:c r="S40" s="26" t="n">
        <x:f>'Resource Build-Up'!AF39</x:f>
        <x:v>0</x:v>
      </x:c>
      <x:c r="T40" s="99"/>
      <x:c r="U40" s="26"/>
      <x:c r="V40" s="26" t="n">
        <x:f>'Resource Build-Up'!AG39</x:f>
        <x:v>0</x:v>
      </x:c>
    </x:row>
    <x:row r="41" ht="32.400001525878906" customHeight="1">
      <x:c r="A41" s="98" t="s">
        <x:v>650</x:v>
      </x:c>
      <x:c r="B41" s="98" t="n">
        <x:f>'Resource Build-Up'!A40</x:f>
        <x:v>0</x:v>
      </x:c>
      <x:c r="C41" s="98" t="n">
        <x:f>'Resource Build-Up'!B40</x:f>
        <x:v>0</x:v>
      </x:c>
      <x:c r="D41" s="26" t="str">
        <x:f>'Resource Build-Up'!C40</x:f>
      </x:c>
      <x:c r="E41" s="26" t="n">
        <x:f>'Resource Build-Up'!H40</x:f>
        <x:v>0</x:v>
      </x:c>
      <x:c r="F41" s="26" t="n">
        <x:f>'Resource Build-Up'!P40</x:f>
        <x:v>0</x:v>
      </x:c>
      <x:c r="G41" s="26" t="n">
        <x:f>'Resource Build-Up'!Q40</x:f>
        <x:v>0</x:v>
      </x:c>
      <x:c r="H41" s="26" t="n">
        <x:f>'Resource Build-Up'!T40</x:f>
        <x:v>0</x:v>
      </x:c>
      <x:c r="I41" s="44" t="n">
        <x:f>'Resource Build-Up'!Y40</x:f>
        <x:v>0</x:v>
      </x:c>
      <x:c r="J41" s="44" t="str">
        <x:f>'Resource Build-Up'!Z40</x:f>
      </x:c>
      <x:c r="K41" s="26"/>
      <x:c r="L41" s="26"/>
      <x:c r="M41" s="26"/>
      <x:c r="N41" s="26"/>
      <x:c r="O41" s="26"/>
      <x:c r="P41" s="26"/>
      <x:c r="Q41" s="26">
        <x:f t="shared" si="1"/>
        <x:v>0</x:v>
      </x:c>
      <x:c r="R41" s="26" t="n">
        <x:f>'Resource Build-Up'!AC40</x:f>
        <x:v>0</x:v>
      </x:c>
      <x:c r="S41" s="26" t="n">
        <x:f>'Resource Build-Up'!AF40</x:f>
        <x:v>0</x:v>
      </x:c>
      <x:c r="T41" s="100"/>
      <x:c r="U41" s="26"/>
      <x:c r="V41" s="26" t="n">
        <x:f>'Resource Build-Up'!AG40</x:f>
        <x:v>0</x:v>
      </x:c>
    </x:row>
    <x:row r="42" ht="32.400001525878906" customHeight="1">
      <x:c r="A42" s="98" t="s">
        <x:v>651</x:v>
      </x:c>
      <x:c r="B42" s="98" t="n">
        <x:f>'Resource Build-Up'!A41</x:f>
        <x:v>0</x:v>
      </x:c>
      <x:c r="C42" s="98" t="n">
        <x:f>'Resource Build-Up'!B41</x:f>
        <x:v>0</x:v>
      </x:c>
      <x:c r="D42" s="26" t="str">
        <x:f>'Resource Build-Up'!C41</x:f>
      </x:c>
      <x:c r="E42" s="26" t="n">
        <x:f>'Resource Build-Up'!H41</x:f>
        <x:v>0</x:v>
      </x:c>
      <x:c r="F42" s="26" t="n">
        <x:f>'Resource Build-Up'!P41</x:f>
        <x:v>0</x:v>
      </x:c>
      <x:c r="G42" s="26" t="n">
        <x:f>'Resource Build-Up'!Q41</x:f>
        <x:v>0</x:v>
      </x:c>
      <x:c r="H42" s="26" t="n">
        <x:f>'Resource Build-Up'!T41</x:f>
        <x:v>0</x:v>
      </x:c>
      <x:c r="I42" s="44" t="n">
        <x:f>'Resource Build-Up'!Y41</x:f>
        <x:v>0</x:v>
      </x:c>
      <x:c r="J42" s="44" t="str">
        <x:f>'Resource Build-Up'!Z41</x:f>
      </x:c>
      <x:c r="K42" s="26"/>
      <x:c r="L42" s="26"/>
      <x:c r="M42" s="26"/>
      <x:c r="N42" s="26"/>
      <x:c r="O42" s="26"/>
      <x:c r="P42" s="26"/>
      <x:c r="Q42" s="26">
        <x:f t="shared" si="1"/>
        <x:v>3</x:v>
      </x:c>
      <x:c r="R42" s="26" t="n">
        <x:f>'Resource Build-Up'!AC41</x:f>
        <x:v>0</x:v>
      </x:c>
      <x:c r="S42" s="26" t="n">
        <x:f>'Resource Build-Up'!AF41</x:f>
        <x:v>0</x:v>
      </x:c>
      <x:c r="T42" s="101"/>
      <x:c r="U42" s="26"/>
      <x:c r="V42" s="26" t="n">
        <x:f>'Resource Build-Up'!AG41</x:f>
        <x:v>0</x:v>
      </x:c>
    </x:row>
    <x:row r="43" ht="32.400001525878906" customHeight="1">
      <x:c r="A43" s="98" t="s">
        <x:v>652</x:v>
      </x:c>
      <x:c r="B43" s="98" t="n">
        <x:f>'Resource Build-Up'!A42</x:f>
        <x:v>0</x:v>
      </x:c>
      <x:c r="C43" s="98" t="n">
        <x:f>'Resource Build-Up'!B42</x:f>
        <x:v>0</x:v>
      </x:c>
      <x:c r="D43" s="26" t="str">
        <x:f>'Resource Build-Up'!C42</x:f>
      </x:c>
      <x:c r="E43" s="26" t="n">
        <x:f>'Resource Build-Up'!H42</x:f>
        <x:v>0</x:v>
      </x:c>
      <x:c r="F43" s="26" t="n">
        <x:f>'Resource Build-Up'!P42</x:f>
        <x:v>0</x:v>
      </x:c>
      <x:c r="G43" s="26" t="n">
        <x:f>'Resource Build-Up'!Q42</x:f>
        <x:v>0</x:v>
      </x:c>
      <x:c r="H43" s="26" t="n">
        <x:f>'Resource Build-Up'!T42</x:f>
        <x:v>0</x:v>
      </x:c>
      <x:c r="I43" s="44" t="n">
        <x:f>'Resource Build-Up'!Y42</x:f>
        <x:v>0</x:v>
      </x:c>
      <x:c r="J43" s="44" t="str">
        <x:f>'Resource Build-Up'!Z42</x:f>
      </x:c>
      <x:c r="K43" s="26"/>
      <x:c r="L43" s="26"/>
      <x:c r="M43" s="26"/>
      <x:c r="N43" s="26"/>
      <x:c r="O43" s="26"/>
      <x:c r="P43" s="26"/>
      <x:c r="Q43" s="26">
        <x:f t="shared" si="1"/>
        <x:v>3</x:v>
      </x:c>
      <x:c r="R43" s="26" t="n">
        <x:f>'Resource Build-Up'!AC42</x:f>
        <x:v>0</x:v>
      </x:c>
      <x:c r="S43" s="26" t="n">
        <x:f>'Resource Build-Up'!AF42</x:f>
        <x:v>0</x:v>
      </x:c>
      <x:c r="T43" s="101"/>
      <x:c r="U43" s="26"/>
      <x:c r="V43" s="26" t="n">
        <x:f>'Resource Build-Up'!AG42</x:f>
        <x:v>0</x:v>
      </x:c>
    </x:row>
    <x:row r="44" ht="32.400001525878906" customHeight="1">
      <x:c r="A44" s="98" t="s">
        <x:v>653</x:v>
      </x:c>
      <x:c r="B44" s="98" t="n">
        <x:f>'Resource Build-Up'!A43</x:f>
        <x:v>0</x:v>
      </x:c>
      <x:c r="C44" s="98" t="n">
        <x:f>'Resource Build-Up'!B43</x:f>
        <x:v>0</x:v>
      </x:c>
      <x:c r="D44" s="26" t="str">
        <x:f>'Resource Build-Up'!C43</x:f>
      </x:c>
      <x:c r="E44" s="26" t="n">
        <x:f>'Resource Build-Up'!H43</x:f>
        <x:v>0</x:v>
      </x:c>
      <x:c r="F44" s="26" t="n">
        <x:f>'Resource Build-Up'!P43</x:f>
        <x:v>0</x:v>
      </x:c>
      <x:c r="G44" s="26" t="n">
        <x:f>'Resource Build-Up'!Q43</x:f>
        <x:v>0</x:v>
      </x:c>
      <x:c r="H44" s="26" t="n">
        <x:f>'Resource Build-Up'!T43</x:f>
        <x:v>0</x:v>
      </x:c>
      <x:c r="I44" s="44" t="n">
        <x:f>'Resource Build-Up'!Y43</x:f>
        <x:v>0</x:v>
      </x:c>
      <x:c r="J44" s="44" t="str">
        <x:f>'Resource Build-Up'!Z43</x:f>
      </x:c>
      <x:c r="K44" s="26"/>
      <x:c r="L44" s="26"/>
      <x:c r="M44" s="26"/>
      <x:c r="N44" s="26"/>
      <x:c r="O44" s="26"/>
      <x:c r="P44" s="26"/>
      <x:c r="Q44" s="26">
        <x:f t="shared" si="1"/>
        <x:v>1</x:v>
      </x:c>
      <x:c r="R44" s="26" t="n">
        <x:f>'Resource Build-Up'!AC43</x:f>
        <x:v>0</x:v>
      </x:c>
      <x:c r="S44" s="26" t="n">
        <x:f>'Resource Build-Up'!AF43</x:f>
        <x:v>0</x:v>
      </x:c>
      <x:c r="T44" s="99"/>
      <x:c r="U44" s="26"/>
      <x:c r="V44" s="26" t="n">
        <x:f>'Resource Build-Up'!AG43</x:f>
        <x:v>0</x:v>
      </x:c>
    </x:row>
    <x:row r="45" ht="32.400001525878906" customHeight="1">
      <x:c r="A45" s="98" t="s">
        <x:v>654</x:v>
      </x:c>
      <x:c r="B45" s="98" t="n">
        <x:f>'Resource Build-Up'!A44</x:f>
        <x:v>0</x:v>
      </x:c>
      <x:c r="C45" s="98" t="n">
        <x:f>'Resource Build-Up'!B44</x:f>
        <x:v>0</x:v>
      </x:c>
      <x:c r="D45" s="26" t="str">
        <x:f>'Resource Build-Up'!C44</x:f>
      </x:c>
      <x:c r="E45" s="26" t="n">
        <x:f>'Resource Build-Up'!H44</x:f>
        <x:v>0</x:v>
      </x:c>
      <x:c r="F45" s="26" t="n">
        <x:f>'Resource Build-Up'!P44</x:f>
        <x:v>0</x:v>
      </x:c>
      <x:c r="G45" s="26" t="n">
        <x:f>'Resource Build-Up'!Q44</x:f>
        <x:v>0</x:v>
      </x:c>
      <x:c r="H45" s="26" t="n">
        <x:f>'Resource Build-Up'!T44</x:f>
        <x:v>0</x:v>
      </x:c>
      <x:c r="I45" s="44" t="n">
        <x:f>'Resource Build-Up'!Y44</x:f>
        <x:v>0</x:v>
      </x:c>
      <x:c r="J45" s="44" t="str">
        <x:f>'Resource Build-Up'!Z44</x:f>
      </x:c>
      <x:c r="K45" s="26"/>
      <x:c r="L45" s="26"/>
      <x:c r="M45" s="26"/>
      <x:c r="N45" s="26"/>
      <x:c r="O45" s="26"/>
      <x:c r="P45" s="26"/>
      <x:c r="Q45" s="26">
        <x:f t="shared" si="1"/>
        <x:v>0</x:v>
      </x:c>
      <x:c r="R45" s="26" t="n">
        <x:f>'Resource Build-Up'!AC44</x:f>
        <x:v>0</x:v>
      </x:c>
      <x:c r="S45" s="26" t="n">
        <x:f>'Resource Build-Up'!AF44</x:f>
        <x:v>0</x:v>
      </x:c>
      <x:c r="T45" s="100"/>
      <x:c r="U45" s="26"/>
      <x:c r="V45" s="26" t="n">
        <x:f>'Resource Build-Up'!AG44</x:f>
        <x:v>0</x:v>
      </x:c>
    </x:row>
    <x:row r="46" ht="32.400001525878906" customHeight="1">
      <x:c r="A46" s="98" t="s">
        <x:v>655</x:v>
      </x:c>
      <x:c r="B46" s="98" t="n">
        <x:f>'Resource Build-Up'!A45</x:f>
        <x:v>0</x:v>
      </x:c>
      <x:c r="C46" s="98" t="n">
        <x:f>'Resource Build-Up'!B45</x:f>
        <x:v>0</x:v>
      </x:c>
      <x:c r="D46" s="26" t="str">
        <x:f>'Resource Build-Up'!C45</x:f>
      </x:c>
      <x:c r="E46" s="26" t="n">
        <x:f>'Resource Build-Up'!H45</x:f>
        <x:v>0</x:v>
      </x:c>
      <x:c r="F46" s="26" t="n">
        <x:f>'Resource Build-Up'!P45</x:f>
        <x:v>0</x:v>
      </x:c>
      <x:c r="G46" s="26" t="n">
        <x:f>'Resource Build-Up'!Q45</x:f>
        <x:v>0</x:v>
      </x:c>
      <x:c r="H46" s="26" t="n">
        <x:f>'Resource Build-Up'!T45</x:f>
        <x:v>0</x:v>
      </x:c>
      <x:c r="I46" s="44" t="n">
        <x:f>'Resource Build-Up'!Y45</x:f>
        <x:v>0</x:v>
      </x:c>
      <x:c r="J46" s="44" t="str">
        <x:f>'Resource Build-Up'!Z45</x:f>
      </x:c>
      <x:c r="K46" s="26"/>
      <x:c r="L46" s="26"/>
      <x:c r="M46" s="26"/>
      <x:c r="N46" s="26"/>
      <x:c r="O46" s="26"/>
      <x:c r="P46" s="26"/>
      <x:c r="Q46" s="26">
        <x:f t="shared" si="1"/>
        <x:v>2</x:v>
      </x:c>
      <x:c r="R46" s="26" t="n">
        <x:f>'Resource Build-Up'!AC45</x:f>
        <x:v>0</x:v>
      </x:c>
      <x:c r="S46" s="26" t="n">
        <x:f>'Resource Build-Up'!AF45</x:f>
        <x:v>0</x:v>
      </x:c>
      <x:c r="T46" s="99"/>
      <x:c r="U46" s="26"/>
      <x:c r="V46" s="26" t="n">
        <x:f>'Resource Build-Up'!AG45</x:f>
        <x:v>0</x:v>
      </x:c>
    </x:row>
    <x:row r="47" ht="32.400001525878906" customHeight="1">
      <x:c r="A47" s="98" t="s">
        <x:v>656</x:v>
      </x:c>
      <x:c r="B47" s="98" t="n">
        <x:f>'Resource Build-Up'!A46</x:f>
        <x:v>0</x:v>
      </x:c>
      <x:c r="C47" s="98" t="n">
        <x:f>'Resource Build-Up'!B46</x:f>
        <x:v>0</x:v>
      </x:c>
      <x:c r="D47" s="26" t="str">
        <x:f>'Resource Build-Up'!C46</x:f>
      </x:c>
      <x:c r="E47" s="26" t="n">
        <x:f>'Resource Build-Up'!H46</x:f>
        <x:v>0</x:v>
      </x:c>
      <x:c r="F47" s="26" t="n">
        <x:f>'Resource Build-Up'!P46</x:f>
        <x:v>0</x:v>
      </x:c>
      <x:c r="G47" s="26" t="n">
        <x:f>'Resource Build-Up'!Q46</x:f>
        <x:v>0</x:v>
      </x:c>
      <x:c r="H47" s="26" t="n">
        <x:f>'Resource Build-Up'!T46</x:f>
        <x:v>0</x:v>
      </x:c>
      <x:c r="I47" s="44" t="n">
        <x:f>'Resource Build-Up'!Y46</x:f>
        <x:v>0</x:v>
      </x:c>
      <x:c r="J47" s="44" t="str">
        <x:f>'Resource Build-Up'!Z46</x:f>
      </x:c>
      <x:c r="K47" s="26"/>
      <x:c r="L47" s="26"/>
      <x:c r="M47" s="26"/>
      <x:c r="N47" s="26"/>
      <x:c r="O47" s="26"/>
      <x:c r="P47" s="26"/>
      <x:c r="Q47" s="26">
        <x:f t="shared" si="1"/>
        <x:v>1</x:v>
      </x:c>
      <x:c r="R47" s="26" t="n">
        <x:f>'Resource Build-Up'!AC46</x:f>
        <x:v>0</x:v>
      </x:c>
      <x:c r="S47" s="26" t="n">
        <x:f>'Resource Build-Up'!AF46</x:f>
        <x:v>0</x:v>
      </x:c>
      <x:c r="T47" s="99"/>
      <x:c r="U47" s="26"/>
      <x:c r="V47" s="26" t="n">
        <x:f>'Resource Build-Up'!AG46</x:f>
        <x:v>0</x:v>
      </x:c>
    </x:row>
    <x:row r="48" ht="32.400001525878906" customHeight="1">
      <x:c r="A48" s="98" t="s">
        <x:v>657</x:v>
      </x:c>
      <x:c r="B48" s="98" t="n">
        <x:f>'Resource Build-Up'!A47</x:f>
        <x:v>0</x:v>
      </x:c>
      <x:c r="C48" s="98" t="n">
        <x:f>'Resource Build-Up'!B47</x:f>
        <x:v>0</x:v>
      </x:c>
      <x:c r="D48" s="26" t="str">
        <x:f>'Resource Build-Up'!C47</x:f>
      </x:c>
      <x:c r="E48" s="26" t="n">
        <x:f>'Resource Build-Up'!H47</x:f>
        <x:v>0</x:v>
      </x:c>
      <x:c r="F48" s="26" t="n">
        <x:f>'Resource Build-Up'!P47</x:f>
        <x:v>0</x:v>
      </x:c>
      <x:c r="G48" s="26" t="n">
        <x:f>'Resource Build-Up'!Q47</x:f>
        <x:v>0</x:v>
      </x:c>
      <x:c r="H48" s="26" t="n">
        <x:f>'Resource Build-Up'!T47</x:f>
        <x:v>0</x:v>
      </x:c>
      <x:c r="I48" s="44" t="n">
        <x:f>'Resource Build-Up'!Y47</x:f>
        <x:v>0</x:v>
      </x:c>
      <x:c r="J48" s="44" t="str">
        <x:f>'Resource Build-Up'!Z47</x:f>
      </x:c>
      <x:c r="K48" s="26"/>
      <x:c r="L48" s="26"/>
      <x:c r="M48" s="26"/>
      <x:c r="N48" s="26"/>
      <x:c r="O48" s="26"/>
      <x:c r="P48" s="26"/>
      <x:c r="Q48" s="26">
        <x:f t="shared" si="1"/>
        <x:v>3</x:v>
      </x:c>
      <x:c r="R48" s="26" t="n">
        <x:f>'Resource Build-Up'!AC47</x:f>
        <x:v>0</x:v>
      </x:c>
      <x:c r="S48" s="26" t="n">
        <x:f>'Resource Build-Up'!AF47</x:f>
        <x:v>0</x:v>
      </x:c>
      <x:c r="T48" s="101"/>
      <x:c r="U48" s="26"/>
      <x:c r="V48" s="26" t="n">
        <x:f>'Resource Build-Up'!AG47</x:f>
        <x:v>0</x:v>
      </x:c>
    </x:row>
    <x:row r="49" ht="32.400001525878906" customHeight="1">
      <x:c r="A49" s="98" t="s">
        <x:v>658</x:v>
      </x:c>
      <x:c r="B49" s="98" t="n">
        <x:f>'Resource Build-Up'!A48</x:f>
        <x:v>0</x:v>
      </x:c>
      <x:c r="C49" s="98" t="n">
        <x:f>'Resource Build-Up'!B48</x:f>
        <x:v>0</x:v>
      </x:c>
      <x:c r="D49" s="26" t="str">
        <x:f>'Resource Build-Up'!C48</x:f>
      </x:c>
      <x:c r="E49" s="26" t="n">
        <x:f>'Resource Build-Up'!H48</x:f>
        <x:v>0</x:v>
      </x:c>
      <x:c r="F49" s="26" t="n">
        <x:f>'Resource Build-Up'!P48</x:f>
        <x:v>0</x:v>
      </x:c>
      <x:c r="G49" s="26" t="n">
        <x:f>'Resource Build-Up'!Q48</x:f>
        <x:v>0</x:v>
      </x:c>
      <x:c r="H49" s="26" t="n">
        <x:f>'Resource Build-Up'!T48</x:f>
        <x:v>0</x:v>
      </x:c>
      <x:c r="I49" s="44" t="n">
        <x:f>'Resource Build-Up'!Y48</x:f>
        <x:v>0</x:v>
      </x:c>
      <x:c r="J49" s="44" t="str">
        <x:f>'Resource Build-Up'!Z48</x:f>
      </x:c>
      <x:c r="K49" s="26"/>
      <x:c r="L49" s="26"/>
      <x:c r="M49" s="26"/>
      <x:c r="N49" s="26"/>
      <x:c r="O49" s="26"/>
      <x:c r="P49" s="26"/>
      <x:c r="Q49" s="26">
        <x:f t="shared" si="1"/>
        <x:v>3</x:v>
      </x:c>
      <x:c r="R49" s="26" t="n">
        <x:f>'Resource Build-Up'!AC48</x:f>
        <x:v>0</x:v>
      </x:c>
      <x:c r="S49" s="26" t="n">
        <x:f>'Resource Build-Up'!AF48</x:f>
        <x:v>0</x:v>
      </x:c>
      <x:c r="T49" s="101"/>
      <x:c r="U49" s="26"/>
      <x:c r="V49" s="26" t="n">
        <x:f>'Resource Build-Up'!AG48</x:f>
        <x:v>0</x:v>
      </x:c>
    </x:row>
    <x:row r="50" ht="32.400001525878906" customHeight="1">
      <x:c r="A50" s="98" t="s">
        <x:v>659</x:v>
      </x:c>
      <x:c r="B50" s="98" t="n">
        <x:f>'Resource Build-Up'!A49</x:f>
        <x:v>0</x:v>
      </x:c>
      <x:c r="C50" s="98" t="n">
        <x:f>'Resource Build-Up'!B49</x:f>
        <x:v>0</x:v>
      </x:c>
      <x:c r="D50" s="26" t="str">
        <x:f>'Resource Build-Up'!C49</x:f>
      </x:c>
      <x:c r="E50" s="26" t="n">
        <x:f>'Resource Build-Up'!H49</x:f>
        <x:v>0</x:v>
      </x:c>
      <x:c r="F50" s="26" t="n">
        <x:f>'Resource Build-Up'!P49</x:f>
        <x:v>0</x:v>
      </x:c>
      <x:c r="G50" s="26" t="n">
        <x:f>'Resource Build-Up'!Q49</x:f>
        <x:v>0</x:v>
      </x:c>
      <x:c r="H50" s="26" t="n">
        <x:f>'Resource Build-Up'!T49</x:f>
        <x:v>0</x:v>
      </x:c>
      <x:c r="I50" s="44" t="n">
        <x:f>'Resource Build-Up'!Y49</x:f>
        <x:v>0</x:v>
      </x:c>
      <x:c r="J50" s="44" t="str">
        <x:f>'Resource Build-Up'!Z49</x:f>
      </x:c>
      <x:c r="K50" s="26"/>
      <x:c r="L50" s="26"/>
      <x:c r="M50" s="26"/>
      <x:c r="N50" s="26"/>
      <x:c r="O50" s="26"/>
      <x:c r="P50" s="26"/>
      <x:c r="Q50" s="26">
        <x:f t="shared" si="1"/>
        <x:v>2</x:v>
      </x:c>
      <x:c r="R50" s="26" t="n">
        <x:f>'Resource Build-Up'!AC49</x:f>
        <x:v>0</x:v>
      </x:c>
      <x:c r="S50" s="26" t="n">
        <x:f>'Resource Build-Up'!AF49</x:f>
        <x:v>0</x:v>
      </x:c>
      <x:c r="T50" s="99"/>
      <x:c r="U50" s="26"/>
      <x:c r="V50" s="26" t="n">
        <x:f>'Resource Build-Up'!AG49</x:f>
        <x:v>0</x:v>
      </x:c>
    </x:row>
    <x:row r="51" ht="32.400001525878906" customHeight="1">
      <x:c r="A51" s="98" t="s">
        <x:v>660</x:v>
      </x:c>
      <x:c r="B51" s="98" t="n">
        <x:f>'Resource Build-Up'!A50</x:f>
        <x:v>0</x:v>
      </x:c>
      <x:c r="C51" s="98" t="n">
        <x:f>'Resource Build-Up'!B50</x:f>
        <x:v>0</x:v>
      </x:c>
      <x:c r="D51" s="26" t="str">
        <x:f>'Resource Build-Up'!C50</x:f>
      </x:c>
      <x:c r="E51" s="26" t="n">
        <x:f>'Resource Build-Up'!H50</x:f>
        <x:v>0</x:v>
      </x:c>
      <x:c r="F51" s="26" t="n">
        <x:f>'Resource Build-Up'!P50</x:f>
        <x:v>0</x:v>
      </x:c>
      <x:c r="G51" s="26" t="n">
        <x:f>'Resource Build-Up'!Q50</x:f>
        <x:v>0</x:v>
      </x:c>
      <x:c r="H51" s="26" t="n">
        <x:f>'Resource Build-Up'!T50</x:f>
        <x:v>0</x:v>
      </x:c>
      <x:c r="I51" s="44" t="n">
        <x:f>'Resource Build-Up'!Y50</x:f>
        <x:v>0</x:v>
      </x:c>
      <x:c r="J51" s="44" t="str">
        <x:f>'Resource Build-Up'!Z50</x:f>
      </x:c>
      <x:c r="K51" s="26"/>
      <x:c r="L51" s="26"/>
      <x:c r="M51" s="26"/>
      <x:c r="N51" s="26"/>
      <x:c r="O51" s="26"/>
      <x:c r="P51" s="26"/>
      <x:c r="Q51" s="26">
        <x:f t="shared" si="1"/>
        <x:v>1</x:v>
      </x:c>
      <x:c r="R51" s="26" t="n">
        <x:f>'Resource Build-Up'!AC50</x:f>
        <x:v>0</x:v>
      </x:c>
      <x:c r="S51" s="26" t="n">
        <x:f>'Resource Build-Up'!AF50</x:f>
        <x:v>0</x:v>
      </x:c>
      <x:c r="T51" s="100"/>
      <x:c r="U51" s="26"/>
      <x:c r="V51" s="26" t="n">
        <x:f>'Resource Build-Up'!AG50</x:f>
        <x:v>0</x:v>
      </x:c>
    </x:row>
    <x:row r="52" ht="32.400001525878906" customHeight="1">
      <x:c r="A52" s="98" t="s">
        <x:v>661</x:v>
      </x:c>
      <x:c r="B52" s="98" t="n">
        <x:f>'Resource Build-Up'!A51</x:f>
        <x:v>0</x:v>
      </x:c>
      <x:c r="C52" s="98" t="n">
        <x:f>'Resource Build-Up'!B51</x:f>
        <x:v>0</x:v>
      </x:c>
      <x:c r="D52" s="26" t="str">
        <x:f>'Resource Build-Up'!C51</x:f>
      </x:c>
      <x:c r="E52" s="26" t="n">
        <x:f>'Resource Build-Up'!H51</x:f>
        <x:v>0</x:v>
      </x:c>
      <x:c r="F52" s="26" t="n">
        <x:f>'Resource Build-Up'!P51</x:f>
        <x:v>0</x:v>
      </x:c>
      <x:c r="G52" s="26" t="n">
        <x:f>'Resource Build-Up'!Q51</x:f>
        <x:v>0</x:v>
      </x:c>
      <x:c r="H52" s="26" t="n">
        <x:f>'Resource Build-Up'!T51</x:f>
        <x:v>0</x:v>
      </x:c>
      <x:c r="I52" s="44" t="n">
        <x:f>'Resource Build-Up'!Y51</x:f>
        <x:v>0</x:v>
      </x:c>
      <x:c r="J52" s="44" t="str">
        <x:f>'Resource Build-Up'!Z51</x:f>
      </x:c>
      <x:c r="K52" s="26"/>
      <x:c r="L52" s="26"/>
      <x:c r="M52" s="26"/>
      <x:c r="N52" s="26"/>
      <x:c r="O52" s="26"/>
      <x:c r="P52" s="26"/>
      <x:c r="Q52" s="26">
        <x:f t="shared" si="1"/>
        <x:v>2</x:v>
      </x:c>
      <x:c r="R52" s="26" t="n">
        <x:f>'Resource Build-Up'!AC51</x:f>
        <x:v>0</x:v>
      </x:c>
      <x:c r="S52" s="26" t="n">
        <x:f>'Resource Build-Up'!AF51</x:f>
        <x:v>0</x:v>
      </x:c>
      <x:c r="T52" s="99"/>
      <x:c r="U52" s="26"/>
      <x:c r="V52" s="26" t="n">
        <x:f>'Resource Build-Up'!AG51</x:f>
        <x:v>0</x:v>
      </x:c>
    </x:row>
    <x:row r="53" ht="32.400001525878906" customHeight="1">
      <x:c r="A53" s="98" t="s">
        <x:v>662</x:v>
      </x:c>
      <x:c r="B53" s="98" t="n">
        <x:f>'Resource Build-Up'!A52</x:f>
        <x:v>0</x:v>
      </x:c>
      <x:c r="C53" s="98" t="n">
        <x:f>'Resource Build-Up'!B52</x:f>
        <x:v>0</x:v>
      </x:c>
      <x:c r="D53" s="26" t="str">
        <x:f>'Resource Build-Up'!C52</x:f>
      </x:c>
      <x:c r="E53" s="26" t="n">
        <x:f>'Resource Build-Up'!H52</x:f>
        <x:v>0</x:v>
      </x:c>
      <x:c r="F53" s="26" t="n">
        <x:f>'Resource Build-Up'!P52</x:f>
        <x:v>0</x:v>
      </x:c>
      <x:c r="G53" s="26" t="n">
        <x:f>'Resource Build-Up'!Q52</x:f>
        <x:v>0</x:v>
      </x:c>
      <x:c r="H53" s="26" t="n">
        <x:f>'Resource Build-Up'!T52</x:f>
        <x:v>0</x:v>
      </x:c>
      <x:c r="I53" s="44" t="n">
        <x:f>'Resource Build-Up'!Y52</x:f>
        <x:v>0</x:v>
      </x:c>
      <x:c r="J53" s="44" t="str">
        <x:f>'Resource Build-Up'!Z52</x:f>
      </x:c>
      <x:c r="K53" s="26"/>
      <x:c r="L53" s="26"/>
      <x:c r="M53" s="26"/>
      <x:c r="N53" s="26"/>
      <x:c r="O53" s="26"/>
      <x:c r="P53" s="26"/>
      <x:c r="Q53" s="26">
        <x:f t="shared" si="1"/>
        <x:v>3</x:v>
      </x:c>
      <x:c r="R53" s="26" t="n">
        <x:f>'Resource Build-Up'!AC52</x:f>
        <x:v>0</x:v>
      </x:c>
      <x:c r="S53" s="26" t="n">
        <x:f>'Resource Build-Up'!AF52</x:f>
        <x:v>0</x:v>
      </x:c>
      <x:c r="T53" s="101"/>
      <x:c r="U53" s="26"/>
      <x:c r="V53" s="26" t="n">
        <x:f>'Resource Build-Up'!AG52</x:f>
        <x:v>0</x:v>
      </x:c>
    </x:row>
    <x:row r="54" ht="32.400001525878906" customHeight="1">
      <x:c r="A54" s="98" t="s">
        <x:v>663</x:v>
      </x:c>
      <x:c r="B54" s="98" t="n">
        <x:f>'Resource Build-Up'!A53</x:f>
        <x:v>0</x:v>
      </x:c>
      <x:c r="C54" s="98" t="n">
        <x:f>'Resource Build-Up'!B53</x:f>
        <x:v>0</x:v>
      </x:c>
      <x:c r="D54" s="26" t="str">
        <x:f>'Resource Build-Up'!C53</x:f>
      </x:c>
      <x:c r="E54" s="26" t="n">
        <x:f>'Resource Build-Up'!H53</x:f>
        <x:v>0</x:v>
      </x:c>
      <x:c r="F54" s="26" t="n">
        <x:f>'Resource Build-Up'!P53</x:f>
        <x:v>0</x:v>
      </x:c>
      <x:c r="G54" s="26" t="n">
        <x:f>'Resource Build-Up'!Q53</x:f>
        <x:v>0</x:v>
      </x:c>
      <x:c r="H54" s="26" t="n">
        <x:f>'Resource Build-Up'!T53</x:f>
        <x:v>0</x:v>
      </x:c>
      <x:c r="I54" s="44" t="n">
        <x:f>'Resource Build-Up'!Y53</x:f>
        <x:v>0</x:v>
      </x:c>
      <x:c r="J54" s="44" t="str">
        <x:f>'Resource Build-Up'!Z53</x:f>
      </x:c>
      <x:c r="K54" s="26"/>
      <x:c r="L54" s="26"/>
      <x:c r="M54" s="26"/>
      <x:c r="N54" s="26"/>
      <x:c r="O54" s="26"/>
      <x:c r="P54" s="26"/>
      <x:c r="Q54" s="26">
        <x:f t="shared" si="1"/>
        <x:v>3</x:v>
      </x:c>
      <x:c r="R54" s="26" t="n">
        <x:f>'Resource Build-Up'!AC53</x:f>
        <x:v>0</x:v>
      </x:c>
      <x:c r="S54" s="26" t="n">
        <x:f>'Resource Build-Up'!AF53</x:f>
        <x:v>0</x:v>
      </x:c>
      <x:c r="T54" s="101"/>
      <x:c r="U54" s="26"/>
      <x:c r="V54" s="26" t="n">
        <x:f>'Resource Build-Up'!AG53</x:f>
        <x:v>0</x:v>
      </x:c>
    </x:row>
    <x:row r="55" ht="32.400001525878906" customHeight="1">
      <x:c r="A55" s="98" t="s">
        <x:v>664</x:v>
      </x:c>
      <x:c r="B55" s="98" t="n">
        <x:f>'Resource Build-Up'!A54</x:f>
        <x:v>0</x:v>
      </x:c>
      <x:c r="C55" s="98" t="n">
        <x:f>'Resource Build-Up'!B54</x:f>
        <x:v>0</x:v>
      </x:c>
      <x:c r="D55" s="26" t="str">
        <x:f>'Resource Build-Up'!C54</x:f>
      </x:c>
      <x:c r="E55" s="26" t="n">
        <x:f>'Resource Build-Up'!H54</x:f>
        <x:v>0</x:v>
      </x:c>
      <x:c r="F55" s="26" t="n">
        <x:f>'Resource Build-Up'!P54</x:f>
        <x:v>0</x:v>
      </x:c>
      <x:c r="G55" s="26" t="n">
        <x:f>'Resource Build-Up'!Q54</x:f>
        <x:v>0</x:v>
      </x:c>
      <x:c r="H55" s="26" t="n">
        <x:f>'Resource Build-Up'!T54</x:f>
        <x:v>0</x:v>
      </x:c>
      <x:c r="I55" s="44" t="n">
        <x:f>'Resource Build-Up'!Y54</x:f>
        <x:v>0</x:v>
      </x:c>
      <x:c r="J55" s="44" t="str">
        <x:f>'Resource Build-Up'!Z54</x:f>
      </x:c>
      <x:c r="K55" s="26"/>
      <x:c r="L55" s="26"/>
      <x:c r="M55" s="26"/>
      <x:c r="N55" s="26"/>
      <x:c r="O55" s="26"/>
      <x:c r="P55" s="26"/>
      <x:c r="Q55" s="26">
        <x:f t="shared" si="1"/>
        <x:v>2</x:v>
      </x:c>
      <x:c r="R55" s="26" t="n">
        <x:f>'Resource Build-Up'!AC54</x:f>
        <x:v>0</x:v>
      </x:c>
      <x:c r="S55" s="26" t="n">
        <x:f>'Resource Build-Up'!AF54</x:f>
        <x:v>0</x:v>
      </x:c>
      <x:c r="T55" s="99"/>
      <x:c r="U55" s="26"/>
      <x:c r="V55" s="26" t="n">
        <x:f>'Resource Build-Up'!AG54</x:f>
        <x:v>0</x:v>
      </x:c>
    </x:row>
    <x:row r="56" ht="32.400001525878906" customHeight="1">
      <x:c r="A56" s="98" t="s">
        <x:v>665</x:v>
      </x:c>
      <x:c r="B56" s="98" t="n">
        <x:f>'Resource Build-Up'!A55</x:f>
        <x:v>0</x:v>
      </x:c>
      <x:c r="C56" s="98" t="n">
        <x:f>'Resource Build-Up'!B55</x:f>
        <x:v>0</x:v>
      </x:c>
      <x:c r="D56" s="26" t="str">
        <x:f>'Resource Build-Up'!C55</x:f>
      </x:c>
      <x:c r="E56" s="26" t="n">
        <x:f>'Resource Build-Up'!H55</x:f>
        <x:v>0</x:v>
      </x:c>
      <x:c r="F56" s="26" t="n">
        <x:f>'Resource Build-Up'!P55</x:f>
        <x:v>0</x:v>
      </x:c>
      <x:c r="G56" s="26" t="n">
        <x:f>'Resource Build-Up'!Q55</x:f>
        <x:v>0</x:v>
      </x:c>
      <x:c r="H56" s="26" t="n">
        <x:f>'Resource Build-Up'!T55</x:f>
        <x:v>0</x:v>
      </x:c>
      <x:c r="I56" s="44" t="n">
        <x:f>'Resource Build-Up'!Y55</x:f>
        <x:v>0</x:v>
      </x:c>
      <x:c r="J56" s="44" t="str">
        <x:f>'Resource Build-Up'!Z55</x:f>
      </x:c>
      <x:c r="K56" s="26"/>
      <x:c r="L56" s="26"/>
      <x:c r="M56" s="26"/>
      <x:c r="N56" s="26"/>
      <x:c r="O56" s="26"/>
      <x:c r="P56" s="26"/>
      <x:c r="Q56" s="26">
        <x:f t="shared" si="1"/>
        <x:v>2</x:v>
      </x:c>
      <x:c r="R56" s="26" t="n">
        <x:f>'Resource Build-Up'!AC55</x:f>
        <x:v>0</x:v>
      </x:c>
      <x:c r="S56" s="26" t="n">
        <x:f>'Resource Build-Up'!AF55</x:f>
        <x:v>0</x:v>
      </x:c>
      <x:c r="T56" s="99"/>
      <x:c r="U56" s="26"/>
      <x:c r="V56" s="26" t="n">
        <x:f>'Resource Build-Up'!AG55</x:f>
        <x:v>0</x:v>
      </x:c>
    </x:row>
    <x:row r="57" ht="32.400001525878906" customHeight="1">
      <x:c r="A57" s="98" t="s">
        <x:v>666</x:v>
      </x:c>
      <x:c r="B57" s="98" t="n">
        <x:f>'Resource Build-Up'!A56</x:f>
        <x:v>0</x:v>
      </x:c>
      <x:c r="C57" s="98" t="n">
        <x:f>'Resource Build-Up'!B56</x:f>
        <x:v>0</x:v>
      </x:c>
      <x:c r="D57" s="26" t="str">
        <x:f>'Resource Build-Up'!C56</x:f>
      </x:c>
      <x:c r="E57" s="26" t="n">
        <x:f>'Resource Build-Up'!H56</x:f>
        <x:v>0</x:v>
      </x:c>
      <x:c r="F57" s="26" t="n">
        <x:f>'Resource Build-Up'!P56</x:f>
        <x:v>0</x:v>
      </x:c>
      <x:c r="G57" s="26" t="n">
        <x:f>'Resource Build-Up'!Q56</x:f>
        <x:v>0</x:v>
      </x:c>
      <x:c r="H57" s="26" t="n">
        <x:f>'Resource Build-Up'!T56</x:f>
        <x:v>0</x:v>
      </x:c>
      <x:c r="I57" s="44" t="n">
        <x:f>'Resource Build-Up'!Y56</x:f>
        <x:v>0</x:v>
      </x:c>
      <x:c r="J57" s="44" t="str">
        <x:f>'Resource Build-Up'!Z56</x:f>
      </x:c>
      <x:c r="K57" s="26"/>
      <x:c r="L57" s="26"/>
      <x:c r="M57" s="26"/>
      <x:c r="N57" s="26"/>
      <x:c r="O57" s="26"/>
      <x:c r="P57" s="26"/>
      <x:c r="Q57" s="26">
        <x:f t="shared" si="1"/>
        <x:v>1</x:v>
      </x:c>
      <x:c r="R57" s="26" t="n">
        <x:f>'Resource Build-Up'!AC56</x:f>
        <x:v>0</x:v>
      </x:c>
      <x:c r="S57" s="26" t="n">
        <x:f>'Resource Build-Up'!AF56</x:f>
        <x:v>0</x:v>
      </x:c>
      <x:c r="T57" s="100"/>
      <x:c r="U57" s="26"/>
      <x:c r="V57" s="26" t="n">
        <x:f>'Resource Build-Up'!AG56</x:f>
        <x:v>0</x:v>
      </x:c>
    </x:row>
    <x:row r="58" ht="32.400001525878906" customHeight="1">
      <x:c r="A58" s="98" t="s">
        <x:v>667</x:v>
      </x:c>
      <x:c r="B58" s="98" t="n">
        <x:f>'Resource Build-Up'!A57</x:f>
        <x:v>0</x:v>
      </x:c>
      <x:c r="C58" s="98" t="n">
        <x:f>'Resource Build-Up'!B57</x:f>
        <x:v>0</x:v>
      </x:c>
      <x:c r="D58" s="26" t="str">
        <x:f>'Resource Build-Up'!C57</x:f>
      </x:c>
      <x:c r="E58" s="26" t="n">
        <x:f>'Resource Build-Up'!H57</x:f>
        <x:v>0</x:v>
      </x:c>
      <x:c r="F58" s="26" t="n">
        <x:f>'Resource Build-Up'!P57</x:f>
        <x:v>0</x:v>
      </x:c>
      <x:c r="G58" s="26" t="n">
        <x:f>'Resource Build-Up'!Q57</x:f>
        <x:v>0</x:v>
      </x:c>
      <x:c r="H58" s="26" t="n">
        <x:f>'Resource Build-Up'!T57</x:f>
        <x:v>0</x:v>
      </x:c>
      <x:c r="I58" s="44" t="n">
        <x:f>'Resource Build-Up'!Y57</x:f>
        <x:v>0</x:v>
      </x:c>
      <x:c r="J58" s="44" t="str">
        <x:f>'Resource Build-Up'!Z57</x:f>
      </x:c>
      <x:c r="K58" s="26"/>
      <x:c r="L58" s="26"/>
      <x:c r="M58" s="26"/>
      <x:c r="N58" s="26"/>
      <x:c r="O58" s="26"/>
      <x:c r="P58" s="26"/>
      <x:c r="Q58" s="26">
        <x:f t="shared" si="1"/>
        <x:v>2</x:v>
      </x:c>
      <x:c r="R58" s="26" t="n">
        <x:f>'Resource Build-Up'!AC57</x:f>
        <x:v>0</x:v>
      </x:c>
      <x:c r="S58" s="26" t="n">
        <x:f>'Resource Build-Up'!AF57</x:f>
        <x:v>0</x:v>
      </x:c>
      <x:c r="T58" s="99"/>
      <x:c r="U58" s="26"/>
      <x:c r="V58" s="26" t="n">
        <x:f>'Resource Build-Up'!AG57</x:f>
        <x:v>0</x:v>
      </x:c>
    </x:row>
    <x:row r="59" ht="32.400001525878906" customHeight="1">
      <x:c r="A59" s="98" t="s">
        <x:v>668</x:v>
      </x:c>
      <x:c r="B59" s="98" t="n">
        <x:f>'Resource Build-Up'!A58</x:f>
        <x:v>0</x:v>
      </x:c>
      <x:c r="C59" s="98" t="n">
        <x:f>'Resource Build-Up'!B58</x:f>
        <x:v>0</x:v>
      </x:c>
      <x:c r="D59" s="26" t="str">
        <x:f>'Resource Build-Up'!C58</x:f>
      </x:c>
      <x:c r="E59" s="26" t="n">
        <x:f>'Resource Build-Up'!H58</x:f>
        <x:v>0</x:v>
      </x:c>
      <x:c r="F59" s="26" t="n">
        <x:f>'Resource Build-Up'!P58</x:f>
        <x:v>0</x:v>
      </x:c>
      <x:c r="G59" s="26" t="n">
        <x:f>'Resource Build-Up'!Q58</x:f>
        <x:v>0</x:v>
      </x:c>
      <x:c r="H59" s="26" t="n">
        <x:f>'Resource Build-Up'!T58</x:f>
        <x:v>0</x:v>
      </x:c>
      <x:c r="I59" s="44" t="n">
        <x:f>'Resource Build-Up'!Y58</x:f>
        <x:v>0</x:v>
      </x:c>
      <x:c r="J59" s="44" t="str">
        <x:f>'Resource Build-Up'!Z58</x:f>
      </x:c>
      <x:c r="K59" s="26"/>
      <x:c r="L59" s="26"/>
      <x:c r="M59" s="26"/>
      <x:c r="N59" s="26"/>
      <x:c r="O59" s="26"/>
      <x:c r="P59" s="26"/>
      <x:c r="Q59" s="26">
        <x:f t="shared" si="1"/>
        <x:v>3</x:v>
      </x:c>
      <x:c r="R59" s="26" t="n">
        <x:f>'Resource Build-Up'!AC58</x:f>
        <x:v>0</x:v>
      </x:c>
      <x:c r="S59" s="26" t="n">
        <x:f>'Resource Build-Up'!AF58</x:f>
        <x:v>0</x:v>
      </x:c>
      <x:c r="T59" s="101"/>
      <x:c r="U59" s="26"/>
      <x:c r="V59" s="26" t="n">
        <x:f>'Resource Build-Up'!AG58</x:f>
        <x:v>0</x:v>
      </x:c>
    </x:row>
    <x:row r="60" ht="32.400001525878906" customHeight="1">
      <x:c r="A60" s="98" t="s">
        <x:v>669</x:v>
      </x:c>
      <x:c r="B60" s="98" t="n">
        <x:f>'Resource Build-Up'!A59</x:f>
        <x:v>0</x:v>
      </x:c>
      <x:c r="C60" s="98" t="n">
        <x:f>'Resource Build-Up'!B59</x:f>
        <x:v>0</x:v>
      </x:c>
      <x:c r="D60" s="26" t="str">
        <x:f>'Resource Build-Up'!C59</x:f>
      </x:c>
      <x:c r="E60" s="26" t="n">
        <x:f>'Resource Build-Up'!H59</x:f>
        <x:v>0</x:v>
      </x:c>
      <x:c r="F60" s="26" t="n">
        <x:f>'Resource Build-Up'!P59</x:f>
        <x:v>0</x:v>
      </x:c>
      <x:c r="G60" s="26" t="n">
        <x:f>'Resource Build-Up'!Q59</x:f>
        <x:v>0</x:v>
      </x:c>
      <x:c r="H60" s="26" t="n">
        <x:f>'Resource Build-Up'!T59</x:f>
        <x:v>0</x:v>
      </x:c>
      <x:c r="I60" s="44" t="n">
        <x:f>'Resource Build-Up'!Y59</x:f>
        <x:v>0</x:v>
      </x:c>
      <x:c r="J60" s="44" t="str">
        <x:f>'Resource Build-Up'!Z59</x:f>
      </x:c>
      <x:c r="K60" s="26"/>
      <x:c r="L60" s="26"/>
      <x:c r="M60" s="26"/>
      <x:c r="N60" s="26"/>
      <x:c r="O60" s="26"/>
      <x:c r="P60" s="26"/>
      <x:c r="Q60" s="26">
        <x:f t="shared" si="1"/>
        <x:v>3</x:v>
      </x:c>
      <x:c r="R60" s="26" t="n">
        <x:f>'Resource Build-Up'!AC59</x:f>
        <x:v>0</x:v>
      </x:c>
      <x:c r="S60" s="26" t="n">
        <x:f>'Resource Build-Up'!AF59</x:f>
        <x:v>0</x:v>
      </x:c>
      <x:c r="T60" s="101"/>
      <x:c r="U60" s="26"/>
      <x:c r="V60" s="26" t="n">
        <x:f>'Resource Build-Up'!AG59</x:f>
        <x:v>0</x:v>
      </x:c>
    </x:row>
    <x:row r="61" ht="32.400001525878906" customHeight="1">
      <x:c r="A61" s="98" t="s">
        <x:v>670</x:v>
      </x:c>
      <x:c r="B61" s="98" t="n">
        <x:f>'Resource Build-Up'!A60</x:f>
        <x:v>0</x:v>
      </x:c>
      <x:c r="C61" s="98" t="n">
        <x:f>'Resource Build-Up'!B60</x:f>
        <x:v>0</x:v>
      </x:c>
      <x:c r="D61" s="26" t="str">
        <x:f>'Resource Build-Up'!C60</x:f>
      </x:c>
      <x:c r="E61" s="26" t="n">
        <x:f>'Resource Build-Up'!H60</x:f>
        <x:v>0</x:v>
      </x:c>
      <x:c r="F61" s="26" t="n">
        <x:f>'Resource Build-Up'!P60</x:f>
        <x:v>0</x:v>
      </x:c>
      <x:c r="G61" s="26" t="n">
        <x:f>'Resource Build-Up'!Q60</x:f>
        <x:v>0</x:v>
      </x:c>
      <x:c r="H61" s="26" t="n">
        <x:f>'Resource Build-Up'!T60</x:f>
        <x:v>0</x:v>
      </x:c>
      <x:c r="I61" s="44" t="n">
        <x:f>'Resource Build-Up'!Y60</x:f>
        <x:v>0</x:v>
      </x:c>
      <x:c r="J61" s="44" t="str">
        <x:f>'Resource Build-Up'!Z60</x:f>
      </x:c>
      <x:c r="K61" s="26"/>
      <x:c r="L61" s="26"/>
      <x:c r="M61" s="26"/>
      <x:c r="N61" s="26"/>
      <x:c r="O61" s="26"/>
      <x:c r="P61" s="26"/>
      <x:c r="Q61" s="26">
        <x:f t="shared" si="1"/>
        <x:v>2</x:v>
      </x:c>
      <x:c r="R61" s="26" t="n">
        <x:f>'Resource Build-Up'!AC60</x:f>
        <x:v>0</x:v>
      </x:c>
      <x:c r="S61" s="26" t="n">
        <x:f>'Resource Build-Up'!AF60</x:f>
        <x:v>0</x:v>
      </x:c>
      <x:c r="T61" s="99"/>
      <x:c r="U61" s="26"/>
      <x:c r="V61" s="26" t="n">
        <x:f>'Resource Build-Up'!AG60</x:f>
        <x:v>0</x:v>
      </x:c>
    </x:row>
    <x:row r="62" ht="32.400001525878906" customHeight="1">
      <x:c r="A62" s="98" t="s">
        <x:v>671</x:v>
      </x:c>
      <x:c r="B62" s="98" t="n">
        <x:f>'Resource Build-Up'!A61</x:f>
        <x:v>0</x:v>
      </x:c>
      <x:c r="C62" s="98" t="n">
        <x:f>'Resource Build-Up'!B61</x:f>
        <x:v>0</x:v>
      </x:c>
      <x:c r="D62" s="26" t="str">
        <x:f>'Resource Build-Up'!C61</x:f>
      </x:c>
      <x:c r="E62" s="26" t="n">
        <x:f>'Resource Build-Up'!H61</x:f>
        <x:v>0</x:v>
      </x:c>
      <x:c r="F62" s="26" t="n">
        <x:f>'Resource Build-Up'!P61</x:f>
        <x:v>0</x:v>
      </x:c>
      <x:c r="G62" s="26" t="n">
        <x:f>'Resource Build-Up'!Q61</x:f>
        <x:v>0</x:v>
      </x:c>
      <x:c r="H62" s="26" t="n">
        <x:f>'Resource Build-Up'!T61</x:f>
        <x:v>0</x:v>
      </x:c>
      <x:c r="I62" s="44" t="n">
        <x:f>'Resource Build-Up'!Y61</x:f>
        <x:v>0</x:v>
      </x:c>
      <x:c r="J62" s="44" t="str">
        <x:f>'Resource Build-Up'!Z61</x:f>
      </x:c>
      <x:c r="K62" s="26"/>
      <x:c r="L62" s="26"/>
      <x:c r="M62" s="26"/>
      <x:c r="N62" s="26"/>
      <x:c r="O62" s="26"/>
      <x:c r="P62" s="26"/>
      <x:c r="Q62" s="26">
        <x:f t="shared" si="1"/>
        <x:v>2</x:v>
      </x:c>
      <x:c r="R62" s="26" t="n">
        <x:f>'Resource Build-Up'!AC61</x:f>
        <x:v>0</x:v>
      </x:c>
      <x:c r="S62" s="26" t="n">
        <x:f>'Resource Build-Up'!AF61</x:f>
        <x:v>0</x:v>
      </x:c>
      <x:c r="T62" s="99"/>
      <x:c r="U62" s="26"/>
      <x:c r="V62" s="26" t="n">
        <x:f>'Resource Build-Up'!AG61</x:f>
        <x:v>0</x:v>
      </x:c>
    </x:row>
    <x:row r="63" ht="32.400001525878906" customHeight="1">
      <x:c r="A63" s="98" t="s">
        <x:v>672</x:v>
      </x:c>
      <x:c r="B63" s="98" t="n">
        <x:f>'Resource Build-Up'!A62</x:f>
        <x:v>0</x:v>
      </x:c>
      <x:c r="C63" s="98" t="n">
        <x:f>'Resource Build-Up'!B62</x:f>
        <x:v>0</x:v>
      </x:c>
      <x:c r="D63" s="26" t="str">
        <x:f>'Resource Build-Up'!C62</x:f>
      </x:c>
      <x:c r="E63" s="26" t="n">
        <x:f>'Resource Build-Up'!H62</x:f>
        <x:v>0</x:v>
      </x:c>
      <x:c r="F63" s="26" t="n">
        <x:f>'Resource Build-Up'!P62</x:f>
        <x:v>0</x:v>
      </x:c>
      <x:c r="G63" s="26" t="n">
        <x:f>'Resource Build-Up'!Q62</x:f>
        <x:v>0</x:v>
      </x:c>
      <x:c r="H63" s="26" t="n">
        <x:f>'Resource Build-Up'!T62</x:f>
        <x:v>0</x:v>
      </x:c>
      <x:c r="I63" s="44" t="n">
        <x:f>'Resource Build-Up'!Y62</x:f>
        <x:v>0</x:v>
      </x:c>
      <x:c r="J63" s="44" t="str">
        <x:f>'Resource Build-Up'!Z62</x:f>
      </x:c>
      <x:c r="K63" s="26"/>
      <x:c r="L63" s="26"/>
      <x:c r="M63" s="26"/>
      <x:c r="N63" s="26"/>
      <x:c r="O63" s="26"/>
      <x:c r="P63" s="26"/>
      <x:c r="Q63" s="26">
        <x:f t="shared" si="1"/>
        <x:v>1</x:v>
      </x:c>
      <x:c r="R63" s="26" t="n">
        <x:f>'Resource Build-Up'!AC62</x:f>
        <x:v>0</x:v>
      </x:c>
      <x:c r="S63" s="26" t="n">
        <x:f>'Resource Build-Up'!AF62</x:f>
        <x:v>0</x:v>
      </x:c>
      <x:c r="T63" s="100"/>
      <x:c r="U63" s="26"/>
      <x:c r="V63" s="26" t="n">
        <x:f>'Resource Build-Up'!AG62</x:f>
        <x:v>0</x:v>
      </x:c>
    </x:row>
    <x:row r="64" ht="32.400001525878906" customHeight="1">
      <x:c r="A64" s="98" t="s">
        <x:v>673</x:v>
      </x:c>
      <x:c r="B64" s="98" t="n">
        <x:f>'Resource Build-Up'!A63</x:f>
        <x:v>0</x:v>
      </x:c>
      <x:c r="C64" s="98" t="n">
        <x:f>'Resource Build-Up'!B63</x:f>
        <x:v>0</x:v>
      </x:c>
      <x:c r="D64" s="26" t="str">
        <x:f>'Resource Build-Up'!C63</x:f>
      </x:c>
      <x:c r="E64" s="26" t="n">
        <x:f>'Resource Build-Up'!H63</x:f>
        <x:v>0</x:v>
      </x:c>
      <x:c r="F64" s="26" t="n">
        <x:f>'Resource Build-Up'!P63</x:f>
        <x:v>0</x:v>
      </x:c>
      <x:c r="G64" s="26" t="n">
        <x:f>'Resource Build-Up'!Q63</x:f>
        <x:v>0</x:v>
      </x:c>
      <x:c r="H64" s="26" t="n">
        <x:f>'Resource Build-Up'!T63</x:f>
        <x:v>0</x:v>
      </x:c>
      <x:c r="I64" s="44" t="n">
        <x:f>'Resource Build-Up'!Y63</x:f>
        <x:v>0</x:v>
      </x:c>
      <x:c r="J64" s="44" t="str">
        <x:f>'Resource Build-Up'!Z63</x:f>
      </x:c>
      <x:c r="K64" s="26"/>
      <x:c r="L64" s="26"/>
      <x:c r="M64" s="26"/>
      <x:c r="N64" s="26"/>
      <x:c r="O64" s="26"/>
      <x:c r="P64" s="26"/>
      <x:c r="Q64" s="26">
        <x:f t="shared" si="1"/>
        <x:v>2</x:v>
      </x:c>
      <x:c r="R64" s="26" t="n">
        <x:f>'Resource Build-Up'!AC63</x:f>
        <x:v>0</x:v>
      </x:c>
      <x:c r="S64" s="26" t="n">
        <x:f>'Resource Build-Up'!AF63</x:f>
        <x:v>0</x:v>
      </x:c>
      <x:c r="T64" s="99"/>
      <x:c r="U64" s="26"/>
      <x:c r="V64" s="26" t="n">
        <x:f>'Resource Build-Up'!AG63</x:f>
        <x:v>0</x:v>
      </x:c>
    </x:row>
    <x:row r="65" ht="32.400001525878906" customHeight="1">
      <x:c r="A65" s="98" t="s">
        <x:v>674</x:v>
      </x:c>
      <x:c r="B65" s="98" t="n">
        <x:f>'Resource Build-Up'!A64</x:f>
        <x:v>0</x:v>
      </x:c>
      <x:c r="C65" s="98" t="n">
        <x:f>'Resource Build-Up'!B64</x:f>
        <x:v>0</x:v>
      </x:c>
      <x:c r="D65" s="26" t="str">
        <x:f>'Resource Build-Up'!C64</x:f>
      </x:c>
      <x:c r="E65" s="26" t="n">
        <x:f>'Resource Build-Up'!H64</x:f>
        <x:v>0</x:v>
      </x:c>
      <x:c r="F65" s="26" t="n">
        <x:f>'Resource Build-Up'!P64</x:f>
        <x:v>0</x:v>
      </x:c>
      <x:c r="G65" s="26" t="n">
        <x:f>'Resource Build-Up'!Q64</x:f>
        <x:v>0</x:v>
      </x:c>
      <x:c r="H65" s="26" t="n">
        <x:f>'Resource Build-Up'!T64</x:f>
        <x:v>0</x:v>
      </x:c>
      <x:c r="I65" s="44" t="n">
        <x:f>'Resource Build-Up'!Y64</x:f>
        <x:v>0</x:v>
      </x:c>
      <x:c r="J65" s="44" t="str">
        <x:f>'Resource Build-Up'!Z64</x:f>
      </x:c>
      <x:c r="K65" s="26"/>
      <x:c r="L65" s="26"/>
      <x:c r="M65" s="26"/>
      <x:c r="N65" s="26"/>
      <x:c r="O65" s="26"/>
      <x:c r="P65" s="26"/>
      <x:c r="Q65" s="26">
        <x:f t="shared" si="1"/>
        <x:v>3</x:v>
      </x:c>
      <x:c r="R65" s="26" t="n">
        <x:f>'Resource Build-Up'!AC64</x:f>
        <x:v>0</x:v>
      </x:c>
      <x:c r="S65" s="26" t="n">
        <x:f>'Resource Build-Up'!AF64</x:f>
        <x:v>0</x:v>
      </x:c>
      <x:c r="T65" s="101"/>
      <x:c r="U65" s="26"/>
      <x:c r="V65" s="26" t="n">
        <x:f>'Resource Build-Up'!AG64</x:f>
        <x:v>0</x:v>
      </x:c>
    </x:row>
    <x:row r="66" ht="32.400001525878906" customHeight="1">
      <x:c r="A66" s="98" t="s">
        <x:v>675</x:v>
      </x:c>
      <x:c r="B66" s="98" t="n">
        <x:f>'Resource Build-Up'!A65</x:f>
        <x:v>0</x:v>
      </x:c>
      <x:c r="C66" s="98" t="n">
        <x:f>'Resource Build-Up'!B65</x:f>
        <x:v>0</x:v>
      </x:c>
      <x:c r="D66" s="26" t="str">
        <x:f>'Resource Build-Up'!C65</x:f>
      </x:c>
      <x:c r="E66" s="26" t="n">
        <x:f>'Resource Build-Up'!H65</x:f>
        <x:v>0</x:v>
      </x:c>
      <x:c r="F66" s="26" t="n">
        <x:f>'Resource Build-Up'!P65</x:f>
        <x:v>0</x:v>
      </x:c>
      <x:c r="G66" s="26" t="n">
        <x:f>'Resource Build-Up'!Q65</x:f>
        <x:v>0</x:v>
      </x:c>
      <x:c r="H66" s="26" t="n">
        <x:f>'Resource Build-Up'!T65</x:f>
        <x:v>0</x:v>
      </x:c>
      <x:c r="I66" s="44" t="n">
        <x:f>'Resource Build-Up'!Y65</x:f>
        <x:v>0</x:v>
      </x:c>
      <x:c r="J66" s="44" t="str">
        <x:f>'Resource Build-Up'!Z65</x:f>
      </x:c>
      <x:c r="K66" s="26"/>
      <x:c r="L66" s="26"/>
      <x:c r="M66" s="26"/>
      <x:c r="N66" s="26"/>
      <x:c r="O66" s="26"/>
      <x:c r="P66" s="26"/>
      <x:c r="Q66" s="26">
        <x:f t="shared" si="1"/>
        <x:v>3</x:v>
      </x:c>
      <x:c r="R66" s="26" t="n">
        <x:f>'Resource Build-Up'!AC65</x:f>
        <x:v>0</x:v>
      </x:c>
      <x:c r="S66" s="26" t="n">
        <x:f>'Resource Build-Up'!AF65</x:f>
        <x:v>0</x:v>
      </x:c>
      <x:c r="T66" s="101"/>
      <x:c r="U66" s="26"/>
      <x:c r="V66" s="26" t="n">
        <x:f>'Resource Build-Up'!AG65</x:f>
        <x:v>0</x:v>
      </x:c>
    </x:row>
    <x:row r="67" ht="32.400001525878906" customHeight="1">
      <x:c r="A67" s="98" t="s">
        <x:v>676</x:v>
      </x:c>
      <x:c r="B67" s="98" t="n">
        <x:f>'Resource Build-Up'!A66</x:f>
        <x:v>0</x:v>
      </x:c>
      <x:c r="C67" s="98" t="n">
        <x:f>'Resource Build-Up'!B66</x:f>
        <x:v>0</x:v>
      </x:c>
      <x:c r="D67" s="26" t="str">
        <x:f>'Resource Build-Up'!C66</x:f>
      </x:c>
      <x:c r="E67" s="26" t="n">
        <x:f>'Resource Build-Up'!H66</x:f>
        <x:v>0</x:v>
      </x:c>
      <x:c r="F67" s="26" t="n">
        <x:f>'Resource Build-Up'!P66</x:f>
        <x:v>0</x:v>
      </x:c>
      <x:c r="G67" s="26" t="n">
        <x:f>'Resource Build-Up'!Q66</x:f>
        <x:v>0</x:v>
      </x:c>
      <x:c r="H67" s="26" t="n">
        <x:f>'Resource Build-Up'!T66</x:f>
        <x:v>0</x:v>
      </x:c>
      <x:c r="I67" s="44" t="n">
        <x:f>'Resource Build-Up'!Y66</x:f>
        <x:v>0</x:v>
      </x:c>
      <x:c r="J67" s="44" t="str">
        <x:f>'Resource Build-Up'!Z66</x:f>
      </x:c>
      <x:c r="K67" s="26"/>
      <x:c r="L67" s="26"/>
      <x:c r="M67" s="26"/>
      <x:c r="N67" s="26"/>
      <x:c r="O67" s="26"/>
      <x:c r="P67" s="26"/>
      <x:c r="Q67" s="26">
        <x:f t="shared" si="1"/>
        <x:v>2</x:v>
      </x:c>
      <x:c r="R67" s="26" t="n">
        <x:f>'Resource Build-Up'!AC66</x:f>
        <x:v>0</x:v>
      </x:c>
      <x:c r="S67" s="26" t="n">
        <x:f>'Resource Build-Up'!AF66</x:f>
        <x:v>0</x:v>
      </x:c>
      <x:c r="T67" s="99"/>
      <x:c r="U67" s="26"/>
      <x:c r="V67" s="26" t="n">
        <x:f>'Resource Build-Up'!AG66</x:f>
        <x:v>0</x:v>
      </x:c>
    </x:row>
    <x:row r="68" ht="32.400001525878906" customHeight="1">
      <x:c r="A68" s="98" t="s">
        <x:v>677</x:v>
      </x:c>
      <x:c r="B68" s="98" t="n">
        <x:f>'Resource Build-Up'!A67</x:f>
        <x:v>0</x:v>
      </x:c>
      <x:c r="C68" s="98" t="n">
        <x:f>'Resource Build-Up'!B67</x:f>
        <x:v>0</x:v>
      </x:c>
      <x:c r="D68" s="26" t="str">
        <x:f>'Resource Build-Up'!C67</x:f>
      </x:c>
      <x:c r="E68" s="26" t="n">
        <x:f>'Resource Build-Up'!H67</x:f>
        <x:v>0</x:v>
      </x:c>
      <x:c r="F68" s="26" t="n">
        <x:f>'Resource Build-Up'!P67</x:f>
        <x:v>0</x:v>
      </x:c>
      <x:c r="G68" s="26" t="n">
        <x:f>'Resource Build-Up'!Q67</x:f>
        <x:v>0</x:v>
      </x:c>
      <x:c r="H68" s="26" t="n">
        <x:f>'Resource Build-Up'!T67</x:f>
        <x:v>0</x:v>
      </x:c>
      <x:c r="I68" s="44" t="n">
        <x:f>'Resource Build-Up'!Y67</x:f>
        <x:v>0</x:v>
      </x:c>
      <x:c r="J68" s="44" t="str">
        <x:f>'Resource Build-Up'!Z67</x:f>
      </x:c>
      <x:c r="K68" s="26"/>
      <x:c r="L68" s="26"/>
      <x:c r="M68" s="26"/>
      <x:c r="N68" s="26"/>
      <x:c r="O68" s="26"/>
      <x:c r="P68" s="26"/>
      <x:c r="Q68" s="26">
        <x:f t="shared" si="1"/>
        <x:v>2</x:v>
      </x:c>
      <x:c r="R68" s="26" t="n">
        <x:f>'Resource Build-Up'!AC67</x:f>
        <x:v>0</x:v>
      </x:c>
      <x:c r="S68" s="26" t="n">
        <x:f>'Resource Build-Up'!AF67</x:f>
        <x:v>0</x:v>
      </x:c>
      <x:c r="T68" s="99"/>
      <x:c r="U68" s="26"/>
      <x:c r="V68" s="26" t="n">
        <x:f>'Resource Build-Up'!AG67</x:f>
        <x:v>0</x:v>
      </x:c>
    </x:row>
    <x:row r="69" ht="32.400001525878906" customHeight="1">
      <x:c r="A69" s="98" t="s">
        <x:v>678</x:v>
      </x:c>
      <x:c r="B69" s="98" t="n">
        <x:f>'Resource Build-Up'!A68</x:f>
        <x:v>0</x:v>
      </x:c>
      <x:c r="C69" s="98" t="n">
        <x:f>'Resource Build-Up'!B68</x:f>
        <x:v>0</x:v>
      </x:c>
      <x:c r="D69" s="26" t="str">
        <x:f>'Resource Build-Up'!C68</x:f>
      </x:c>
      <x:c r="E69" s="26" t="n">
        <x:f>'Resource Build-Up'!H68</x:f>
        <x:v>0</x:v>
      </x:c>
      <x:c r="F69" s="26" t="n">
        <x:f>'Resource Build-Up'!P68</x:f>
        <x:v>0</x:v>
      </x:c>
      <x:c r="G69" s="26" t="n">
        <x:f>'Resource Build-Up'!Q68</x:f>
        <x:v>0</x:v>
      </x:c>
      <x:c r="H69" s="26" t="n">
        <x:f>'Resource Build-Up'!T68</x:f>
        <x:v>0</x:v>
      </x:c>
      <x:c r="I69" s="44" t="n">
        <x:f>'Resource Build-Up'!Y68</x:f>
        <x:v>0</x:v>
      </x:c>
      <x:c r="J69" s="44" t="str">
        <x:f>'Resource Build-Up'!Z68</x:f>
      </x:c>
      <x:c r="K69" s="26"/>
      <x:c r="L69" s="26"/>
      <x:c r="M69" s="26"/>
      <x:c r="N69" s="26"/>
      <x:c r="O69" s="26"/>
      <x:c r="P69" s="26"/>
      <x:c r="Q69" s="26">
        <x:f t="shared" si="1"/>
        <x:v>1</x:v>
      </x:c>
      <x:c r="R69" s="26" t="n">
        <x:f>'Resource Build-Up'!AC68</x:f>
        <x:v>0</x:v>
      </x:c>
      <x:c r="S69" s="26" t="n">
        <x:f>'Resource Build-Up'!AF68</x:f>
        <x:v>0</x:v>
      </x:c>
      <x:c r="T69" s="100"/>
      <x:c r="U69" s="26"/>
      <x:c r="V69" s="26" t="n">
        <x:f>'Resource Build-Up'!AG68</x:f>
        <x:v>0</x:v>
      </x:c>
    </x:row>
    <x:row r="70" ht="32.400001525878906" customHeight="1">
      <x:c r="A70" s="98" t="s">
        <x:v>679</x:v>
      </x:c>
      <x:c r="B70" s="98" t="n">
        <x:f>'Resource Build-Up'!A69</x:f>
        <x:v>0</x:v>
      </x:c>
      <x:c r="C70" s="98" t="n">
        <x:f>'Resource Build-Up'!B69</x:f>
        <x:v>0</x:v>
      </x:c>
      <x:c r="D70" s="26" t="str">
        <x:f>'Resource Build-Up'!C69</x:f>
      </x:c>
      <x:c r="E70" s="26" t="n">
        <x:f>'Resource Build-Up'!H69</x:f>
        <x:v>0</x:v>
      </x:c>
      <x:c r="F70" s="26" t="n">
        <x:f>'Resource Build-Up'!P69</x:f>
        <x:v>0</x:v>
      </x:c>
      <x:c r="G70" s="26" t="n">
        <x:f>'Resource Build-Up'!Q69</x:f>
        <x:v>0</x:v>
      </x:c>
      <x:c r="H70" s="26" t="n">
        <x:f>'Resource Build-Up'!T69</x:f>
        <x:v>0</x:v>
      </x:c>
      <x:c r="I70" s="44" t="n">
        <x:f>'Resource Build-Up'!Y69</x:f>
        <x:v>0</x:v>
      </x:c>
      <x:c r="J70" s="44" t="str">
        <x:f>'Resource Build-Up'!Z69</x:f>
      </x:c>
      <x:c r="K70" s="26"/>
      <x:c r="L70" s="26"/>
      <x:c r="M70" s="26"/>
      <x:c r="N70" s="26"/>
      <x:c r="O70" s="26"/>
      <x:c r="P70" s="26"/>
      <x:c r="Q70" s="26">
        <x:f t="shared" si="1"/>
        <x:v>2</x:v>
      </x:c>
      <x:c r="R70" s="26" t="n">
        <x:f>'Resource Build-Up'!AC69</x:f>
        <x:v>0</x:v>
      </x:c>
      <x:c r="S70" s="26" t="n">
        <x:f>'Resource Build-Up'!AF69</x:f>
        <x:v>0</x:v>
      </x:c>
      <x:c r="T70" s="99"/>
      <x:c r="U70" s="26"/>
      <x:c r="V70" s="26" t="n">
        <x:f>'Resource Build-Up'!AG69</x:f>
        <x:v>0</x:v>
      </x:c>
    </x:row>
    <x:row r="71" ht="32.400001525878906" customHeight="1">
      <x:c r="A71" s="98" t="s">
        <x:v>680</x:v>
      </x:c>
      <x:c r="B71" s="98" t="n">
        <x:f>'Resource Build-Up'!A70</x:f>
        <x:v>0</x:v>
      </x:c>
      <x:c r="C71" s="98" t="n">
        <x:f>'Resource Build-Up'!B70</x:f>
        <x:v>0</x:v>
      </x:c>
      <x:c r="D71" s="26" t="str">
        <x:f>'Resource Build-Up'!C70</x:f>
      </x:c>
      <x:c r="E71" s="26" t="n">
        <x:f>'Resource Build-Up'!H70</x:f>
        <x:v>0</x:v>
      </x:c>
      <x:c r="F71" s="26" t="n">
        <x:f>'Resource Build-Up'!P70</x:f>
        <x:v>0</x:v>
      </x:c>
      <x:c r="G71" s="26" t="n">
        <x:f>'Resource Build-Up'!Q70</x:f>
        <x:v>0</x:v>
      </x:c>
      <x:c r="H71" s="26" t="n">
        <x:f>'Resource Build-Up'!T70</x:f>
        <x:v>0</x:v>
      </x:c>
      <x:c r="I71" s="44" t="n">
        <x:f>'Resource Build-Up'!Y70</x:f>
        <x:v>0</x:v>
      </x:c>
      <x:c r="J71" s="44" t="str">
        <x:f>'Resource Build-Up'!Z70</x:f>
      </x:c>
      <x:c r="K71" s="26"/>
      <x:c r="L71" s="26"/>
      <x:c r="M71" s="26"/>
      <x:c r="N71" s="26"/>
      <x:c r="O71" s="26"/>
      <x:c r="P71" s="26"/>
      <x:c r="Q71" s="26">
        <x:f t="shared" si="1"/>
        <x:v>3</x:v>
      </x:c>
      <x:c r="R71" s="26" t="n">
        <x:f>'Resource Build-Up'!AC70</x:f>
        <x:v>0</x:v>
      </x:c>
      <x:c r="S71" s="26" t="n">
        <x:f>'Resource Build-Up'!AF70</x:f>
        <x:v>0</x:v>
      </x:c>
      <x:c r="T71" s="101"/>
      <x:c r="U71" s="26"/>
      <x:c r="V71" s="26" t="n">
        <x:f>'Resource Build-Up'!AG70</x:f>
        <x:v>0</x:v>
      </x:c>
    </x:row>
    <x:row r="72" ht="32.400001525878906" customHeight="1">
      <x:c r="A72" s="98" t="s">
        <x:v>681</x:v>
      </x:c>
      <x:c r="B72" s="98" t="n">
        <x:f>'Resource Build-Up'!A71</x:f>
        <x:v>0</x:v>
      </x:c>
      <x:c r="C72" s="98" t="n">
        <x:f>'Resource Build-Up'!B71</x:f>
        <x:v>0</x:v>
      </x:c>
      <x:c r="D72" s="26" t="str">
        <x:f>'Resource Build-Up'!C71</x:f>
      </x:c>
      <x:c r="E72" s="26" t="n">
        <x:f>'Resource Build-Up'!H71</x:f>
        <x:v>0</x:v>
      </x:c>
      <x:c r="F72" s="26" t="n">
        <x:f>'Resource Build-Up'!P71</x:f>
        <x:v>0</x:v>
      </x:c>
      <x:c r="G72" s="26" t="n">
        <x:f>'Resource Build-Up'!Q71</x:f>
        <x:v>0</x:v>
      </x:c>
      <x:c r="H72" s="26" t="n">
        <x:f>'Resource Build-Up'!T71</x:f>
        <x:v>0</x:v>
      </x:c>
      <x:c r="I72" s="44" t="n">
        <x:f>'Resource Build-Up'!Y71</x:f>
        <x:v>0</x:v>
      </x:c>
      <x:c r="J72" s="44" t="str">
        <x:f>'Resource Build-Up'!Z71</x:f>
      </x:c>
      <x:c r="K72" s="26"/>
      <x:c r="L72" s="26"/>
      <x:c r="M72" s="26"/>
      <x:c r="N72" s="26"/>
      <x:c r="O72" s="26"/>
      <x:c r="P72" s="26"/>
      <x:c r="Q72" s="26" t="n">
        <x:f t="shared" ref="Q72:Q103" si="2">COUNTIF(L72,"PASS")+COUNTIF(N72,"PASS")+COUNTIF(P72,"PASS")</x:f>
        <x:v>0</x:v>
      </x:c>
      <x:c r="R72" s="26" t="n">
        <x:f>'Resource Build-Up'!AC71</x:f>
        <x:v>0</x:v>
      </x:c>
      <x:c r="S72" s="26" t="n">
        <x:f>'Resource Build-Up'!AF71</x:f>
        <x:v>0</x:v>
      </x:c>
      <x:c r="T72" s="99"/>
      <x:c r="U72" s="26"/>
      <x:c r="V72" s="26" t="n">
        <x:f>'Resource Build-Up'!AG71</x:f>
        <x:v>0</x:v>
      </x:c>
    </x:row>
    <x:row r="73" ht="32.400001525878906" customHeight="1">
      <x:c r="A73" s="98" t="s">
        <x:v>682</x:v>
      </x:c>
      <x:c r="B73" s="98" t="n">
        <x:f>'Resource Build-Up'!A72</x:f>
        <x:v>0</x:v>
      </x:c>
      <x:c r="C73" s="98" t="n">
        <x:f>'Resource Build-Up'!B72</x:f>
        <x:v>0</x:v>
      </x:c>
      <x:c r="D73" s="26" t="str">
        <x:f>'Resource Build-Up'!C72</x:f>
      </x:c>
      <x:c r="E73" s="26" t="n">
        <x:f>'Resource Build-Up'!H72</x:f>
        <x:v>0</x:v>
      </x:c>
      <x:c r="F73" s="26" t="n">
        <x:f>'Resource Build-Up'!P72</x:f>
        <x:v>0</x:v>
      </x:c>
      <x:c r="G73" s="26" t="n">
        <x:f>'Resource Build-Up'!Q72</x:f>
        <x:v>0</x:v>
      </x:c>
      <x:c r="H73" s="26" t="n">
        <x:f>'Resource Build-Up'!T72</x:f>
        <x:v>0</x:v>
      </x:c>
      <x:c r="I73" s="44" t="n">
        <x:f>'Resource Build-Up'!Y72</x:f>
        <x:v>0</x:v>
      </x:c>
      <x:c r="J73" s="44" t="str">
        <x:f>'Resource Build-Up'!Z72</x:f>
      </x:c>
      <x:c r="K73" s="26"/>
      <x:c r="L73" s="26"/>
      <x:c r="M73" s="26"/>
      <x:c r="N73" s="26"/>
      <x:c r="O73" s="26"/>
      <x:c r="P73" s="26"/>
      <x:c r="Q73" s="26">
        <x:f t="shared" si="2"/>
        <x:v>2</x:v>
      </x:c>
      <x:c r="R73" s="26" t="n">
        <x:f>'Resource Build-Up'!AC72</x:f>
        <x:v>0</x:v>
      </x:c>
      <x:c r="S73" s="26" t="n">
        <x:f>'Resource Build-Up'!AF72</x:f>
        <x:v>0</x:v>
      </x:c>
      <x:c r="T73" s="99"/>
      <x:c r="U73" s="26"/>
      <x:c r="V73" s="26" t="n">
        <x:f>'Resource Build-Up'!AG72</x:f>
        <x:v>0</x:v>
      </x:c>
    </x:row>
    <x:row r="74" ht="32.400001525878906" customHeight="1">
      <x:c r="A74" s="98" t="s">
        <x:v>683</x:v>
      </x:c>
      <x:c r="B74" s="98" t="n">
        <x:f>'Resource Build-Up'!A73</x:f>
        <x:v>0</x:v>
      </x:c>
      <x:c r="C74" s="98" t="n">
        <x:f>'Resource Build-Up'!B73</x:f>
        <x:v>0</x:v>
      </x:c>
      <x:c r="D74" s="26" t="str">
        <x:f>'Resource Build-Up'!C73</x:f>
      </x:c>
      <x:c r="E74" s="26" t="n">
        <x:f>'Resource Build-Up'!H73</x:f>
        <x:v>0</x:v>
      </x:c>
      <x:c r="F74" s="26" t="n">
        <x:f>'Resource Build-Up'!P73</x:f>
        <x:v>0</x:v>
      </x:c>
      <x:c r="G74" s="26" t="n">
        <x:f>'Resource Build-Up'!Q73</x:f>
        <x:v>0</x:v>
      </x:c>
      <x:c r="H74" s="26" t="n">
        <x:f>'Resource Build-Up'!T73</x:f>
        <x:v>0</x:v>
      </x:c>
      <x:c r="I74" s="44" t="n">
        <x:f>'Resource Build-Up'!Y73</x:f>
        <x:v>0</x:v>
      </x:c>
      <x:c r="J74" s="44" t="str">
        <x:f>'Resource Build-Up'!Z73</x:f>
      </x:c>
      <x:c r="K74" s="26"/>
      <x:c r="L74" s="26"/>
      <x:c r="M74" s="26"/>
      <x:c r="N74" s="26"/>
      <x:c r="O74" s="26"/>
      <x:c r="P74" s="26"/>
      <x:c r="Q74" s="26">
        <x:f t="shared" si="2"/>
        <x:v>1</x:v>
      </x:c>
      <x:c r="R74" s="26" t="n">
        <x:f>'Resource Build-Up'!AC73</x:f>
        <x:v>0</x:v>
      </x:c>
      <x:c r="S74" s="26" t="n">
        <x:f>'Resource Build-Up'!AF73</x:f>
        <x:v>0</x:v>
      </x:c>
      <x:c r="T74" s="100"/>
      <x:c r="U74" s="26"/>
      <x:c r="V74" s="26" t="n">
        <x:f>'Resource Build-Up'!AG73</x:f>
        <x:v>0</x:v>
      </x:c>
    </x:row>
    <x:row r="75" ht="32.400001525878906" customHeight="1">
      <x:c r="A75" s="98" t="s">
        <x:v>684</x:v>
      </x:c>
      <x:c r="B75" s="98" t="n">
        <x:f>'Resource Build-Up'!A74</x:f>
        <x:v>0</x:v>
      </x:c>
      <x:c r="C75" s="98" t="n">
        <x:f>'Resource Build-Up'!B74</x:f>
        <x:v>0</x:v>
      </x:c>
      <x:c r="D75" s="26" t="str">
        <x:f>'Resource Build-Up'!C74</x:f>
      </x:c>
      <x:c r="E75" s="26" t="n">
        <x:f>'Resource Build-Up'!H74</x:f>
        <x:v>0</x:v>
      </x:c>
      <x:c r="F75" s="26" t="n">
        <x:f>'Resource Build-Up'!P74</x:f>
        <x:v>0</x:v>
      </x:c>
      <x:c r="G75" s="26" t="n">
        <x:f>'Resource Build-Up'!Q74</x:f>
        <x:v>0</x:v>
      </x:c>
      <x:c r="H75" s="26" t="n">
        <x:f>'Resource Build-Up'!T74</x:f>
        <x:v>0</x:v>
      </x:c>
      <x:c r="I75" s="44" t="n">
        <x:f>'Resource Build-Up'!Y74</x:f>
        <x:v>0</x:v>
      </x:c>
      <x:c r="J75" s="44" t="str">
        <x:f>'Resource Build-Up'!Z74</x:f>
      </x:c>
      <x:c r="K75" s="26"/>
      <x:c r="L75" s="26"/>
      <x:c r="M75" s="26"/>
      <x:c r="N75" s="26"/>
      <x:c r="O75" s="26"/>
      <x:c r="P75" s="26"/>
      <x:c r="Q75" s="26">
        <x:f t="shared" si="2"/>
        <x:v>1</x:v>
      </x:c>
      <x:c r="R75" s="26" t="n">
        <x:f>'Resource Build-Up'!AC74</x:f>
        <x:v>0</x:v>
      </x:c>
      <x:c r="S75" s="26" t="n">
        <x:f>'Resource Build-Up'!AF74</x:f>
        <x:v>0</x:v>
      </x:c>
      <x:c r="T75" s="99"/>
      <x:c r="U75" s="26"/>
      <x:c r="V75" s="26" t="n">
        <x:f>'Resource Build-Up'!AG74</x:f>
        <x:v>0</x:v>
      </x:c>
    </x:row>
    <x:row r="76" ht="32.400001525878906" customHeight="1">
      <x:c r="A76" s="98" t="s">
        <x:v>685</x:v>
      </x:c>
      <x:c r="B76" s="98" t="n">
        <x:f>'Resource Build-Up'!A75</x:f>
        <x:v>0</x:v>
      </x:c>
      <x:c r="C76" s="98" t="n">
        <x:f>'Resource Build-Up'!B75</x:f>
        <x:v>0</x:v>
      </x:c>
      <x:c r="D76" s="26" t="str">
        <x:f>'Resource Build-Up'!C75</x:f>
      </x:c>
      <x:c r="E76" s="26" t="n">
        <x:f>'Resource Build-Up'!H75</x:f>
        <x:v>0</x:v>
      </x:c>
      <x:c r="F76" s="26" t="n">
        <x:f>'Resource Build-Up'!P75</x:f>
        <x:v>0</x:v>
      </x:c>
      <x:c r="G76" s="26" t="n">
        <x:f>'Resource Build-Up'!Q75</x:f>
        <x:v>0</x:v>
      </x:c>
      <x:c r="H76" s="26" t="n">
        <x:f>'Resource Build-Up'!T75</x:f>
        <x:v>0</x:v>
      </x:c>
      <x:c r="I76" s="44" t="n">
        <x:f>'Resource Build-Up'!Y75</x:f>
        <x:v>0</x:v>
      </x:c>
      <x:c r="J76" s="44" t="str">
        <x:f>'Resource Build-Up'!Z75</x:f>
      </x:c>
      <x:c r="K76" s="26"/>
      <x:c r="L76" s="26"/>
      <x:c r="M76" s="26"/>
      <x:c r="N76" s="26"/>
      <x:c r="O76" s="26"/>
      <x:c r="P76" s="26"/>
      <x:c r="Q76" s="26">
        <x:f t="shared" si="2"/>
        <x:v>1</x:v>
      </x:c>
      <x:c r="R76" s="26" t="n">
        <x:f>'Resource Build-Up'!AC75</x:f>
        <x:v>0</x:v>
      </x:c>
      <x:c r="S76" s="26" t="n">
        <x:f>'Resource Build-Up'!AF75</x:f>
        <x:v>0</x:v>
      </x:c>
      <x:c r="T76" s="100"/>
      <x:c r="U76" s="26"/>
      <x:c r="V76" s="26" t="n">
        <x:f>'Resource Build-Up'!AG75</x:f>
        <x:v>0</x:v>
      </x:c>
    </x:row>
    <x:row r="77" ht="32.400001525878906" customHeight="1">
      <x:c r="A77" s="98" t="s">
        <x:v>686</x:v>
      </x:c>
      <x:c r="B77" s="98" t="n">
        <x:f>'Resource Build-Up'!A76</x:f>
        <x:v>0</x:v>
      </x:c>
      <x:c r="C77" s="98" t="n">
        <x:f>'Resource Build-Up'!B76</x:f>
        <x:v>0</x:v>
      </x:c>
      <x:c r="D77" s="26" t="str">
        <x:f>'Resource Build-Up'!C76</x:f>
      </x:c>
      <x:c r="E77" s="26" t="n">
        <x:f>'Resource Build-Up'!H76</x:f>
        <x:v>0</x:v>
      </x:c>
      <x:c r="F77" s="26" t="n">
        <x:f>'Resource Build-Up'!P76</x:f>
        <x:v>0</x:v>
      </x:c>
      <x:c r="G77" s="26" t="n">
        <x:f>'Resource Build-Up'!Q76</x:f>
        <x:v>0</x:v>
      </x:c>
      <x:c r="H77" s="26" t="n">
        <x:f>'Resource Build-Up'!T76</x:f>
        <x:v>0</x:v>
      </x:c>
      <x:c r="I77" s="44" t="n">
        <x:f>'Resource Build-Up'!Y76</x:f>
        <x:v>0</x:v>
      </x:c>
      <x:c r="J77" s="44" t="str">
        <x:f>'Resource Build-Up'!Z76</x:f>
      </x:c>
      <x:c r="K77" s="26"/>
      <x:c r="L77" s="26"/>
      <x:c r="M77" s="26"/>
      <x:c r="N77" s="26"/>
      <x:c r="O77" s="26"/>
      <x:c r="P77" s="26"/>
      <x:c r="Q77" s="26">
        <x:f t="shared" si="2"/>
        <x:v>1</x:v>
      </x:c>
      <x:c r="R77" s="26" t="n">
        <x:f>'Resource Build-Up'!AC76</x:f>
        <x:v>0</x:v>
      </x:c>
      <x:c r="S77" s="26" t="n">
        <x:f>'Resource Build-Up'!AF76</x:f>
        <x:v>0</x:v>
      </x:c>
      <x:c r="T77" s="99"/>
      <x:c r="U77" s="26"/>
      <x:c r="V77" s="26" t="n">
        <x:f>'Resource Build-Up'!AG76</x:f>
        <x:v>0</x:v>
      </x:c>
    </x:row>
    <x:row r="78" ht="32.400001525878906" customHeight="1">
      <x:c r="A78" s="98" t="s">
        <x:v>687</x:v>
      </x:c>
      <x:c r="B78" s="98" t="n">
        <x:f>'Resource Build-Up'!A77</x:f>
        <x:v>0</x:v>
      </x:c>
      <x:c r="C78" s="98" t="n">
        <x:f>'Resource Build-Up'!B77</x:f>
        <x:v>0</x:v>
      </x:c>
      <x:c r="D78" s="26" t="str">
        <x:f>'Resource Build-Up'!C77</x:f>
      </x:c>
      <x:c r="E78" s="26" t="n">
        <x:f>'Resource Build-Up'!H77</x:f>
        <x:v>0</x:v>
      </x:c>
      <x:c r="F78" s="26" t="n">
        <x:f>'Resource Build-Up'!P77</x:f>
        <x:v>0</x:v>
      </x:c>
      <x:c r="G78" s="26" t="n">
        <x:f>'Resource Build-Up'!Q77</x:f>
        <x:v>0</x:v>
      </x:c>
      <x:c r="H78" s="26" t="n">
        <x:f>'Resource Build-Up'!T77</x:f>
        <x:v>0</x:v>
      </x:c>
      <x:c r="I78" s="44" t="n">
        <x:f>'Resource Build-Up'!Y77</x:f>
        <x:v>0</x:v>
      </x:c>
      <x:c r="J78" s="44" t="str">
        <x:f>'Resource Build-Up'!Z77</x:f>
      </x:c>
      <x:c r="K78" s="26"/>
      <x:c r="L78" s="26"/>
      <x:c r="M78" s="26"/>
      <x:c r="N78" s="26"/>
      <x:c r="O78" s="26"/>
      <x:c r="P78" s="26"/>
      <x:c r="Q78" s="26">
        <x:f t="shared" si="2"/>
        <x:v>1</x:v>
      </x:c>
      <x:c r="R78" s="26" t="n">
        <x:f>'Resource Build-Up'!AC77</x:f>
        <x:v>0</x:v>
      </x:c>
      <x:c r="S78" s="26" t="n">
        <x:f>'Resource Build-Up'!AF77</x:f>
        <x:v>0</x:v>
      </x:c>
      <x:c r="T78" s="100"/>
      <x:c r="U78" s="26"/>
      <x:c r="V78" s="26" t="n">
        <x:f>'Resource Build-Up'!AG77</x:f>
        <x:v>0</x:v>
      </x:c>
    </x:row>
    <x:row r="79" ht="32.400001525878906" customHeight="1">
      <x:c r="A79" s="98" t="s">
        <x:v>688</x:v>
      </x:c>
      <x:c r="B79" s="98" t="n">
        <x:f>'Resource Build-Up'!A78</x:f>
        <x:v>0</x:v>
      </x:c>
      <x:c r="C79" s="98" t="n">
        <x:f>'Resource Build-Up'!B78</x:f>
        <x:v>0</x:v>
      </x:c>
      <x:c r="D79" s="26" t="str">
        <x:f>'Resource Build-Up'!C78</x:f>
      </x:c>
      <x:c r="E79" s="26" t="n">
        <x:f>'Resource Build-Up'!H78</x:f>
        <x:v>0</x:v>
      </x:c>
      <x:c r="F79" s="26" t="n">
        <x:f>'Resource Build-Up'!P78</x:f>
        <x:v>0</x:v>
      </x:c>
      <x:c r="G79" s="26" t="n">
        <x:f>'Resource Build-Up'!Q78</x:f>
        <x:v>0</x:v>
      </x:c>
      <x:c r="H79" s="26" t="n">
        <x:f>'Resource Build-Up'!T78</x:f>
        <x:v>0</x:v>
      </x:c>
      <x:c r="I79" s="44" t="n">
        <x:f>'Resource Build-Up'!Y78</x:f>
        <x:v>0</x:v>
      </x:c>
      <x:c r="J79" s="44" t="str">
        <x:f>'Resource Build-Up'!Z78</x:f>
      </x:c>
      <x:c r="K79" s="26"/>
      <x:c r="L79" s="26"/>
      <x:c r="M79" s="26"/>
      <x:c r="N79" s="26"/>
      <x:c r="O79" s="26"/>
      <x:c r="P79" s="26"/>
      <x:c r="Q79" s="26">
        <x:f t="shared" si="2"/>
        <x:v>1</x:v>
      </x:c>
      <x:c r="R79" s="26" t="n">
        <x:f>'Resource Build-Up'!AC78</x:f>
        <x:v>0</x:v>
      </x:c>
      <x:c r="S79" s="26" t="n">
        <x:f>'Resource Build-Up'!AF78</x:f>
        <x:v>0</x:v>
      </x:c>
      <x:c r="T79" s="99"/>
      <x:c r="U79" s="26"/>
      <x:c r="V79" s="26" t="n">
        <x:f>'Resource Build-Up'!AG78</x:f>
        <x:v>0</x:v>
      </x:c>
    </x:row>
    <x:row r="80" ht="32.400001525878906" customHeight="1">
      <x:c r="A80" s="98" t="s">
        <x:v>689</x:v>
      </x:c>
      <x:c r="B80" s="98" t="n">
        <x:f>'Resource Build-Up'!A79</x:f>
        <x:v>0</x:v>
      </x:c>
      <x:c r="C80" s="98" t="n">
        <x:f>'Resource Build-Up'!B79</x:f>
        <x:v>0</x:v>
      </x:c>
      <x:c r="D80" s="26" t="str">
        <x:f>'Resource Build-Up'!C79</x:f>
      </x:c>
      <x:c r="E80" s="26" t="n">
        <x:f>'Resource Build-Up'!H79</x:f>
        <x:v>0</x:v>
      </x:c>
      <x:c r="F80" s="26" t="n">
        <x:f>'Resource Build-Up'!P79</x:f>
        <x:v>0</x:v>
      </x:c>
      <x:c r="G80" s="26" t="n">
        <x:f>'Resource Build-Up'!Q79</x:f>
        <x:v>0</x:v>
      </x:c>
      <x:c r="H80" s="26" t="n">
        <x:f>'Resource Build-Up'!T79</x:f>
        <x:v>0</x:v>
      </x:c>
      <x:c r="I80" s="44" t="n">
        <x:f>'Resource Build-Up'!Y79</x:f>
        <x:v>0</x:v>
      </x:c>
      <x:c r="J80" s="44" t="str">
        <x:f>'Resource Build-Up'!Z79</x:f>
      </x:c>
      <x:c r="K80" s="26"/>
      <x:c r="L80" s="26"/>
      <x:c r="M80" s="26"/>
      <x:c r="N80" s="26"/>
      <x:c r="O80" s="26"/>
      <x:c r="P80" s="26"/>
      <x:c r="Q80" s="26">
        <x:f t="shared" si="2"/>
        <x:v>1</x:v>
      </x:c>
      <x:c r="R80" s="26" t="n">
        <x:f>'Resource Build-Up'!AC79</x:f>
        <x:v>0</x:v>
      </x:c>
      <x:c r="S80" s="26" t="n">
        <x:f>'Resource Build-Up'!AF79</x:f>
        <x:v>0</x:v>
      </x:c>
      <x:c r="T80" s="100"/>
      <x:c r="U80" s="26"/>
      <x:c r="V80" s="26" t="n">
        <x:f>'Resource Build-Up'!AG79</x:f>
        <x:v>0</x:v>
      </x:c>
    </x:row>
    <x:row r="81" ht="32.400001525878906" customHeight="1">
      <x:c r="A81" s="98" t="s">
        <x:v>690</x:v>
      </x:c>
      <x:c r="B81" s="98" t="n">
        <x:f>'Resource Build-Up'!A80</x:f>
        <x:v>0</x:v>
      </x:c>
      <x:c r="C81" s="98" t="n">
        <x:f>'Resource Build-Up'!B80</x:f>
        <x:v>0</x:v>
      </x:c>
      <x:c r="D81" s="26" t="str">
        <x:f>'Resource Build-Up'!C80</x:f>
      </x:c>
      <x:c r="E81" s="26" t="n">
        <x:f>'Resource Build-Up'!H80</x:f>
        <x:v>0</x:v>
      </x:c>
      <x:c r="F81" s="26" t="n">
        <x:f>'Resource Build-Up'!P80</x:f>
        <x:v>0</x:v>
      </x:c>
      <x:c r="G81" s="26" t="n">
        <x:f>'Resource Build-Up'!Q80</x:f>
        <x:v>0</x:v>
      </x:c>
      <x:c r="H81" s="26" t="n">
        <x:f>'Resource Build-Up'!T80</x:f>
        <x:v>0</x:v>
      </x:c>
      <x:c r="I81" s="44" t="n">
        <x:f>'Resource Build-Up'!Y80</x:f>
        <x:v>0</x:v>
      </x:c>
      <x:c r="J81" s="44" t="str">
        <x:f>'Resource Build-Up'!Z80</x:f>
      </x:c>
      <x:c r="K81" s="26"/>
      <x:c r="L81" s="26"/>
      <x:c r="M81" s="26"/>
      <x:c r="N81" s="26"/>
      <x:c r="O81" s="26"/>
      <x:c r="P81" s="26"/>
      <x:c r="Q81" s="26">
        <x:f t="shared" si="2"/>
        <x:v>1</x:v>
      </x:c>
      <x:c r="R81" s="26" t="n">
        <x:f>'Resource Build-Up'!AC80</x:f>
        <x:v>0</x:v>
      </x:c>
      <x:c r="S81" s="26" t="n">
        <x:f>'Resource Build-Up'!AF80</x:f>
        <x:v>0</x:v>
      </x:c>
      <x:c r="T81" s="99"/>
      <x:c r="U81" s="26"/>
      <x:c r="V81" s="26" t="n">
        <x:f>'Resource Build-Up'!AG80</x:f>
        <x:v>0</x:v>
      </x:c>
    </x:row>
    <x:row r="82" ht="32.400001525878906" customHeight="1">
      <x:c r="A82" s="98" t="s">
        <x:v>691</x:v>
      </x:c>
      <x:c r="B82" s="98" t="n">
        <x:f>'Resource Build-Up'!A81</x:f>
        <x:v>0</x:v>
      </x:c>
      <x:c r="C82" s="98" t="n">
        <x:f>'Resource Build-Up'!B81</x:f>
        <x:v>0</x:v>
      </x:c>
      <x:c r="D82" s="26" t="str">
        <x:f>'Resource Build-Up'!C81</x:f>
      </x:c>
      <x:c r="E82" s="26" t="n">
        <x:f>'Resource Build-Up'!H81</x:f>
        <x:v>0</x:v>
      </x:c>
      <x:c r="F82" s="26" t="n">
        <x:f>'Resource Build-Up'!P81</x:f>
        <x:v>0</x:v>
      </x:c>
      <x:c r="G82" s="26" t="n">
        <x:f>'Resource Build-Up'!Q81</x:f>
        <x:v>0</x:v>
      </x:c>
      <x:c r="H82" s="26" t="n">
        <x:f>'Resource Build-Up'!T81</x:f>
        <x:v>0</x:v>
      </x:c>
      <x:c r="I82" s="44" t="n">
        <x:f>'Resource Build-Up'!Y81</x:f>
        <x:v>0</x:v>
      </x:c>
      <x:c r="J82" s="44" t="str">
        <x:f>'Resource Build-Up'!Z81</x:f>
      </x:c>
      <x:c r="K82" s="26"/>
      <x:c r="L82" s="26"/>
      <x:c r="M82" s="26"/>
      <x:c r="N82" s="26"/>
      <x:c r="O82" s="26"/>
      <x:c r="P82" s="26"/>
      <x:c r="Q82" s="26">
        <x:f t="shared" si="2"/>
        <x:v>3</x:v>
      </x:c>
      <x:c r="R82" s="26" t="n">
        <x:f>'Resource Build-Up'!AC81</x:f>
        <x:v>0</x:v>
      </x:c>
      <x:c r="S82" s="26" t="n">
        <x:f>'Resource Build-Up'!AF81</x:f>
        <x:v>0</x:v>
      </x:c>
      <x:c r="T82" s="99"/>
      <x:c r="U82" s="26"/>
      <x:c r="V82" s="26" t="n">
        <x:f>'Resource Build-Up'!AG81</x:f>
        <x:v>0</x:v>
      </x:c>
    </x:row>
    <x:row r="83" ht="32.400001525878906" customHeight="1">
      <x:c r="A83" s="98" t="s">
        <x:v>692</x:v>
      </x:c>
      <x:c r="B83" s="98" t="n">
        <x:f>'Resource Build-Up'!A82</x:f>
        <x:v>0</x:v>
      </x:c>
      <x:c r="C83" s="98" t="n">
        <x:f>'Resource Build-Up'!B82</x:f>
        <x:v>0</x:v>
      </x:c>
      <x:c r="D83" s="26" t="str">
        <x:f>'Resource Build-Up'!C82</x:f>
      </x:c>
      <x:c r="E83" s="26" t="n">
        <x:f>'Resource Build-Up'!H82</x:f>
        <x:v>0</x:v>
      </x:c>
      <x:c r="F83" s="26" t="n">
        <x:f>'Resource Build-Up'!P82</x:f>
        <x:v>0</x:v>
      </x:c>
      <x:c r="G83" s="26" t="n">
        <x:f>'Resource Build-Up'!Q82</x:f>
        <x:v>0</x:v>
      </x:c>
      <x:c r="H83" s="26" t="n">
        <x:f>'Resource Build-Up'!T82</x:f>
        <x:v>0</x:v>
      </x:c>
      <x:c r="I83" s="44" t="n">
        <x:f>'Resource Build-Up'!Y82</x:f>
        <x:v>0</x:v>
      </x:c>
      <x:c r="J83" s="44" t="str">
        <x:f>'Resource Build-Up'!Z82</x:f>
      </x:c>
      <x:c r="K83" s="26"/>
      <x:c r="L83" s="26"/>
      <x:c r="M83" s="26"/>
      <x:c r="N83" s="26"/>
      <x:c r="O83" s="26"/>
      <x:c r="P83" s="26"/>
      <x:c r="Q83" s="26">
        <x:f t="shared" si="2"/>
        <x:v>0</x:v>
      </x:c>
      <x:c r="R83" s="26" t="n">
        <x:f>'Resource Build-Up'!AC82</x:f>
        <x:v>0</x:v>
      </x:c>
      <x:c r="S83" s="26" t="n">
        <x:f>'Resource Build-Up'!AF82</x:f>
        <x:v>0</x:v>
      </x:c>
      <x:c r="T83" s="100"/>
      <x:c r="U83" s="26"/>
      <x:c r="V83" s="26" t="n">
        <x:f>'Resource Build-Up'!AG82</x:f>
        <x:v>0</x:v>
      </x:c>
    </x:row>
    <x:row r="84" ht="32.400001525878906" customHeight="1">
      <x:c r="A84" s="98" t="s">
        <x:v>693</x:v>
      </x:c>
      <x:c r="B84" s="98" t="n">
        <x:f>'Resource Build-Up'!A83</x:f>
        <x:v>0</x:v>
      </x:c>
      <x:c r="C84" s="98" t="n">
        <x:f>'Resource Build-Up'!B83</x:f>
        <x:v>0</x:v>
      </x:c>
      <x:c r="D84" s="26" t="str">
        <x:f>'Resource Build-Up'!C83</x:f>
      </x:c>
      <x:c r="E84" s="26" t="n">
        <x:f>'Resource Build-Up'!H83</x:f>
        <x:v>0</x:v>
      </x:c>
      <x:c r="F84" s="26" t="n">
        <x:f>'Resource Build-Up'!P83</x:f>
        <x:v>0</x:v>
      </x:c>
      <x:c r="G84" s="26" t="n">
        <x:f>'Resource Build-Up'!Q83</x:f>
        <x:v>0</x:v>
      </x:c>
      <x:c r="H84" s="26" t="n">
        <x:f>'Resource Build-Up'!T83</x:f>
        <x:v>0</x:v>
      </x:c>
      <x:c r="I84" s="44" t="n">
        <x:f>'Resource Build-Up'!Y83</x:f>
        <x:v>0</x:v>
      </x:c>
      <x:c r="J84" s="44" t="str">
        <x:f>'Resource Build-Up'!Z83</x:f>
      </x:c>
      <x:c r="K84" s="26"/>
      <x:c r="L84" s="26"/>
      <x:c r="M84" s="26"/>
      <x:c r="N84" s="26"/>
      <x:c r="O84" s="26"/>
      <x:c r="P84" s="26"/>
      <x:c r="Q84" s="26">
        <x:f t="shared" si="2"/>
        <x:v>1</x:v>
      </x:c>
      <x:c r="R84" s="26" t="n">
        <x:f>'Resource Build-Up'!AC83</x:f>
        <x:v>0</x:v>
      </x:c>
      <x:c r="S84" s="26" t="n">
        <x:f>'Resource Build-Up'!AF83</x:f>
        <x:v>0</x:v>
      </x:c>
      <x:c r="T84" s="100"/>
      <x:c r="U84" s="26"/>
      <x:c r="V84" s="26" t="n">
        <x:f>'Resource Build-Up'!AG83</x:f>
        <x:v>0</x:v>
      </x:c>
    </x:row>
    <x:row r="85" ht="32.400001525878906" customHeight="1">
      <x:c r="A85" s="98" t="s">
        <x:v>694</x:v>
      </x:c>
      <x:c r="B85" s="98" t="n">
        <x:f>'Resource Build-Up'!A84</x:f>
        <x:v>0</x:v>
      </x:c>
      <x:c r="C85" s="98" t="n">
        <x:f>'Resource Build-Up'!B84</x:f>
        <x:v>0</x:v>
      </x:c>
      <x:c r="D85" s="26" t="str">
        <x:f>'Resource Build-Up'!C84</x:f>
      </x:c>
      <x:c r="E85" s="26" t="n">
        <x:f>'Resource Build-Up'!H84</x:f>
        <x:v>0</x:v>
      </x:c>
      <x:c r="F85" s="26" t="n">
        <x:f>'Resource Build-Up'!P84</x:f>
        <x:v>0</x:v>
      </x:c>
      <x:c r="G85" s="26" t="n">
        <x:f>'Resource Build-Up'!Q84</x:f>
        <x:v>0</x:v>
      </x:c>
      <x:c r="H85" s="26" t="n">
        <x:f>'Resource Build-Up'!T84</x:f>
        <x:v>0</x:v>
      </x:c>
      <x:c r="I85" s="44" t="n">
        <x:f>'Resource Build-Up'!Y84</x:f>
        <x:v>0</x:v>
      </x:c>
      <x:c r="J85" s="44" t="str">
        <x:f>'Resource Build-Up'!Z84</x:f>
      </x:c>
      <x:c r="K85" s="26"/>
      <x:c r="L85" s="26"/>
      <x:c r="M85" s="26"/>
      <x:c r="N85" s="26"/>
      <x:c r="O85" s="26"/>
      <x:c r="P85" s="26"/>
      <x:c r="Q85" s="26">
        <x:f t="shared" si="2"/>
        <x:v>1</x:v>
      </x:c>
      <x:c r="R85" s="26" t="n">
        <x:f>'Resource Build-Up'!AC84</x:f>
        <x:v>0</x:v>
      </x:c>
      <x:c r="S85" s="26" t="n">
        <x:f>'Resource Build-Up'!AF84</x:f>
        <x:v>0</x:v>
      </x:c>
      <x:c r="T85" s="99"/>
      <x:c r="U85" s="26"/>
      <x:c r="V85" s="26" t="n">
        <x:f>'Resource Build-Up'!AG84</x:f>
        <x:v>0</x:v>
      </x:c>
    </x:row>
    <x:row r="86" ht="32.400001525878906" customHeight="1">
      <x:c r="A86" s="98" t="s">
        <x:v>695</x:v>
      </x:c>
      <x:c r="B86" s="98" t="n">
        <x:f>'Resource Build-Up'!A85</x:f>
        <x:v>0</x:v>
      </x:c>
      <x:c r="C86" s="98" t="n">
        <x:f>'Resource Build-Up'!B85</x:f>
        <x:v>0</x:v>
      </x:c>
      <x:c r="D86" s="26" t="str">
        <x:f>'Resource Build-Up'!C85</x:f>
      </x:c>
      <x:c r="E86" s="26" t="n">
        <x:f>'Resource Build-Up'!H85</x:f>
        <x:v>0</x:v>
      </x:c>
      <x:c r="F86" s="26" t="n">
        <x:f>'Resource Build-Up'!P85</x:f>
        <x:v>0</x:v>
      </x:c>
      <x:c r="G86" s="26" t="n">
        <x:f>'Resource Build-Up'!Q85</x:f>
        <x:v>0</x:v>
      </x:c>
      <x:c r="H86" s="26" t="n">
        <x:f>'Resource Build-Up'!T85</x:f>
        <x:v>0</x:v>
      </x:c>
      <x:c r="I86" s="44" t="n">
        <x:f>'Resource Build-Up'!Y85</x:f>
        <x:v>0</x:v>
      </x:c>
      <x:c r="J86" s="44" t="str">
        <x:f>'Resource Build-Up'!Z85</x:f>
      </x:c>
      <x:c r="K86" s="26"/>
      <x:c r="L86" s="26"/>
      <x:c r="M86" s="26"/>
      <x:c r="N86" s="26"/>
      <x:c r="O86" s="26"/>
      <x:c r="P86" s="26"/>
      <x:c r="Q86" s="26">
        <x:f t="shared" si="2"/>
        <x:v>0</x:v>
      </x:c>
      <x:c r="R86" s="26" t="n">
        <x:f>'Resource Build-Up'!AC85</x:f>
        <x:v>0</x:v>
      </x:c>
      <x:c r="S86" s="26" t="n">
        <x:f>'Resource Build-Up'!AF85</x:f>
        <x:v>0</x:v>
      </x:c>
      <x:c r="T86" s="100"/>
      <x:c r="U86" s="26"/>
      <x:c r="V86" s="26" t="n">
        <x:f>'Resource Build-Up'!AG85</x:f>
        <x:v>0</x:v>
      </x:c>
    </x:row>
    <x:row r="87" ht="32.400001525878906" customHeight="1">
      <x:c r="A87" s="98" t="s">
        <x:v>696</x:v>
      </x:c>
      <x:c r="B87" s="98" t="n">
        <x:f>'Resource Build-Up'!A86</x:f>
        <x:v>0</x:v>
      </x:c>
      <x:c r="C87" s="98" t="n">
        <x:f>'Resource Build-Up'!B86</x:f>
        <x:v>0</x:v>
      </x:c>
      <x:c r="D87" s="26" t="str">
        <x:f>'Resource Build-Up'!C86</x:f>
      </x:c>
      <x:c r="E87" s="26" t="n">
        <x:f>'Resource Build-Up'!H86</x:f>
        <x:v>0</x:v>
      </x:c>
      <x:c r="F87" s="26" t="n">
        <x:f>'Resource Build-Up'!P86</x:f>
        <x:v>0</x:v>
      </x:c>
      <x:c r="G87" s="26" t="n">
        <x:f>'Resource Build-Up'!Q86</x:f>
        <x:v>0</x:v>
      </x:c>
      <x:c r="H87" s="26" t="n">
        <x:f>'Resource Build-Up'!T86</x:f>
        <x:v>0</x:v>
      </x:c>
      <x:c r="I87" s="44" t="n">
        <x:f>'Resource Build-Up'!Y86</x:f>
        <x:v>0</x:v>
      </x:c>
      <x:c r="J87" s="44" t="str">
        <x:f>'Resource Build-Up'!Z86</x:f>
      </x:c>
      <x:c r="K87" s="26"/>
      <x:c r="L87" s="26"/>
      <x:c r="M87" s="26"/>
      <x:c r="N87" s="26"/>
      <x:c r="O87" s="26"/>
      <x:c r="P87" s="26"/>
      <x:c r="Q87" s="26">
        <x:f t="shared" si="2"/>
        <x:v>0</x:v>
      </x:c>
      <x:c r="R87" s="26" t="n">
        <x:f>'Resource Build-Up'!AC86</x:f>
        <x:v>0</x:v>
      </x:c>
      <x:c r="S87" s="26" t="n">
        <x:f>'Resource Build-Up'!AF86</x:f>
        <x:v>0</x:v>
      </x:c>
      <x:c r="T87" s="100"/>
      <x:c r="U87" s="26"/>
      <x:c r="V87" s="26" t="n">
        <x:f>'Resource Build-Up'!AG86</x:f>
        <x:v>0</x:v>
      </x:c>
    </x:row>
    <x:row r="88" ht="32.400001525878906" customHeight="1">
      <x:c r="A88" s="98" t="s">
        <x:v>697</x:v>
      </x:c>
      <x:c r="B88" s="98" t="n">
        <x:f>'Resource Build-Up'!A87</x:f>
        <x:v>0</x:v>
      </x:c>
      <x:c r="C88" s="98" t="n">
        <x:f>'Resource Build-Up'!B87</x:f>
        <x:v>0</x:v>
      </x:c>
      <x:c r="D88" s="26" t="str">
        <x:f>'Resource Build-Up'!C87</x:f>
      </x:c>
      <x:c r="E88" s="26" t="n">
        <x:f>'Resource Build-Up'!H87</x:f>
        <x:v>0</x:v>
      </x:c>
      <x:c r="F88" s="26" t="n">
        <x:f>'Resource Build-Up'!P87</x:f>
        <x:v>0</x:v>
      </x:c>
      <x:c r="G88" s="26" t="n">
        <x:f>'Resource Build-Up'!Q87</x:f>
        <x:v>0</x:v>
      </x:c>
      <x:c r="H88" s="26" t="n">
        <x:f>'Resource Build-Up'!T87</x:f>
        <x:v>0</x:v>
      </x:c>
      <x:c r="I88" s="44" t="n">
        <x:f>'Resource Build-Up'!Y87</x:f>
        <x:v>0</x:v>
      </x:c>
      <x:c r="J88" s="44" t="str">
        <x:f>'Resource Build-Up'!Z87</x:f>
      </x:c>
      <x:c r="K88" s="26"/>
      <x:c r="L88" s="26"/>
      <x:c r="M88" s="26"/>
      <x:c r="N88" s="26"/>
      <x:c r="O88" s="26"/>
      <x:c r="P88" s="26"/>
      <x:c r="Q88" s="26">
        <x:f t="shared" si="2"/>
        <x:v>1</x:v>
      </x:c>
      <x:c r="R88" s="26" t="n">
        <x:f>'Resource Build-Up'!AC87</x:f>
        <x:v>0</x:v>
      </x:c>
      <x:c r="S88" s="26" t="n">
        <x:f>'Resource Build-Up'!AF87</x:f>
        <x:v>0</x:v>
      </x:c>
      <x:c r="T88" s="100"/>
      <x:c r="U88" s="26"/>
      <x:c r="V88" s="26" t="n">
        <x:f>'Resource Build-Up'!AG87</x:f>
        <x:v>0</x:v>
      </x:c>
    </x:row>
    <x:row r="89" ht="32.400001525878906" customHeight="1">
      <x:c r="A89" s="98" t="s">
        <x:v>698</x:v>
      </x:c>
      <x:c r="B89" s="98" t="n">
        <x:f>'Resource Build-Up'!A88</x:f>
        <x:v>0</x:v>
      </x:c>
      <x:c r="C89" s="98" t="n">
        <x:f>'Resource Build-Up'!B88</x:f>
        <x:v>0</x:v>
      </x:c>
      <x:c r="D89" s="26" t="str">
        <x:f>'Resource Build-Up'!C88</x:f>
      </x:c>
      <x:c r="E89" s="26" t="n">
        <x:f>'Resource Build-Up'!H88</x:f>
        <x:v>0</x:v>
      </x:c>
      <x:c r="F89" s="26" t="n">
        <x:f>'Resource Build-Up'!P88</x:f>
        <x:v>0</x:v>
      </x:c>
      <x:c r="G89" s="26" t="n">
        <x:f>'Resource Build-Up'!Q88</x:f>
        <x:v>0</x:v>
      </x:c>
      <x:c r="H89" s="26" t="n">
        <x:f>'Resource Build-Up'!T88</x:f>
        <x:v>0</x:v>
      </x:c>
      <x:c r="I89" s="44" t="n">
        <x:f>'Resource Build-Up'!Y88</x:f>
        <x:v>0</x:v>
      </x:c>
      <x:c r="J89" s="44" t="str">
        <x:f>'Resource Build-Up'!Z88</x:f>
      </x:c>
      <x:c r="K89" s="26"/>
      <x:c r="L89" s="26"/>
      <x:c r="M89" s="26"/>
      <x:c r="N89" s="26"/>
      <x:c r="O89" s="26"/>
      <x:c r="P89" s="26"/>
      <x:c r="Q89" s="26">
        <x:f t="shared" si="2"/>
        <x:v>1</x:v>
      </x:c>
      <x:c r="R89" s="26" t="n">
        <x:f>'Resource Build-Up'!AC88</x:f>
        <x:v>0</x:v>
      </x:c>
      <x:c r="S89" s="26" t="n">
        <x:f>'Resource Build-Up'!AF88</x:f>
        <x:v>0</x:v>
      </x:c>
      <x:c r="T89" s="99"/>
      <x:c r="U89" s="26"/>
      <x:c r="V89" s="26" t="n">
        <x:f>'Resource Build-Up'!AG88</x:f>
        <x:v>0</x:v>
      </x:c>
    </x:row>
    <x:row r="90" ht="32.400001525878906" customHeight="1">
      <x:c r="A90" s="98" t="s">
        <x:v>699</x:v>
      </x:c>
      <x:c r="B90" s="98" t="n">
        <x:f>'Resource Build-Up'!A89</x:f>
        <x:v>0</x:v>
      </x:c>
      <x:c r="C90" s="98" t="n">
        <x:f>'Resource Build-Up'!B89</x:f>
        <x:v>0</x:v>
      </x:c>
      <x:c r="D90" s="26" t="str">
        <x:f>'Resource Build-Up'!C89</x:f>
      </x:c>
      <x:c r="E90" s="26" t="n">
        <x:f>'Resource Build-Up'!H89</x:f>
        <x:v>0</x:v>
      </x:c>
      <x:c r="F90" s="26" t="n">
        <x:f>'Resource Build-Up'!P89</x:f>
        <x:v>0</x:v>
      </x:c>
      <x:c r="G90" s="26" t="n">
        <x:f>'Resource Build-Up'!Q89</x:f>
        <x:v>0</x:v>
      </x:c>
      <x:c r="H90" s="26" t="n">
        <x:f>'Resource Build-Up'!T89</x:f>
        <x:v>0</x:v>
      </x:c>
      <x:c r="I90" s="44" t="n">
        <x:f>'Resource Build-Up'!Y89</x:f>
        <x:v>0</x:v>
      </x:c>
      <x:c r="J90" s="44" t="str">
        <x:f>'Resource Build-Up'!Z89</x:f>
      </x:c>
      <x:c r="K90" s="26"/>
      <x:c r="L90" s="26"/>
      <x:c r="M90" s="26"/>
      <x:c r="N90" s="26"/>
      <x:c r="O90" s="26"/>
      <x:c r="P90" s="26"/>
      <x:c r="Q90" s="26">
        <x:f t="shared" si="2"/>
        <x:v>0</x:v>
      </x:c>
      <x:c r="R90" s="26" t="n">
        <x:f>'Resource Build-Up'!AC89</x:f>
        <x:v>0</x:v>
      </x:c>
      <x:c r="S90" s="26" t="n">
        <x:f>'Resource Build-Up'!AF89</x:f>
        <x:v>0</x:v>
      </x:c>
      <x:c r="T90" s="100"/>
      <x:c r="U90" s="26"/>
      <x:c r="V90" s="26" t="n">
        <x:f>'Resource Build-Up'!AG89</x:f>
        <x:v>0</x:v>
      </x:c>
    </x:row>
    <x:row r="91" ht="32.400001525878906" customHeight="1">
      <x:c r="A91" s="98" t="s">
        <x:v>700</x:v>
      </x:c>
      <x:c r="B91" s="98" t="n">
        <x:f>'Resource Build-Up'!A90</x:f>
        <x:v>0</x:v>
      </x:c>
      <x:c r="C91" s="98" t="n">
        <x:f>'Resource Build-Up'!B90</x:f>
        <x:v>0</x:v>
      </x:c>
      <x:c r="D91" s="26" t="str">
        <x:f>'Resource Build-Up'!C90</x:f>
      </x:c>
      <x:c r="E91" s="26" t="n">
        <x:f>'Resource Build-Up'!H90</x:f>
        <x:v>0</x:v>
      </x:c>
      <x:c r="F91" s="26" t="n">
        <x:f>'Resource Build-Up'!P90</x:f>
        <x:v>0</x:v>
      </x:c>
      <x:c r="G91" s="26" t="n">
        <x:f>'Resource Build-Up'!Q90</x:f>
        <x:v>0</x:v>
      </x:c>
      <x:c r="H91" s="26" t="n">
        <x:f>'Resource Build-Up'!T90</x:f>
        <x:v>0</x:v>
      </x:c>
      <x:c r="I91" s="44" t="n">
        <x:f>'Resource Build-Up'!Y90</x:f>
        <x:v>0</x:v>
      </x:c>
      <x:c r="J91" s="44" t="str">
        <x:f>'Resource Build-Up'!Z90</x:f>
      </x:c>
      <x:c r="K91" s="26"/>
      <x:c r="L91" s="26"/>
      <x:c r="M91" s="26"/>
      <x:c r="N91" s="26"/>
      <x:c r="O91" s="26"/>
      <x:c r="P91" s="26"/>
      <x:c r="Q91" s="26">
        <x:f t="shared" si="2"/>
        <x:v>0</x:v>
      </x:c>
      <x:c r="R91" s="26" t="n">
        <x:f>'Resource Build-Up'!AC90</x:f>
        <x:v>0</x:v>
      </x:c>
      <x:c r="S91" s="26" t="n">
        <x:f>'Resource Build-Up'!AF90</x:f>
        <x:v>0</x:v>
      </x:c>
      <x:c r="T91" s="100"/>
      <x:c r="U91" s="26"/>
      <x:c r="V91" s="26" t="n">
        <x:f>'Resource Build-Up'!AG90</x:f>
        <x:v>0</x:v>
      </x:c>
    </x:row>
    <x:row r="92" ht="32.400001525878906" customHeight="1">
      <x:c r="A92" s="98" t="s">
        <x:v>701</x:v>
      </x:c>
      <x:c r="B92" s="98" t="n">
        <x:f>'Resource Build-Up'!A91</x:f>
        <x:v>0</x:v>
      </x:c>
      <x:c r="C92" s="98" t="n">
        <x:f>'Resource Build-Up'!B91</x:f>
        <x:v>0</x:v>
      </x:c>
      <x:c r="D92" s="26" t="str">
        <x:f>'Resource Build-Up'!C91</x:f>
      </x:c>
      <x:c r="E92" s="26" t="n">
        <x:f>'Resource Build-Up'!H91</x:f>
        <x:v>0</x:v>
      </x:c>
      <x:c r="F92" s="26" t="n">
        <x:f>'Resource Build-Up'!P91</x:f>
        <x:v>0</x:v>
      </x:c>
      <x:c r="G92" s="26" t="n">
        <x:f>'Resource Build-Up'!Q91</x:f>
        <x:v>0</x:v>
      </x:c>
      <x:c r="H92" s="26" t="n">
        <x:f>'Resource Build-Up'!T91</x:f>
        <x:v>0</x:v>
      </x:c>
      <x:c r="I92" s="44" t="n">
        <x:f>'Resource Build-Up'!Y91</x:f>
        <x:v>0</x:v>
      </x:c>
      <x:c r="J92" s="44" t="str">
        <x:f>'Resource Build-Up'!Z91</x:f>
      </x:c>
      <x:c r="K92" s="26"/>
      <x:c r="L92" s="26"/>
      <x:c r="M92" s="26"/>
      <x:c r="N92" s="26"/>
      <x:c r="O92" s="26"/>
      <x:c r="P92" s="26"/>
      <x:c r="Q92" s="26">
        <x:f t="shared" si="2"/>
        <x:v>2</x:v>
      </x:c>
      <x:c r="R92" s="26" t="n">
        <x:f>'Resource Build-Up'!AC91</x:f>
        <x:v>0</x:v>
      </x:c>
      <x:c r="S92" s="26" t="n">
        <x:f>'Resource Build-Up'!AF91</x:f>
        <x:v>0</x:v>
      </x:c>
      <x:c r="T92" s="99"/>
      <x:c r="U92" s="26"/>
      <x:c r="V92" s="26" t="n">
        <x:f>'Resource Build-Up'!AG91</x:f>
        <x:v>0</x:v>
      </x:c>
    </x:row>
    <x:row r="93" ht="32.400001525878906" customHeight="1">
      <x:c r="A93" s="98" t="s">
        <x:v>702</x:v>
      </x:c>
      <x:c r="B93" s="98" t="n">
        <x:f>'Resource Build-Up'!A92</x:f>
        <x:v>0</x:v>
      </x:c>
      <x:c r="C93" s="98" t="n">
        <x:f>'Resource Build-Up'!B92</x:f>
        <x:v>0</x:v>
      </x:c>
      <x:c r="D93" s="26" t="str">
        <x:f>'Resource Build-Up'!C92</x:f>
      </x:c>
      <x:c r="E93" s="26" t="n">
        <x:f>'Resource Build-Up'!H92</x:f>
        <x:v>0</x:v>
      </x:c>
      <x:c r="F93" s="26" t="n">
        <x:f>'Resource Build-Up'!P92</x:f>
        <x:v>0</x:v>
      </x:c>
      <x:c r="G93" s="26" t="n">
        <x:f>'Resource Build-Up'!Q92</x:f>
        <x:v>0</x:v>
      </x:c>
      <x:c r="H93" s="26" t="n">
        <x:f>'Resource Build-Up'!T92</x:f>
        <x:v>0</x:v>
      </x:c>
      <x:c r="I93" s="44" t="n">
        <x:f>'Resource Build-Up'!Y92</x:f>
        <x:v>0</x:v>
      </x:c>
      <x:c r="J93" s="44" t="str">
        <x:f>'Resource Build-Up'!Z92</x:f>
      </x:c>
      <x:c r="K93" s="26"/>
      <x:c r="L93" s="26"/>
      <x:c r="M93" s="26"/>
      <x:c r="N93" s="26"/>
      <x:c r="O93" s="26"/>
      <x:c r="P93" s="26"/>
      <x:c r="Q93" s="26">
        <x:f t="shared" si="2"/>
        <x:v>2</x:v>
      </x:c>
      <x:c r="R93" s="26" t="n">
        <x:f>'Resource Build-Up'!AC92</x:f>
        <x:v>0</x:v>
      </x:c>
      <x:c r="S93" s="26" t="n">
        <x:f>'Resource Build-Up'!AF92</x:f>
        <x:v>0</x:v>
      </x:c>
      <x:c r="T93" s="99"/>
      <x:c r="U93" s="26"/>
      <x:c r="V93" s="26" t="n">
        <x:f>'Resource Build-Up'!AG92</x:f>
        <x:v>0</x:v>
      </x:c>
    </x:row>
    <x:row r="94" ht="32.400001525878906" customHeight="1">
      <x:c r="A94" s="98" t="s">
        <x:v>703</x:v>
      </x:c>
      <x:c r="B94" s="98" t="n">
        <x:f>'Resource Build-Up'!A93</x:f>
        <x:v>0</x:v>
      </x:c>
      <x:c r="C94" s="98" t="n">
        <x:f>'Resource Build-Up'!B93</x:f>
        <x:v>0</x:v>
      </x:c>
      <x:c r="D94" s="26" t="str">
        <x:f>'Resource Build-Up'!C93</x:f>
      </x:c>
      <x:c r="E94" s="26" t="n">
        <x:f>'Resource Build-Up'!H93</x:f>
        <x:v>0</x:v>
      </x:c>
      <x:c r="F94" s="26" t="n">
        <x:f>'Resource Build-Up'!P93</x:f>
        <x:v>0</x:v>
      </x:c>
      <x:c r="G94" s="26" t="n">
        <x:f>'Resource Build-Up'!Q93</x:f>
        <x:v>0</x:v>
      </x:c>
      <x:c r="H94" s="26" t="n">
        <x:f>'Resource Build-Up'!T93</x:f>
        <x:v>0</x:v>
      </x:c>
      <x:c r="I94" s="44" t="n">
        <x:f>'Resource Build-Up'!Y93</x:f>
        <x:v>0</x:v>
      </x:c>
      <x:c r="J94" s="44" t="str">
        <x:f>'Resource Build-Up'!Z93</x:f>
      </x:c>
      <x:c r="K94" s="26"/>
      <x:c r="L94" s="26"/>
      <x:c r="M94" s="26"/>
      <x:c r="N94" s="26"/>
      <x:c r="O94" s="26"/>
      <x:c r="P94" s="26"/>
      <x:c r="Q94" s="26">
        <x:f t="shared" si="2"/>
        <x:v>1</x:v>
      </x:c>
      <x:c r="R94" s="26" t="n">
        <x:f>'Resource Build-Up'!AC93</x:f>
        <x:v>0</x:v>
      </x:c>
      <x:c r="S94" s="26" t="n">
        <x:f>'Resource Build-Up'!AF93</x:f>
        <x:v>0</x:v>
      </x:c>
      <x:c r="T94" s="100"/>
      <x:c r="U94" s="26"/>
      <x:c r="V94" s="26" t="n">
        <x:f>'Resource Build-Up'!AG93</x:f>
        <x:v>0</x:v>
      </x:c>
    </x:row>
    <x:row r="95" ht="32.400001525878906" customHeight="1">
      <x:c r="A95" s="98" t="s">
        <x:v>704</x:v>
      </x:c>
      <x:c r="B95" s="98" t="n">
        <x:f>'Resource Build-Up'!A94</x:f>
        <x:v>0</x:v>
      </x:c>
      <x:c r="C95" s="98" t="n">
        <x:f>'Resource Build-Up'!B94</x:f>
        <x:v>0</x:v>
      </x:c>
      <x:c r="D95" s="26" t="str">
        <x:f>'Resource Build-Up'!C94</x:f>
      </x:c>
      <x:c r="E95" s="26" t="n">
        <x:f>'Resource Build-Up'!H94</x:f>
        <x:v>0</x:v>
      </x:c>
      <x:c r="F95" s="26" t="n">
        <x:f>'Resource Build-Up'!P94</x:f>
        <x:v>0</x:v>
      </x:c>
      <x:c r="G95" s="26" t="n">
        <x:f>'Resource Build-Up'!Q94</x:f>
        <x:v>0</x:v>
      </x:c>
      <x:c r="H95" s="26" t="n">
        <x:f>'Resource Build-Up'!T94</x:f>
        <x:v>0</x:v>
      </x:c>
      <x:c r="I95" s="44" t="n">
        <x:f>'Resource Build-Up'!Y94</x:f>
        <x:v>0</x:v>
      </x:c>
      <x:c r="J95" s="44" t="str">
        <x:f>'Resource Build-Up'!Z94</x:f>
      </x:c>
      <x:c r="K95" s="26"/>
      <x:c r="L95" s="26"/>
      <x:c r="M95" s="26"/>
      <x:c r="N95" s="26"/>
      <x:c r="O95" s="26"/>
      <x:c r="P95" s="26"/>
      <x:c r="Q95" s="26">
        <x:f t="shared" si="2"/>
        <x:v>1</x:v>
      </x:c>
      <x:c r="R95" s="26" t="n">
        <x:f>'Resource Build-Up'!AC94</x:f>
        <x:v>0</x:v>
      </x:c>
      <x:c r="S95" s="26" t="n">
        <x:f>'Resource Build-Up'!AF94</x:f>
        <x:v>0</x:v>
      </x:c>
      <x:c r="T95" s="99"/>
      <x:c r="U95" s="26"/>
      <x:c r="V95" s="26" t="n">
        <x:f>'Resource Build-Up'!AG94</x:f>
        <x:v>0</x:v>
      </x:c>
    </x:row>
    <x:row r="96" ht="32.400001525878906" customHeight="1">
      <x:c r="A96" s="98" t="s">
        <x:v>705</x:v>
      </x:c>
      <x:c r="B96" s="98" t="n">
        <x:f>'Resource Build-Up'!A95</x:f>
        <x:v>0</x:v>
      </x:c>
      <x:c r="C96" s="98" t="n">
        <x:f>'Resource Build-Up'!B95</x:f>
        <x:v>0</x:v>
      </x:c>
      <x:c r="D96" s="26" t="str">
        <x:f>'Resource Build-Up'!C95</x:f>
      </x:c>
      <x:c r="E96" s="26" t="n">
        <x:f>'Resource Build-Up'!H95</x:f>
        <x:v>0</x:v>
      </x:c>
      <x:c r="F96" s="26" t="n">
        <x:f>'Resource Build-Up'!P95</x:f>
        <x:v>0</x:v>
      </x:c>
      <x:c r="G96" s="26" t="n">
        <x:f>'Resource Build-Up'!Q95</x:f>
        <x:v>0</x:v>
      </x:c>
      <x:c r="H96" s="26" t="n">
        <x:f>'Resource Build-Up'!T95</x:f>
        <x:v>0</x:v>
      </x:c>
      <x:c r="I96" s="44" t="n">
        <x:f>'Resource Build-Up'!Y95</x:f>
        <x:v>0</x:v>
      </x:c>
      <x:c r="J96" s="44" t="str">
        <x:f>'Resource Build-Up'!Z95</x:f>
      </x:c>
      <x:c r="K96" s="26"/>
      <x:c r="L96" s="26"/>
      <x:c r="M96" s="26"/>
      <x:c r="N96" s="26"/>
      <x:c r="O96" s="26"/>
      <x:c r="P96" s="26"/>
      <x:c r="Q96" s="26">
        <x:f t="shared" si="2"/>
        <x:v>2</x:v>
      </x:c>
      <x:c r="R96" s="26" t="n">
        <x:f>'Resource Build-Up'!AC95</x:f>
        <x:v>0</x:v>
      </x:c>
      <x:c r="S96" s="26" t="n">
        <x:f>'Resource Build-Up'!AF95</x:f>
        <x:v>0</x:v>
      </x:c>
      <x:c r="T96" s="99"/>
      <x:c r="U96" s="26"/>
      <x:c r="V96" s="26" t="n">
        <x:f>'Resource Build-Up'!AG95</x:f>
        <x:v>0</x:v>
      </x:c>
    </x:row>
    <x:row r="97" ht="32.400001525878906" customHeight="1">
      <x:c r="A97" s="98" t="s">
        <x:v>706</x:v>
      </x:c>
      <x:c r="B97" s="98" t="n">
        <x:f>'Resource Build-Up'!A96</x:f>
        <x:v>0</x:v>
      </x:c>
      <x:c r="C97" s="98" t="n">
        <x:f>'Resource Build-Up'!B96</x:f>
        <x:v>0</x:v>
      </x:c>
      <x:c r="D97" s="26" t="str">
        <x:f>'Resource Build-Up'!C96</x:f>
      </x:c>
      <x:c r="E97" s="26" t="n">
        <x:f>'Resource Build-Up'!H96</x:f>
        <x:v>0</x:v>
      </x:c>
      <x:c r="F97" s="26" t="n">
        <x:f>'Resource Build-Up'!P96</x:f>
        <x:v>0</x:v>
      </x:c>
      <x:c r="G97" s="26" t="n">
        <x:f>'Resource Build-Up'!Q96</x:f>
        <x:v>0</x:v>
      </x:c>
      <x:c r="H97" s="26" t="n">
        <x:f>'Resource Build-Up'!T96</x:f>
        <x:v>0</x:v>
      </x:c>
      <x:c r="I97" s="44" t="n">
        <x:f>'Resource Build-Up'!Y96</x:f>
        <x:v>0</x:v>
      </x:c>
      <x:c r="J97" s="44" t="str">
        <x:f>'Resource Build-Up'!Z96</x:f>
      </x:c>
      <x:c r="K97" s="26"/>
      <x:c r="L97" s="26"/>
      <x:c r="M97" s="26"/>
      <x:c r="N97" s="26"/>
      <x:c r="O97" s="26"/>
      <x:c r="P97" s="26"/>
      <x:c r="Q97" s="26">
        <x:f t="shared" si="2"/>
        <x:v>1</x:v>
      </x:c>
      <x:c r="R97" s="26" t="n">
        <x:f>'Resource Build-Up'!AC96</x:f>
        <x:v>0</x:v>
      </x:c>
      <x:c r="S97" s="26" t="n">
        <x:f>'Resource Build-Up'!AF96</x:f>
        <x:v>0</x:v>
      </x:c>
      <x:c r="T97" s="99"/>
      <x:c r="U97" s="26"/>
      <x:c r="V97" s="26" t="n">
        <x:f>'Resource Build-Up'!AG96</x:f>
        <x:v>0</x:v>
      </x:c>
    </x:row>
    <x:row r="98" ht="32.400001525878906" customHeight="1">
      <x:c r="A98" s="98" t="s">
        <x:v>707</x:v>
      </x:c>
      <x:c r="B98" s="98" t="n">
        <x:f>'Resource Build-Up'!A97</x:f>
        <x:v>0</x:v>
      </x:c>
      <x:c r="C98" s="98" t="n">
        <x:f>'Resource Build-Up'!B97</x:f>
        <x:v>0</x:v>
      </x:c>
      <x:c r="D98" s="26" t="str">
        <x:f>'Resource Build-Up'!C97</x:f>
      </x:c>
      <x:c r="E98" s="26" t="n">
        <x:f>'Resource Build-Up'!H97</x:f>
        <x:v>0</x:v>
      </x:c>
      <x:c r="F98" s="26" t="n">
        <x:f>'Resource Build-Up'!P97</x:f>
        <x:v>0</x:v>
      </x:c>
      <x:c r="G98" s="26" t="n">
        <x:f>'Resource Build-Up'!Q97</x:f>
        <x:v>0</x:v>
      </x:c>
      <x:c r="H98" s="26" t="n">
        <x:f>'Resource Build-Up'!T97</x:f>
        <x:v>0</x:v>
      </x:c>
      <x:c r="I98" s="44" t="n">
        <x:f>'Resource Build-Up'!Y97</x:f>
        <x:v>0</x:v>
      </x:c>
      <x:c r="J98" s="44" t="str">
        <x:f>'Resource Build-Up'!Z97</x:f>
      </x:c>
      <x:c r="K98" s="26"/>
      <x:c r="L98" s="26"/>
      <x:c r="M98" s="26"/>
      <x:c r="N98" s="26"/>
      <x:c r="O98" s="26"/>
      <x:c r="P98" s="26"/>
      <x:c r="Q98" s="26">
        <x:f t="shared" si="2"/>
        <x:v>1</x:v>
      </x:c>
      <x:c r="R98" s="26" t="n">
        <x:f>'Resource Build-Up'!AC97</x:f>
        <x:v>0</x:v>
      </x:c>
      <x:c r="S98" s="26" t="n">
        <x:f>'Resource Build-Up'!AF97</x:f>
        <x:v>0</x:v>
      </x:c>
      <x:c r="T98" s="99"/>
      <x:c r="U98" s="26"/>
      <x:c r="V98" s="26" t="n">
        <x:f>'Resource Build-Up'!AG97</x:f>
        <x:v>0</x:v>
      </x:c>
    </x:row>
    <x:row r="99" ht="32.400001525878906" customHeight="1">
      <x:c r="A99" s="98" t="s">
        <x:v>708</x:v>
      </x:c>
      <x:c r="B99" s="98" t="n">
        <x:f>'Resource Build-Up'!A98</x:f>
        <x:v>0</x:v>
      </x:c>
      <x:c r="C99" s="98" t="n">
        <x:f>'Resource Build-Up'!B98</x:f>
        <x:v>0</x:v>
      </x:c>
      <x:c r="D99" s="26" t="str">
        <x:f>'Resource Build-Up'!C98</x:f>
      </x:c>
      <x:c r="E99" s="26" t="n">
        <x:f>'Resource Build-Up'!H98</x:f>
        <x:v>0</x:v>
      </x:c>
      <x:c r="F99" s="26" t="n">
        <x:f>'Resource Build-Up'!P98</x:f>
        <x:v>0</x:v>
      </x:c>
      <x:c r="G99" s="26" t="n">
        <x:f>'Resource Build-Up'!Q98</x:f>
        <x:v>0</x:v>
      </x:c>
      <x:c r="H99" s="26" t="n">
        <x:f>'Resource Build-Up'!T98</x:f>
        <x:v>0</x:v>
      </x:c>
      <x:c r="I99" s="44" t="n">
        <x:f>'Resource Build-Up'!Y98</x:f>
        <x:v>0</x:v>
      </x:c>
      <x:c r="J99" s="44" t="str">
        <x:f>'Resource Build-Up'!Z98</x:f>
      </x:c>
      <x:c r="K99" s="26"/>
      <x:c r="L99" s="26"/>
      <x:c r="M99" s="26"/>
      <x:c r="N99" s="26"/>
      <x:c r="O99" s="26"/>
      <x:c r="P99" s="26"/>
      <x:c r="Q99" s="26">
        <x:f t="shared" si="2"/>
        <x:v>2</x:v>
      </x:c>
      <x:c r="R99" s="26" t="n">
        <x:f>'Resource Build-Up'!AC98</x:f>
        <x:v>0</x:v>
      </x:c>
      <x:c r="S99" s="26" t="n">
        <x:f>'Resource Build-Up'!AF98</x:f>
        <x:v>0</x:v>
      </x:c>
      <x:c r="T99" s="99"/>
      <x:c r="U99" s="26"/>
      <x:c r="V99" s="26" t="n">
        <x:f>'Resource Build-Up'!AG98</x:f>
        <x:v>0</x:v>
      </x:c>
    </x:row>
    <x:row r="100" ht="32.400001525878906" customHeight="1">
      <x:c r="A100" s="98" t="s">
        <x:v>709</x:v>
      </x:c>
      <x:c r="B100" s="98" t="n">
        <x:f>'Resource Build-Up'!A99</x:f>
        <x:v>0</x:v>
      </x:c>
      <x:c r="C100" s="98" t="n">
        <x:f>'Resource Build-Up'!B99</x:f>
        <x:v>0</x:v>
      </x:c>
      <x:c r="D100" s="26" t="str">
        <x:f>'Resource Build-Up'!C99</x:f>
      </x:c>
      <x:c r="E100" s="26" t="n">
        <x:f>'Resource Build-Up'!H99</x:f>
        <x:v>0</x:v>
      </x:c>
      <x:c r="F100" s="26" t="n">
        <x:f>'Resource Build-Up'!P99</x:f>
        <x:v>0</x:v>
      </x:c>
      <x:c r="G100" s="26" t="n">
        <x:f>'Resource Build-Up'!Q99</x:f>
        <x:v>0</x:v>
      </x:c>
      <x:c r="H100" s="26" t="n">
        <x:f>'Resource Build-Up'!T99</x:f>
        <x:v>0</x:v>
      </x:c>
      <x:c r="I100" s="44" t="n">
        <x:f>'Resource Build-Up'!Y99</x:f>
        <x:v>0</x:v>
      </x:c>
      <x:c r="J100" s="44" t="str">
        <x:f>'Resource Build-Up'!Z99</x:f>
      </x:c>
      <x:c r="K100" s="26"/>
      <x:c r="L100" s="26"/>
      <x:c r="M100" s="26"/>
      <x:c r="N100" s="26"/>
      <x:c r="O100" s="26"/>
      <x:c r="P100" s="26"/>
      <x:c r="Q100" s="26">
        <x:f t="shared" si="2"/>
        <x:v>1</x:v>
      </x:c>
      <x:c r="R100" s="26" t="n">
        <x:f>'Resource Build-Up'!AC99</x:f>
        <x:v>0</x:v>
      </x:c>
      <x:c r="S100" s="26" t="n">
        <x:f>'Resource Build-Up'!AF99</x:f>
        <x:v>0</x:v>
      </x:c>
      <x:c r="T100" s="99"/>
      <x:c r="U100" s="26"/>
      <x:c r="V100" s="26" t="n">
        <x:f>'Resource Build-Up'!AG99</x:f>
        <x:v>0</x:v>
      </x:c>
    </x:row>
    <x:row r="101" ht="32.400001525878906" customHeight="1">
      <x:c r="A101" s="98" t="s">
        <x:v>710</x:v>
      </x:c>
      <x:c r="B101" s="98" t="n">
        <x:f>'Resource Build-Up'!A100</x:f>
        <x:v>0</x:v>
      </x:c>
      <x:c r="C101" s="98" t="n">
        <x:f>'Resource Build-Up'!B100</x:f>
        <x:v>0</x:v>
      </x:c>
      <x:c r="D101" s="26" t="str">
        <x:f>'Resource Build-Up'!C100</x:f>
      </x:c>
      <x:c r="E101" s="26" t="n">
        <x:f>'Resource Build-Up'!H100</x:f>
        <x:v>0</x:v>
      </x:c>
      <x:c r="F101" s="26" t="n">
        <x:f>'Resource Build-Up'!P100</x:f>
        <x:v>0</x:v>
      </x:c>
      <x:c r="G101" s="26" t="n">
        <x:f>'Resource Build-Up'!Q100</x:f>
        <x:v>0</x:v>
      </x:c>
      <x:c r="H101" s="26" t="n">
        <x:f>'Resource Build-Up'!T100</x:f>
        <x:v>0</x:v>
      </x:c>
      <x:c r="I101" s="44" t="n">
        <x:f>'Resource Build-Up'!Y100</x:f>
        <x:v>0</x:v>
      </x:c>
      <x:c r="J101" s="44" t="str">
        <x:f>'Resource Build-Up'!Z100</x:f>
      </x:c>
      <x:c r="K101" s="26"/>
      <x:c r="L101" s="26"/>
      <x:c r="M101" s="26"/>
      <x:c r="N101" s="26"/>
      <x:c r="O101" s="26"/>
      <x:c r="P101" s="26"/>
      <x:c r="Q101" s="26">
        <x:f t="shared" si="2"/>
        <x:v>2</x:v>
      </x:c>
      <x:c r="R101" s="26" t="n">
        <x:f>'Resource Build-Up'!AC100</x:f>
        <x:v>0</x:v>
      </x:c>
      <x:c r="S101" s="26" t="n">
        <x:f>'Resource Build-Up'!AF100</x:f>
        <x:v>0</x:v>
      </x:c>
      <x:c r="T101" s="99"/>
      <x:c r="U101" s="26"/>
      <x:c r="V101" s="26" t="n">
        <x:f>'Resource Build-Up'!AG100</x:f>
        <x:v>0</x:v>
      </x:c>
    </x:row>
    <x:row r="102" ht="32.400001525878906" customHeight="1">
      <x:c r="A102" s="98" t="s">
        <x:v>711</x:v>
      </x:c>
      <x:c r="B102" s="98" t="n">
        <x:f>'Resource Build-Up'!A101</x:f>
        <x:v>0</x:v>
      </x:c>
      <x:c r="C102" s="98" t="n">
        <x:f>'Resource Build-Up'!B101</x:f>
        <x:v>0</x:v>
      </x:c>
      <x:c r="D102" s="26" t="str">
        <x:f>'Resource Build-Up'!C101</x:f>
      </x:c>
      <x:c r="E102" s="26" t="n">
        <x:f>'Resource Build-Up'!H101</x:f>
        <x:v>0</x:v>
      </x:c>
      <x:c r="F102" s="26" t="n">
        <x:f>'Resource Build-Up'!P101</x:f>
        <x:v>0</x:v>
      </x:c>
      <x:c r="G102" s="26" t="n">
        <x:f>'Resource Build-Up'!Q101</x:f>
        <x:v>0</x:v>
      </x:c>
      <x:c r="H102" s="26" t="n">
        <x:f>'Resource Build-Up'!T101</x:f>
        <x:v>0</x:v>
      </x:c>
      <x:c r="I102" s="44" t="n">
        <x:f>'Resource Build-Up'!Y101</x:f>
        <x:v>0</x:v>
      </x:c>
      <x:c r="J102" s="44" t="str">
        <x:f>'Resource Build-Up'!Z101</x:f>
      </x:c>
      <x:c r="K102" s="26"/>
      <x:c r="L102" s="26"/>
      <x:c r="M102" s="26"/>
      <x:c r="N102" s="26"/>
      <x:c r="O102" s="26"/>
      <x:c r="P102" s="26"/>
      <x:c r="Q102" s="26">
        <x:f t="shared" si="2"/>
        <x:v>1</x:v>
      </x:c>
      <x:c r="R102" s="26" t="n">
        <x:f>'Resource Build-Up'!AC101</x:f>
        <x:v>0</x:v>
      </x:c>
      <x:c r="S102" s="26" t="n">
        <x:f>'Resource Build-Up'!AF101</x:f>
        <x:v>0</x:v>
      </x:c>
      <x:c r="T102" s="99"/>
      <x:c r="U102" s="26"/>
      <x:c r="V102" s="26" t="n">
        <x:f>'Resource Build-Up'!AG101</x:f>
        <x:v>0</x:v>
      </x:c>
    </x:row>
    <x:row r="103" ht="32.400001525878906" customHeight="1">
      <x:c r="A103" s="98" t="s">
        <x:v>712</x:v>
      </x:c>
      <x:c r="B103" s="98" t="n">
        <x:f>'Resource Build-Up'!A102</x:f>
        <x:v>0</x:v>
      </x:c>
      <x:c r="C103" s="98" t="n">
        <x:f>'Resource Build-Up'!B102</x:f>
        <x:v>0</x:v>
      </x:c>
      <x:c r="D103" s="26" t="str">
        <x:f>'Resource Build-Up'!C102</x:f>
      </x:c>
      <x:c r="E103" s="26" t="n">
        <x:f>'Resource Build-Up'!H102</x:f>
        <x:v>0</x:v>
      </x:c>
      <x:c r="F103" s="26" t="n">
        <x:f>'Resource Build-Up'!P102</x:f>
        <x:v>0</x:v>
      </x:c>
      <x:c r="G103" s="26" t="n">
        <x:f>'Resource Build-Up'!Q102</x:f>
        <x:v>0</x:v>
      </x:c>
      <x:c r="H103" s="26" t="n">
        <x:f>'Resource Build-Up'!T102</x:f>
        <x:v>0</x:v>
      </x:c>
      <x:c r="I103" s="44" t="n">
        <x:f>'Resource Build-Up'!Y102</x:f>
        <x:v>0</x:v>
      </x:c>
      <x:c r="J103" s="44" t="str">
        <x:f>'Resource Build-Up'!Z102</x:f>
      </x:c>
      <x:c r="K103" s="26"/>
      <x:c r="L103" s="26"/>
      <x:c r="M103" s="26"/>
      <x:c r="N103" s="26"/>
      <x:c r="O103" s="26"/>
      <x:c r="P103" s="26"/>
      <x:c r="Q103" s="26">
        <x:f t="shared" si="2"/>
        <x:v>1</x:v>
      </x:c>
      <x:c r="R103" s="26" t="n">
        <x:f>'Resource Build-Up'!AC102</x:f>
        <x:v>0</x:v>
      </x:c>
      <x:c r="S103" s="26" t="n">
        <x:f>'Resource Build-Up'!AF102</x:f>
        <x:v>0</x:v>
      </x:c>
      <x:c r="T103" s="99"/>
      <x:c r="U103" s="26"/>
      <x:c r="V103" s="26" t="n">
        <x:f>'Resource Build-Up'!AG102</x:f>
        <x:v>0</x:v>
      </x:c>
    </x:row>
    <x:row r="104" ht="32.400001525878906" customHeight="1">
      <x:c r="A104" s="98" t="s">
        <x:v>713</x:v>
      </x:c>
      <x:c r="B104" s="98" t="n">
        <x:f>'Resource Build-Up'!A103</x:f>
        <x:v>0</x:v>
      </x:c>
      <x:c r="C104" s="98" t="n">
        <x:f>'Resource Build-Up'!B103</x:f>
        <x:v>0</x:v>
      </x:c>
      <x:c r="D104" s="26" t="str">
        <x:f>'Resource Build-Up'!C103</x:f>
      </x:c>
      <x:c r="E104" s="26" t="n">
        <x:f>'Resource Build-Up'!H103</x:f>
        <x:v>0</x:v>
      </x:c>
      <x:c r="F104" s="26" t="n">
        <x:f>'Resource Build-Up'!P103</x:f>
        <x:v>0</x:v>
      </x:c>
      <x:c r="G104" s="26" t="n">
        <x:f>'Resource Build-Up'!Q103</x:f>
        <x:v>0</x:v>
      </x:c>
      <x:c r="H104" s="26" t="n">
        <x:f>'Resource Build-Up'!T103</x:f>
        <x:v>0</x:v>
      </x:c>
      <x:c r="I104" s="44" t="n">
        <x:f>'Resource Build-Up'!Y103</x:f>
        <x:v>0</x:v>
      </x:c>
      <x:c r="J104" s="44" t="str">
        <x:f>'Resource Build-Up'!Z103</x:f>
      </x:c>
      <x:c r="K104" s="26"/>
      <x:c r="L104" s="26"/>
      <x:c r="M104" s="26"/>
      <x:c r="N104" s="26"/>
      <x:c r="O104" s="26"/>
      <x:c r="P104" s="26"/>
      <x:c r="Q104" s="26" t="n">
        <x:f t="shared" ref="Q104:Q135" si="3">COUNTIF(L104,"PASS")+COUNTIF(N104,"PASS")+COUNTIF(P104,"PASS")</x:f>
        <x:v>0</x:v>
      </x:c>
      <x:c r="R104" s="26" t="n">
        <x:f>'Resource Build-Up'!AC103</x:f>
        <x:v>0</x:v>
      </x:c>
      <x:c r="S104" s="26" t="n">
        <x:f>'Resource Build-Up'!AF103</x:f>
        <x:v>0</x:v>
      </x:c>
      <x:c r="T104" s="99"/>
      <x:c r="U104" s="26"/>
      <x:c r="V104" s="26" t="n">
        <x:f>'Resource Build-Up'!AG103</x:f>
        <x:v>0</x:v>
      </x:c>
    </x:row>
    <x:row r="105" ht="32.400001525878906" customHeight="1">
      <x:c r="A105" s="98" t="s">
        <x:v>714</x:v>
      </x:c>
      <x:c r="B105" s="98" t="n">
        <x:f>'Resource Build-Up'!A104</x:f>
        <x:v>0</x:v>
      </x:c>
      <x:c r="C105" s="98" t="n">
        <x:f>'Resource Build-Up'!B104</x:f>
        <x:v>0</x:v>
      </x:c>
      <x:c r="D105" s="26" t="str">
        <x:f>'Resource Build-Up'!C104</x:f>
      </x:c>
      <x:c r="E105" s="26" t="n">
        <x:f>'Resource Build-Up'!H104</x:f>
        <x:v>0</x:v>
      </x:c>
      <x:c r="F105" s="26" t="n">
        <x:f>'Resource Build-Up'!P104</x:f>
        <x:v>0</x:v>
      </x:c>
      <x:c r="G105" s="26" t="n">
        <x:f>'Resource Build-Up'!Q104</x:f>
        <x:v>0</x:v>
      </x:c>
      <x:c r="H105" s="26" t="n">
        <x:f>'Resource Build-Up'!T104</x:f>
        <x:v>0</x:v>
      </x:c>
      <x:c r="I105" s="44" t="n">
        <x:f>'Resource Build-Up'!Y104</x:f>
        <x:v>0</x:v>
      </x:c>
      <x:c r="J105" s="44" t="str">
        <x:f>'Resource Build-Up'!Z104</x:f>
      </x:c>
      <x:c r="K105" s="26"/>
      <x:c r="L105" s="26"/>
      <x:c r="M105" s="26"/>
      <x:c r="N105" s="26"/>
      <x:c r="O105" s="26"/>
      <x:c r="P105" s="26"/>
      <x:c r="Q105" s="26">
        <x:f t="shared" si="3"/>
        <x:v>1</x:v>
      </x:c>
      <x:c r="R105" s="26" t="n">
        <x:f>'Resource Build-Up'!AC104</x:f>
        <x:v>0</x:v>
      </x:c>
      <x:c r="S105" s="26" t="n">
        <x:f>'Resource Build-Up'!AF104</x:f>
        <x:v>0</x:v>
      </x:c>
      <x:c r="T105" s="99"/>
      <x:c r="U105" s="26"/>
      <x:c r="V105" s="26" t="n">
        <x:f>'Resource Build-Up'!AG104</x:f>
        <x:v>0</x:v>
      </x:c>
    </x:row>
    <x:row r="106" ht="32.400001525878906" customHeight="1">
      <x:c r="A106" s="98" t="s">
        <x:v>715</x:v>
      </x:c>
      <x:c r="B106" s="98" t="n">
        <x:f>'Resource Build-Up'!A105</x:f>
        <x:v>0</x:v>
      </x:c>
      <x:c r="C106" s="98" t="n">
        <x:f>'Resource Build-Up'!B105</x:f>
        <x:v>0</x:v>
      </x:c>
      <x:c r="D106" s="26" t="str">
        <x:f>'Resource Build-Up'!C105</x:f>
      </x:c>
      <x:c r="E106" s="26" t="n">
        <x:f>'Resource Build-Up'!H105</x:f>
        <x:v>0</x:v>
      </x:c>
      <x:c r="F106" s="26" t="n">
        <x:f>'Resource Build-Up'!P105</x:f>
        <x:v>0</x:v>
      </x:c>
      <x:c r="G106" s="26" t="n">
        <x:f>'Resource Build-Up'!Q105</x:f>
        <x:v>0</x:v>
      </x:c>
      <x:c r="H106" s="26" t="n">
        <x:f>'Resource Build-Up'!T105</x:f>
        <x:v>0</x:v>
      </x:c>
      <x:c r="I106" s="44" t="n">
        <x:f>'Resource Build-Up'!Y105</x:f>
        <x:v>0</x:v>
      </x:c>
      <x:c r="J106" s="44" t="str">
        <x:f>'Resource Build-Up'!Z105</x:f>
      </x:c>
      <x:c r="K106" s="26"/>
      <x:c r="L106" s="26"/>
      <x:c r="M106" s="26"/>
      <x:c r="N106" s="26"/>
      <x:c r="O106" s="26"/>
      <x:c r="P106" s="26"/>
      <x:c r="Q106" s="26">
        <x:f t="shared" si="3"/>
        <x:v>1</x:v>
      </x:c>
      <x:c r="R106" s="26" t="n">
        <x:f>'Resource Build-Up'!AC105</x:f>
        <x:v>0</x:v>
      </x:c>
      <x:c r="S106" s="26" t="n">
        <x:f>'Resource Build-Up'!AF105</x:f>
        <x:v>0</x:v>
      </x:c>
      <x:c r="T106" s="99"/>
      <x:c r="U106" s="26"/>
      <x:c r="V106" s="26" t="n">
        <x:f>'Resource Build-Up'!AG105</x:f>
        <x:v>0</x:v>
      </x:c>
    </x:row>
    <x:row r="107" ht="32.400001525878906" customHeight="1">
      <x:c r="A107" s="98" t="s">
        <x:v>716</x:v>
      </x:c>
      <x:c r="B107" s="98" t="n">
        <x:f>'Resource Build-Up'!A106</x:f>
        <x:v>0</x:v>
      </x:c>
      <x:c r="C107" s="98" t="n">
        <x:f>'Resource Build-Up'!B106</x:f>
        <x:v>0</x:v>
      </x:c>
      <x:c r="D107" s="26" t="str">
        <x:f>'Resource Build-Up'!C106</x:f>
      </x:c>
      <x:c r="E107" s="26" t="n">
        <x:f>'Resource Build-Up'!H106</x:f>
        <x:v>0</x:v>
      </x:c>
      <x:c r="F107" s="26" t="n">
        <x:f>'Resource Build-Up'!P106</x:f>
        <x:v>0</x:v>
      </x:c>
      <x:c r="G107" s="26" t="n">
        <x:f>'Resource Build-Up'!Q106</x:f>
        <x:v>0</x:v>
      </x:c>
      <x:c r="H107" s="26" t="n">
        <x:f>'Resource Build-Up'!T106</x:f>
        <x:v>0</x:v>
      </x:c>
      <x:c r="I107" s="44" t="n">
        <x:f>'Resource Build-Up'!Y106</x:f>
        <x:v>0</x:v>
      </x:c>
      <x:c r="J107" s="44" t="str">
        <x:f>'Resource Build-Up'!Z106</x:f>
      </x:c>
      <x:c r="K107" s="26"/>
      <x:c r="L107" s="26"/>
      <x:c r="M107" s="26"/>
      <x:c r="N107" s="26"/>
      <x:c r="O107" s="26"/>
      <x:c r="P107" s="26"/>
      <x:c r="Q107" s="26">
        <x:f t="shared" si="3"/>
        <x:v>2</x:v>
      </x:c>
      <x:c r="R107" s="26" t="n">
        <x:f>'Resource Build-Up'!AC106</x:f>
        <x:v>0</x:v>
      </x:c>
      <x:c r="S107" s="26" t="n">
        <x:f>'Resource Build-Up'!AF106</x:f>
        <x:v>0</x:v>
      </x:c>
      <x:c r="T107" s="99"/>
      <x:c r="U107" s="26"/>
      <x:c r="V107" s="26" t="n">
        <x:f>'Resource Build-Up'!AG106</x:f>
        <x:v>0</x:v>
      </x:c>
    </x:row>
    <x:row r="108" ht="32.400001525878906" customHeight="1">
      <x:c r="A108" s="98" t="s">
        <x:v>717</x:v>
      </x:c>
      <x:c r="B108" s="98" t="n">
        <x:f>'Resource Build-Up'!A107</x:f>
        <x:v>0</x:v>
      </x:c>
      <x:c r="C108" s="98" t="n">
        <x:f>'Resource Build-Up'!B107</x:f>
        <x:v>0</x:v>
      </x:c>
      <x:c r="D108" s="26" t="str">
        <x:f>'Resource Build-Up'!C107</x:f>
      </x:c>
      <x:c r="E108" s="26" t="n">
        <x:f>'Resource Build-Up'!H107</x:f>
        <x:v>0</x:v>
      </x:c>
      <x:c r="F108" s="26" t="n">
        <x:f>'Resource Build-Up'!P107</x:f>
        <x:v>0</x:v>
      </x:c>
      <x:c r="G108" s="26" t="n">
        <x:f>'Resource Build-Up'!Q107</x:f>
        <x:v>0</x:v>
      </x:c>
      <x:c r="H108" s="26" t="n">
        <x:f>'Resource Build-Up'!T107</x:f>
        <x:v>0</x:v>
      </x:c>
      <x:c r="I108" s="44" t="n">
        <x:f>'Resource Build-Up'!Y107</x:f>
        <x:v>0</x:v>
      </x:c>
      <x:c r="J108" s="44" t="str">
        <x:f>'Resource Build-Up'!Z107</x:f>
      </x:c>
      <x:c r="K108" s="26"/>
      <x:c r="L108" s="26"/>
      <x:c r="M108" s="26"/>
      <x:c r="N108" s="26"/>
      <x:c r="O108" s="26"/>
      <x:c r="P108" s="26"/>
      <x:c r="Q108" s="26">
        <x:f t="shared" si="3"/>
        <x:v>0</x:v>
      </x:c>
      <x:c r="R108" s="26" t="n">
        <x:f>'Resource Build-Up'!AC107</x:f>
        <x:v>0</x:v>
      </x:c>
      <x:c r="S108" s="26" t="n">
        <x:f>'Resource Build-Up'!AF107</x:f>
        <x:v>0</x:v>
      </x:c>
      <x:c r="T108" s="100"/>
      <x:c r="U108" s="26"/>
      <x:c r="V108" s="26" t="n">
        <x:f>'Resource Build-Up'!AG107</x:f>
        <x:v>0</x:v>
      </x:c>
    </x:row>
    <x:row r="109" ht="32.400001525878906" customHeight="1">
      <x:c r="A109" s="98" t="s">
        <x:v>718</x:v>
      </x:c>
      <x:c r="B109" s="98" t="n">
        <x:f>'Resource Build-Up'!A108</x:f>
        <x:v>0</x:v>
      </x:c>
      <x:c r="C109" s="98" t="n">
        <x:f>'Resource Build-Up'!B108</x:f>
        <x:v>0</x:v>
      </x:c>
      <x:c r="D109" s="26" t="str">
        <x:f>'Resource Build-Up'!C108</x:f>
      </x:c>
      <x:c r="E109" s="26" t="n">
        <x:f>'Resource Build-Up'!H108</x:f>
        <x:v>0</x:v>
      </x:c>
      <x:c r="F109" s="26" t="n">
        <x:f>'Resource Build-Up'!P108</x:f>
        <x:v>0</x:v>
      </x:c>
      <x:c r="G109" s="26" t="n">
        <x:f>'Resource Build-Up'!Q108</x:f>
        <x:v>0</x:v>
      </x:c>
      <x:c r="H109" s="26" t="n">
        <x:f>'Resource Build-Up'!T108</x:f>
        <x:v>0</x:v>
      </x:c>
      <x:c r="I109" s="44" t="n">
        <x:f>'Resource Build-Up'!Y108</x:f>
        <x:v>0</x:v>
      </x:c>
      <x:c r="J109" s="44" t="str">
        <x:f>'Resource Build-Up'!Z108</x:f>
      </x:c>
      <x:c r="K109" s="26"/>
      <x:c r="L109" s="26"/>
      <x:c r="M109" s="26"/>
      <x:c r="N109" s="26"/>
      <x:c r="O109" s="26"/>
      <x:c r="P109" s="26"/>
      <x:c r="Q109" s="26">
        <x:f t="shared" si="3"/>
        <x:v>0</x:v>
      </x:c>
      <x:c r="R109" s="26" t="n">
        <x:f>'Resource Build-Up'!AC108</x:f>
        <x:v>0</x:v>
      </x:c>
      <x:c r="S109" s="26" t="n">
        <x:f>'Resource Build-Up'!AF108</x:f>
        <x:v>0</x:v>
      </x:c>
      <x:c r="T109" s="100"/>
      <x:c r="U109" s="26"/>
      <x:c r="V109" s="26" t="n">
        <x:f>'Resource Build-Up'!AG108</x:f>
        <x:v>0</x:v>
      </x:c>
    </x:row>
    <x:row r="110" ht="32.400001525878906" customHeight="1">
      <x:c r="A110" s="98" t="s">
        <x:v>719</x:v>
      </x:c>
      <x:c r="B110" s="98" t="n">
        <x:f>'Resource Build-Up'!A109</x:f>
        <x:v>0</x:v>
      </x:c>
      <x:c r="C110" s="98" t="n">
        <x:f>'Resource Build-Up'!B109</x:f>
        <x:v>0</x:v>
      </x:c>
      <x:c r="D110" s="26" t="str">
        <x:f>'Resource Build-Up'!C109</x:f>
      </x:c>
      <x:c r="E110" s="26" t="n">
        <x:f>'Resource Build-Up'!H109</x:f>
        <x:v>0</x:v>
      </x:c>
      <x:c r="F110" s="26" t="n">
        <x:f>'Resource Build-Up'!P109</x:f>
        <x:v>0</x:v>
      </x:c>
      <x:c r="G110" s="26" t="n">
        <x:f>'Resource Build-Up'!Q109</x:f>
        <x:v>0</x:v>
      </x:c>
      <x:c r="H110" s="26" t="n">
        <x:f>'Resource Build-Up'!T109</x:f>
        <x:v>0</x:v>
      </x:c>
      <x:c r="I110" s="44" t="n">
        <x:f>'Resource Build-Up'!Y109</x:f>
        <x:v>0</x:v>
      </x:c>
      <x:c r="J110" s="44" t="str">
        <x:f>'Resource Build-Up'!Z109</x:f>
      </x:c>
      <x:c r="K110" s="26"/>
      <x:c r="L110" s="26"/>
      <x:c r="M110" s="26"/>
      <x:c r="N110" s="26"/>
      <x:c r="O110" s="26"/>
      <x:c r="P110" s="26"/>
      <x:c r="Q110" s="26">
        <x:f t="shared" si="3"/>
        <x:v>0</x:v>
      </x:c>
      <x:c r="R110" s="26" t="n">
        <x:f>'Resource Build-Up'!AC109</x:f>
        <x:v>0</x:v>
      </x:c>
      <x:c r="S110" s="26" t="n">
        <x:f>'Resource Build-Up'!AF109</x:f>
        <x:v>0</x:v>
      </x:c>
      <x:c r="T110" s="100"/>
      <x:c r="U110" s="26"/>
      <x:c r="V110" s="26" t="n">
        <x:f>'Resource Build-Up'!AG109</x:f>
        <x:v>0</x:v>
      </x:c>
    </x:row>
    <x:row r="111" ht="32.400001525878906" customHeight="1">
      <x:c r="A111" s="98" t="s">
        <x:v>720</x:v>
      </x:c>
      <x:c r="B111" s="98" t="n">
        <x:f>'Resource Build-Up'!A110</x:f>
        <x:v>0</x:v>
      </x:c>
      <x:c r="C111" s="98" t="n">
        <x:f>'Resource Build-Up'!B110</x:f>
        <x:v>0</x:v>
      </x:c>
      <x:c r="D111" s="26" t="str">
        <x:f>'Resource Build-Up'!C110</x:f>
      </x:c>
      <x:c r="E111" s="26" t="n">
        <x:f>'Resource Build-Up'!H110</x:f>
        <x:v>0</x:v>
      </x:c>
      <x:c r="F111" s="26" t="n">
        <x:f>'Resource Build-Up'!P110</x:f>
        <x:v>0</x:v>
      </x:c>
      <x:c r="G111" s="26" t="n">
        <x:f>'Resource Build-Up'!Q110</x:f>
        <x:v>0</x:v>
      </x:c>
      <x:c r="H111" s="26" t="n">
        <x:f>'Resource Build-Up'!T110</x:f>
        <x:v>0</x:v>
      </x:c>
      <x:c r="I111" s="44" t="n">
        <x:f>'Resource Build-Up'!Y110</x:f>
        <x:v>0</x:v>
      </x:c>
      <x:c r="J111" s="44" t="str">
        <x:f>'Resource Build-Up'!Z110</x:f>
      </x:c>
      <x:c r="K111" s="26"/>
      <x:c r="L111" s="26"/>
      <x:c r="M111" s="26"/>
      <x:c r="N111" s="26"/>
      <x:c r="O111" s="26"/>
      <x:c r="P111" s="26"/>
      <x:c r="Q111" s="26">
        <x:f t="shared" si="3"/>
        <x:v>0</x:v>
      </x:c>
      <x:c r="R111" s="26" t="n">
        <x:f>'Resource Build-Up'!AC110</x:f>
        <x:v>0</x:v>
      </x:c>
      <x:c r="S111" s="26" t="n">
        <x:f>'Resource Build-Up'!AF110</x:f>
        <x:v>0</x:v>
      </x:c>
      <x:c r="T111" s="100"/>
      <x:c r="U111" s="26"/>
      <x:c r="V111" s="26" t="n">
        <x:f>'Resource Build-Up'!AG110</x:f>
        <x:v>0</x:v>
      </x:c>
    </x:row>
    <x:row r="112" ht="32.400001525878906" customHeight="1">
      <x:c r="A112" s="98" t="s">
        <x:v>721</x:v>
      </x:c>
      <x:c r="B112" s="98" t="n">
        <x:f>'Resource Build-Up'!A111</x:f>
        <x:v>0</x:v>
      </x:c>
      <x:c r="C112" s="98" t="n">
        <x:f>'Resource Build-Up'!B111</x:f>
        <x:v>0</x:v>
      </x:c>
      <x:c r="D112" s="26" t="str">
        <x:f>'Resource Build-Up'!C111</x:f>
      </x:c>
      <x:c r="E112" s="26" t="n">
        <x:f>'Resource Build-Up'!H111</x:f>
        <x:v>0</x:v>
      </x:c>
      <x:c r="F112" s="26" t="n">
        <x:f>'Resource Build-Up'!P111</x:f>
        <x:v>0</x:v>
      </x:c>
      <x:c r="G112" s="26" t="n">
        <x:f>'Resource Build-Up'!Q111</x:f>
        <x:v>0</x:v>
      </x:c>
      <x:c r="H112" s="26" t="n">
        <x:f>'Resource Build-Up'!T111</x:f>
        <x:v>0</x:v>
      </x:c>
      <x:c r="I112" s="44" t="n">
        <x:f>'Resource Build-Up'!Y111</x:f>
        <x:v>0</x:v>
      </x:c>
      <x:c r="J112" s="44" t="str">
        <x:f>'Resource Build-Up'!Z111</x:f>
      </x:c>
      <x:c r="K112" s="26"/>
      <x:c r="L112" s="26"/>
      <x:c r="M112" s="26"/>
      <x:c r="N112" s="26"/>
      <x:c r="O112" s="26"/>
      <x:c r="P112" s="26"/>
      <x:c r="Q112" s="26">
        <x:f t="shared" si="3"/>
        <x:v>0</x:v>
      </x:c>
      <x:c r="R112" s="26" t="n">
        <x:f>'Resource Build-Up'!AC111</x:f>
        <x:v>0</x:v>
      </x:c>
      <x:c r="S112" s="26" t="n">
        <x:f>'Resource Build-Up'!AF111</x:f>
        <x:v>0</x:v>
      </x:c>
      <x:c r="T112" s="100"/>
      <x:c r="U112" s="26"/>
      <x:c r="V112" s="26" t="n">
        <x:f>'Resource Build-Up'!AG111</x:f>
        <x:v>0</x:v>
      </x:c>
    </x:row>
    <x:row r="113" ht="32.400001525878906" customHeight="1">
      <x:c r="A113" s="98" t="s">
        <x:v>722</x:v>
      </x:c>
      <x:c r="B113" s="98" t="n">
        <x:f>'Resource Build-Up'!A112</x:f>
        <x:v>0</x:v>
      </x:c>
      <x:c r="C113" s="98" t="n">
        <x:f>'Resource Build-Up'!B112</x:f>
        <x:v>0</x:v>
      </x:c>
      <x:c r="D113" s="26" t="str">
        <x:f>'Resource Build-Up'!C112</x:f>
      </x:c>
      <x:c r="E113" s="26" t="n">
        <x:f>'Resource Build-Up'!H112</x:f>
        <x:v>0</x:v>
      </x:c>
      <x:c r="F113" s="26" t="n">
        <x:f>'Resource Build-Up'!P112</x:f>
        <x:v>0</x:v>
      </x:c>
      <x:c r="G113" s="26" t="n">
        <x:f>'Resource Build-Up'!Q112</x:f>
        <x:v>0</x:v>
      </x:c>
      <x:c r="H113" s="26" t="n">
        <x:f>'Resource Build-Up'!T112</x:f>
        <x:v>0</x:v>
      </x:c>
      <x:c r="I113" s="44" t="n">
        <x:f>'Resource Build-Up'!Y112</x:f>
        <x:v>0</x:v>
      </x:c>
      <x:c r="J113" s="44" t="str">
        <x:f>'Resource Build-Up'!Z112</x:f>
      </x:c>
      <x:c r="K113" s="26"/>
      <x:c r="L113" s="26"/>
      <x:c r="M113" s="26"/>
      <x:c r="N113" s="26"/>
      <x:c r="O113" s="26"/>
      <x:c r="P113" s="26"/>
      <x:c r="Q113" s="26">
        <x:f t="shared" si="3"/>
        <x:v>1</x:v>
      </x:c>
      <x:c r="R113" s="26" t="n">
        <x:f>'Resource Build-Up'!AC112</x:f>
        <x:v>0</x:v>
      </x:c>
      <x:c r="S113" s="26" t="n">
        <x:f>'Resource Build-Up'!AF112</x:f>
        <x:v>0</x:v>
      </x:c>
      <x:c r="T113" s="99"/>
      <x:c r="U113" s="26"/>
      <x:c r="V113" s="26" t="n">
        <x:f>'Resource Build-Up'!AG112</x:f>
        <x:v>0</x:v>
      </x:c>
    </x:row>
    <x:row r="114" ht="32.400001525878906" customHeight="1">
      <x:c r="A114" s="98" t="s">
        <x:v>723</x:v>
      </x:c>
      <x:c r="B114" s="98" t="n">
        <x:f>'Resource Build-Up'!A113</x:f>
        <x:v>0</x:v>
      </x:c>
      <x:c r="C114" s="98" t="n">
        <x:f>'Resource Build-Up'!B113</x:f>
        <x:v>0</x:v>
      </x:c>
      <x:c r="D114" s="26" t="str">
        <x:f>'Resource Build-Up'!C113</x:f>
      </x:c>
      <x:c r="E114" s="26" t="n">
        <x:f>'Resource Build-Up'!H113</x:f>
        <x:v>0</x:v>
      </x:c>
      <x:c r="F114" s="26" t="n">
        <x:f>'Resource Build-Up'!P113</x:f>
        <x:v>0</x:v>
      </x:c>
      <x:c r="G114" s="26" t="n">
        <x:f>'Resource Build-Up'!Q113</x:f>
        <x:v>0</x:v>
      </x:c>
      <x:c r="H114" s="26" t="n">
        <x:f>'Resource Build-Up'!T113</x:f>
        <x:v>0</x:v>
      </x:c>
      <x:c r="I114" s="44" t="n">
        <x:f>'Resource Build-Up'!Y113</x:f>
        <x:v>0</x:v>
      </x:c>
      <x:c r="J114" s="44" t="str">
        <x:f>'Resource Build-Up'!Z113</x:f>
      </x:c>
      <x:c r="K114" s="26"/>
      <x:c r="L114" s="26"/>
      <x:c r="M114" s="26"/>
      <x:c r="N114" s="26"/>
      <x:c r="O114" s="26"/>
      <x:c r="P114" s="26"/>
      <x:c r="Q114" s="26">
        <x:f t="shared" si="3"/>
        <x:v>0</x:v>
      </x:c>
      <x:c r="R114" s="26" t="n">
        <x:f>'Resource Build-Up'!AC113</x:f>
        <x:v>0</x:v>
      </x:c>
      <x:c r="S114" s="26" t="n">
        <x:f>'Resource Build-Up'!AF113</x:f>
        <x:v>0</x:v>
      </x:c>
      <x:c r="T114" s="100"/>
      <x:c r="U114" s="26"/>
      <x:c r="V114" s="26" t="n">
        <x:f>'Resource Build-Up'!AG113</x:f>
        <x:v>0</x:v>
      </x:c>
    </x:row>
    <x:row r="115" ht="32.400001525878906" customHeight="1">
      <x:c r="A115" s="98" t="s">
        <x:v>724</x:v>
      </x:c>
      <x:c r="B115" s="98" t="n">
        <x:f>'Resource Build-Up'!A114</x:f>
        <x:v>0</x:v>
      </x:c>
      <x:c r="C115" s="98" t="n">
        <x:f>'Resource Build-Up'!B114</x:f>
        <x:v>0</x:v>
      </x:c>
      <x:c r="D115" s="26" t="str">
        <x:f>'Resource Build-Up'!C114</x:f>
      </x:c>
      <x:c r="E115" s="26" t="n">
        <x:f>'Resource Build-Up'!H114</x:f>
        <x:v>0</x:v>
      </x:c>
      <x:c r="F115" s="26" t="n">
        <x:f>'Resource Build-Up'!P114</x:f>
        <x:v>0</x:v>
      </x:c>
      <x:c r="G115" s="26" t="n">
        <x:f>'Resource Build-Up'!Q114</x:f>
        <x:v>0</x:v>
      </x:c>
      <x:c r="H115" s="26" t="n">
        <x:f>'Resource Build-Up'!T114</x:f>
        <x:v>0</x:v>
      </x:c>
      <x:c r="I115" s="44" t="n">
        <x:f>'Resource Build-Up'!Y114</x:f>
        <x:v>0</x:v>
      </x:c>
      <x:c r="J115" s="44" t="str">
        <x:f>'Resource Build-Up'!Z114</x:f>
      </x:c>
      <x:c r="K115" s="26"/>
      <x:c r="L115" s="26"/>
      <x:c r="M115" s="26"/>
      <x:c r="N115" s="26"/>
      <x:c r="O115" s="26"/>
      <x:c r="P115" s="26"/>
      <x:c r="Q115" s="26">
        <x:f t="shared" si="3"/>
        <x:v>0</x:v>
      </x:c>
      <x:c r="R115" s="26" t="n">
        <x:f>'Resource Build-Up'!AC114</x:f>
        <x:v>0</x:v>
      </x:c>
      <x:c r="S115" s="26" t="n">
        <x:f>'Resource Build-Up'!AF114</x:f>
        <x:v>0</x:v>
      </x:c>
      <x:c r="T115" s="100"/>
      <x:c r="U115" s="26"/>
      <x:c r="V115" s="26" t="n">
        <x:f>'Resource Build-Up'!AG114</x:f>
        <x:v>0</x:v>
      </x:c>
    </x:row>
    <x:row r="116" ht="32.400001525878906" customHeight="1">
      <x:c r="A116" s="98" t="s">
        <x:v>725</x:v>
      </x:c>
      <x:c r="B116" s="98" t="n">
        <x:f>'Resource Build-Up'!A115</x:f>
        <x:v>0</x:v>
      </x:c>
      <x:c r="C116" s="98" t="n">
        <x:f>'Resource Build-Up'!B115</x:f>
        <x:v>0</x:v>
      </x:c>
      <x:c r="D116" s="26" t="str">
        <x:f>'Resource Build-Up'!C115</x:f>
      </x:c>
      <x:c r="E116" s="26" t="n">
        <x:f>'Resource Build-Up'!H115</x:f>
        <x:v>0</x:v>
      </x:c>
      <x:c r="F116" s="26" t="n">
        <x:f>'Resource Build-Up'!P115</x:f>
        <x:v>0</x:v>
      </x:c>
      <x:c r="G116" s="26" t="n">
        <x:f>'Resource Build-Up'!Q115</x:f>
        <x:v>0</x:v>
      </x:c>
      <x:c r="H116" s="26" t="n">
        <x:f>'Resource Build-Up'!T115</x:f>
        <x:v>0</x:v>
      </x:c>
      <x:c r="I116" s="44" t="n">
        <x:f>'Resource Build-Up'!Y115</x:f>
        <x:v>0</x:v>
      </x:c>
      <x:c r="J116" s="44" t="str">
        <x:f>'Resource Build-Up'!Z115</x:f>
      </x:c>
      <x:c r="K116" s="26"/>
      <x:c r="L116" s="26"/>
      <x:c r="M116" s="26"/>
      <x:c r="N116" s="26"/>
      <x:c r="O116" s="26"/>
      <x:c r="P116" s="26"/>
      <x:c r="Q116" s="26">
        <x:f t="shared" si="3"/>
        <x:v>1</x:v>
      </x:c>
      <x:c r="R116" s="26" t="n">
        <x:f>'Resource Build-Up'!AC115</x:f>
        <x:v>0</x:v>
      </x:c>
      <x:c r="S116" s="26" t="n">
        <x:f>'Resource Build-Up'!AF115</x:f>
        <x:v>0</x:v>
      </x:c>
      <x:c r="T116" s="99"/>
      <x:c r="U116" s="26"/>
      <x:c r="V116" s="26" t="n">
        <x:f>'Resource Build-Up'!AG115</x:f>
        <x:v>0</x:v>
      </x:c>
    </x:row>
    <x:row r="117" ht="32.400001525878906" customHeight="1">
      <x:c r="A117" s="98" t="s">
        <x:v>726</x:v>
      </x:c>
      <x:c r="B117" s="98" t="n">
        <x:f>'Resource Build-Up'!A116</x:f>
        <x:v>0</x:v>
      </x:c>
      <x:c r="C117" s="98" t="n">
        <x:f>'Resource Build-Up'!B116</x:f>
        <x:v>0</x:v>
      </x:c>
      <x:c r="D117" s="26" t="str">
        <x:f>'Resource Build-Up'!C116</x:f>
      </x:c>
      <x:c r="E117" s="26" t="n">
        <x:f>'Resource Build-Up'!H116</x:f>
        <x:v>0</x:v>
      </x:c>
      <x:c r="F117" s="26" t="n">
        <x:f>'Resource Build-Up'!P116</x:f>
        <x:v>0</x:v>
      </x:c>
      <x:c r="G117" s="26" t="n">
        <x:f>'Resource Build-Up'!Q116</x:f>
        <x:v>0</x:v>
      </x:c>
      <x:c r="H117" s="26" t="n">
        <x:f>'Resource Build-Up'!T116</x:f>
        <x:v>0</x:v>
      </x:c>
      <x:c r="I117" s="44" t="n">
        <x:f>'Resource Build-Up'!Y116</x:f>
        <x:v>0</x:v>
      </x:c>
      <x:c r="J117" s="44" t="str">
        <x:f>'Resource Build-Up'!Z116</x:f>
      </x:c>
      <x:c r="K117" s="26"/>
      <x:c r="L117" s="26"/>
      <x:c r="M117" s="26"/>
      <x:c r="N117" s="26"/>
      <x:c r="O117" s="26"/>
      <x:c r="P117" s="26"/>
      <x:c r="Q117" s="26">
        <x:f t="shared" si="3"/>
        <x:v>1</x:v>
      </x:c>
      <x:c r="R117" s="26" t="n">
        <x:f>'Resource Build-Up'!AC116</x:f>
        <x:v>0</x:v>
      </x:c>
      <x:c r="S117" s="26" t="n">
        <x:f>'Resource Build-Up'!AF116</x:f>
        <x:v>0</x:v>
      </x:c>
      <x:c r="T117" s="99"/>
      <x:c r="U117" s="26"/>
      <x:c r="V117" s="26" t="n">
        <x:f>'Resource Build-Up'!AG116</x:f>
        <x:v>0</x:v>
      </x:c>
    </x:row>
    <x:row r="118" ht="32.400001525878906" customHeight="1">
      <x:c r="A118" s="98" t="s">
        <x:v>727</x:v>
      </x:c>
      <x:c r="B118" s="98" t="n">
        <x:f>'Resource Build-Up'!A117</x:f>
        <x:v>0</x:v>
      </x:c>
      <x:c r="C118" s="98" t="n">
        <x:f>'Resource Build-Up'!B117</x:f>
        <x:v>0</x:v>
      </x:c>
      <x:c r="D118" s="26" t="str">
        <x:f>'Resource Build-Up'!C117</x:f>
      </x:c>
      <x:c r="E118" s="26" t="n">
        <x:f>'Resource Build-Up'!H117</x:f>
        <x:v>0</x:v>
      </x:c>
      <x:c r="F118" s="26" t="n">
        <x:f>'Resource Build-Up'!P117</x:f>
        <x:v>0</x:v>
      </x:c>
      <x:c r="G118" s="26" t="n">
        <x:f>'Resource Build-Up'!Q117</x:f>
        <x:v>0</x:v>
      </x:c>
      <x:c r="H118" s="26" t="n">
        <x:f>'Resource Build-Up'!T117</x:f>
        <x:v>0</x:v>
      </x:c>
      <x:c r="I118" s="44" t="n">
        <x:f>'Resource Build-Up'!Y117</x:f>
        <x:v>0</x:v>
      </x:c>
      <x:c r="J118" s="44" t="str">
        <x:f>'Resource Build-Up'!Z117</x:f>
      </x:c>
      <x:c r="K118" s="26"/>
      <x:c r="L118" s="26"/>
      <x:c r="M118" s="26"/>
      <x:c r="N118" s="26"/>
      <x:c r="O118" s="26"/>
      <x:c r="P118" s="26"/>
      <x:c r="Q118" s="26">
        <x:f t="shared" si="3"/>
        <x:v>1</x:v>
      </x:c>
      <x:c r="R118" s="26" t="n">
        <x:f>'Resource Build-Up'!AC117</x:f>
        <x:v>0</x:v>
      </x:c>
      <x:c r="S118" s="26" t="n">
        <x:f>'Resource Build-Up'!AF117</x:f>
        <x:v>0</x:v>
      </x:c>
      <x:c r="T118" s="99"/>
      <x:c r="U118" s="26"/>
      <x:c r="V118" s="26" t="n">
        <x:f>'Resource Build-Up'!AG117</x:f>
        <x:v>0</x:v>
      </x:c>
    </x:row>
    <x:row r="119" ht="32.400001525878906" customHeight="1">
      <x:c r="A119" s="98" t="s">
        <x:v>728</x:v>
      </x:c>
      <x:c r="B119" s="98" t="n">
        <x:f>'Resource Build-Up'!A118</x:f>
        <x:v>0</x:v>
      </x:c>
      <x:c r="C119" s="98" t="n">
        <x:f>'Resource Build-Up'!B118</x:f>
        <x:v>0</x:v>
      </x:c>
      <x:c r="D119" s="26" t="str">
        <x:f>'Resource Build-Up'!C118</x:f>
      </x:c>
      <x:c r="E119" s="26" t="n">
        <x:f>'Resource Build-Up'!H118</x:f>
        <x:v>0</x:v>
      </x:c>
      <x:c r="F119" s="26" t="n">
        <x:f>'Resource Build-Up'!P118</x:f>
        <x:v>0</x:v>
      </x:c>
      <x:c r="G119" s="26" t="n">
        <x:f>'Resource Build-Up'!Q118</x:f>
        <x:v>0</x:v>
      </x:c>
      <x:c r="H119" s="26" t="n">
        <x:f>'Resource Build-Up'!T118</x:f>
        <x:v>0</x:v>
      </x:c>
      <x:c r="I119" s="44" t="n">
        <x:f>'Resource Build-Up'!Y118</x:f>
        <x:v>0</x:v>
      </x:c>
      <x:c r="J119" s="44" t="str">
        <x:f>'Resource Build-Up'!Z118</x:f>
      </x:c>
      <x:c r="K119" s="26"/>
      <x:c r="L119" s="26"/>
      <x:c r="M119" s="26"/>
      <x:c r="N119" s="26"/>
      <x:c r="O119" s="26"/>
      <x:c r="P119" s="26"/>
      <x:c r="Q119" s="26">
        <x:f t="shared" si="3"/>
        <x:v>0</x:v>
      </x:c>
      <x:c r="R119" s="26" t="n">
        <x:f>'Resource Build-Up'!AC118</x:f>
        <x:v>0</x:v>
      </x:c>
      <x:c r="S119" s="26" t="n">
        <x:f>'Resource Build-Up'!AF118</x:f>
        <x:v>0</x:v>
      </x:c>
      <x:c r="T119" s="100"/>
      <x:c r="U119" s="26"/>
      <x:c r="V119" s="26" t="n">
        <x:f>'Resource Build-Up'!AG118</x:f>
        <x:v>0</x:v>
      </x:c>
    </x:row>
    <x:row r="120" ht="32.400001525878906" customHeight="1">
      <x:c r="A120" s="98" t="s">
        <x:v>729</x:v>
      </x:c>
      <x:c r="B120" s="98" t="n">
        <x:f>'Resource Build-Up'!A119</x:f>
        <x:v>0</x:v>
      </x:c>
      <x:c r="C120" s="98" t="n">
        <x:f>'Resource Build-Up'!B119</x:f>
        <x:v>0</x:v>
      </x:c>
      <x:c r="D120" s="26" t="str">
        <x:f>'Resource Build-Up'!C119</x:f>
      </x:c>
      <x:c r="E120" s="26" t="n">
        <x:f>'Resource Build-Up'!H119</x:f>
        <x:v>0</x:v>
      </x:c>
      <x:c r="F120" s="26" t="n">
        <x:f>'Resource Build-Up'!P119</x:f>
        <x:v>0</x:v>
      </x:c>
      <x:c r="G120" s="26" t="n">
        <x:f>'Resource Build-Up'!Q119</x:f>
        <x:v>0</x:v>
      </x:c>
      <x:c r="H120" s="26" t="n">
        <x:f>'Resource Build-Up'!T119</x:f>
        <x:v>0</x:v>
      </x:c>
      <x:c r="I120" s="44" t="n">
        <x:f>'Resource Build-Up'!Y119</x:f>
        <x:v>0</x:v>
      </x:c>
      <x:c r="J120" s="44" t="str">
        <x:f>'Resource Build-Up'!Z119</x:f>
      </x:c>
      <x:c r="K120" s="26"/>
      <x:c r="L120" s="26"/>
      <x:c r="M120" s="26"/>
      <x:c r="N120" s="26"/>
      <x:c r="O120" s="26"/>
      <x:c r="P120" s="26"/>
      <x:c r="Q120" s="26">
        <x:f t="shared" si="3"/>
        <x:v>3</x:v>
      </x:c>
      <x:c r="R120" s="26" t="n">
        <x:f>'Resource Build-Up'!AC119</x:f>
        <x:v>0</x:v>
      </x:c>
      <x:c r="S120" s="26" t="n">
        <x:f>'Resource Build-Up'!AF119</x:f>
        <x:v>0</x:v>
      </x:c>
      <x:c r="T120" s="101"/>
      <x:c r="U120" s="26"/>
      <x:c r="V120" s="26" t="n">
        <x:f>'Resource Build-Up'!AG119</x:f>
        <x:v>0</x:v>
      </x:c>
    </x:row>
    <x:row r="121" ht="32.400001525878906" customHeight="1">
      <x:c r="A121" s="98" t="s">
        <x:v>730</x:v>
      </x:c>
      <x:c r="B121" s="98" t="n">
        <x:f>'Resource Build-Up'!A120</x:f>
        <x:v>0</x:v>
      </x:c>
      <x:c r="C121" s="98" t="n">
        <x:f>'Resource Build-Up'!B120</x:f>
        <x:v>0</x:v>
      </x:c>
      <x:c r="D121" s="26" t="str">
        <x:f>'Resource Build-Up'!C120</x:f>
      </x:c>
      <x:c r="E121" s="26" t="n">
        <x:f>'Resource Build-Up'!H120</x:f>
        <x:v>0</x:v>
      </x:c>
      <x:c r="F121" s="26" t="n">
        <x:f>'Resource Build-Up'!P120</x:f>
        <x:v>0</x:v>
      </x:c>
      <x:c r="G121" s="26" t="n">
        <x:f>'Resource Build-Up'!Q120</x:f>
        <x:v>0</x:v>
      </x:c>
      <x:c r="H121" s="26" t="n">
        <x:f>'Resource Build-Up'!T120</x:f>
        <x:v>0</x:v>
      </x:c>
      <x:c r="I121" s="44" t="n">
        <x:f>'Resource Build-Up'!Y120</x:f>
        <x:v>0</x:v>
      </x:c>
      <x:c r="J121" s="44" t="str">
        <x:f>'Resource Build-Up'!Z120</x:f>
      </x:c>
      <x:c r="K121" s="26"/>
      <x:c r="L121" s="26"/>
      <x:c r="M121" s="26"/>
      <x:c r="N121" s="26"/>
      <x:c r="O121" s="26"/>
      <x:c r="P121" s="26"/>
      <x:c r="Q121" s="26">
        <x:f t="shared" si="3"/>
        <x:v>3</x:v>
      </x:c>
      <x:c r="R121" s="26" t="n">
        <x:f>'Resource Build-Up'!AC120</x:f>
        <x:v>0</x:v>
      </x:c>
      <x:c r="S121" s="26" t="n">
        <x:f>'Resource Build-Up'!AF120</x:f>
        <x:v>0</x:v>
      </x:c>
      <x:c r="T121" s="101"/>
      <x:c r="U121" s="26"/>
      <x:c r="V121" s="26" t="n">
        <x:f>'Resource Build-Up'!AG120</x:f>
        <x:v>0</x:v>
      </x:c>
    </x:row>
    <x:row r="122" ht="32.400001525878906" customHeight="1">
      <x:c r="A122" s="98" t="s">
        <x:v>731</x:v>
      </x:c>
      <x:c r="B122" s="98" t="n">
        <x:f>'Resource Build-Up'!A121</x:f>
        <x:v>0</x:v>
      </x:c>
      <x:c r="C122" s="98" t="n">
        <x:f>'Resource Build-Up'!B121</x:f>
        <x:v>0</x:v>
      </x:c>
      <x:c r="D122" s="26" t="str">
        <x:f>'Resource Build-Up'!C121</x:f>
      </x:c>
      <x:c r="E122" s="26" t="n">
        <x:f>'Resource Build-Up'!H121</x:f>
        <x:v>0</x:v>
      </x:c>
      <x:c r="F122" s="26" t="n">
        <x:f>'Resource Build-Up'!P121</x:f>
        <x:v>0</x:v>
      </x:c>
      <x:c r="G122" s="26" t="n">
        <x:f>'Resource Build-Up'!Q121</x:f>
        <x:v>0</x:v>
      </x:c>
      <x:c r="H122" s="26" t="n">
        <x:f>'Resource Build-Up'!T121</x:f>
        <x:v>0</x:v>
      </x:c>
      <x:c r="I122" s="44" t="n">
        <x:f>'Resource Build-Up'!Y121</x:f>
        <x:v>0</x:v>
      </x:c>
      <x:c r="J122" s="44" t="str">
        <x:f>'Resource Build-Up'!Z121</x:f>
      </x:c>
      <x:c r="K122" s="26"/>
      <x:c r="L122" s="26"/>
      <x:c r="M122" s="26"/>
      <x:c r="N122" s="26"/>
      <x:c r="O122" s="26"/>
      <x:c r="P122" s="26"/>
      <x:c r="Q122" s="26">
        <x:f t="shared" si="3"/>
        <x:v>1</x:v>
      </x:c>
      <x:c r="R122" s="26" t="n">
        <x:f>'Resource Build-Up'!AC121</x:f>
        <x:v>0</x:v>
      </x:c>
      <x:c r="S122" s="26" t="n">
        <x:f>'Resource Build-Up'!AF121</x:f>
        <x:v>0</x:v>
      </x:c>
      <x:c r="T122" s="99"/>
      <x:c r="U122" s="26"/>
      <x:c r="V122" s="26" t="n">
        <x:f>'Resource Build-Up'!AG121</x:f>
        <x:v>0</x:v>
      </x:c>
    </x:row>
    <x:row r="123" ht="32.400001525878906" customHeight="1">
      <x:c r="A123" s="98" t="s">
        <x:v>732</x:v>
      </x:c>
      <x:c r="B123" s="98" t="n">
        <x:f>'Resource Build-Up'!A122</x:f>
        <x:v>0</x:v>
      </x:c>
      <x:c r="C123" s="98" t="n">
        <x:f>'Resource Build-Up'!B122</x:f>
        <x:v>0</x:v>
      </x:c>
      <x:c r="D123" s="26" t="str">
        <x:f>'Resource Build-Up'!C122</x:f>
      </x:c>
      <x:c r="E123" s="26" t="n">
        <x:f>'Resource Build-Up'!H122</x:f>
        <x:v>0</x:v>
      </x:c>
      <x:c r="F123" s="26" t="n">
        <x:f>'Resource Build-Up'!P122</x:f>
        <x:v>0</x:v>
      </x:c>
      <x:c r="G123" s="26" t="n">
        <x:f>'Resource Build-Up'!Q122</x:f>
        <x:v>0</x:v>
      </x:c>
      <x:c r="H123" s="26" t="n">
        <x:f>'Resource Build-Up'!T122</x:f>
        <x:v>0</x:v>
      </x:c>
      <x:c r="I123" s="44" t="n">
        <x:f>'Resource Build-Up'!Y122</x:f>
        <x:v>0</x:v>
      </x:c>
      <x:c r="J123" s="44" t="str">
        <x:f>'Resource Build-Up'!Z122</x:f>
      </x:c>
      <x:c r="K123" s="26"/>
      <x:c r="L123" s="26"/>
      <x:c r="M123" s="26"/>
      <x:c r="N123" s="26"/>
      <x:c r="O123" s="26"/>
      <x:c r="P123" s="26"/>
      <x:c r="Q123" s="26">
        <x:f t="shared" si="3"/>
        <x:v>2</x:v>
      </x:c>
      <x:c r="R123" s="26" t="n">
        <x:f>'Resource Build-Up'!AC122</x:f>
        <x:v>0</x:v>
      </x:c>
      <x:c r="S123" s="26" t="n">
        <x:f>'Resource Build-Up'!AF122</x:f>
        <x:v>0</x:v>
      </x:c>
      <x:c r="T123" s="99"/>
      <x:c r="U123" s="26"/>
      <x:c r="V123" s="26" t="n">
        <x:f>'Resource Build-Up'!AG122</x:f>
        <x:v>0</x:v>
      </x:c>
    </x:row>
    <x:row r="124" ht="32.400001525878906" customHeight="1">
      <x:c r="A124" s="98" t="s">
        <x:v>733</x:v>
      </x:c>
      <x:c r="B124" s="98" t="n">
        <x:f>'Resource Build-Up'!A123</x:f>
        <x:v>0</x:v>
      </x:c>
      <x:c r="C124" s="98" t="n">
        <x:f>'Resource Build-Up'!B123</x:f>
        <x:v>0</x:v>
      </x:c>
      <x:c r="D124" s="26" t="str">
        <x:f>'Resource Build-Up'!C123</x:f>
      </x:c>
      <x:c r="E124" s="26" t="n">
        <x:f>'Resource Build-Up'!H123</x:f>
        <x:v>0</x:v>
      </x:c>
      <x:c r="F124" s="26" t="n">
        <x:f>'Resource Build-Up'!P123</x:f>
        <x:v>0</x:v>
      </x:c>
      <x:c r="G124" s="26" t="n">
        <x:f>'Resource Build-Up'!Q123</x:f>
        <x:v>0</x:v>
      </x:c>
      <x:c r="H124" s="26" t="n">
        <x:f>'Resource Build-Up'!T123</x:f>
        <x:v>0</x:v>
      </x:c>
      <x:c r="I124" s="44" t="n">
        <x:f>'Resource Build-Up'!Y123</x:f>
        <x:v>0</x:v>
      </x:c>
      <x:c r="J124" s="44" t="str">
        <x:f>'Resource Build-Up'!Z123</x:f>
      </x:c>
      <x:c r="K124" s="26"/>
      <x:c r="L124" s="26"/>
      <x:c r="M124" s="26"/>
      <x:c r="N124" s="26"/>
      <x:c r="O124" s="26"/>
      <x:c r="P124" s="26"/>
      <x:c r="Q124" s="26">
        <x:f t="shared" si="3"/>
        <x:v>1</x:v>
      </x:c>
      <x:c r="R124" s="26" t="n">
        <x:f>'Resource Build-Up'!AC123</x:f>
        <x:v>0</x:v>
      </x:c>
      <x:c r="S124" s="26" t="n">
        <x:f>'Resource Build-Up'!AF123</x:f>
        <x:v>0</x:v>
      </x:c>
      <x:c r="T124" s="100"/>
      <x:c r="U124" s="26"/>
      <x:c r="V124" s="26" t="n">
        <x:f>'Resource Build-Up'!AG123</x:f>
        <x:v>0</x:v>
      </x:c>
    </x:row>
    <x:row r="125" ht="32.400001525878906" customHeight="1">
      <x:c r="A125" s="98" t="s">
        <x:v>734</x:v>
      </x:c>
      <x:c r="B125" s="98" t="n">
        <x:f>'Resource Build-Up'!A124</x:f>
        <x:v>0</x:v>
      </x:c>
      <x:c r="C125" s="98" t="n">
        <x:f>'Resource Build-Up'!B124</x:f>
        <x:v>0</x:v>
      </x:c>
      <x:c r="D125" s="26" t="str">
        <x:f>'Resource Build-Up'!C124</x:f>
      </x:c>
      <x:c r="E125" s="26" t="n">
        <x:f>'Resource Build-Up'!H124</x:f>
        <x:v>0</x:v>
      </x:c>
      <x:c r="F125" s="26" t="n">
        <x:f>'Resource Build-Up'!P124</x:f>
        <x:v>0</x:v>
      </x:c>
      <x:c r="G125" s="26" t="n">
        <x:f>'Resource Build-Up'!Q124</x:f>
        <x:v>0</x:v>
      </x:c>
      <x:c r="H125" s="26" t="n">
        <x:f>'Resource Build-Up'!T124</x:f>
        <x:v>0</x:v>
      </x:c>
      <x:c r="I125" s="44" t="n">
        <x:f>'Resource Build-Up'!Y124</x:f>
        <x:v>0</x:v>
      </x:c>
      <x:c r="J125" s="44" t="str">
        <x:f>'Resource Build-Up'!Z124</x:f>
      </x:c>
      <x:c r="K125" s="26"/>
      <x:c r="L125" s="26"/>
      <x:c r="M125" s="26"/>
      <x:c r="N125" s="26"/>
      <x:c r="O125" s="26"/>
      <x:c r="P125" s="26"/>
      <x:c r="Q125" s="26">
        <x:f t="shared" si="3"/>
        <x:v>1</x:v>
      </x:c>
      <x:c r="R125" s="26" t="n">
        <x:f>'Resource Build-Up'!AC124</x:f>
        <x:v>0</x:v>
      </x:c>
      <x:c r="S125" s="26" t="n">
        <x:f>'Resource Build-Up'!AF124</x:f>
        <x:v>0</x:v>
      </x:c>
      <x:c r="T125" s="99"/>
      <x:c r="U125" s="26"/>
      <x:c r="V125" s="26" t="n">
        <x:f>'Resource Build-Up'!AG124</x:f>
        <x:v>0</x:v>
      </x:c>
    </x:row>
    <x:row r="126" ht="32.400001525878906" customHeight="1">
      <x:c r="A126" s="98" t="s">
        <x:v>735</x:v>
      </x:c>
      <x:c r="B126" s="98" t="n">
        <x:f>'Resource Build-Up'!A125</x:f>
        <x:v>0</x:v>
      </x:c>
      <x:c r="C126" s="98" t="n">
        <x:f>'Resource Build-Up'!B125</x:f>
        <x:v>0</x:v>
      </x:c>
      <x:c r="D126" s="26" t="str">
        <x:f>'Resource Build-Up'!C125</x:f>
      </x:c>
      <x:c r="E126" s="26" t="n">
        <x:f>'Resource Build-Up'!H125</x:f>
        <x:v>0</x:v>
      </x:c>
      <x:c r="F126" s="26" t="n">
        <x:f>'Resource Build-Up'!P125</x:f>
        <x:v>0</x:v>
      </x:c>
      <x:c r="G126" s="26" t="n">
        <x:f>'Resource Build-Up'!Q125</x:f>
        <x:v>0</x:v>
      </x:c>
      <x:c r="H126" s="26" t="n">
        <x:f>'Resource Build-Up'!T125</x:f>
        <x:v>0</x:v>
      </x:c>
      <x:c r="I126" s="44" t="n">
        <x:f>'Resource Build-Up'!Y125</x:f>
        <x:v>0</x:v>
      </x:c>
      <x:c r="J126" s="44" t="str">
        <x:f>'Resource Build-Up'!Z125</x:f>
      </x:c>
      <x:c r="K126" s="26"/>
      <x:c r="L126" s="26"/>
      <x:c r="M126" s="26"/>
      <x:c r="N126" s="26"/>
      <x:c r="O126" s="26"/>
      <x:c r="P126" s="26"/>
      <x:c r="Q126" s="26">
        <x:f t="shared" si="3"/>
        <x:v>1</x:v>
      </x:c>
      <x:c r="R126" s="26" t="n">
        <x:f>'Resource Build-Up'!AC125</x:f>
        <x:v>0</x:v>
      </x:c>
      <x:c r="S126" s="26" t="n">
        <x:f>'Resource Build-Up'!AF125</x:f>
        <x:v>0</x:v>
      </x:c>
      <x:c r="T126" s="99"/>
      <x:c r="U126" s="26"/>
      <x:c r="V126" s="26" t="n">
        <x:f>'Resource Build-Up'!AG125</x:f>
        <x:v>0</x:v>
      </x:c>
    </x:row>
    <x:row r="127" ht="32.400001525878906" customHeight="1">
      <x:c r="A127" s="98" t="s">
        <x:v>736</x:v>
      </x:c>
      <x:c r="B127" s="98" t="n">
        <x:f>'Resource Build-Up'!A126</x:f>
        <x:v>0</x:v>
      </x:c>
      <x:c r="C127" s="98" t="n">
        <x:f>'Resource Build-Up'!B126</x:f>
        <x:v>0</x:v>
      </x:c>
      <x:c r="D127" s="26" t="str">
        <x:f>'Resource Build-Up'!C126</x:f>
      </x:c>
      <x:c r="E127" s="26" t="n">
        <x:f>'Resource Build-Up'!H126</x:f>
        <x:v>0</x:v>
      </x:c>
      <x:c r="F127" s="26" t="n">
        <x:f>'Resource Build-Up'!P126</x:f>
        <x:v>0</x:v>
      </x:c>
      <x:c r="G127" s="26" t="n">
        <x:f>'Resource Build-Up'!Q126</x:f>
        <x:v>0</x:v>
      </x:c>
      <x:c r="H127" s="26" t="n">
        <x:f>'Resource Build-Up'!T126</x:f>
        <x:v>0</x:v>
      </x:c>
      <x:c r="I127" s="44" t="n">
        <x:f>'Resource Build-Up'!Y126</x:f>
        <x:v>0</x:v>
      </x:c>
      <x:c r="J127" s="44" t="str">
        <x:f>'Resource Build-Up'!Z126</x:f>
      </x:c>
      <x:c r="K127" s="26"/>
      <x:c r="L127" s="26"/>
      <x:c r="M127" s="26"/>
      <x:c r="N127" s="26"/>
      <x:c r="O127" s="26"/>
      <x:c r="P127" s="26"/>
      <x:c r="Q127" s="26">
        <x:f t="shared" si="3"/>
        <x:v>0</x:v>
      </x:c>
      <x:c r="R127" s="26" t="n">
        <x:f>'Resource Build-Up'!AC126</x:f>
        <x:v>0</x:v>
      </x:c>
      <x:c r="S127" s="26" t="n">
        <x:f>'Resource Build-Up'!AF126</x:f>
        <x:v>0</x:v>
      </x:c>
      <x:c r="T127" s="100"/>
      <x:c r="U127" s="26"/>
      <x:c r="V127" s="26" t="n">
        <x:f>'Resource Build-Up'!AG126</x:f>
        <x:v>0</x:v>
      </x:c>
    </x:row>
    <x:row r="128" ht="32.400001525878906" customHeight="1">
      <x:c r="A128" s="98" t="s">
        <x:v>737</x:v>
      </x:c>
      <x:c r="B128" s="98" t="n">
        <x:f>'Resource Build-Up'!A127</x:f>
        <x:v>0</x:v>
      </x:c>
      <x:c r="C128" s="98" t="n">
        <x:f>'Resource Build-Up'!B127</x:f>
        <x:v>0</x:v>
      </x:c>
      <x:c r="D128" s="26" t="str">
        <x:f>'Resource Build-Up'!C127</x:f>
      </x:c>
      <x:c r="E128" s="26" t="n">
        <x:f>'Resource Build-Up'!H127</x:f>
        <x:v>0</x:v>
      </x:c>
      <x:c r="F128" s="26" t="n">
        <x:f>'Resource Build-Up'!P127</x:f>
        <x:v>0</x:v>
      </x:c>
      <x:c r="G128" s="26" t="n">
        <x:f>'Resource Build-Up'!Q127</x:f>
        <x:v>0</x:v>
      </x:c>
      <x:c r="H128" s="26" t="n">
        <x:f>'Resource Build-Up'!T127</x:f>
        <x:v>0</x:v>
      </x:c>
      <x:c r="I128" s="44" t="n">
        <x:f>'Resource Build-Up'!Y127</x:f>
        <x:v>0</x:v>
      </x:c>
      <x:c r="J128" s="44" t="str">
        <x:f>'Resource Build-Up'!Z127</x:f>
      </x:c>
      <x:c r="K128" s="26"/>
      <x:c r="L128" s="26"/>
      <x:c r="M128" s="26"/>
      <x:c r="N128" s="26"/>
      <x:c r="O128" s="26"/>
      <x:c r="P128" s="26"/>
      <x:c r="Q128" s="26">
        <x:f t="shared" si="3"/>
        <x:v>0</x:v>
      </x:c>
      <x:c r="R128" s="26" t="n">
        <x:f>'Resource Build-Up'!AC127</x:f>
        <x:v>0</x:v>
      </x:c>
      <x:c r="S128" s="26" t="n">
        <x:f>'Resource Build-Up'!AF127</x:f>
        <x:v>0</x:v>
      </x:c>
      <x:c r="T128" s="100"/>
      <x:c r="U128" s="26"/>
      <x:c r="V128" s="26" t="n">
        <x:f>'Resource Build-Up'!AG127</x:f>
        <x:v>0</x:v>
      </x:c>
    </x:row>
    <x:row r="129" ht="32.400001525878906" customHeight="1">
      <x:c r="A129" s="98" t="s">
        <x:v>738</x:v>
      </x:c>
      <x:c r="B129" s="98" t="n">
        <x:f>'Resource Build-Up'!A128</x:f>
        <x:v>0</x:v>
      </x:c>
      <x:c r="C129" s="98" t="n">
        <x:f>'Resource Build-Up'!B128</x:f>
        <x:v>0</x:v>
      </x:c>
      <x:c r="D129" s="26" t="str">
        <x:f>'Resource Build-Up'!C128</x:f>
      </x:c>
      <x:c r="E129" s="26" t="n">
        <x:f>'Resource Build-Up'!H128</x:f>
        <x:v>0</x:v>
      </x:c>
      <x:c r="F129" s="26" t="n">
        <x:f>'Resource Build-Up'!P128</x:f>
        <x:v>0</x:v>
      </x:c>
      <x:c r="G129" s="26" t="n">
        <x:f>'Resource Build-Up'!Q128</x:f>
        <x:v>0</x:v>
      </x:c>
      <x:c r="H129" s="26" t="n">
        <x:f>'Resource Build-Up'!T128</x:f>
        <x:v>0</x:v>
      </x:c>
      <x:c r="I129" s="44" t="n">
        <x:f>'Resource Build-Up'!Y128</x:f>
        <x:v>0</x:v>
      </x:c>
      <x:c r="J129" s="44" t="str">
        <x:f>'Resource Build-Up'!Z128</x:f>
      </x:c>
      <x:c r="K129" s="26"/>
      <x:c r="L129" s="26"/>
      <x:c r="M129" s="26"/>
      <x:c r="N129" s="26"/>
      <x:c r="O129" s="26"/>
      <x:c r="P129" s="26"/>
      <x:c r="Q129" s="26">
        <x:f t="shared" si="3"/>
        <x:v>0</x:v>
      </x:c>
      <x:c r="R129" s="26" t="n">
        <x:f>'Resource Build-Up'!AC128</x:f>
        <x:v>0</x:v>
      </x:c>
      <x:c r="S129" s="26" t="n">
        <x:f>'Resource Build-Up'!AF128</x:f>
        <x:v>0</x:v>
      </x:c>
      <x:c r="T129" s="100"/>
      <x:c r="U129" s="26"/>
      <x:c r="V129" s="26" t="n">
        <x:f>'Resource Build-Up'!AG128</x:f>
        <x:v>0</x:v>
      </x:c>
    </x:row>
    <x:row r="130" ht="32.400001525878906" customHeight="1">
      <x:c r="A130" s="98" t="s">
        <x:v>739</x:v>
      </x:c>
      <x:c r="B130" s="98" t="n">
        <x:f>'Resource Build-Up'!A129</x:f>
        <x:v>0</x:v>
      </x:c>
      <x:c r="C130" s="98" t="n">
        <x:f>'Resource Build-Up'!B129</x:f>
        <x:v>0</x:v>
      </x:c>
      <x:c r="D130" s="26" t="str">
        <x:f>'Resource Build-Up'!C129</x:f>
      </x:c>
      <x:c r="E130" s="26" t="n">
        <x:f>'Resource Build-Up'!H129</x:f>
        <x:v>0</x:v>
      </x:c>
      <x:c r="F130" s="26" t="n">
        <x:f>'Resource Build-Up'!P129</x:f>
        <x:v>0</x:v>
      </x:c>
      <x:c r="G130" s="26" t="n">
        <x:f>'Resource Build-Up'!Q129</x:f>
        <x:v>0</x:v>
      </x:c>
      <x:c r="H130" s="26" t="n">
        <x:f>'Resource Build-Up'!T129</x:f>
        <x:v>0</x:v>
      </x:c>
      <x:c r="I130" s="44" t="n">
        <x:f>'Resource Build-Up'!Y129</x:f>
        <x:v>0</x:v>
      </x:c>
      <x:c r="J130" s="44" t="str">
        <x:f>'Resource Build-Up'!Z129</x:f>
      </x:c>
      <x:c r="K130" s="26"/>
      <x:c r="L130" s="26"/>
      <x:c r="M130" s="26"/>
      <x:c r="N130" s="26"/>
      <x:c r="O130" s="26"/>
      <x:c r="P130" s="26"/>
      <x:c r="Q130" s="26">
        <x:f t="shared" si="3"/>
        <x:v>0</x:v>
      </x:c>
      <x:c r="R130" s="26" t="n">
        <x:f>'Resource Build-Up'!AC129</x:f>
        <x:v>0</x:v>
      </x:c>
      <x:c r="S130" s="26" t="n">
        <x:f>'Resource Build-Up'!AF129</x:f>
        <x:v>0</x:v>
      </x:c>
      <x:c r="T130" s="100"/>
      <x:c r="U130" s="26"/>
      <x:c r="V130" s="26" t="n">
        <x:f>'Resource Build-Up'!AG129</x:f>
        <x:v>0</x:v>
      </x:c>
    </x:row>
    <x:row r="131" ht="32.400001525878906" customHeight="1">
      <x:c r="A131" s="98" t="s">
        <x:v>740</x:v>
      </x:c>
      <x:c r="B131" s="98" t="n">
        <x:f>'Resource Build-Up'!A130</x:f>
        <x:v>0</x:v>
      </x:c>
      <x:c r="C131" s="98" t="n">
        <x:f>'Resource Build-Up'!B130</x:f>
        <x:v>0</x:v>
      </x:c>
      <x:c r="D131" s="26" t="str">
        <x:f>'Resource Build-Up'!C130</x:f>
      </x:c>
      <x:c r="E131" s="26" t="n">
        <x:f>'Resource Build-Up'!H130</x:f>
        <x:v>0</x:v>
      </x:c>
      <x:c r="F131" s="26" t="n">
        <x:f>'Resource Build-Up'!P130</x:f>
        <x:v>0</x:v>
      </x:c>
      <x:c r="G131" s="26" t="n">
        <x:f>'Resource Build-Up'!Q130</x:f>
        <x:v>0</x:v>
      </x:c>
      <x:c r="H131" s="26" t="n">
        <x:f>'Resource Build-Up'!T130</x:f>
        <x:v>0</x:v>
      </x:c>
      <x:c r="I131" s="44" t="n">
        <x:f>'Resource Build-Up'!Y130</x:f>
        <x:v>0</x:v>
      </x:c>
      <x:c r="J131" s="44" t="str">
        <x:f>'Resource Build-Up'!Z130</x:f>
      </x:c>
      <x:c r="K131" s="26"/>
      <x:c r="L131" s="26"/>
      <x:c r="M131" s="26"/>
      <x:c r="N131" s="26"/>
      <x:c r="O131" s="26"/>
      <x:c r="P131" s="26"/>
      <x:c r="Q131" s="26">
        <x:f t="shared" si="3"/>
        <x:v>2</x:v>
      </x:c>
      <x:c r="R131" s="26" t="n">
        <x:f>'Resource Build-Up'!AC130</x:f>
        <x:v>0</x:v>
      </x:c>
      <x:c r="S131" s="26" t="n">
        <x:f>'Resource Build-Up'!AF130</x:f>
        <x:v>0</x:v>
      </x:c>
      <x:c r="T131" s="99"/>
      <x:c r="U131" s="26"/>
      <x:c r="V131" s="26" t="n">
        <x:f>'Resource Build-Up'!AG130</x:f>
        <x:v>0</x:v>
      </x:c>
    </x:row>
    <x:row r="132" ht="32.400001525878906" customHeight="1">
      <x:c r="A132" s="98" t="s">
        <x:v>741</x:v>
      </x:c>
      <x:c r="B132" s="98" t="n">
        <x:f>'Resource Build-Up'!A131</x:f>
        <x:v>0</x:v>
      </x:c>
      <x:c r="C132" s="98" t="n">
        <x:f>'Resource Build-Up'!B131</x:f>
        <x:v>0</x:v>
      </x:c>
      <x:c r="D132" s="26" t="str">
        <x:f>'Resource Build-Up'!C131</x:f>
      </x:c>
      <x:c r="E132" s="26" t="n">
        <x:f>'Resource Build-Up'!H131</x:f>
        <x:v>0</x:v>
      </x:c>
      <x:c r="F132" s="26" t="n">
        <x:f>'Resource Build-Up'!P131</x:f>
        <x:v>0</x:v>
      </x:c>
      <x:c r="G132" s="26" t="n">
        <x:f>'Resource Build-Up'!Q131</x:f>
        <x:v>0</x:v>
      </x:c>
      <x:c r="H132" s="26" t="n">
        <x:f>'Resource Build-Up'!T131</x:f>
        <x:v>0</x:v>
      </x:c>
      <x:c r="I132" s="44" t="n">
        <x:f>'Resource Build-Up'!Y131</x:f>
        <x:v>0</x:v>
      </x:c>
      <x:c r="J132" s="44" t="str">
        <x:f>'Resource Build-Up'!Z131</x:f>
      </x:c>
      <x:c r="K132" s="26"/>
      <x:c r="L132" s="26"/>
      <x:c r="M132" s="26"/>
      <x:c r="N132" s="26"/>
      <x:c r="O132" s="26"/>
      <x:c r="P132" s="26"/>
      <x:c r="Q132" s="26">
        <x:f t="shared" si="3"/>
        <x:v>0</x:v>
      </x:c>
      <x:c r="R132" s="26" t="n">
        <x:f>'Resource Build-Up'!AC131</x:f>
        <x:v>0</x:v>
      </x:c>
      <x:c r="S132" s="26" t="n">
        <x:f>'Resource Build-Up'!AF131</x:f>
        <x:v>0</x:v>
      </x:c>
      <x:c r="T132" s="100"/>
      <x:c r="U132" s="26"/>
      <x:c r="V132" s="26" t="n">
        <x:f>'Resource Build-Up'!AG131</x:f>
        <x:v>0</x:v>
      </x:c>
    </x:row>
    <x:row r="133" ht="32.400001525878906" customHeight="1">
      <x:c r="A133" s="98" t="s">
        <x:v>742</x:v>
      </x:c>
      <x:c r="B133" s="98" t="n">
        <x:f>'Resource Build-Up'!A132</x:f>
        <x:v>0</x:v>
      </x:c>
      <x:c r="C133" s="98" t="n">
        <x:f>'Resource Build-Up'!B132</x:f>
        <x:v>0</x:v>
      </x:c>
      <x:c r="D133" s="26" t="str">
        <x:f>'Resource Build-Up'!C132</x:f>
      </x:c>
      <x:c r="E133" s="26" t="n">
        <x:f>'Resource Build-Up'!H132</x:f>
        <x:v>0</x:v>
      </x:c>
      <x:c r="F133" s="26" t="n">
        <x:f>'Resource Build-Up'!P132</x:f>
        <x:v>0</x:v>
      </x:c>
      <x:c r="G133" s="26" t="n">
        <x:f>'Resource Build-Up'!Q132</x:f>
        <x:v>0</x:v>
      </x:c>
      <x:c r="H133" s="26" t="n">
        <x:f>'Resource Build-Up'!T132</x:f>
        <x:v>0</x:v>
      </x:c>
      <x:c r="I133" s="44" t="n">
        <x:f>'Resource Build-Up'!Y132</x:f>
        <x:v>0</x:v>
      </x:c>
      <x:c r="J133" s="44" t="str">
        <x:f>'Resource Build-Up'!Z132</x:f>
      </x:c>
      <x:c r="K133" s="26"/>
      <x:c r="L133" s="26"/>
      <x:c r="M133" s="26"/>
      <x:c r="N133" s="26"/>
      <x:c r="O133" s="26"/>
      <x:c r="P133" s="26"/>
      <x:c r="Q133" s="26">
        <x:f t="shared" si="3"/>
        <x:v>1</x:v>
      </x:c>
      <x:c r="R133" s="26" t="n">
        <x:f>'Resource Build-Up'!AC132</x:f>
        <x:v>0</x:v>
      </x:c>
      <x:c r="S133" s="26" t="n">
        <x:f>'Resource Build-Up'!AF132</x:f>
        <x:v>0</x:v>
      </x:c>
      <x:c r="T133" s="99"/>
      <x:c r="U133" s="26"/>
      <x:c r="V133" s="26" t="n">
        <x:f>'Resource Build-Up'!AG132</x:f>
        <x:v>0</x:v>
      </x:c>
    </x:row>
    <x:row r="134" ht="32.400001525878906" customHeight="1">
      <x:c r="A134" s="98" t="s">
        <x:v>743</x:v>
      </x:c>
      <x:c r="B134" s="98" t="n">
        <x:f>'Resource Build-Up'!A133</x:f>
        <x:v>0</x:v>
      </x:c>
      <x:c r="C134" s="98" t="n">
        <x:f>'Resource Build-Up'!B133</x:f>
        <x:v>0</x:v>
      </x:c>
      <x:c r="D134" s="26" t="str">
        <x:f>'Resource Build-Up'!C133</x:f>
      </x:c>
      <x:c r="E134" s="26" t="n">
        <x:f>'Resource Build-Up'!H133</x:f>
        <x:v>0</x:v>
      </x:c>
      <x:c r="F134" s="26" t="n">
        <x:f>'Resource Build-Up'!P133</x:f>
        <x:v>0</x:v>
      </x:c>
      <x:c r="G134" s="26" t="n">
        <x:f>'Resource Build-Up'!Q133</x:f>
        <x:v>0</x:v>
      </x:c>
      <x:c r="H134" s="26" t="n">
        <x:f>'Resource Build-Up'!T133</x:f>
        <x:v>0</x:v>
      </x:c>
      <x:c r="I134" s="44" t="n">
        <x:f>'Resource Build-Up'!Y133</x:f>
        <x:v>0</x:v>
      </x:c>
      <x:c r="J134" s="44" t="str">
        <x:f>'Resource Build-Up'!Z133</x:f>
      </x:c>
      <x:c r="K134" s="26"/>
      <x:c r="L134" s="26"/>
      <x:c r="M134" s="26"/>
      <x:c r="N134" s="26"/>
      <x:c r="O134" s="26"/>
      <x:c r="P134" s="26"/>
      <x:c r="Q134" s="26">
        <x:f t="shared" si="3"/>
        <x:v>1</x:v>
      </x:c>
      <x:c r="R134" s="26" t="n">
        <x:f>'Resource Build-Up'!AC133</x:f>
        <x:v>0</x:v>
      </x:c>
      <x:c r="S134" s="26" t="n">
        <x:f>'Resource Build-Up'!AF133</x:f>
        <x:v>0</x:v>
      </x:c>
      <x:c r="T134" s="99"/>
      <x:c r="U134" s="26"/>
      <x:c r="V134" s="26" t="n">
        <x:f>'Resource Build-Up'!AG133</x:f>
        <x:v>0</x:v>
      </x:c>
    </x:row>
    <x:row r="135" ht="32.400001525878906" customHeight="1">
      <x:c r="A135" s="98" t="s">
        <x:v>744</x:v>
      </x:c>
      <x:c r="B135" s="98" t="n">
        <x:f>'Resource Build-Up'!A134</x:f>
        <x:v>0</x:v>
      </x:c>
      <x:c r="C135" s="98" t="n">
        <x:f>'Resource Build-Up'!B134</x:f>
        <x:v>0</x:v>
      </x:c>
      <x:c r="D135" s="26" t="str">
        <x:f>'Resource Build-Up'!C134</x:f>
      </x:c>
      <x:c r="E135" s="26" t="n">
        <x:f>'Resource Build-Up'!H134</x:f>
        <x:v>0</x:v>
      </x:c>
      <x:c r="F135" s="26" t="n">
        <x:f>'Resource Build-Up'!P134</x:f>
        <x:v>0</x:v>
      </x:c>
      <x:c r="G135" s="26" t="n">
        <x:f>'Resource Build-Up'!Q134</x:f>
        <x:v>0</x:v>
      </x:c>
      <x:c r="H135" s="26" t="n">
        <x:f>'Resource Build-Up'!T134</x:f>
        <x:v>0</x:v>
      </x:c>
      <x:c r="I135" s="44" t="n">
        <x:f>'Resource Build-Up'!Y134</x:f>
        <x:v>0</x:v>
      </x:c>
      <x:c r="J135" s="44" t="str">
        <x:f>'Resource Build-Up'!Z134</x:f>
      </x:c>
      <x:c r="K135" s="26"/>
      <x:c r="L135" s="26"/>
      <x:c r="M135" s="26"/>
      <x:c r="N135" s="26"/>
      <x:c r="O135" s="26"/>
      <x:c r="P135" s="26"/>
      <x:c r="Q135" s="26">
        <x:f t="shared" si="3"/>
        <x:v>0</x:v>
      </x:c>
      <x:c r="R135" s="26" t="n">
        <x:f>'Resource Build-Up'!AC134</x:f>
        <x:v>0</x:v>
      </x:c>
      <x:c r="S135" s="26" t="n">
        <x:f>'Resource Build-Up'!AF134</x:f>
        <x:v>0</x:v>
      </x:c>
      <x:c r="T135" s="100"/>
      <x:c r="U135" s="26"/>
      <x:c r="V135" s="26" t="n">
        <x:f>'Resource Build-Up'!AG134</x:f>
        <x:v>0</x:v>
      </x:c>
    </x:row>
    <x:row r="136" ht="32.400001525878906" customHeight="1">
      <x:c r="A136" s="98" t="s">
        <x:v>745</x:v>
      </x:c>
      <x:c r="B136" s="98" t="n">
        <x:f>'Resource Build-Up'!A135</x:f>
        <x:v>0</x:v>
      </x:c>
      <x:c r="C136" s="98" t="n">
        <x:f>'Resource Build-Up'!B135</x:f>
        <x:v>0</x:v>
      </x:c>
      <x:c r="D136" s="26" t="str">
        <x:f>'Resource Build-Up'!C135</x:f>
      </x:c>
      <x:c r="E136" s="26" t="n">
        <x:f>'Resource Build-Up'!H135</x:f>
        <x:v>0</x:v>
      </x:c>
      <x:c r="F136" s="26" t="n">
        <x:f>'Resource Build-Up'!P135</x:f>
        <x:v>0</x:v>
      </x:c>
      <x:c r="G136" s="26" t="n">
        <x:f>'Resource Build-Up'!Q135</x:f>
        <x:v>0</x:v>
      </x:c>
      <x:c r="H136" s="26" t="n">
        <x:f>'Resource Build-Up'!T135</x:f>
        <x:v>0</x:v>
      </x:c>
      <x:c r="I136" s="44" t="n">
        <x:f>'Resource Build-Up'!Y135</x:f>
        <x:v>0</x:v>
      </x:c>
      <x:c r="J136" s="44" t="str">
        <x:f>'Resource Build-Up'!Z135</x:f>
      </x:c>
      <x:c r="K136" s="26"/>
      <x:c r="L136" s="26"/>
      <x:c r="M136" s="26"/>
      <x:c r="N136" s="26"/>
      <x:c r="O136" s="26"/>
      <x:c r="P136" s="26"/>
      <x:c r="Q136" s="26" t="n">
        <x:f t="shared" ref="Q136" si="4">COUNTIF(L136,"PASS")+COUNTIF(N136,"PASS")+COUNTIF(P136,"PASS")</x:f>
        <x:v>0</x:v>
      </x:c>
      <x:c r="R136" s="26" t="n">
        <x:f>'Resource Build-Up'!AC135</x:f>
        <x:v>0</x:v>
      </x:c>
      <x:c r="S136" s="26" t="n">
        <x:f>'Resource Build-Up'!AF135</x:f>
        <x:v>0</x:v>
      </x:c>
      <x:c r="T136" s="99"/>
      <x:c r="U136" s="26"/>
      <x:c r="V136" s="26" t="n">
        <x:f>'Resource Build-Up'!AG135</x:f>
        <x:v>0</x:v>
      </x:c>
    </x:row>
  </x:sheetData>
  <x:mergeCells>
    <x:mergeCell ref="A1:V1"/>
    <x:mergeCell ref="A2:V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3.800000190734863"/>
  <x:cols>
    <x:col min="1" max="1" width="10" customWidth="1"/>
    <x:col min="2" max="2" width="9" customWidth="1"/>
    <x:col min="3" max="3" width="36.5" customWidth="1"/>
    <x:col min="4" max="4" width="10" customWidth="1"/>
    <x:col min="5" max="5" width="68.59765625" customWidth="1"/>
    <x:col min="6" max="6" width="12" customWidth="1"/>
    <x:col min="7" max="7" width="10" customWidth="1"/>
    <x:col min="8" max="8" width="15" customWidth="1"/>
    <x:col min="9" max="10" width="16" customWidth="1"/>
    <x:col min="11" max="11" width="15" customWidth="1"/>
    <x:col min="12" max="12" width="17" customWidth="1"/>
    <x:col min="13" max="13" width="15" customWidth="1"/>
    <x:col min="14" max="14" width="13" customWidth="1"/>
    <x:col min="15" max="15" width="86.59765625" customWidth="1"/>
    <x:col min="16" max="16" width="28" customWidth="1"/>
    <x:col min="17" max="17" width="16" customWidth="1"/>
    <x:col min="18" max="18" width="65.5" customWidth="1"/>
    <x:col min="19" max="19" width="44.296875" customWidth="1"/>
    <x:col min="20" max="20" width="15" customWidth="1"/>
    <x:col min="21" max="21" width="12" customWidth="1"/>
    <x:col min="22" max="22" width="16" customWidth="1"/>
    <x:col min="23" max="23" width="14" customWidth="1"/>
    <x:col min="24" max="24" width="44" customWidth="1"/>
  </x:cols>
  <x:sheetData>
    <x:row r="1" ht="34.79999923706055" customHeight="1">
      <x:c r="A1" s="236" t="str">
        <x:v>PROGRAMME BUILD-UP &amp; MICROSOFT PROJECT EXPORT - MASTER ESTIMATE WORKBOOK REV4</x:v>
      </x:c>
      <x:c r="B1" s="236"/>
      <x:c r="C1" s="236"/>
      <x:c r="D1" s="236"/>
      <x:c r="E1" s="236"/>
      <x:c r="F1" s="236"/>
      <x:c r="G1" s="236"/>
      <x:c r="H1" s="236"/>
      <x:c r="I1" s="236"/>
      <x:c r="J1" s="236"/>
      <x:c r="K1" s="236"/>
      <x:c r="L1" s="236"/>
      <x:c r="M1" s="236"/>
      <x:c r="N1" s="236"/>
      <x:c r="O1" s="236"/>
      <x:c r="P1" s="236"/>
      <x:c r="Q1" s="236"/>
      <x:c r="R1" s="236"/>
      <x:c r="S1" s="236"/>
      <x:c r="T1" s="236"/>
      <x:c r="U1" s="236"/>
      <x:c r="V1" s="236"/>
      <x:c r="W1" s="236"/>
      <x:c r="X1" s="236"/>
    </x:row>
    <x:row r="2" s="3" customFormat="1" ht="34.79999923706055" customHeight="1">
      <x:c r="A2" s="238" t="str">
        <x:v>Programme durations derive from Resource Build-Up quantity/productivity unless an explicit programme override is entered. Set the current project calendar, start date, holidays, shutdowns and work fronts before issue.</x:v>
      </x:c>
      <x:c r="B2" s="238"/>
      <x:c r="C2" s="238"/>
      <x:c r="D2" s="238"/>
      <x:c r="E2" s="238"/>
      <x:c r="F2" s="238"/>
      <x:c r="G2" s="238"/>
      <x:c r="H2" s="238"/>
      <x:c r="I2" s="238"/>
      <x:c r="J2" s="238"/>
      <x:c r="K2" s="238"/>
      <x:c r="L2" s="238"/>
      <x:c r="M2" s="238"/>
      <x:c r="N2" s="238"/>
      <x:c r="O2" s="238"/>
      <x:c r="P2" s="238"/>
      <x:c r="Q2" s="238"/>
      <x:c r="R2" s="238"/>
      <x:c r="S2" s="238"/>
      <x:c r="T2" s="238"/>
      <x:c r="U2" s="238"/>
      <x:c r="V2" s="238"/>
      <x:c r="W2" s="238"/>
      <x:c r="X2" s="238"/>
    </x:row>
    <x:row r="3" s="3" customFormat="1" ht="34.79999923706055" customHeight="1">
      <x:c r="A3" s="239" t="str">
        <x:v>MS Project: import Tasks and map Name, Duration, Predecessors, Fixed Cost, Text fields, Notes, Task Mode and Fixed Cost Accrual. Do not also import the same resource costs when Fixed Cost is used, or costs will double.</x:v>
      </x:c>
      <x:c r="B3" s="239"/>
      <x:c r="C3" s="239"/>
      <x:c r="D3" s="239"/>
      <x:c r="E3" s="239"/>
      <x:c r="F3" s="239"/>
      <x:c r="G3" s="239"/>
      <x:c r="H3" s="239"/>
      <x:c r="I3" s="239"/>
      <x:c r="J3" s="239"/>
      <x:c r="K3" s="239"/>
      <x:c r="L3" s="239"/>
      <x:c r="M3" s="239"/>
      <x:c r="N3" s="239"/>
      <x:c r="O3" s="239"/>
      <x:c r="P3" s="239"/>
      <x:c r="Q3" s="239"/>
      <x:c r="R3" s="239"/>
      <x:c r="S3" s="239"/>
      <x:c r="T3" s="239"/>
      <x:c r="U3" s="239"/>
      <x:c r="V3" s="239"/>
      <x:c r="W3" s="239"/>
      <x:c r="X3" s="239"/>
    </x:row>
    <x:row r="4" s="3" customFormat="1" ht="34.79999923706055" customHeight="1">
      <x:c r="A4" s="240" t="s">
        <x:v>746</x:v>
      </x:c>
      <x:c r="B4" s="240"/>
      <x:c r="C4" s="240"/>
      <x:c r="D4" s="240"/>
      <x:c r="E4" s="240"/>
      <x:c r="F4" s="240"/>
      <x:c r="G4" s="240"/>
      <x:c r="H4" s="240"/>
      <x:c r="I4" s="240"/>
      <x:c r="J4" s="240"/>
      <x:c r="K4" s="240"/>
      <x:c r="L4" s="240"/>
      <x:c r="M4" s="240"/>
      <x:c r="N4" s="240"/>
      <x:c r="O4" s="240"/>
      <x:c r="P4" s="240"/>
      <x:c r="Q4" s="240"/>
      <x:c r="R4" s="240"/>
      <x:c r="S4" s="240"/>
      <x:c r="T4" s="240"/>
      <x:c r="U4" s="240"/>
      <x:c r="V4" s="240"/>
      <x:c r="W4" s="240"/>
      <x:c r="X4" s="240"/>
    </x:row>
    <x:row r="5" s="3" customFormat="1" ht="34.79999923706055" customHeight="1">
      <x:c r="A5" s="241" t="str">
        <x:v>PROGRAMME RECONCILIATION: J takes the largest linked Resource Build-Up applied duration for each QS code using AGGREGATE; K converts hours to working days; M uses a stated Programme Override where entered otherwise the derived duration. Reconcile critical path, elapsed duration and time-related costs before issue.</x:v>
      </x:c>
      <x:c r="B5" s="241"/>
      <x:c r="C5" s="241"/>
      <x:c r="D5" s="241"/>
      <x:c r="E5" s="241"/>
      <x:c r="F5" s="241"/>
      <x:c r="G5" s="241"/>
      <x:c r="H5" s="241"/>
      <x:c r="I5" s="241"/>
      <x:c r="J5" s="241"/>
      <x:c r="K5" s="241"/>
      <x:c r="L5" s="241"/>
      <x:c r="M5" s="241"/>
      <x:c r="N5" s="241"/>
      <x:c r="O5" s="241"/>
      <x:c r="P5" s="241"/>
      <x:c r="Q5" s="241"/>
      <x:c r="R5" s="241"/>
      <x:c r="S5" s="241"/>
      <x:c r="T5" s="241"/>
      <x:c r="U5" s="241"/>
      <x:c r="V5" s="241"/>
      <x:c r="W5" s="241"/>
      <x:c r="X5" s="241"/>
    </x:row>
    <x:row r="6" s="3" customFormat="1" ht="42" customHeight="1">
      <x:c r="A6" s="184" t="s">
        <x:v>747</x:v>
      </x:c>
      <x:c r="B6" s="184" t="s">
        <x:v>748</x:v>
      </x:c>
      <x:c r="C6" s="184" t="s">
        <x:v>567</x:v>
      </x:c>
      <x:c r="D6" s="184" t="s">
        <x:v>566</x:v>
      </x:c>
      <x:c r="E6" s="184" t="s">
        <x:v>749</x:v>
      </x:c>
      <x:c r="F6" s="184" t="s">
        <x:v>95</x:v>
      </x:c>
      <x:c r="G6" s="184" t="s">
        <x:v>96</x:v>
      </x:c>
      <x:c r="H6" s="184" t="s">
        <x:v>750</x:v>
      </x:c>
      <x:c r="I6" s="184" t="s">
        <x:v>751</x:v>
      </x:c>
      <x:c r="J6" s="184" t="s">
        <x:v>752</x:v>
      </x:c>
      <x:c r="K6" s="184" t="s">
        <x:v>753</x:v>
      </x:c>
      <x:c r="L6" s="184" t="s">
        <x:v>754</x:v>
      </x:c>
      <x:c r="M6" s="184" t="s">
        <x:v>755</x:v>
      </x:c>
      <x:c r="N6" s="184" t="s">
        <x:v>756</x:v>
      </x:c>
      <x:c r="O6" s="184" t="s">
        <x:v>757</x:v>
      </x:c>
      <x:c r="P6" s="184" t="s">
        <x:v>758</x:v>
      </x:c>
      <x:c r="Q6" s="184" t="s">
        <x:v>759</x:v>
      </x:c>
      <x:c r="R6" s="184" t="s">
        <x:v>760</x:v>
      </x:c>
      <x:c r="S6" s="184" t="s">
        <x:v>761</x:v>
      </x:c>
      <x:c r="T6" s="184" t="s">
        <x:v>762</x:v>
      </x:c>
      <x:c r="U6" s="184" t="s">
        <x:v>763</x:v>
      </x:c>
      <x:c r="V6" s="184" t="s">
        <x:v>764</x:v>
      </x:c>
      <x:c r="W6" s="184" t="s">
        <x:v>765</x:v>
      </x:c>
      <x:c r="X6" s="184" t="s">
        <x:v>86</x:v>
      </x:c>
    </x:row>
    <x:row r="7" s="3" customFormat="1" ht="52.79999923706055" customHeight="1">
      <x:c r="A7" s="30">
        <x:v>1</x:v>
      </x:c>
      <x:c r="B7" s="30">
        <x:v>3</x:v>
      </x:c>
      <x:c r="C7" s="106" t="n">
        <x:f>'QS Takeoff'!A3</x:f>
        <x:v>0</x:v>
      </x:c>
      <x:c r="D7" s="106" t="n">
        <x:f>'QS Takeoff'!B3</x:f>
        <x:v>0</x:v>
      </x:c>
      <x:c r="E7" s="106" t="n">
        <x:f>'QS Takeoff'!C3</x:f>
        <x:v>0</x:v>
      </x:c>
      <x:c r="F7" s="106" t="n">
        <x:f>'QS Takeoff'!E3</x:f>
        <x:v>0</x:v>
      </x:c>
      <x:c r="G7" s="106" t="n">
        <x:f>'QS Takeoff'!D3</x:f>
        <x:v>0</x:v>
      </x:c>
      <x:c r="H7" s="185" t="n">
        <x:f>'QS Takeoff'!G3</x:f>
        <x:v>0</x:v>
      </x:c>
      <x:c r="I7" s="185" t="n">
        <x:f>SUMIF('Resource Build-Up'!$B$7:$B$306,D7,'Resource Build-Up'!$Z$7:$Z$306)</x:f>
        <x:v>0</x:v>
      </x:c>
      <x:c r="J7" s="186" t="n">
        <x:f ca="1">IFERROR(AGGREGATE(14,6,'Resource Build-Up'!$M$7:$M$306/('Resource Build-Up'!$B$7:$B$306=D7),1),0)</x:f>
        <x:v>0</x:v>
      </x:c>
      <x:c r="K7" s="186" t="str">
        <x:f t="shared" ref="K7:K38" ca="1" si="0">IF(J7=0,"",ROUNDUP(J7/8,0))</x:f>
      </x:c>
      <x:c r="L7" s="187"/>
      <x:c r="M7" s="186" t="str">
        <x:f t="shared" ref="M7:M38" si="1">IF(L7&lt;&gt;"",L7,K7)</x:f>
      </x:c>
      <x:c r="N7" s="188" t="str">
        <x:f t="shared" ref="N7:N38" si="2">IF(M7="","",TEXT(M7,"0")&amp;" days")</x:f>
      </x:c>
      <x:c r="O7" s="106"/>
      <x:c r="P7" s="106"/>
      <x:c r="Q7" s="106"/>
      <x:c r="R7" s="106"/>
      <x:c r="S7" s="189"/>
      <x:c r="T7" s="130" t="n">
        <x:f t="shared" ref="T7:T38" si="3">I7-H7</x:f>
        <x:v>0</x:v>
      </x:c>
      <x:c r="U7" s="106" t="str">
        <x:f t="shared" ref="U7:U38" si="4">IF(ABS(T7)&lt;0.01,"OK","CHECK")</x:f>
        <x:v>OK</x:v>
      </x:c>
      <x:c r="V7" s="106" t="str">
        <x:v>Auto Scheduled</x:v>
      </x:c>
      <x:c r="W7" s="106" t="str">
        <x:v>Prorated</x:v>
      </x:c>
      <x:c r="X7" s="106"/>
    </x:row>
    <x:row r="8" s="3" customFormat="1" ht="52.79999923706055" customHeight="1">
      <x:c r="A8" s="30">
        <x:v>2</x:v>
      </x:c>
      <x:c r="B8" s="30">
        <x:v>4</x:v>
      </x:c>
      <x:c r="C8" s="106" t="n">
        <x:f>'QS Takeoff'!A4</x:f>
        <x:v>0</x:v>
      </x:c>
      <x:c r="D8" s="106" t="n">
        <x:f>'QS Takeoff'!B4</x:f>
        <x:v>0</x:v>
      </x:c>
      <x:c r="E8" s="106" t="n">
        <x:f>'QS Takeoff'!C4</x:f>
        <x:v>0</x:v>
      </x:c>
      <x:c r="F8" s="106" t="n">
        <x:f>'QS Takeoff'!E4</x:f>
        <x:v>0</x:v>
      </x:c>
      <x:c r="G8" s="106" t="n">
        <x:f>'QS Takeoff'!D4</x:f>
        <x:v>0</x:v>
      </x:c>
      <x:c r="H8" s="185" t="n">
        <x:f>'QS Takeoff'!G4</x:f>
        <x:v>0</x:v>
      </x:c>
      <x:c r="I8" s="185" t="n">
        <x:f>SUMIF('Resource Build-Up'!$B$7:$B$306,D8,'Resource Build-Up'!$Z$7:$Z$306)</x:f>
        <x:v>0</x:v>
      </x:c>
      <x:c r="J8" s="186" t="n">
        <x:f ca="1">IFERROR(AGGREGATE(14,6,'Resource Build-Up'!$M$7:$M$306/('Resource Build-Up'!$B$7:$B$306=D8),1),0)</x:f>
        <x:v>0</x:v>
      </x:c>
      <x:c r="K8" s="186" t="str">
        <x:f t="shared" ca="1" si="0">IF(J8=0,"",ROUNDUP(J8/8,0))</x:f>
      </x:c>
      <x:c r="L8" s="187"/>
      <x:c r="M8" s="186" t="str">
        <x:f t="shared" si="1">IF(L8&lt;&gt;"",L8,K8)</x:f>
      </x:c>
      <x:c r="N8" s="188" t="str">
        <x:f t="shared" si="2">IF(M8="","",TEXT(M8,"0")&amp;" days")</x:f>
      </x:c>
      <x:c r="O8" s="106"/>
      <x:c r="P8" s="106"/>
      <x:c r="Q8" s="106"/>
      <x:c r="R8" s="106"/>
      <x:c r="S8" s="189"/>
      <x:c r="T8" s="130" t="n">
        <x:f t="shared" si="3">I8-H8</x:f>
        <x:v>0</x:v>
      </x:c>
      <x:c r="U8" s="106" t="str">
        <x:f t="shared" si="4">IF(ABS(T8)&lt;0.01,"OK","CHECK")</x:f>
        <x:v>OK</x:v>
      </x:c>
      <x:c r="V8" s="106" t="str">
        <x:v>Auto Scheduled</x:v>
      </x:c>
      <x:c r="W8" s="106" t="str">
        <x:v>Prorated</x:v>
      </x:c>
      <x:c r="X8" s="106"/>
    </x:row>
    <x:row r="9" s="3" customFormat="1" ht="52.79999923706055" customHeight="1">
      <x:c r="A9" s="30">
        <x:v>3</x:v>
      </x:c>
      <x:c r="B9" s="30">
        <x:v>5</x:v>
      </x:c>
      <x:c r="C9" s="106" t="n">
        <x:f>'QS Takeoff'!A5</x:f>
        <x:v>0</x:v>
      </x:c>
      <x:c r="D9" s="106" t="n">
        <x:f>'QS Takeoff'!B5</x:f>
        <x:v>0</x:v>
      </x:c>
      <x:c r="E9" s="106" t="n">
        <x:f>'QS Takeoff'!C5</x:f>
        <x:v>0</x:v>
      </x:c>
      <x:c r="F9" s="106" t="n">
        <x:f>'QS Takeoff'!E5</x:f>
        <x:v>0</x:v>
      </x:c>
      <x:c r="G9" s="106" t="n">
        <x:f>'QS Takeoff'!D5</x:f>
        <x:v>0</x:v>
      </x:c>
      <x:c r="H9" s="185" t="n">
        <x:f>'QS Takeoff'!G5</x:f>
        <x:v>0</x:v>
      </x:c>
      <x:c r="I9" s="185" t="n">
        <x:f>SUMIF('Resource Build-Up'!$B$7:$B$306,D9,'Resource Build-Up'!$Z$7:$Z$306)</x:f>
        <x:v>0</x:v>
      </x:c>
      <x:c r="J9" s="186" t="n">
        <x:f ca="1">IFERROR(AGGREGATE(14,6,'Resource Build-Up'!$M$7:$M$306/('Resource Build-Up'!$B$7:$B$306=D9),1),0)</x:f>
        <x:v>0</x:v>
      </x:c>
      <x:c r="K9" s="186" t="str">
        <x:f t="shared" ca="1" si="0">IF(J9=0,"",ROUNDUP(J9/8,0))</x:f>
      </x:c>
      <x:c r="L9" s="187"/>
      <x:c r="M9" s="186" t="str">
        <x:f t="shared" si="1">IF(L9&lt;&gt;"",L9,K9)</x:f>
      </x:c>
      <x:c r="N9" s="188" t="str">
        <x:f t="shared" si="2">IF(M9="","",TEXT(M9,"0")&amp;" days")</x:f>
      </x:c>
      <x:c r="O9" s="106"/>
      <x:c r="P9" s="106"/>
      <x:c r="Q9" s="106"/>
      <x:c r="R9" s="106"/>
      <x:c r="S9" s="189"/>
      <x:c r="T9" s="130" t="n">
        <x:f t="shared" si="3">I9-H9</x:f>
        <x:v>0</x:v>
      </x:c>
      <x:c r="U9" s="106" t="str">
        <x:f t="shared" si="4">IF(ABS(T9)&lt;0.01,"OK","CHECK")</x:f>
        <x:v>OK</x:v>
      </x:c>
      <x:c r="V9" s="106" t="str">
        <x:v>Auto Scheduled</x:v>
      </x:c>
      <x:c r="W9" s="106" t="str">
        <x:v>Prorated</x:v>
      </x:c>
      <x:c r="X9" s="106"/>
    </x:row>
    <x:row r="10" s="3" customFormat="1" ht="52.79999923706055" customHeight="1">
      <x:c r="A10" s="30">
        <x:v>4</x:v>
      </x:c>
      <x:c r="B10" s="30">
        <x:v>6</x:v>
      </x:c>
      <x:c r="C10" s="106" t="n">
        <x:f>'QS Takeoff'!A6</x:f>
        <x:v>0</x:v>
      </x:c>
      <x:c r="D10" s="106" t="n">
        <x:f>'QS Takeoff'!B6</x:f>
        <x:v>0</x:v>
      </x:c>
      <x:c r="E10" s="106" t="n">
        <x:f>'QS Takeoff'!C6</x:f>
        <x:v>0</x:v>
      </x:c>
      <x:c r="F10" s="106" t="n">
        <x:f>'QS Takeoff'!E6</x:f>
        <x:v>0</x:v>
      </x:c>
      <x:c r="G10" s="106" t="n">
        <x:f>'QS Takeoff'!D6</x:f>
        <x:v>0</x:v>
      </x:c>
      <x:c r="H10" s="185" t="n">
        <x:f>'QS Takeoff'!G6</x:f>
        <x:v>0</x:v>
      </x:c>
      <x:c r="I10" s="185" t="n">
        <x:f>SUMIF('Resource Build-Up'!$B$7:$B$306,D10,'Resource Build-Up'!$Z$7:$Z$306)</x:f>
        <x:v>0</x:v>
      </x:c>
      <x:c r="J10" s="186" t="n">
        <x:f ca="1">IFERROR(AGGREGATE(14,6,'Resource Build-Up'!$M$7:$M$306/('Resource Build-Up'!$B$7:$B$306=D10),1),0)</x:f>
        <x:v>0</x:v>
      </x:c>
      <x:c r="K10" s="186" t="str">
        <x:f t="shared" ca="1" si="0">IF(J10=0,"",ROUNDUP(J10/8,0))</x:f>
      </x:c>
      <x:c r="L10" s="187"/>
      <x:c r="M10" s="186" t="str">
        <x:f t="shared" si="1">IF(L10&lt;&gt;"",L10,K10)</x:f>
      </x:c>
      <x:c r="N10" s="188" t="str">
        <x:f t="shared" si="2">IF(M10="","",TEXT(M10,"0")&amp;" days")</x:f>
      </x:c>
      <x:c r="O10" s="106"/>
      <x:c r="P10" s="106"/>
      <x:c r="Q10" s="106"/>
      <x:c r="R10" s="106"/>
      <x:c r="S10" s="189"/>
      <x:c r="T10" s="130" t="n">
        <x:f t="shared" si="3">I10-H10</x:f>
        <x:v>0</x:v>
      </x:c>
      <x:c r="U10" s="106" t="str">
        <x:f t="shared" si="4">IF(ABS(T10)&lt;0.01,"OK","CHECK")</x:f>
        <x:v>OK</x:v>
      </x:c>
      <x:c r="V10" s="106" t="str">
        <x:v>Auto Scheduled</x:v>
      </x:c>
      <x:c r="W10" s="106" t="str">
        <x:v>Prorated</x:v>
      </x:c>
      <x:c r="X10" s="106"/>
    </x:row>
    <x:row r="11" s="3" customFormat="1" ht="52.79999923706055" customHeight="1">
      <x:c r="A11" s="30">
        <x:v>5</x:v>
      </x:c>
      <x:c r="B11" s="30">
        <x:v>7</x:v>
      </x:c>
      <x:c r="C11" s="106" t="n">
        <x:f>'QS Takeoff'!A7</x:f>
        <x:v>0</x:v>
      </x:c>
      <x:c r="D11" s="106" t="n">
        <x:f>'QS Takeoff'!B7</x:f>
        <x:v>0</x:v>
      </x:c>
      <x:c r="E11" s="106" t="n">
        <x:f>'QS Takeoff'!C7</x:f>
        <x:v>0</x:v>
      </x:c>
      <x:c r="F11" s="106" t="n">
        <x:f>'QS Takeoff'!E7</x:f>
        <x:v>0</x:v>
      </x:c>
      <x:c r="G11" s="106" t="n">
        <x:f>'QS Takeoff'!D7</x:f>
        <x:v>0</x:v>
      </x:c>
      <x:c r="H11" s="185" t="n">
        <x:f>'QS Takeoff'!G7</x:f>
        <x:v>0</x:v>
      </x:c>
      <x:c r="I11" s="185" t="n">
        <x:f>SUMIF('Resource Build-Up'!$B$7:$B$306,D11,'Resource Build-Up'!$Z$7:$Z$306)</x:f>
        <x:v>0</x:v>
      </x:c>
      <x:c r="J11" s="186" t="n">
        <x:f ca="1">IFERROR(AGGREGATE(14,6,'Resource Build-Up'!$M$7:$M$306/('Resource Build-Up'!$B$7:$B$306=D11),1),0)</x:f>
        <x:v>0</x:v>
      </x:c>
      <x:c r="K11" s="186" t="str">
        <x:f t="shared" ca="1" si="0">IF(J11=0,"",ROUNDUP(J11/8,0))</x:f>
      </x:c>
      <x:c r="L11" s="187"/>
      <x:c r="M11" s="186" t="str">
        <x:f t="shared" si="1">IF(L11&lt;&gt;"",L11,K11)</x:f>
      </x:c>
      <x:c r="N11" s="188" t="str">
        <x:f t="shared" si="2">IF(M11="","",TEXT(M11,"0")&amp;" days")</x:f>
      </x:c>
      <x:c r="O11" s="106"/>
      <x:c r="P11" s="106"/>
      <x:c r="Q11" s="106"/>
      <x:c r="R11" s="106"/>
      <x:c r="S11" s="190"/>
      <x:c r="T11" s="130" t="n">
        <x:f t="shared" si="3">I11-H11</x:f>
        <x:v>0</x:v>
      </x:c>
      <x:c r="U11" s="106" t="str">
        <x:f t="shared" si="4">IF(ABS(T11)&lt;0.01,"OK","CHECK")</x:f>
        <x:v>OK</x:v>
      </x:c>
      <x:c r="V11" s="106" t="str">
        <x:v>Auto Scheduled</x:v>
      </x:c>
      <x:c r="W11" s="106" t="str">
        <x:v>Prorated</x:v>
      </x:c>
      <x:c r="X11" s="106"/>
    </x:row>
    <x:row r="12" s="3" customFormat="1" ht="52.79999923706055" customHeight="1">
      <x:c r="A12" s="30">
        <x:v>6</x:v>
      </x:c>
      <x:c r="B12" s="30">
        <x:v>8</x:v>
      </x:c>
      <x:c r="C12" s="106" t="n">
        <x:f>'QS Takeoff'!A8</x:f>
        <x:v>0</x:v>
      </x:c>
      <x:c r="D12" s="106" t="n">
        <x:f>'QS Takeoff'!B8</x:f>
        <x:v>0</x:v>
      </x:c>
      <x:c r="E12" s="106" t="n">
        <x:f>'QS Takeoff'!C8</x:f>
        <x:v>0</x:v>
      </x:c>
      <x:c r="F12" s="106" t="n">
        <x:f>'QS Takeoff'!E8</x:f>
        <x:v>0</x:v>
      </x:c>
      <x:c r="G12" s="106" t="n">
        <x:f>'QS Takeoff'!D8</x:f>
        <x:v>0</x:v>
      </x:c>
      <x:c r="H12" s="185" t="n">
        <x:f>'QS Takeoff'!G8</x:f>
        <x:v>0</x:v>
      </x:c>
      <x:c r="I12" s="185" t="n">
        <x:f>SUMIF('Resource Build-Up'!$B$7:$B$306,D12,'Resource Build-Up'!$Z$7:$Z$306)</x:f>
        <x:v>0</x:v>
      </x:c>
      <x:c r="J12" s="186" t="n">
        <x:f ca="1">IFERROR(AGGREGATE(14,6,'Resource Build-Up'!$M$7:$M$306/('Resource Build-Up'!$B$7:$B$306=D12),1),0)</x:f>
        <x:v>0</x:v>
      </x:c>
      <x:c r="K12" s="186" t="str">
        <x:f t="shared" ca="1" si="0">IF(J12=0,"",ROUNDUP(J12/8,0))</x:f>
      </x:c>
      <x:c r="L12" s="187"/>
      <x:c r="M12" s="186" t="str">
        <x:f t="shared" si="1">IF(L12&lt;&gt;"",L12,K12)</x:f>
      </x:c>
      <x:c r="N12" s="188" t="str">
        <x:f t="shared" si="2">IF(M12="","",TEXT(M12,"0")&amp;" days")</x:f>
      </x:c>
      <x:c r="O12" s="106"/>
      <x:c r="P12" s="106"/>
      <x:c r="Q12" s="106"/>
      <x:c r="R12" s="106"/>
      <x:c r="S12" s="190"/>
      <x:c r="T12" s="130" t="n">
        <x:f t="shared" si="3">I12-H12</x:f>
        <x:v>0</x:v>
      </x:c>
      <x:c r="U12" s="106" t="str">
        <x:f t="shared" si="4">IF(ABS(T12)&lt;0.01,"OK","CHECK")</x:f>
        <x:v>OK</x:v>
      </x:c>
      <x:c r="V12" s="106" t="str">
        <x:v>Auto Scheduled</x:v>
      </x:c>
      <x:c r="W12" s="106" t="str">
        <x:v>Prorated</x:v>
      </x:c>
      <x:c r="X12" s="106"/>
    </x:row>
    <x:row r="13" s="3" customFormat="1" ht="52.79999923706055" customHeight="1">
      <x:c r="A13" s="30">
        <x:v>7</x:v>
      </x:c>
      <x:c r="B13" s="30">
        <x:v>9</x:v>
      </x:c>
      <x:c r="C13" s="106" t="n">
        <x:f>'QS Takeoff'!A9</x:f>
        <x:v>0</x:v>
      </x:c>
      <x:c r="D13" s="106" t="n">
        <x:f>'QS Takeoff'!B9</x:f>
        <x:v>0</x:v>
      </x:c>
      <x:c r="E13" s="106" t="n">
        <x:f>'QS Takeoff'!C9</x:f>
        <x:v>0</x:v>
      </x:c>
      <x:c r="F13" s="106" t="n">
        <x:f>'QS Takeoff'!E9</x:f>
        <x:v>0</x:v>
      </x:c>
      <x:c r="G13" s="106" t="n">
        <x:f>'QS Takeoff'!D9</x:f>
        <x:v>0</x:v>
      </x:c>
      <x:c r="H13" s="185" t="n">
        <x:f>'QS Takeoff'!G9</x:f>
        <x:v>0</x:v>
      </x:c>
      <x:c r="I13" s="185" t="n">
        <x:f>SUMIF('Resource Build-Up'!$B$7:$B$306,D13,'Resource Build-Up'!$Z$7:$Z$306)</x:f>
        <x:v>0</x:v>
      </x:c>
      <x:c r="J13" s="186" t="n">
        <x:f ca="1">IFERROR(AGGREGATE(14,6,'Resource Build-Up'!$M$7:$M$306/('Resource Build-Up'!$B$7:$B$306=D13),1),0)</x:f>
        <x:v>0</x:v>
      </x:c>
      <x:c r="K13" s="186" t="str">
        <x:f t="shared" ca="1" si="0">IF(J13=0,"",ROUNDUP(J13/8,0))</x:f>
      </x:c>
      <x:c r="L13" s="187"/>
      <x:c r="M13" s="186" t="str">
        <x:f t="shared" si="1">IF(L13&lt;&gt;"",L13,K13)</x:f>
      </x:c>
      <x:c r="N13" s="188" t="str">
        <x:f t="shared" si="2">IF(M13="","",TEXT(M13,"0")&amp;" days")</x:f>
      </x:c>
      <x:c r="O13" s="106"/>
      <x:c r="P13" s="106"/>
      <x:c r="Q13" s="106"/>
      <x:c r="R13" s="106"/>
      <x:c r="S13" s="190"/>
      <x:c r="T13" s="130" t="n">
        <x:f t="shared" si="3">I13-H13</x:f>
        <x:v>0</x:v>
      </x:c>
      <x:c r="U13" s="106" t="str">
        <x:f t="shared" si="4">IF(ABS(T13)&lt;0.01,"OK","CHECK")</x:f>
        <x:v>OK</x:v>
      </x:c>
      <x:c r="V13" s="106" t="str">
        <x:v>Auto Scheduled</x:v>
      </x:c>
      <x:c r="W13" s="106" t="str">
        <x:v>Prorated</x:v>
      </x:c>
      <x:c r="X13" s="106"/>
    </x:row>
    <x:row r="14" s="3" customFormat="1" ht="52.79999923706055" customHeight="1">
      <x:c r="A14" s="30">
        <x:v>8</x:v>
      </x:c>
      <x:c r="B14" s="30">
        <x:v>10</x:v>
      </x:c>
      <x:c r="C14" s="106" t="n">
        <x:f>'QS Takeoff'!A10</x:f>
        <x:v>0</x:v>
      </x:c>
      <x:c r="D14" s="106" t="n">
        <x:f>'QS Takeoff'!B10</x:f>
        <x:v>0</x:v>
      </x:c>
      <x:c r="E14" s="106" t="n">
        <x:f>'QS Takeoff'!C10</x:f>
        <x:v>0</x:v>
      </x:c>
      <x:c r="F14" s="106" t="n">
        <x:f>'QS Takeoff'!E10</x:f>
        <x:v>0</x:v>
      </x:c>
      <x:c r="G14" s="106" t="n">
        <x:f>'QS Takeoff'!D10</x:f>
        <x:v>0</x:v>
      </x:c>
      <x:c r="H14" s="185" t="n">
        <x:f>'QS Takeoff'!G10</x:f>
        <x:v>0</x:v>
      </x:c>
      <x:c r="I14" s="185" t="n">
        <x:f>SUMIF('Resource Build-Up'!$B$7:$B$306,D14,'Resource Build-Up'!$Z$7:$Z$306)</x:f>
        <x:v>0</x:v>
      </x:c>
      <x:c r="J14" s="186" t="n">
        <x:f ca="1">IFERROR(AGGREGATE(14,6,'Resource Build-Up'!$M$7:$M$306/('Resource Build-Up'!$B$7:$B$306=D14),1),0)</x:f>
        <x:v>0</x:v>
      </x:c>
      <x:c r="K14" s="186" t="str">
        <x:f t="shared" ca="1" si="0">IF(J14=0,"",ROUNDUP(J14/8,0))</x:f>
      </x:c>
      <x:c r="L14" s="187"/>
      <x:c r="M14" s="186" t="str">
        <x:f t="shared" si="1">IF(L14&lt;&gt;"",L14,K14)</x:f>
      </x:c>
      <x:c r="N14" s="188" t="str">
        <x:f t="shared" si="2">IF(M14="","",TEXT(M14,"0")&amp;" days")</x:f>
      </x:c>
      <x:c r="O14" s="106"/>
      <x:c r="P14" s="106"/>
      <x:c r="Q14" s="106"/>
      <x:c r="R14" s="106"/>
      <x:c r="S14" s="190"/>
      <x:c r="T14" s="130" t="n">
        <x:f t="shared" si="3">I14-H14</x:f>
        <x:v>0</x:v>
      </x:c>
      <x:c r="U14" s="106" t="str">
        <x:f t="shared" si="4">IF(ABS(T14)&lt;0.01,"OK","CHECK")</x:f>
        <x:v>OK</x:v>
      </x:c>
      <x:c r="V14" s="106" t="str">
        <x:v>Auto Scheduled</x:v>
      </x:c>
      <x:c r="W14" s="106" t="str">
        <x:v>Prorated</x:v>
      </x:c>
      <x:c r="X14" s="106"/>
    </x:row>
    <x:row r="15" s="3" customFormat="1" ht="52.79999923706055" customHeight="1">
      <x:c r="A15" s="30">
        <x:v>9</x:v>
      </x:c>
      <x:c r="B15" s="30">
        <x:v>11</x:v>
      </x:c>
      <x:c r="C15" s="106" t="n">
        <x:f>'QS Takeoff'!A11</x:f>
        <x:v>0</x:v>
      </x:c>
      <x:c r="D15" s="106" t="n">
        <x:f>'QS Takeoff'!B11</x:f>
        <x:v>0</x:v>
      </x:c>
      <x:c r="E15" s="106" t="n">
        <x:f>'QS Takeoff'!C11</x:f>
        <x:v>0</x:v>
      </x:c>
      <x:c r="F15" s="106" t="n">
        <x:f>'QS Takeoff'!E11</x:f>
        <x:v>0</x:v>
      </x:c>
      <x:c r="G15" s="106" t="n">
        <x:f>'QS Takeoff'!D11</x:f>
        <x:v>0</x:v>
      </x:c>
      <x:c r="H15" s="185" t="n">
        <x:f>'QS Takeoff'!G11</x:f>
        <x:v>0</x:v>
      </x:c>
      <x:c r="I15" s="185" t="n">
        <x:f>SUMIF('Resource Build-Up'!$B$7:$B$306,D15,'Resource Build-Up'!$Z$7:$Z$306)</x:f>
        <x:v>0</x:v>
      </x:c>
      <x:c r="J15" s="186" t="n">
        <x:f ca="1">IFERROR(AGGREGATE(14,6,'Resource Build-Up'!$M$7:$M$306/('Resource Build-Up'!$B$7:$B$306=D15),1),0)</x:f>
        <x:v>0</x:v>
      </x:c>
      <x:c r="K15" s="186" t="str">
        <x:f t="shared" ca="1" si="0">IF(J15=0,"",ROUNDUP(J15/8,0))</x:f>
      </x:c>
      <x:c r="L15" s="187"/>
      <x:c r="M15" s="186" t="str">
        <x:f t="shared" si="1">IF(L15&lt;&gt;"",L15,K15)</x:f>
      </x:c>
      <x:c r="N15" s="188" t="str">
        <x:f t="shared" si="2">IF(M15="","",TEXT(M15,"0")&amp;" days")</x:f>
      </x:c>
      <x:c r="O15" s="106"/>
      <x:c r="P15" s="106"/>
      <x:c r="Q15" s="106"/>
      <x:c r="R15" s="106"/>
      <x:c r="S15" s="189"/>
      <x:c r="T15" s="130" t="n">
        <x:f t="shared" si="3">I15-H15</x:f>
        <x:v>0</x:v>
      </x:c>
      <x:c r="U15" s="106" t="str">
        <x:f t="shared" si="4">IF(ABS(T15)&lt;0.01,"OK","CHECK")</x:f>
        <x:v>OK</x:v>
      </x:c>
      <x:c r="V15" s="106" t="str">
        <x:v>Auto Scheduled</x:v>
      </x:c>
      <x:c r="W15" s="106" t="str">
        <x:v>Prorated</x:v>
      </x:c>
      <x:c r="X15" s="106"/>
    </x:row>
    <x:row r="16" s="3" customFormat="1" ht="52.79999923706055" customHeight="1">
      <x:c r="A16" s="30">
        <x:v>10</x:v>
      </x:c>
      <x:c r="B16" s="30">
        <x:v>12</x:v>
      </x:c>
      <x:c r="C16" s="106" t="n">
        <x:f>'QS Takeoff'!A12</x:f>
        <x:v>0</x:v>
      </x:c>
      <x:c r="D16" s="106" t="n">
        <x:f>'QS Takeoff'!B12</x:f>
        <x:v>0</x:v>
      </x:c>
      <x:c r="E16" s="106" t="n">
        <x:f>'QS Takeoff'!C12</x:f>
        <x:v>0</x:v>
      </x:c>
      <x:c r="F16" s="106" t="n">
        <x:f>'QS Takeoff'!E12</x:f>
        <x:v>0</x:v>
      </x:c>
      <x:c r="G16" s="106" t="n">
        <x:f>'QS Takeoff'!D12</x:f>
        <x:v>0</x:v>
      </x:c>
      <x:c r="H16" s="185" t="n">
        <x:f>'QS Takeoff'!G12</x:f>
        <x:v>0</x:v>
      </x:c>
      <x:c r="I16" s="185" t="n">
        <x:f>SUMIF('Resource Build-Up'!$B$7:$B$306,D16,'Resource Build-Up'!$Z$7:$Z$306)</x:f>
        <x:v>0</x:v>
      </x:c>
      <x:c r="J16" s="186" t="n">
        <x:f ca="1">IFERROR(AGGREGATE(14,6,'Resource Build-Up'!$M$7:$M$306/('Resource Build-Up'!$B$7:$B$306=D16),1),0)</x:f>
        <x:v>0</x:v>
      </x:c>
      <x:c r="K16" s="186" t="str">
        <x:f t="shared" ca="1" si="0">IF(J16=0,"",ROUNDUP(J16/8,0))</x:f>
      </x:c>
      <x:c r="L16" s="187"/>
      <x:c r="M16" s="186" t="str">
        <x:f t="shared" si="1">IF(L16&lt;&gt;"",L16,K16)</x:f>
      </x:c>
      <x:c r="N16" s="188" t="str">
        <x:f t="shared" si="2">IF(M16="","",TEXT(M16,"0")&amp;" days")</x:f>
      </x:c>
      <x:c r="O16" s="106"/>
      <x:c r="P16" s="106"/>
      <x:c r="Q16" s="106"/>
      <x:c r="R16" s="106"/>
      <x:c r="S16" s="189"/>
      <x:c r="T16" s="130" t="n">
        <x:f t="shared" si="3">I16-H16</x:f>
        <x:v>0</x:v>
      </x:c>
      <x:c r="U16" s="106" t="str">
        <x:f t="shared" si="4">IF(ABS(T16)&lt;0.01,"OK","CHECK")</x:f>
        <x:v>OK</x:v>
      </x:c>
      <x:c r="V16" s="106" t="str">
        <x:v>Auto Scheduled</x:v>
      </x:c>
      <x:c r="W16" s="106" t="str">
        <x:v>Prorated</x:v>
      </x:c>
      <x:c r="X16" s="106"/>
    </x:row>
    <x:row r="17" s="3" customFormat="1" ht="52.79999923706055" customHeight="1">
      <x:c r="A17" s="30">
        <x:v>11</x:v>
      </x:c>
      <x:c r="B17" s="30">
        <x:v>15</x:v>
      </x:c>
      <x:c r="C17" s="106" t="n">
        <x:f>'QS Takeoff'!A13</x:f>
        <x:v>0</x:v>
      </x:c>
      <x:c r="D17" s="106" t="n">
        <x:f>'QS Takeoff'!B13</x:f>
        <x:v>0</x:v>
      </x:c>
      <x:c r="E17" s="106" t="n">
        <x:f>'QS Takeoff'!C13</x:f>
        <x:v>0</x:v>
      </x:c>
      <x:c r="F17" s="106" t="n">
        <x:f>'QS Takeoff'!E13</x:f>
        <x:v>0</x:v>
      </x:c>
      <x:c r="G17" s="106" t="n">
        <x:f>'QS Takeoff'!D13</x:f>
        <x:v>0</x:v>
      </x:c>
      <x:c r="H17" s="185" t="n">
        <x:f>'QS Takeoff'!G13</x:f>
        <x:v>0</x:v>
      </x:c>
      <x:c r="I17" s="185" t="n">
        <x:f>SUMIF('Resource Build-Up'!$B$7:$B$306,D17,'Resource Build-Up'!$Z$7:$Z$306)</x:f>
        <x:v>0</x:v>
      </x:c>
      <x:c r="J17" s="186" t="n">
        <x:f ca="1">IFERROR(AGGREGATE(14,6,'Resource Build-Up'!$M$7:$M$306/('Resource Build-Up'!$B$7:$B$306=D17),1),0)</x:f>
        <x:v>0</x:v>
      </x:c>
      <x:c r="K17" s="186" t="str">
        <x:f t="shared" ca="1" si="0">IF(J17=0,"",ROUNDUP(J17/8,0))</x:f>
      </x:c>
      <x:c r="L17" s="187"/>
      <x:c r="M17" s="186" t="str">
        <x:f t="shared" si="1">IF(L17&lt;&gt;"",L17,K17)</x:f>
      </x:c>
      <x:c r="N17" s="188" t="str">
        <x:f t="shared" si="2">IF(M17="","",TEXT(M17,"0")&amp;" days")</x:f>
      </x:c>
      <x:c r="O17" s="106"/>
      <x:c r="P17" s="106"/>
      <x:c r="Q17" s="106"/>
      <x:c r="R17" s="106"/>
      <x:c r="S17" s="190"/>
      <x:c r="T17" s="130" t="n">
        <x:f t="shared" si="3">I17-H17</x:f>
        <x:v>0</x:v>
      </x:c>
      <x:c r="U17" s="106" t="str">
        <x:f t="shared" si="4">IF(ABS(T17)&lt;0.01,"OK","CHECK")</x:f>
        <x:v>OK</x:v>
      </x:c>
      <x:c r="V17" s="106" t="str">
        <x:v>Auto Scheduled</x:v>
      </x:c>
      <x:c r="W17" s="106" t="str">
        <x:v>Prorated</x:v>
      </x:c>
      <x:c r="X17" s="106"/>
    </x:row>
    <x:row r="18" s="3" customFormat="1" ht="52.79999923706055" customHeight="1">
      <x:c r="A18" s="30">
        <x:v>12</x:v>
      </x:c>
      <x:c r="B18" s="30">
        <x:v>16</x:v>
      </x:c>
      <x:c r="C18" s="106" t="n">
        <x:f>'QS Takeoff'!A14</x:f>
        <x:v>0</x:v>
      </x:c>
      <x:c r="D18" s="106" t="n">
        <x:f>'QS Takeoff'!B14</x:f>
        <x:v>0</x:v>
      </x:c>
      <x:c r="E18" s="106" t="n">
        <x:f>'QS Takeoff'!C14</x:f>
        <x:v>0</x:v>
      </x:c>
      <x:c r="F18" s="106" t="n">
        <x:f>'QS Takeoff'!E14</x:f>
        <x:v>0</x:v>
      </x:c>
      <x:c r="G18" s="106" t="n">
        <x:f>'QS Takeoff'!D14</x:f>
        <x:v>0</x:v>
      </x:c>
      <x:c r="H18" s="185" t="n">
        <x:f>'QS Takeoff'!G14</x:f>
        <x:v>0</x:v>
      </x:c>
      <x:c r="I18" s="185" t="n">
        <x:f>SUMIF('Resource Build-Up'!$B$7:$B$306,D18,'Resource Build-Up'!$Z$7:$Z$306)</x:f>
        <x:v>0</x:v>
      </x:c>
      <x:c r="J18" s="186" t="n">
        <x:f ca="1">IFERROR(AGGREGATE(14,6,'Resource Build-Up'!$M$7:$M$306/('Resource Build-Up'!$B$7:$B$306=D18),1),0)</x:f>
        <x:v>0</x:v>
      </x:c>
      <x:c r="K18" s="186" t="str">
        <x:f t="shared" ca="1" si="0">IF(J18=0,"",ROUNDUP(J18/8,0))</x:f>
      </x:c>
      <x:c r="L18" s="187"/>
      <x:c r="M18" s="186" t="str">
        <x:f t="shared" si="1">IF(L18&lt;&gt;"",L18,K18)</x:f>
      </x:c>
      <x:c r="N18" s="188" t="str">
        <x:f t="shared" si="2">IF(M18="","",TEXT(M18,"0")&amp;" days")</x:f>
      </x:c>
      <x:c r="O18" s="106"/>
      <x:c r="P18" s="106"/>
      <x:c r="Q18" s="106"/>
      <x:c r="R18" s="106"/>
      <x:c r="S18" s="190"/>
      <x:c r="T18" s="130" t="n">
        <x:f t="shared" si="3">I18-H18</x:f>
        <x:v>0</x:v>
      </x:c>
      <x:c r="U18" s="106" t="str">
        <x:f t="shared" si="4">IF(ABS(T18)&lt;0.01,"OK","CHECK")</x:f>
        <x:v>OK</x:v>
      </x:c>
      <x:c r="V18" s="106" t="str">
        <x:v>Auto Scheduled</x:v>
      </x:c>
      <x:c r="W18" s="106" t="str">
        <x:v>Prorated</x:v>
      </x:c>
      <x:c r="X18" s="106"/>
    </x:row>
    <x:row r="19" s="3" customFormat="1" ht="52.79999923706055" customHeight="1">
      <x:c r="A19" s="30">
        <x:v>13</x:v>
      </x:c>
      <x:c r="B19" s="30">
        <x:v>17</x:v>
      </x:c>
      <x:c r="C19" s="106" t="n">
        <x:f>'QS Takeoff'!A15</x:f>
        <x:v>0</x:v>
      </x:c>
      <x:c r="D19" s="106" t="n">
        <x:f>'QS Takeoff'!B15</x:f>
        <x:v>0</x:v>
      </x:c>
      <x:c r="E19" s="106" t="n">
        <x:f>'QS Takeoff'!C15</x:f>
        <x:v>0</x:v>
      </x:c>
      <x:c r="F19" s="106" t="n">
        <x:f>'QS Takeoff'!E15</x:f>
        <x:v>0</x:v>
      </x:c>
      <x:c r="G19" s="106" t="n">
        <x:f>'QS Takeoff'!D15</x:f>
        <x:v>0</x:v>
      </x:c>
      <x:c r="H19" s="185" t="n">
        <x:f>'QS Takeoff'!G15</x:f>
        <x:v>0</x:v>
      </x:c>
      <x:c r="I19" s="185" t="n">
        <x:f>SUMIF('Resource Build-Up'!$B$7:$B$306,D19,'Resource Build-Up'!$Z$7:$Z$306)</x:f>
        <x:v>0</x:v>
      </x:c>
      <x:c r="J19" s="186" t="n">
        <x:f ca="1">IFERROR(AGGREGATE(14,6,'Resource Build-Up'!$M$7:$M$306/('Resource Build-Up'!$B$7:$B$306=D19),1),0)</x:f>
        <x:v>0</x:v>
      </x:c>
      <x:c r="K19" s="186" t="str">
        <x:f t="shared" ca="1" si="0">IF(J19=0,"",ROUNDUP(J19/8,0))</x:f>
      </x:c>
      <x:c r="L19" s="187"/>
      <x:c r="M19" s="186" t="str">
        <x:f t="shared" si="1">IF(L19&lt;&gt;"",L19,K19)</x:f>
      </x:c>
      <x:c r="N19" s="188" t="str">
        <x:f t="shared" si="2">IF(M19="","",TEXT(M19,"0")&amp;" days")</x:f>
      </x:c>
      <x:c r="O19" s="106"/>
      <x:c r="P19" s="106"/>
      <x:c r="Q19" s="106"/>
      <x:c r="R19" s="106"/>
      <x:c r="S19" s="189"/>
      <x:c r="T19" s="130" t="n">
        <x:f t="shared" si="3">I19-H19</x:f>
        <x:v>0</x:v>
      </x:c>
      <x:c r="U19" s="106" t="str">
        <x:f t="shared" si="4">IF(ABS(T19)&lt;0.01,"OK","CHECK")</x:f>
        <x:v>OK</x:v>
      </x:c>
      <x:c r="V19" s="106" t="str">
        <x:v>Auto Scheduled</x:v>
      </x:c>
      <x:c r="W19" s="106" t="str">
        <x:v>Prorated</x:v>
      </x:c>
      <x:c r="X19" s="106"/>
    </x:row>
    <x:row r="20" s="3" customFormat="1" ht="52.79999923706055" customHeight="1">
      <x:c r="A20" s="30">
        <x:v>14</x:v>
      </x:c>
      <x:c r="B20" s="30">
        <x:v>18</x:v>
      </x:c>
      <x:c r="C20" s="106" t="n">
        <x:f>'QS Takeoff'!A16</x:f>
        <x:v>0</x:v>
      </x:c>
      <x:c r="D20" s="106" t="n">
        <x:f>'QS Takeoff'!B16</x:f>
        <x:v>0</x:v>
      </x:c>
      <x:c r="E20" s="106" t="n">
        <x:f>'QS Takeoff'!C16</x:f>
        <x:v>0</x:v>
      </x:c>
      <x:c r="F20" s="106" t="n">
        <x:f>'QS Takeoff'!E16</x:f>
        <x:v>0</x:v>
      </x:c>
      <x:c r="G20" s="106" t="n">
        <x:f>'QS Takeoff'!D16</x:f>
        <x:v>0</x:v>
      </x:c>
      <x:c r="H20" s="185" t="n">
        <x:f>'QS Takeoff'!G16</x:f>
        <x:v>0</x:v>
      </x:c>
      <x:c r="I20" s="185" t="n">
        <x:f>SUMIF('Resource Build-Up'!$B$7:$B$306,D20,'Resource Build-Up'!$Z$7:$Z$306)</x:f>
        <x:v>0</x:v>
      </x:c>
      <x:c r="J20" s="186" t="n">
        <x:f ca="1">IFERROR(AGGREGATE(14,6,'Resource Build-Up'!$M$7:$M$306/('Resource Build-Up'!$B$7:$B$306=D20),1),0)</x:f>
        <x:v>0</x:v>
      </x:c>
      <x:c r="K20" s="186" t="str">
        <x:f t="shared" ca="1" si="0">IF(J20=0,"",ROUNDUP(J20/8,0))</x:f>
      </x:c>
      <x:c r="L20" s="187"/>
      <x:c r="M20" s="186" t="str">
        <x:f t="shared" si="1">IF(L20&lt;&gt;"",L20,K20)</x:f>
      </x:c>
      <x:c r="N20" s="188" t="str">
        <x:f t="shared" si="2">IF(M20="","",TEXT(M20,"0")&amp;" days")</x:f>
      </x:c>
      <x:c r="O20" s="106"/>
      <x:c r="P20" s="106"/>
      <x:c r="Q20" s="106"/>
      <x:c r="R20" s="106"/>
      <x:c r="S20" s="190"/>
      <x:c r="T20" s="130" t="n">
        <x:f t="shared" si="3">I20-H20</x:f>
        <x:v>0</x:v>
      </x:c>
      <x:c r="U20" s="106" t="str">
        <x:f t="shared" si="4">IF(ABS(T20)&lt;0.01,"OK","CHECK")</x:f>
        <x:v>OK</x:v>
      </x:c>
      <x:c r="V20" s="106" t="str">
        <x:v>Auto Scheduled</x:v>
      </x:c>
      <x:c r="W20" s="106" t="str">
        <x:v>Prorated</x:v>
      </x:c>
      <x:c r="X20" s="106"/>
    </x:row>
    <x:row r="21" s="3" customFormat="1" ht="52.79999923706055" customHeight="1">
      <x:c r="A21" s="30">
        <x:v>15</x:v>
      </x:c>
      <x:c r="B21" s="30">
        <x:v>19</x:v>
      </x:c>
      <x:c r="C21" s="106" t="n">
        <x:f>'QS Takeoff'!A17</x:f>
        <x:v>0</x:v>
      </x:c>
      <x:c r="D21" s="106" t="n">
        <x:f>'QS Takeoff'!B17</x:f>
        <x:v>0</x:v>
      </x:c>
      <x:c r="E21" s="106" t="n">
        <x:f>'QS Takeoff'!C17</x:f>
        <x:v>0</x:v>
      </x:c>
      <x:c r="F21" s="106" t="n">
        <x:f>'QS Takeoff'!E17</x:f>
        <x:v>0</x:v>
      </x:c>
      <x:c r="G21" s="106" t="n">
        <x:f>'QS Takeoff'!D17</x:f>
        <x:v>0</x:v>
      </x:c>
      <x:c r="H21" s="185" t="n">
        <x:f>'QS Takeoff'!G17</x:f>
        <x:v>0</x:v>
      </x:c>
      <x:c r="I21" s="185" t="n">
        <x:f>SUMIF('Resource Build-Up'!$B$7:$B$306,D21,'Resource Build-Up'!$Z$7:$Z$306)</x:f>
        <x:v>0</x:v>
      </x:c>
      <x:c r="J21" s="186" t="n">
        <x:f ca="1">IFERROR(AGGREGATE(14,6,'Resource Build-Up'!$M$7:$M$306/('Resource Build-Up'!$B$7:$B$306=D21),1),0)</x:f>
        <x:v>0</x:v>
      </x:c>
      <x:c r="K21" s="186" t="str">
        <x:f t="shared" ca="1" si="0">IF(J21=0,"",ROUNDUP(J21/8,0))</x:f>
      </x:c>
      <x:c r="L21" s="187"/>
      <x:c r="M21" s="186" t="str">
        <x:f t="shared" si="1">IF(L21&lt;&gt;"",L21,K21)</x:f>
      </x:c>
      <x:c r="N21" s="188" t="str">
        <x:f t="shared" si="2">IF(M21="","",TEXT(M21,"0")&amp;" days")</x:f>
      </x:c>
      <x:c r="O21" s="106"/>
      <x:c r="P21" s="106"/>
      <x:c r="Q21" s="106"/>
      <x:c r="R21" s="106"/>
      <x:c r="S21" s="189"/>
      <x:c r="T21" s="130" t="n">
        <x:f t="shared" si="3">I21-H21</x:f>
        <x:v>0</x:v>
      </x:c>
      <x:c r="U21" s="106" t="str">
        <x:f t="shared" si="4">IF(ABS(T21)&lt;0.01,"OK","CHECK")</x:f>
        <x:v>OK</x:v>
      </x:c>
      <x:c r="V21" s="106" t="str">
        <x:v>Auto Scheduled</x:v>
      </x:c>
      <x:c r="W21" s="106" t="str">
        <x:v>Prorated</x:v>
      </x:c>
      <x:c r="X21" s="106"/>
    </x:row>
    <x:row r="22" s="3" customFormat="1" ht="52.79999923706055" customHeight="1">
      <x:c r="A22" s="30">
        <x:v>16</x:v>
      </x:c>
      <x:c r="B22" s="30">
        <x:v>20</x:v>
      </x:c>
      <x:c r="C22" s="106" t="n">
        <x:f>'QS Takeoff'!A18</x:f>
        <x:v>0</x:v>
      </x:c>
      <x:c r="D22" s="106" t="n">
        <x:f>'QS Takeoff'!B18</x:f>
        <x:v>0</x:v>
      </x:c>
      <x:c r="E22" s="106" t="n">
        <x:f>'QS Takeoff'!C18</x:f>
        <x:v>0</x:v>
      </x:c>
      <x:c r="F22" s="106" t="n">
        <x:f>'QS Takeoff'!E18</x:f>
        <x:v>0</x:v>
      </x:c>
      <x:c r="G22" s="106" t="n">
        <x:f>'QS Takeoff'!D18</x:f>
        <x:v>0</x:v>
      </x:c>
      <x:c r="H22" s="185" t="n">
        <x:f>'QS Takeoff'!G18</x:f>
        <x:v>0</x:v>
      </x:c>
      <x:c r="I22" s="185" t="n">
        <x:f>SUMIF('Resource Build-Up'!$B$7:$B$306,D22,'Resource Build-Up'!$Z$7:$Z$306)</x:f>
        <x:v>0</x:v>
      </x:c>
      <x:c r="J22" s="186" t="n">
        <x:f ca="1">IFERROR(AGGREGATE(14,6,'Resource Build-Up'!$M$7:$M$306/('Resource Build-Up'!$B$7:$B$306=D22),1),0)</x:f>
        <x:v>0</x:v>
      </x:c>
      <x:c r="K22" s="186" t="str">
        <x:f t="shared" ca="1" si="0">IF(J22=0,"",ROUNDUP(J22/8,0))</x:f>
      </x:c>
      <x:c r="L22" s="187"/>
      <x:c r="M22" s="186" t="str">
        <x:f t="shared" si="1">IF(L22&lt;&gt;"",L22,K22)</x:f>
      </x:c>
      <x:c r="N22" s="188" t="str">
        <x:f t="shared" si="2">IF(M22="","",TEXT(M22,"0")&amp;" days")</x:f>
      </x:c>
      <x:c r="O22" s="106"/>
      <x:c r="P22" s="106"/>
      <x:c r="Q22" s="106"/>
      <x:c r="R22" s="106"/>
      <x:c r="S22" s="189"/>
      <x:c r="T22" s="130" t="n">
        <x:f t="shared" si="3">I22-H22</x:f>
        <x:v>0</x:v>
      </x:c>
      <x:c r="U22" s="106" t="str">
        <x:f t="shared" si="4">IF(ABS(T22)&lt;0.01,"OK","CHECK")</x:f>
        <x:v>OK</x:v>
      </x:c>
      <x:c r="V22" s="106" t="str">
        <x:v>Auto Scheduled</x:v>
      </x:c>
      <x:c r="W22" s="106" t="str">
        <x:v>Prorated</x:v>
      </x:c>
      <x:c r="X22" s="106"/>
    </x:row>
    <x:row r="23" s="3" customFormat="1" ht="52.79999923706055" customHeight="1">
      <x:c r="A23" s="30">
        <x:v>17</x:v>
      </x:c>
      <x:c r="B23" s="30">
        <x:v>21</x:v>
      </x:c>
      <x:c r="C23" s="106" t="n">
        <x:f>'QS Takeoff'!A19</x:f>
        <x:v>0</x:v>
      </x:c>
      <x:c r="D23" s="106" t="n">
        <x:f>'QS Takeoff'!B19</x:f>
        <x:v>0</x:v>
      </x:c>
      <x:c r="E23" s="106" t="n">
        <x:f>'QS Takeoff'!C19</x:f>
        <x:v>0</x:v>
      </x:c>
      <x:c r="F23" s="106" t="n">
        <x:f>'QS Takeoff'!E19</x:f>
        <x:v>0</x:v>
      </x:c>
      <x:c r="G23" s="106" t="n">
        <x:f>'QS Takeoff'!D19</x:f>
        <x:v>0</x:v>
      </x:c>
      <x:c r="H23" s="185" t="n">
        <x:f>'QS Takeoff'!G19</x:f>
        <x:v>0</x:v>
      </x:c>
      <x:c r="I23" s="185" t="n">
        <x:f>SUMIF('Resource Build-Up'!$B$7:$B$306,D23,'Resource Build-Up'!$Z$7:$Z$306)</x:f>
        <x:v>0</x:v>
      </x:c>
      <x:c r="J23" s="186" t="n">
        <x:f ca="1">IFERROR(AGGREGATE(14,6,'Resource Build-Up'!$M$7:$M$306/('Resource Build-Up'!$B$7:$B$306=D23),1),0)</x:f>
        <x:v>0</x:v>
      </x:c>
      <x:c r="K23" s="186" t="str">
        <x:f t="shared" ca="1" si="0">IF(J23=0,"",ROUNDUP(J23/8,0))</x:f>
      </x:c>
      <x:c r="L23" s="187"/>
      <x:c r="M23" s="186" t="str">
        <x:f t="shared" si="1">IF(L23&lt;&gt;"",L23,K23)</x:f>
      </x:c>
      <x:c r="N23" s="188" t="str">
        <x:f t="shared" si="2">IF(M23="","",TEXT(M23,"0")&amp;" days")</x:f>
      </x:c>
      <x:c r="O23" s="106"/>
      <x:c r="P23" s="106"/>
      <x:c r="Q23" s="106"/>
      <x:c r="R23" s="106"/>
      <x:c r="S23" s="189"/>
      <x:c r="T23" s="130" t="n">
        <x:f t="shared" si="3">I23-H23</x:f>
        <x:v>0</x:v>
      </x:c>
      <x:c r="U23" s="106" t="str">
        <x:f t="shared" si="4">IF(ABS(T23)&lt;0.01,"OK","CHECK")</x:f>
        <x:v>OK</x:v>
      </x:c>
      <x:c r="V23" s="106" t="str">
        <x:v>Auto Scheduled</x:v>
      </x:c>
      <x:c r="W23" s="106" t="str">
        <x:v>Prorated</x:v>
      </x:c>
      <x:c r="X23" s="106"/>
    </x:row>
    <x:row r="24" s="3" customFormat="1" ht="52.79999923706055" customHeight="1">
      <x:c r="A24" s="30">
        <x:v>18</x:v>
      </x:c>
      <x:c r="B24" s="30">
        <x:v>22</x:v>
      </x:c>
      <x:c r="C24" s="106" t="n">
        <x:f>'QS Takeoff'!A20</x:f>
        <x:v>0</x:v>
      </x:c>
      <x:c r="D24" s="106" t="n">
        <x:f>'QS Takeoff'!B20</x:f>
        <x:v>0</x:v>
      </x:c>
      <x:c r="E24" s="106" t="n">
        <x:f>'QS Takeoff'!C20</x:f>
        <x:v>0</x:v>
      </x:c>
      <x:c r="F24" s="106" t="n">
        <x:f>'QS Takeoff'!E20</x:f>
        <x:v>0</x:v>
      </x:c>
      <x:c r="G24" s="106" t="n">
        <x:f>'QS Takeoff'!D20</x:f>
        <x:v>0</x:v>
      </x:c>
      <x:c r="H24" s="185" t="n">
        <x:f>'QS Takeoff'!G20</x:f>
        <x:v>0</x:v>
      </x:c>
      <x:c r="I24" s="185" t="n">
        <x:f>SUMIF('Resource Build-Up'!$B$7:$B$306,D24,'Resource Build-Up'!$Z$7:$Z$306)</x:f>
        <x:v>0</x:v>
      </x:c>
      <x:c r="J24" s="186" t="n">
        <x:f ca="1">IFERROR(AGGREGATE(14,6,'Resource Build-Up'!$M$7:$M$306/('Resource Build-Up'!$B$7:$B$306=D24),1),0)</x:f>
        <x:v>0</x:v>
      </x:c>
      <x:c r="K24" s="186" t="str">
        <x:f t="shared" ca="1" si="0">IF(J24=0,"",ROUNDUP(J24/8,0))</x:f>
      </x:c>
      <x:c r="L24" s="187"/>
      <x:c r="M24" s="186" t="str">
        <x:f t="shared" si="1">IF(L24&lt;&gt;"",L24,K24)</x:f>
      </x:c>
      <x:c r="N24" s="188" t="str">
        <x:f t="shared" si="2">IF(M24="","",TEXT(M24,"0")&amp;" days")</x:f>
      </x:c>
      <x:c r="O24" s="106"/>
      <x:c r="P24" s="106"/>
      <x:c r="Q24" s="106"/>
      <x:c r="R24" s="106"/>
      <x:c r="S24" s="189"/>
      <x:c r="T24" s="130" t="n">
        <x:f t="shared" si="3">I24-H24</x:f>
        <x:v>0</x:v>
      </x:c>
      <x:c r="U24" s="106" t="str">
        <x:f t="shared" si="4">IF(ABS(T24)&lt;0.01,"OK","CHECK")</x:f>
        <x:v>OK</x:v>
      </x:c>
      <x:c r="V24" s="106" t="str">
        <x:v>Auto Scheduled</x:v>
      </x:c>
      <x:c r="W24" s="106" t="str">
        <x:v>Prorated</x:v>
      </x:c>
      <x:c r="X24" s="106"/>
    </x:row>
    <x:row r="25" s="3" customFormat="1" ht="52.79999923706055" customHeight="1">
      <x:c r="A25" s="30">
        <x:v>19</x:v>
      </x:c>
      <x:c r="B25" s="30">
        <x:v>23</x:v>
      </x:c>
      <x:c r="C25" s="106" t="n">
        <x:f>'QS Takeoff'!A21</x:f>
        <x:v>0</x:v>
      </x:c>
      <x:c r="D25" s="106" t="n">
        <x:f>'QS Takeoff'!B21</x:f>
        <x:v>0</x:v>
      </x:c>
      <x:c r="E25" s="106" t="n">
        <x:f>'QS Takeoff'!C21</x:f>
        <x:v>0</x:v>
      </x:c>
      <x:c r="F25" s="106" t="n">
        <x:f>'QS Takeoff'!E21</x:f>
        <x:v>0</x:v>
      </x:c>
      <x:c r="G25" s="106" t="n">
        <x:f>'QS Takeoff'!D21</x:f>
        <x:v>0</x:v>
      </x:c>
      <x:c r="H25" s="185" t="n">
        <x:f>'QS Takeoff'!G21</x:f>
        <x:v>0</x:v>
      </x:c>
      <x:c r="I25" s="185" t="n">
        <x:f>SUMIF('Resource Build-Up'!$B$7:$B$306,D25,'Resource Build-Up'!$Z$7:$Z$306)</x:f>
        <x:v>0</x:v>
      </x:c>
      <x:c r="J25" s="186" t="n">
        <x:f ca="1">IFERROR(AGGREGATE(14,6,'Resource Build-Up'!$M$7:$M$306/('Resource Build-Up'!$B$7:$B$306=D25),1),0)</x:f>
        <x:v>0</x:v>
      </x:c>
      <x:c r="K25" s="186" t="str">
        <x:f t="shared" ca="1" si="0">IF(J25=0,"",ROUNDUP(J25/8,0))</x:f>
      </x:c>
      <x:c r="L25" s="191"/>
      <x:c r="M25" s="186" t="str">
        <x:f t="shared" ca="1" si="1">IF(L25&lt;&gt;"",L25,K25)</x:f>
      </x:c>
      <x:c r="N25" s="188" t="str">
        <x:f t="shared" ca="1" si="2">IF(M25="","",TEXT(M25,"0")&amp;" days")</x:f>
      </x:c>
      <x:c r="O25" s="106"/>
      <x:c r="P25" s="106"/>
      <x:c r="Q25" s="106"/>
      <x:c r="R25" s="106"/>
      <x:c r="S25" s="192"/>
      <x:c r="T25" s="130" t="n">
        <x:f t="shared" si="3">I25-H25</x:f>
        <x:v>0</x:v>
      </x:c>
      <x:c r="U25" s="106" t="str">
        <x:f t="shared" si="4">IF(ABS(T25)&lt;0.01,"OK","CHECK")</x:f>
        <x:v>OK</x:v>
      </x:c>
      <x:c r="V25" s="106" t="str">
        <x:v>Auto Scheduled</x:v>
      </x:c>
      <x:c r="W25" s="106" t="str">
        <x:v>Prorated</x:v>
      </x:c>
      <x:c r="X25" s="106"/>
    </x:row>
    <x:row r="26" s="3" customFormat="1" ht="52.79999923706055" customHeight="1">
      <x:c r="A26" s="30">
        <x:v>20</x:v>
      </x:c>
      <x:c r="B26" s="30">
        <x:v>24</x:v>
      </x:c>
      <x:c r="C26" s="106" t="n">
        <x:f>'QS Takeoff'!A22</x:f>
        <x:v>0</x:v>
      </x:c>
      <x:c r="D26" s="106" t="n">
        <x:f>'QS Takeoff'!B22</x:f>
        <x:v>0</x:v>
      </x:c>
      <x:c r="E26" s="106" t="n">
        <x:f>'QS Takeoff'!C22</x:f>
        <x:v>0</x:v>
      </x:c>
      <x:c r="F26" s="106" t="n">
        <x:f>'QS Takeoff'!E22</x:f>
        <x:v>0</x:v>
      </x:c>
      <x:c r="G26" s="106" t="n">
        <x:f>'QS Takeoff'!D22</x:f>
        <x:v>0</x:v>
      </x:c>
      <x:c r="H26" s="185" t="n">
        <x:f>'QS Takeoff'!G22</x:f>
        <x:v>0</x:v>
      </x:c>
      <x:c r="I26" s="185" t="n">
        <x:f>SUMIF('Resource Build-Up'!$B$7:$B$306,D26,'Resource Build-Up'!$Z$7:$Z$306)</x:f>
        <x:v>0</x:v>
      </x:c>
      <x:c r="J26" s="186" t="n">
        <x:f ca="1">IFERROR(AGGREGATE(14,6,'Resource Build-Up'!$M$7:$M$306/('Resource Build-Up'!$B$7:$B$306=D26),1),0)</x:f>
        <x:v>0</x:v>
      </x:c>
      <x:c r="K26" s="186" t="str">
        <x:f t="shared" ca="1" si="0">IF(J26=0,"",ROUNDUP(J26/8,0))</x:f>
      </x:c>
      <x:c r="L26" s="191"/>
      <x:c r="M26" s="186" t="str">
        <x:f t="shared" ca="1" si="1">IF(L26&lt;&gt;"",L26,K26)</x:f>
      </x:c>
      <x:c r="N26" s="188" t="str">
        <x:f t="shared" ca="1" si="2">IF(M26="","",TEXT(M26,"0")&amp;" days")</x:f>
      </x:c>
      <x:c r="O26" s="106"/>
      <x:c r="P26" s="106"/>
      <x:c r="Q26" s="106"/>
      <x:c r="R26" s="106"/>
      <x:c r="S26" s="192"/>
      <x:c r="T26" s="130" t="n">
        <x:f t="shared" si="3">I26-H26</x:f>
        <x:v>0</x:v>
      </x:c>
      <x:c r="U26" s="106" t="str">
        <x:f t="shared" si="4">IF(ABS(T26)&lt;0.01,"OK","CHECK")</x:f>
        <x:v>OK</x:v>
      </x:c>
      <x:c r="V26" s="106" t="str">
        <x:v>Auto Scheduled</x:v>
      </x:c>
      <x:c r="W26" s="106" t="str">
        <x:v>Prorated</x:v>
      </x:c>
      <x:c r="X26" s="106"/>
    </x:row>
    <x:row r="27" s="3" customFormat="1" ht="52.79999923706055" customHeight="1">
      <x:c r="A27" s="30">
        <x:v>21</x:v>
      </x:c>
      <x:c r="B27" s="30">
        <x:v>25</x:v>
      </x:c>
      <x:c r="C27" s="106" t="n">
        <x:f>'QS Takeoff'!A23</x:f>
        <x:v>0</x:v>
      </x:c>
      <x:c r="D27" s="106" t="n">
        <x:f>'QS Takeoff'!B23</x:f>
        <x:v>0</x:v>
      </x:c>
      <x:c r="E27" s="106" t="n">
        <x:f>'QS Takeoff'!C23</x:f>
        <x:v>0</x:v>
      </x:c>
      <x:c r="F27" s="106" t="n">
        <x:f>'QS Takeoff'!E23</x:f>
        <x:v>0</x:v>
      </x:c>
      <x:c r="G27" s="106" t="n">
        <x:f>'QS Takeoff'!D23</x:f>
        <x:v>0</x:v>
      </x:c>
      <x:c r="H27" s="185" t="n">
        <x:f>'QS Takeoff'!G23</x:f>
        <x:v>0</x:v>
      </x:c>
      <x:c r="I27" s="185" t="n">
        <x:f>SUMIF('Resource Build-Up'!$B$7:$B$306,D27,'Resource Build-Up'!$Z$7:$Z$306)</x:f>
        <x:v>0</x:v>
      </x:c>
      <x:c r="J27" s="186" t="n">
        <x:f ca="1">IFERROR(AGGREGATE(14,6,'Resource Build-Up'!$M$7:$M$306/('Resource Build-Up'!$B$7:$B$306=D27),1),0)</x:f>
        <x:v>0</x:v>
      </x:c>
      <x:c r="K27" s="186" t="str">
        <x:f t="shared" ca="1" si="0">IF(J27=0,"",ROUNDUP(J27/8,0))</x:f>
      </x:c>
      <x:c r="L27" s="187"/>
      <x:c r="M27" s="186" t="str">
        <x:f t="shared" si="1">IF(L27&lt;&gt;"",L27,K27)</x:f>
      </x:c>
      <x:c r="N27" s="188" t="str">
        <x:f t="shared" si="2">IF(M27="","",TEXT(M27,"0")&amp;" days")</x:f>
      </x:c>
      <x:c r="O27" s="106"/>
      <x:c r="P27" s="106"/>
      <x:c r="Q27" s="106"/>
      <x:c r="R27" s="106"/>
      <x:c r="S27" s="190"/>
      <x:c r="T27" s="130" t="n">
        <x:f t="shared" si="3">I27-H27</x:f>
        <x:v>0</x:v>
      </x:c>
      <x:c r="U27" s="106" t="str">
        <x:f t="shared" si="4">IF(ABS(T27)&lt;0.01,"OK","CHECK")</x:f>
        <x:v>OK</x:v>
      </x:c>
      <x:c r="V27" s="106" t="str">
        <x:v>Auto Scheduled</x:v>
      </x:c>
      <x:c r="W27" s="106" t="str">
        <x:v>Prorated</x:v>
      </x:c>
      <x:c r="X27" s="106"/>
    </x:row>
    <x:row r="28" s="3" customFormat="1" ht="52.79999923706055" customHeight="1">
      <x:c r="A28" s="30">
        <x:v>22</x:v>
      </x:c>
      <x:c r="B28" s="30">
        <x:v>26</x:v>
      </x:c>
      <x:c r="C28" s="106" t="n">
        <x:f>'QS Takeoff'!A24</x:f>
        <x:v>0</x:v>
      </x:c>
      <x:c r="D28" s="106" t="n">
        <x:f>'QS Takeoff'!B24</x:f>
        <x:v>0</x:v>
      </x:c>
      <x:c r="E28" s="106" t="n">
        <x:f>'QS Takeoff'!C24</x:f>
        <x:v>0</x:v>
      </x:c>
      <x:c r="F28" s="106" t="n">
        <x:f>'QS Takeoff'!E24</x:f>
        <x:v>0</x:v>
      </x:c>
      <x:c r="G28" s="106" t="n">
        <x:f>'QS Takeoff'!D24</x:f>
        <x:v>0</x:v>
      </x:c>
      <x:c r="H28" s="185" t="n">
        <x:f>'QS Takeoff'!G24</x:f>
        <x:v>0</x:v>
      </x:c>
      <x:c r="I28" s="185" t="n">
        <x:f>SUMIF('Resource Build-Up'!$B$7:$B$306,D28,'Resource Build-Up'!$Z$7:$Z$306)</x:f>
        <x:v>0</x:v>
      </x:c>
      <x:c r="J28" s="186" t="n">
        <x:f ca="1">IFERROR(AGGREGATE(14,6,'Resource Build-Up'!$M$7:$M$306/('Resource Build-Up'!$B$7:$B$306=D28),1),0)</x:f>
        <x:v>0</x:v>
      </x:c>
      <x:c r="K28" s="186" t="str">
        <x:f t="shared" ca="1" si="0">IF(J28=0,"",ROUNDUP(J28/8,0))</x:f>
      </x:c>
      <x:c r="L28" s="191"/>
      <x:c r="M28" s="186" t="str">
        <x:f t="shared" ca="1" si="1">IF(L28&lt;&gt;"",L28,K28)</x:f>
      </x:c>
      <x:c r="N28" s="188" t="str">
        <x:f t="shared" ca="1" si="2">IF(M28="","",TEXT(M28,"0")&amp;" days")</x:f>
      </x:c>
      <x:c r="O28" s="106"/>
      <x:c r="P28" s="106"/>
      <x:c r="Q28" s="106"/>
      <x:c r="R28" s="106"/>
      <x:c r="S28" s="189"/>
      <x:c r="T28" s="130" t="n">
        <x:f t="shared" si="3">I28-H28</x:f>
        <x:v>0</x:v>
      </x:c>
      <x:c r="U28" s="106" t="str">
        <x:f t="shared" si="4">IF(ABS(T28)&lt;0.01,"OK","CHECK")</x:f>
        <x:v>OK</x:v>
      </x:c>
      <x:c r="V28" s="106" t="str">
        <x:v>Auto Scheduled</x:v>
      </x:c>
      <x:c r="W28" s="106" t="str">
        <x:v>Prorated</x:v>
      </x:c>
      <x:c r="X28" s="106"/>
    </x:row>
    <x:row r="29" s="3" customFormat="1" ht="52.79999923706055" customHeight="1">
      <x:c r="A29" s="30">
        <x:v>23</x:v>
      </x:c>
      <x:c r="B29" s="30">
        <x:v>27</x:v>
      </x:c>
      <x:c r="C29" s="106" t="n">
        <x:f>'QS Takeoff'!A25</x:f>
        <x:v>0</x:v>
      </x:c>
      <x:c r="D29" s="106" t="n">
        <x:f>'QS Takeoff'!B25</x:f>
        <x:v>0</x:v>
      </x:c>
      <x:c r="E29" s="106" t="n">
        <x:f>'QS Takeoff'!C25</x:f>
        <x:v>0</x:v>
      </x:c>
      <x:c r="F29" s="106" t="n">
        <x:f>'QS Takeoff'!E25</x:f>
        <x:v>0</x:v>
      </x:c>
      <x:c r="G29" s="106" t="n">
        <x:f>'QS Takeoff'!D25</x:f>
        <x:v>0</x:v>
      </x:c>
      <x:c r="H29" s="185" t="n">
        <x:f>'QS Takeoff'!G25</x:f>
        <x:v>0</x:v>
      </x:c>
      <x:c r="I29" s="185" t="n">
        <x:f>SUMIF('Resource Build-Up'!$B$7:$B$306,D29,'Resource Build-Up'!$Z$7:$Z$306)</x:f>
        <x:v>0</x:v>
      </x:c>
      <x:c r="J29" s="186" t="n">
        <x:f ca="1">IFERROR(AGGREGATE(14,6,'Resource Build-Up'!$M$7:$M$306/('Resource Build-Up'!$B$7:$B$306=D29),1),0)</x:f>
        <x:v>0</x:v>
      </x:c>
      <x:c r="K29" s="186" t="str">
        <x:f t="shared" ca="1" si="0">IF(J29=0,"",ROUNDUP(J29/8,0))</x:f>
      </x:c>
      <x:c r="L29" s="187"/>
      <x:c r="M29" s="186" t="str">
        <x:f t="shared" si="1">IF(L29&lt;&gt;"",L29,K29)</x:f>
      </x:c>
      <x:c r="N29" s="188" t="str">
        <x:f t="shared" si="2">IF(M29="","",TEXT(M29,"0")&amp;" days")</x:f>
      </x:c>
      <x:c r="O29" s="106"/>
      <x:c r="P29" s="106"/>
      <x:c r="Q29" s="106"/>
      <x:c r="R29" s="106"/>
      <x:c r="S29" s="189"/>
      <x:c r="T29" s="130" t="n">
        <x:f t="shared" si="3">I29-H29</x:f>
        <x:v>0</x:v>
      </x:c>
      <x:c r="U29" s="106" t="str">
        <x:f t="shared" si="4">IF(ABS(T29)&lt;0.01,"OK","CHECK")</x:f>
        <x:v>OK</x:v>
      </x:c>
      <x:c r="V29" s="106" t="str">
        <x:v>Auto Scheduled</x:v>
      </x:c>
      <x:c r="W29" s="106" t="str">
        <x:v>Prorated</x:v>
      </x:c>
      <x:c r="X29" s="106"/>
    </x:row>
    <x:row r="30" s="3" customFormat="1" ht="52.79999923706055" customHeight="1">
      <x:c r="A30" s="30">
        <x:v>24</x:v>
      </x:c>
      <x:c r="B30" s="30">
        <x:v>28</x:v>
      </x:c>
      <x:c r="C30" s="106" t="n">
        <x:f>'QS Takeoff'!A26</x:f>
        <x:v>0</x:v>
      </x:c>
      <x:c r="D30" s="106" t="n">
        <x:f>'QS Takeoff'!B26</x:f>
        <x:v>0</x:v>
      </x:c>
      <x:c r="E30" s="106" t="n">
        <x:f>'QS Takeoff'!C26</x:f>
        <x:v>0</x:v>
      </x:c>
      <x:c r="F30" s="106" t="n">
        <x:f>'QS Takeoff'!E26</x:f>
        <x:v>0</x:v>
      </x:c>
      <x:c r="G30" s="106" t="n">
        <x:f>'QS Takeoff'!D26</x:f>
        <x:v>0</x:v>
      </x:c>
      <x:c r="H30" s="185" t="n">
        <x:f>'QS Takeoff'!G26</x:f>
        <x:v>0</x:v>
      </x:c>
      <x:c r="I30" s="185" t="n">
        <x:f>SUMIF('Resource Build-Up'!$B$7:$B$306,D30,'Resource Build-Up'!$Z$7:$Z$306)</x:f>
        <x:v>0</x:v>
      </x:c>
      <x:c r="J30" s="186" t="n">
        <x:f ca="1">IFERROR(AGGREGATE(14,6,'Resource Build-Up'!$M$7:$M$306/('Resource Build-Up'!$B$7:$B$306=D30),1),0)</x:f>
        <x:v>0</x:v>
      </x:c>
      <x:c r="K30" s="186" t="str">
        <x:f t="shared" ca="1" si="0">IF(J30=0,"",ROUNDUP(J30/8,0))</x:f>
      </x:c>
      <x:c r="L30" s="191"/>
      <x:c r="M30" s="186" t="str">
        <x:f t="shared" ca="1" si="1">IF(L30&lt;&gt;"",L30,K30)</x:f>
      </x:c>
      <x:c r="N30" s="188" t="str">
        <x:f t="shared" ca="1" si="2">IF(M30="","",TEXT(M30,"0")&amp;" days")</x:f>
      </x:c>
      <x:c r="O30" s="106"/>
      <x:c r="P30" s="106"/>
      <x:c r="Q30" s="106"/>
      <x:c r="R30" s="106"/>
      <x:c r="S30" s="189"/>
      <x:c r="T30" s="130" t="n">
        <x:f t="shared" si="3">I30-H30</x:f>
        <x:v>0</x:v>
      </x:c>
      <x:c r="U30" s="106" t="str">
        <x:f t="shared" si="4">IF(ABS(T30)&lt;0.01,"OK","CHECK")</x:f>
        <x:v>OK</x:v>
      </x:c>
      <x:c r="V30" s="106" t="str">
        <x:v>Auto Scheduled</x:v>
      </x:c>
      <x:c r="W30" s="106" t="str">
        <x:v>Prorated</x:v>
      </x:c>
      <x:c r="X30" s="106"/>
    </x:row>
    <x:row r="31" s="3" customFormat="1" ht="52.79999923706055" customHeight="1">
      <x:c r="A31" s="30">
        <x:v>25</x:v>
      </x:c>
      <x:c r="B31" s="30">
        <x:v>29</x:v>
      </x:c>
      <x:c r="C31" s="106" t="n">
        <x:f>'QS Takeoff'!A27</x:f>
        <x:v>0</x:v>
      </x:c>
      <x:c r="D31" s="106" t="n">
        <x:f>'QS Takeoff'!B27</x:f>
        <x:v>0</x:v>
      </x:c>
      <x:c r="E31" s="106" t="n">
        <x:f>'QS Takeoff'!C27</x:f>
        <x:v>0</x:v>
      </x:c>
      <x:c r="F31" s="106" t="n">
        <x:f>'QS Takeoff'!E27</x:f>
        <x:v>0</x:v>
      </x:c>
      <x:c r="G31" s="106" t="n">
        <x:f>'QS Takeoff'!D27</x:f>
        <x:v>0</x:v>
      </x:c>
      <x:c r="H31" s="185" t="n">
        <x:f>'QS Takeoff'!G27</x:f>
        <x:v>0</x:v>
      </x:c>
      <x:c r="I31" s="185" t="n">
        <x:f>SUMIF('Resource Build-Up'!$B$7:$B$306,D31,'Resource Build-Up'!$Z$7:$Z$306)</x:f>
        <x:v>0</x:v>
      </x:c>
      <x:c r="J31" s="186" t="n">
        <x:f ca="1">IFERROR(AGGREGATE(14,6,'Resource Build-Up'!$M$7:$M$306/('Resource Build-Up'!$B$7:$B$306=D31),1),0)</x:f>
        <x:v>0</x:v>
      </x:c>
      <x:c r="K31" s="186" t="str">
        <x:f t="shared" ca="1" si="0">IF(J31=0,"",ROUNDUP(J31/8,0))</x:f>
      </x:c>
      <x:c r="L31" s="187"/>
      <x:c r="M31" s="186" t="str">
        <x:f t="shared" si="1">IF(L31&lt;&gt;"",L31,K31)</x:f>
      </x:c>
      <x:c r="N31" s="188" t="str">
        <x:f t="shared" si="2">IF(M31="","",TEXT(M31,"0")&amp;" days")</x:f>
      </x:c>
      <x:c r="O31" s="106"/>
      <x:c r="P31" s="106"/>
      <x:c r="Q31" s="106"/>
      <x:c r="R31" s="106"/>
      <x:c r="S31" s="190"/>
      <x:c r="T31" s="130" t="n">
        <x:f t="shared" si="3">I31-H31</x:f>
        <x:v>0</x:v>
      </x:c>
      <x:c r="U31" s="106" t="str">
        <x:f t="shared" si="4">IF(ABS(T31)&lt;0.01,"OK","CHECK")</x:f>
        <x:v>OK</x:v>
      </x:c>
      <x:c r="V31" s="106" t="str">
        <x:v>Auto Scheduled</x:v>
      </x:c>
      <x:c r="W31" s="106" t="str">
        <x:v>Prorated</x:v>
      </x:c>
      <x:c r="X31" s="106"/>
    </x:row>
    <x:row r="32" s="3" customFormat="1" ht="52.79999923706055" customHeight="1">
      <x:c r="A32" s="30">
        <x:v>26</x:v>
      </x:c>
      <x:c r="B32" s="30">
        <x:v>30</x:v>
      </x:c>
      <x:c r="C32" s="106" t="n">
        <x:f>'QS Takeoff'!A28</x:f>
        <x:v>0</x:v>
      </x:c>
      <x:c r="D32" s="106" t="n">
        <x:f>'QS Takeoff'!B28</x:f>
        <x:v>0</x:v>
      </x:c>
      <x:c r="E32" s="106" t="n">
        <x:f>'QS Takeoff'!C28</x:f>
        <x:v>0</x:v>
      </x:c>
      <x:c r="F32" s="106" t="n">
        <x:f>'QS Takeoff'!E28</x:f>
        <x:v>0</x:v>
      </x:c>
      <x:c r="G32" s="106" t="n">
        <x:f>'QS Takeoff'!D28</x:f>
        <x:v>0</x:v>
      </x:c>
      <x:c r="H32" s="185" t="n">
        <x:f>'QS Takeoff'!G28</x:f>
        <x:v>0</x:v>
      </x:c>
      <x:c r="I32" s="185" t="n">
        <x:f>SUMIF('Resource Build-Up'!$B$7:$B$306,D32,'Resource Build-Up'!$Z$7:$Z$306)</x:f>
        <x:v>0</x:v>
      </x:c>
      <x:c r="J32" s="186" t="n">
        <x:f ca="1">IFERROR(AGGREGATE(14,6,'Resource Build-Up'!$M$7:$M$306/('Resource Build-Up'!$B$7:$B$306=D32),1),0)</x:f>
        <x:v>0</x:v>
      </x:c>
      <x:c r="K32" s="186" t="str">
        <x:f t="shared" ca="1" si="0">IF(J32=0,"",ROUNDUP(J32/8,0))</x:f>
      </x:c>
      <x:c r="L32" s="191"/>
      <x:c r="M32" s="186" t="str">
        <x:f t="shared" ca="1" si="1">IF(L32&lt;&gt;"",L32,K32)</x:f>
      </x:c>
      <x:c r="N32" s="188" t="str">
        <x:f t="shared" ca="1" si="2">IF(M32="","",TEXT(M32,"0")&amp;" days")</x:f>
      </x:c>
      <x:c r="O32" s="106"/>
      <x:c r="P32" s="106"/>
      <x:c r="Q32" s="106"/>
      <x:c r="R32" s="106"/>
      <x:c r="S32" s="190"/>
      <x:c r="T32" s="130" t="n">
        <x:f t="shared" si="3">I32-H32</x:f>
        <x:v>0</x:v>
      </x:c>
      <x:c r="U32" s="106" t="str">
        <x:f t="shared" si="4">IF(ABS(T32)&lt;0.01,"OK","CHECK")</x:f>
        <x:v>OK</x:v>
      </x:c>
      <x:c r="V32" s="106" t="str">
        <x:v>Auto Scheduled</x:v>
      </x:c>
      <x:c r="W32" s="106" t="str">
        <x:v>Prorated</x:v>
      </x:c>
      <x:c r="X32" s="106"/>
    </x:row>
    <x:row r="33" s="3" customFormat="1" ht="52.79999923706055" customHeight="1">
      <x:c r="A33" s="30">
        <x:v>27</x:v>
      </x:c>
      <x:c r="B33" s="30">
        <x:v>31</x:v>
      </x:c>
      <x:c r="C33" s="106" t="n">
        <x:f>'QS Takeoff'!A29</x:f>
        <x:v>0</x:v>
      </x:c>
      <x:c r="D33" s="106" t="n">
        <x:f>'QS Takeoff'!B29</x:f>
        <x:v>0</x:v>
      </x:c>
      <x:c r="E33" s="106" t="n">
        <x:f>'QS Takeoff'!C29</x:f>
        <x:v>0</x:v>
      </x:c>
      <x:c r="F33" s="106" t="n">
        <x:f>'QS Takeoff'!E29</x:f>
        <x:v>0</x:v>
      </x:c>
      <x:c r="G33" s="106" t="n">
        <x:f>'QS Takeoff'!D29</x:f>
        <x:v>0</x:v>
      </x:c>
      <x:c r="H33" s="185" t="n">
        <x:f>'QS Takeoff'!G29</x:f>
        <x:v>0</x:v>
      </x:c>
      <x:c r="I33" s="185" t="n">
        <x:f>SUMIF('Resource Build-Up'!$B$7:$B$306,D33,'Resource Build-Up'!$Z$7:$Z$306)</x:f>
        <x:v>0</x:v>
      </x:c>
      <x:c r="J33" s="186" t="n">
        <x:f ca="1">IFERROR(AGGREGATE(14,6,'Resource Build-Up'!$M$7:$M$306/('Resource Build-Up'!$B$7:$B$306=D33),1),0)</x:f>
        <x:v>0</x:v>
      </x:c>
      <x:c r="K33" s="186" t="str">
        <x:f t="shared" ca="1" si="0">IF(J33=0,"",ROUNDUP(J33/8,0))</x:f>
      </x:c>
      <x:c r="L33" s="187"/>
      <x:c r="M33" s="186" t="str">
        <x:f t="shared" si="1">IF(L33&lt;&gt;"",L33,K33)</x:f>
      </x:c>
      <x:c r="N33" s="188" t="str">
        <x:f t="shared" si="2">IF(M33="","",TEXT(M33,"0")&amp;" days")</x:f>
      </x:c>
      <x:c r="O33" s="106"/>
      <x:c r="P33" s="106"/>
      <x:c r="Q33" s="106"/>
      <x:c r="R33" s="106"/>
      <x:c r="S33" s="189"/>
      <x:c r="T33" s="130" t="n">
        <x:f t="shared" si="3">I33-H33</x:f>
        <x:v>0</x:v>
      </x:c>
      <x:c r="U33" s="106" t="str">
        <x:f t="shared" si="4">IF(ABS(T33)&lt;0.01,"OK","CHECK")</x:f>
        <x:v>OK</x:v>
      </x:c>
      <x:c r="V33" s="106" t="str">
        <x:v>Auto Scheduled</x:v>
      </x:c>
      <x:c r="W33" s="106" t="str">
        <x:v>Prorated</x:v>
      </x:c>
      <x:c r="X33" s="106"/>
    </x:row>
    <x:row r="34" s="3" customFormat="1" ht="52.79999923706055" customHeight="1">
      <x:c r="A34" s="30">
        <x:v>28</x:v>
      </x:c>
      <x:c r="B34" s="30">
        <x:v>32</x:v>
      </x:c>
      <x:c r="C34" s="106" t="n">
        <x:f>'QS Takeoff'!A30</x:f>
        <x:v>0</x:v>
      </x:c>
      <x:c r="D34" s="106" t="n">
        <x:f>'QS Takeoff'!B30</x:f>
        <x:v>0</x:v>
      </x:c>
      <x:c r="E34" s="106" t="n">
        <x:f>'QS Takeoff'!C30</x:f>
        <x:v>0</x:v>
      </x:c>
      <x:c r="F34" s="106" t="n">
        <x:f>'QS Takeoff'!E30</x:f>
        <x:v>0</x:v>
      </x:c>
      <x:c r="G34" s="106" t="n">
        <x:f>'QS Takeoff'!D30</x:f>
        <x:v>0</x:v>
      </x:c>
      <x:c r="H34" s="185" t="n">
        <x:f>'QS Takeoff'!G30</x:f>
        <x:v>0</x:v>
      </x:c>
      <x:c r="I34" s="185" t="n">
        <x:f>SUMIF('Resource Build-Up'!$B$7:$B$306,D34,'Resource Build-Up'!$Z$7:$Z$306)</x:f>
        <x:v>0</x:v>
      </x:c>
      <x:c r="J34" s="186" t="n">
        <x:f ca="1">IFERROR(AGGREGATE(14,6,'Resource Build-Up'!$M$7:$M$306/('Resource Build-Up'!$B$7:$B$306=D34),1),0)</x:f>
        <x:v>0</x:v>
      </x:c>
      <x:c r="K34" s="186" t="str">
        <x:f t="shared" ca="1" si="0">IF(J34=0,"",ROUNDUP(J34/8,0))</x:f>
      </x:c>
      <x:c r="L34" s="191"/>
      <x:c r="M34" s="186" t="str">
        <x:f t="shared" ca="1" si="1">IF(L34&lt;&gt;"",L34,K34)</x:f>
      </x:c>
      <x:c r="N34" s="188" t="str">
        <x:f t="shared" ca="1" si="2">IF(M34="","",TEXT(M34,"0")&amp;" days")</x:f>
      </x:c>
      <x:c r="O34" s="106"/>
      <x:c r="P34" s="106"/>
      <x:c r="Q34" s="106"/>
      <x:c r="R34" s="106"/>
      <x:c r="S34" s="189"/>
      <x:c r="T34" s="130" t="n">
        <x:f t="shared" si="3">I34-H34</x:f>
        <x:v>0</x:v>
      </x:c>
      <x:c r="U34" s="106" t="str">
        <x:f t="shared" si="4">IF(ABS(T34)&lt;0.01,"OK","CHECK")</x:f>
        <x:v>OK</x:v>
      </x:c>
      <x:c r="V34" s="106" t="str">
        <x:v>Auto Scheduled</x:v>
      </x:c>
      <x:c r="W34" s="106" t="str">
        <x:v>Prorated</x:v>
      </x:c>
      <x:c r="X34" s="106"/>
    </x:row>
    <x:row r="35" s="3" customFormat="1" ht="52.79999923706055" customHeight="1">
      <x:c r="A35" s="30">
        <x:v>29</x:v>
      </x:c>
      <x:c r="B35" s="30">
        <x:v>33</x:v>
      </x:c>
      <x:c r="C35" s="106" t="n">
        <x:f>'QS Takeoff'!A31</x:f>
        <x:v>0</x:v>
      </x:c>
      <x:c r="D35" s="106" t="n">
        <x:f>'QS Takeoff'!B31</x:f>
        <x:v>0</x:v>
      </x:c>
      <x:c r="E35" s="106" t="n">
        <x:f>'QS Takeoff'!C31</x:f>
        <x:v>0</x:v>
      </x:c>
      <x:c r="F35" s="106" t="n">
        <x:f>'QS Takeoff'!E31</x:f>
        <x:v>0</x:v>
      </x:c>
      <x:c r="G35" s="106" t="n">
        <x:f>'QS Takeoff'!D31</x:f>
        <x:v>0</x:v>
      </x:c>
      <x:c r="H35" s="185" t="n">
        <x:f>'QS Takeoff'!G31</x:f>
        <x:v>0</x:v>
      </x:c>
      <x:c r="I35" s="185" t="n">
        <x:f>SUMIF('Resource Build-Up'!$B$7:$B$306,D35,'Resource Build-Up'!$Z$7:$Z$306)</x:f>
        <x:v>0</x:v>
      </x:c>
      <x:c r="J35" s="186" t="n">
        <x:f ca="1">IFERROR(AGGREGATE(14,6,'Resource Build-Up'!$M$7:$M$306/('Resource Build-Up'!$B$7:$B$306=D35),1),0)</x:f>
        <x:v>0</x:v>
      </x:c>
      <x:c r="K35" s="186" t="str">
        <x:f t="shared" ca="1" si="0">IF(J35=0,"",ROUNDUP(J35/8,0))</x:f>
      </x:c>
      <x:c r="L35" s="191"/>
      <x:c r="M35" s="186" t="str">
        <x:f t="shared" ca="1" si="1">IF(L35&lt;&gt;"",L35,K35)</x:f>
      </x:c>
      <x:c r="N35" s="188" t="str">
        <x:f t="shared" ca="1" si="2">IF(M35="","",TEXT(M35,"0")&amp;" days")</x:f>
      </x:c>
      <x:c r="O35" s="106"/>
      <x:c r="P35" s="106"/>
      <x:c r="Q35" s="106"/>
      <x:c r="R35" s="106"/>
      <x:c r="S35" s="190"/>
      <x:c r="T35" s="130" t="n">
        <x:f t="shared" si="3">I35-H35</x:f>
        <x:v>0</x:v>
      </x:c>
      <x:c r="U35" s="106" t="str">
        <x:f t="shared" si="4">IF(ABS(T35)&lt;0.01,"OK","CHECK")</x:f>
        <x:v>OK</x:v>
      </x:c>
      <x:c r="V35" s="106" t="str">
        <x:v>Auto Scheduled</x:v>
      </x:c>
      <x:c r="W35" s="106" t="str">
        <x:v>Prorated</x:v>
      </x:c>
      <x:c r="X35" s="106"/>
    </x:row>
    <x:row r="36" s="3" customFormat="1" ht="52.79999923706055" customHeight="1">
      <x:c r="A36" s="30">
        <x:v>30</x:v>
      </x:c>
      <x:c r="B36" s="30">
        <x:v>34</x:v>
      </x:c>
      <x:c r="C36" s="106" t="n">
        <x:f>'QS Takeoff'!A32</x:f>
        <x:v>0</x:v>
      </x:c>
      <x:c r="D36" s="106" t="n">
        <x:f>'QS Takeoff'!B32</x:f>
        <x:v>0</x:v>
      </x:c>
      <x:c r="E36" s="106" t="n">
        <x:f>'QS Takeoff'!C32</x:f>
        <x:v>0</x:v>
      </x:c>
      <x:c r="F36" s="106" t="n">
        <x:f>'QS Takeoff'!E32</x:f>
        <x:v>0</x:v>
      </x:c>
      <x:c r="G36" s="106" t="n">
        <x:f>'QS Takeoff'!D32</x:f>
        <x:v>0</x:v>
      </x:c>
      <x:c r="H36" s="185" t="n">
        <x:f>'QS Takeoff'!G32</x:f>
        <x:v>0</x:v>
      </x:c>
      <x:c r="I36" s="185" t="n">
        <x:f>SUMIF('Resource Build-Up'!$B$7:$B$306,D36,'Resource Build-Up'!$Z$7:$Z$306)</x:f>
        <x:v>0</x:v>
      </x:c>
      <x:c r="J36" s="186" t="n">
        <x:f ca="1">IFERROR(AGGREGATE(14,6,'Resource Build-Up'!$M$7:$M$306/('Resource Build-Up'!$B$7:$B$306=D36),1),0)</x:f>
        <x:v>0</x:v>
      </x:c>
      <x:c r="K36" s="186" t="str">
        <x:f t="shared" ca="1" si="0">IF(J36=0,"",ROUNDUP(J36/8,0))</x:f>
      </x:c>
      <x:c r="L36" s="191"/>
      <x:c r="M36" s="186" t="str">
        <x:f t="shared" ca="1" si="1">IF(L36&lt;&gt;"",L36,K36)</x:f>
      </x:c>
      <x:c r="N36" s="188" t="str">
        <x:f t="shared" ca="1" si="2">IF(M36="","",TEXT(M36,"0")&amp;" days")</x:f>
      </x:c>
      <x:c r="O36" s="106"/>
      <x:c r="P36" s="106"/>
      <x:c r="Q36" s="106"/>
      <x:c r="R36" s="106"/>
      <x:c r="S36" s="190"/>
      <x:c r="T36" s="130" t="n">
        <x:f t="shared" si="3">I36-H36</x:f>
        <x:v>0</x:v>
      </x:c>
      <x:c r="U36" s="106" t="str">
        <x:f t="shared" si="4">IF(ABS(T36)&lt;0.01,"OK","CHECK")</x:f>
        <x:v>OK</x:v>
      </x:c>
      <x:c r="V36" s="106" t="str">
        <x:v>Auto Scheduled</x:v>
      </x:c>
      <x:c r="W36" s="106" t="str">
        <x:v>Prorated</x:v>
      </x:c>
      <x:c r="X36" s="106"/>
    </x:row>
    <x:row r="37" s="3" customFormat="1" ht="52.79999923706055" customHeight="1">
      <x:c r="A37" s="30">
        <x:v>31</x:v>
      </x:c>
      <x:c r="B37" s="30">
        <x:v>35</x:v>
      </x:c>
      <x:c r="C37" s="106" t="n">
        <x:f>'QS Takeoff'!A33</x:f>
        <x:v>0</x:v>
      </x:c>
      <x:c r="D37" s="106" t="n">
        <x:f>'QS Takeoff'!B33</x:f>
        <x:v>0</x:v>
      </x:c>
      <x:c r="E37" s="106" t="n">
        <x:f>'QS Takeoff'!C33</x:f>
        <x:v>0</x:v>
      </x:c>
      <x:c r="F37" s="106" t="n">
        <x:f>'QS Takeoff'!E33</x:f>
        <x:v>0</x:v>
      </x:c>
      <x:c r="G37" s="106" t="n">
        <x:f>'QS Takeoff'!D33</x:f>
        <x:v>0</x:v>
      </x:c>
      <x:c r="H37" s="185" t="n">
        <x:f>'QS Takeoff'!G33</x:f>
        <x:v>0</x:v>
      </x:c>
      <x:c r="I37" s="185" t="n">
        <x:f>SUMIF('Resource Build-Up'!$B$7:$B$306,D37,'Resource Build-Up'!$Z$7:$Z$306)</x:f>
        <x:v>0</x:v>
      </x:c>
      <x:c r="J37" s="186" t="n">
        <x:f ca="1">IFERROR(AGGREGATE(14,6,'Resource Build-Up'!$M$7:$M$306/('Resource Build-Up'!$B$7:$B$306=D37),1),0)</x:f>
        <x:v>0</x:v>
      </x:c>
      <x:c r="K37" s="186" t="str">
        <x:f t="shared" ca="1" si="0">IF(J37=0,"",ROUNDUP(J37/8,0))</x:f>
      </x:c>
      <x:c r="L37" s="191"/>
      <x:c r="M37" s="186" t="str">
        <x:f t="shared" ca="1" si="1">IF(L37&lt;&gt;"",L37,K37)</x:f>
      </x:c>
      <x:c r="N37" s="188" t="str">
        <x:f t="shared" ca="1" si="2">IF(M37="","",TEXT(M37,"0")&amp;" days")</x:f>
      </x:c>
      <x:c r="O37" s="106"/>
      <x:c r="P37" s="106"/>
      <x:c r="Q37" s="106"/>
      <x:c r="R37" s="106"/>
      <x:c r="S37" s="190"/>
      <x:c r="T37" s="130" t="n">
        <x:f t="shared" si="3">I37-H37</x:f>
        <x:v>0</x:v>
      </x:c>
      <x:c r="U37" s="106" t="str">
        <x:f t="shared" si="4">IF(ABS(T37)&lt;0.01,"OK","CHECK")</x:f>
        <x:v>OK</x:v>
      </x:c>
      <x:c r="V37" s="106" t="str">
        <x:v>Auto Scheduled</x:v>
      </x:c>
      <x:c r="W37" s="106" t="str">
        <x:v>Prorated</x:v>
      </x:c>
      <x:c r="X37" s="106"/>
    </x:row>
    <x:row r="38" s="3" customFormat="1" ht="52.79999923706055" customHeight="1">
      <x:c r="A38" s="30">
        <x:v>32</x:v>
      </x:c>
      <x:c r="B38" s="30">
        <x:v>36</x:v>
      </x:c>
      <x:c r="C38" s="106" t="n">
        <x:f>'QS Takeoff'!A34</x:f>
        <x:v>0</x:v>
      </x:c>
      <x:c r="D38" s="106" t="n">
        <x:f>'QS Takeoff'!B34</x:f>
        <x:v>0</x:v>
      </x:c>
      <x:c r="E38" s="106" t="n">
        <x:f>'QS Takeoff'!C34</x:f>
        <x:v>0</x:v>
      </x:c>
      <x:c r="F38" s="106" t="n">
        <x:f>'QS Takeoff'!E34</x:f>
        <x:v>0</x:v>
      </x:c>
      <x:c r="G38" s="106" t="n">
        <x:f>'QS Takeoff'!D34</x:f>
        <x:v>0</x:v>
      </x:c>
      <x:c r="H38" s="185" t="n">
        <x:f>'QS Takeoff'!G34</x:f>
        <x:v>0</x:v>
      </x:c>
      <x:c r="I38" s="185" t="n">
        <x:f>SUMIF('Resource Build-Up'!$B$7:$B$306,D38,'Resource Build-Up'!$Z$7:$Z$306)</x:f>
        <x:v>0</x:v>
      </x:c>
      <x:c r="J38" s="186" t="n">
        <x:f ca="1">IFERROR(AGGREGATE(14,6,'Resource Build-Up'!$M$7:$M$306/('Resource Build-Up'!$B$7:$B$306=D38),1),0)</x:f>
        <x:v>0</x:v>
      </x:c>
      <x:c r="K38" s="186" t="str">
        <x:f t="shared" ca="1" si="0">IF(J38=0,"",ROUNDUP(J38/8,0))</x:f>
      </x:c>
      <x:c r="L38" s="187"/>
      <x:c r="M38" s="186" t="str">
        <x:f t="shared" si="1">IF(L38&lt;&gt;"",L38,K38)</x:f>
      </x:c>
      <x:c r="N38" s="188" t="str">
        <x:f t="shared" si="2">IF(M38="","",TEXT(M38,"0")&amp;" days")</x:f>
      </x:c>
      <x:c r="O38" s="106"/>
      <x:c r="P38" s="106"/>
      <x:c r="Q38" s="106"/>
      <x:c r="R38" s="106"/>
      <x:c r="S38" s="190"/>
      <x:c r="T38" s="130" t="n">
        <x:f t="shared" si="3">I38-H38</x:f>
        <x:v>0</x:v>
      </x:c>
      <x:c r="U38" s="106" t="str">
        <x:f t="shared" si="4">IF(ABS(T38)&lt;0.01,"OK","CHECK")</x:f>
        <x:v>OK</x:v>
      </x:c>
      <x:c r="V38" s="106" t="str">
        <x:v>Auto Scheduled</x:v>
      </x:c>
      <x:c r="W38" s="106" t="str">
        <x:v>Prorated</x:v>
      </x:c>
      <x:c r="X38" s="106"/>
    </x:row>
    <x:row r="39" s="3" customFormat="1" ht="52.79999923706055" customHeight="1">
      <x:c r="A39" s="30">
        <x:v>33</x:v>
      </x:c>
      <x:c r="B39" s="30">
        <x:v>37</x:v>
      </x:c>
      <x:c r="C39" s="106" t="n">
        <x:f>'QS Takeoff'!A35</x:f>
        <x:v>0</x:v>
      </x:c>
      <x:c r="D39" s="106" t="n">
        <x:f>'QS Takeoff'!B35</x:f>
        <x:v>0</x:v>
      </x:c>
      <x:c r="E39" s="106" t="n">
        <x:f>'QS Takeoff'!C35</x:f>
        <x:v>0</x:v>
      </x:c>
      <x:c r="F39" s="106" t="n">
        <x:f>'QS Takeoff'!E35</x:f>
        <x:v>0</x:v>
      </x:c>
      <x:c r="G39" s="106" t="n">
        <x:f>'QS Takeoff'!D35</x:f>
        <x:v>0</x:v>
      </x:c>
      <x:c r="H39" s="185" t="n">
        <x:f>'QS Takeoff'!G35</x:f>
        <x:v>0</x:v>
      </x:c>
      <x:c r="I39" s="185" t="n">
        <x:f>SUMIF('Resource Build-Up'!$B$7:$B$306,D39,'Resource Build-Up'!$Z$7:$Z$306)</x:f>
        <x:v>0</x:v>
      </x:c>
      <x:c r="J39" s="186" t="n">
        <x:f ca="1">IFERROR(AGGREGATE(14,6,'Resource Build-Up'!$M$7:$M$306/('Resource Build-Up'!$B$7:$B$306=D39),1),0)</x:f>
        <x:v>0</x:v>
      </x:c>
      <x:c r="K39" s="186" t="str">
        <x:f t="shared" ref="K39:K70" ca="1" si="5">IF(J39=0,"",ROUNDUP(J39/8,0))</x:f>
      </x:c>
      <x:c r="L39" s="187"/>
      <x:c r="M39" s="186" t="str">
        <x:f t="shared" ref="M39:M70" si="6">IF(L39&lt;&gt;"",L39,K39)</x:f>
      </x:c>
      <x:c r="N39" s="188" t="str">
        <x:f t="shared" ref="N39:N70" si="7">IF(M39="","",TEXT(M39,"0")&amp;" days")</x:f>
      </x:c>
      <x:c r="O39" s="106"/>
      <x:c r="P39" s="106"/>
      <x:c r="Q39" s="106"/>
      <x:c r="R39" s="106"/>
      <x:c r="S39" s="190"/>
      <x:c r="T39" s="130" t="n">
        <x:f t="shared" ref="T39:T70" si="8">I39-H39</x:f>
        <x:v>0</x:v>
      </x:c>
      <x:c r="U39" s="106" t="str">
        <x:f t="shared" ref="U39:U70" si="9">IF(ABS(T39)&lt;0.01,"OK","CHECK")</x:f>
        <x:v>OK</x:v>
      </x:c>
      <x:c r="V39" s="106" t="str">
        <x:v>Auto Scheduled</x:v>
      </x:c>
      <x:c r="W39" s="106" t="str">
        <x:v>Prorated</x:v>
      </x:c>
      <x:c r="X39" s="106"/>
    </x:row>
    <x:row r="40" s="3" customFormat="1" ht="52.79999923706055" customHeight="1">
      <x:c r="A40" s="30">
        <x:v>34</x:v>
      </x:c>
      <x:c r="B40" s="30">
        <x:v>38</x:v>
      </x:c>
      <x:c r="C40" s="106" t="n">
        <x:f>'QS Takeoff'!A36</x:f>
        <x:v>0</x:v>
      </x:c>
      <x:c r="D40" s="106" t="n">
        <x:f>'QS Takeoff'!B36</x:f>
        <x:v>0</x:v>
      </x:c>
      <x:c r="E40" s="106" t="n">
        <x:f>'QS Takeoff'!C36</x:f>
        <x:v>0</x:v>
      </x:c>
      <x:c r="F40" s="106" t="n">
        <x:f>'QS Takeoff'!E36</x:f>
        <x:v>0</x:v>
      </x:c>
      <x:c r="G40" s="106" t="n">
        <x:f>'QS Takeoff'!D36</x:f>
        <x:v>0</x:v>
      </x:c>
      <x:c r="H40" s="185" t="n">
        <x:f>'QS Takeoff'!G36</x:f>
        <x:v>0</x:v>
      </x:c>
      <x:c r="I40" s="185" t="n">
        <x:f>SUMIF('Resource Build-Up'!$B$7:$B$306,D40,'Resource Build-Up'!$Z$7:$Z$306)</x:f>
        <x:v>0</x:v>
      </x:c>
      <x:c r="J40" s="186" t="n">
        <x:f ca="1">IFERROR(AGGREGATE(14,6,'Resource Build-Up'!$M$7:$M$306/('Resource Build-Up'!$B$7:$B$306=D40),1),0)</x:f>
        <x:v>0</x:v>
      </x:c>
      <x:c r="K40" s="186" t="str">
        <x:f t="shared" ca="1" si="5">IF(J40=0,"",ROUNDUP(J40/8,0))</x:f>
      </x:c>
      <x:c r="L40" s="187"/>
      <x:c r="M40" s="186" t="str">
        <x:f t="shared" si="6">IF(L40&lt;&gt;"",L40,K40)</x:f>
      </x:c>
      <x:c r="N40" s="188" t="str">
        <x:f t="shared" si="7">IF(M40="","",TEXT(M40,"0")&amp;" days")</x:f>
      </x:c>
      <x:c r="O40" s="106"/>
      <x:c r="P40" s="106"/>
      <x:c r="Q40" s="106"/>
      <x:c r="R40" s="106"/>
      <x:c r="S40" s="190"/>
      <x:c r="T40" s="130" t="n">
        <x:f t="shared" si="8">I40-H40</x:f>
        <x:v>0</x:v>
      </x:c>
      <x:c r="U40" s="106" t="str">
        <x:f t="shared" si="9">IF(ABS(T40)&lt;0.01,"OK","CHECK")</x:f>
        <x:v>OK</x:v>
      </x:c>
      <x:c r="V40" s="106" t="str">
        <x:v>Auto Scheduled</x:v>
      </x:c>
      <x:c r="W40" s="106" t="str">
        <x:v>Prorated</x:v>
      </x:c>
      <x:c r="X40" s="106"/>
    </x:row>
    <x:row r="41" s="3" customFormat="1" ht="52.79999923706055" customHeight="1">
      <x:c r="A41" s="30">
        <x:v>35</x:v>
      </x:c>
      <x:c r="B41" s="30">
        <x:v>39</x:v>
      </x:c>
      <x:c r="C41" s="106" t="n">
        <x:f>'QS Takeoff'!A37</x:f>
        <x:v>0</x:v>
      </x:c>
      <x:c r="D41" s="106" t="n">
        <x:f>'QS Takeoff'!B37</x:f>
        <x:v>0</x:v>
      </x:c>
      <x:c r="E41" s="106" t="n">
        <x:f>'QS Takeoff'!C37</x:f>
        <x:v>0</x:v>
      </x:c>
      <x:c r="F41" s="106" t="n">
        <x:f>'QS Takeoff'!E37</x:f>
        <x:v>0</x:v>
      </x:c>
      <x:c r="G41" s="106" t="n">
        <x:f>'QS Takeoff'!D37</x:f>
        <x:v>0</x:v>
      </x:c>
      <x:c r="H41" s="185" t="n">
        <x:f>'QS Takeoff'!G37</x:f>
        <x:v>0</x:v>
      </x:c>
      <x:c r="I41" s="185" t="n">
        <x:f>SUMIF('Resource Build-Up'!$B$7:$B$306,D41,'Resource Build-Up'!$Z$7:$Z$306)</x:f>
        <x:v>0</x:v>
      </x:c>
      <x:c r="J41" s="186" t="n">
        <x:f ca="1">IFERROR(AGGREGATE(14,6,'Resource Build-Up'!$M$7:$M$306/('Resource Build-Up'!$B$7:$B$306=D41),1),0)</x:f>
        <x:v>0</x:v>
      </x:c>
      <x:c r="K41" s="186" t="str">
        <x:f t="shared" ca="1" si="5">IF(J41=0,"",ROUNDUP(J41/8,0))</x:f>
      </x:c>
      <x:c r="L41" s="187"/>
      <x:c r="M41" s="186" t="str">
        <x:f t="shared" si="6">IF(L41&lt;&gt;"",L41,K41)</x:f>
      </x:c>
      <x:c r="N41" s="188" t="str">
        <x:f t="shared" si="7">IF(M41="","",TEXT(M41,"0")&amp;" days")</x:f>
      </x:c>
      <x:c r="O41" s="106"/>
      <x:c r="P41" s="106"/>
      <x:c r="Q41" s="106"/>
      <x:c r="R41" s="106"/>
      <x:c r="S41" s="190"/>
      <x:c r="T41" s="130" t="n">
        <x:f t="shared" si="8">I41-H41</x:f>
        <x:v>0</x:v>
      </x:c>
      <x:c r="U41" s="106" t="str">
        <x:f t="shared" si="9">IF(ABS(T41)&lt;0.01,"OK","CHECK")</x:f>
        <x:v>OK</x:v>
      </x:c>
      <x:c r="V41" s="106" t="str">
        <x:v>Auto Scheduled</x:v>
      </x:c>
      <x:c r="W41" s="106" t="str">
        <x:v>Prorated</x:v>
      </x:c>
      <x:c r="X41" s="106"/>
    </x:row>
    <x:row r="42" s="3" customFormat="1" ht="52.79999923706055" customHeight="1">
      <x:c r="A42" s="30">
        <x:v>36</x:v>
      </x:c>
      <x:c r="B42" s="30">
        <x:v>40</x:v>
      </x:c>
      <x:c r="C42" s="106" t="n">
        <x:f>'QS Takeoff'!A38</x:f>
        <x:v>0</x:v>
      </x:c>
      <x:c r="D42" s="106" t="n">
        <x:f>'QS Takeoff'!B38</x:f>
        <x:v>0</x:v>
      </x:c>
      <x:c r="E42" s="106" t="n">
        <x:f>'QS Takeoff'!C38</x:f>
        <x:v>0</x:v>
      </x:c>
      <x:c r="F42" s="106" t="n">
        <x:f>'QS Takeoff'!E38</x:f>
        <x:v>0</x:v>
      </x:c>
      <x:c r="G42" s="106" t="n">
        <x:f>'QS Takeoff'!D38</x:f>
        <x:v>0</x:v>
      </x:c>
      <x:c r="H42" s="185" t="n">
        <x:f>'QS Takeoff'!G38</x:f>
        <x:v>0</x:v>
      </x:c>
      <x:c r="I42" s="185" t="n">
        <x:f>SUMIF('Resource Build-Up'!$B$7:$B$306,D42,'Resource Build-Up'!$Z$7:$Z$306)</x:f>
        <x:v>0</x:v>
      </x:c>
      <x:c r="J42" s="186" t="n">
        <x:f ca="1">IFERROR(AGGREGATE(14,6,'Resource Build-Up'!$M$7:$M$306/('Resource Build-Up'!$B$7:$B$306=D42),1),0)</x:f>
        <x:v>0</x:v>
      </x:c>
      <x:c r="K42" s="186" t="str">
        <x:f t="shared" ca="1" si="5">IF(J42=0,"",ROUNDUP(J42/8,0))</x:f>
      </x:c>
      <x:c r="L42" s="187"/>
      <x:c r="M42" s="186" t="str">
        <x:f t="shared" si="6">IF(L42&lt;&gt;"",L42,K42)</x:f>
      </x:c>
      <x:c r="N42" s="188" t="str">
        <x:f t="shared" si="7">IF(M42="","",TEXT(M42,"0")&amp;" days")</x:f>
      </x:c>
      <x:c r="O42" s="106"/>
      <x:c r="P42" s="106"/>
      <x:c r="Q42" s="106"/>
      <x:c r="R42" s="106"/>
      <x:c r="S42" s="189"/>
      <x:c r="T42" s="130" t="n">
        <x:f t="shared" si="8">I42-H42</x:f>
        <x:v>0</x:v>
      </x:c>
      <x:c r="U42" s="106" t="str">
        <x:f t="shared" si="9">IF(ABS(T42)&lt;0.01,"OK","CHECK")</x:f>
        <x:v>OK</x:v>
      </x:c>
      <x:c r="V42" s="106" t="str">
        <x:v>Auto Scheduled</x:v>
      </x:c>
      <x:c r="W42" s="106" t="str">
        <x:v>Prorated</x:v>
      </x:c>
      <x:c r="X42" s="106"/>
    </x:row>
    <x:row r="43" s="3" customFormat="1" ht="52.79999923706055" customHeight="1">
      <x:c r="A43" s="30">
        <x:v>37</x:v>
      </x:c>
      <x:c r="B43" s="30">
        <x:v>41</x:v>
      </x:c>
      <x:c r="C43" s="106" t="n">
        <x:f>'QS Takeoff'!A39</x:f>
        <x:v>0</x:v>
      </x:c>
      <x:c r="D43" s="106" t="n">
        <x:f>'QS Takeoff'!B39</x:f>
        <x:v>0</x:v>
      </x:c>
      <x:c r="E43" s="106" t="n">
        <x:f>'QS Takeoff'!C39</x:f>
        <x:v>0</x:v>
      </x:c>
      <x:c r="F43" s="106" t="n">
        <x:f>'QS Takeoff'!E39</x:f>
        <x:v>0</x:v>
      </x:c>
      <x:c r="G43" s="106" t="n">
        <x:f>'QS Takeoff'!D39</x:f>
        <x:v>0</x:v>
      </x:c>
      <x:c r="H43" s="185" t="n">
        <x:f>'QS Takeoff'!G39</x:f>
        <x:v>0</x:v>
      </x:c>
      <x:c r="I43" s="185" t="n">
        <x:f>SUMIF('Resource Build-Up'!$B$7:$B$306,D43,'Resource Build-Up'!$Z$7:$Z$306)</x:f>
        <x:v>0</x:v>
      </x:c>
      <x:c r="J43" s="186" t="n">
        <x:f ca="1">IFERROR(AGGREGATE(14,6,'Resource Build-Up'!$M$7:$M$306/('Resource Build-Up'!$B$7:$B$306=D43),1),0)</x:f>
        <x:v>0</x:v>
      </x:c>
      <x:c r="K43" s="186" t="str">
        <x:f t="shared" ca="1" si="5">IF(J43=0,"",ROUNDUP(J43/8,0))</x:f>
      </x:c>
      <x:c r="L43" s="187"/>
      <x:c r="M43" s="186" t="str">
        <x:f t="shared" si="6">IF(L43&lt;&gt;"",L43,K43)</x:f>
      </x:c>
      <x:c r="N43" s="188" t="str">
        <x:f t="shared" si="7">IF(M43="","",TEXT(M43,"0")&amp;" days")</x:f>
      </x:c>
      <x:c r="O43" s="106"/>
      <x:c r="P43" s="106"/>
      <x:c r="Q43" s="106"/>
      <x:c r="R43" s="106"/>
      <x:c r="S43" s="190"/>
      <x:c r="T43" s="130" t="n">
        <x:f t="shared" si="8">I43-H43</x:f>
        <x:v>0</x:v>
      </x:c>
      <x:c r="U43" s="106" t="str">
        <x:f t="shared" si="9">IF(ABS(T43)&lt;0.01,"OK","CHECK")</x:f>
        <x:v>OK</x:v>
      </x:c>
      <x:c r="V43" s="106" t="str">
        <x:v>Auto Scheduled</x:v>
      </x:c>
      <x:c r="W43" s="106" t="str">
        <x:v>Prorated</x:v>
      </x:c>
      <x:c r="X43" s="106"/>
    </x:row>
    <x:row r="44" s="3" customFormat="1" ht="52.79999923706055" customHeight="1">
      <x:c r="A44" s="30">
        <x:v>38</x:v>
      </x:c>
      <x:c r="B44" s="30">
        <x:v>42</x:v>
      </x:c>
      <x:c r="C44" s="106" t="n">
        <x:f>'QS Takeoff'!A40</x:f>
        <x:v>0</x:v>
      </x:c>
      <x:c r="D44" s="106" t="n">
        <x:f>'QS Takeoff'!B40</x:f>
        <x:v>0</x:v>
      </x:c>
      <x:c r="E44" s="106" t="n">
        <x:f>'QS Takeoff'!C40</x:f>
        <x:v>0</x:v>
      </x:c>
      <x:c r="F44" s="106" t="n">
        <x:f>'QS Takeoff'!E40</x:f>
        <x:v>0</x:v>
      </x:c>
      <x:c r="G44" s="106" t="n">
        <x:f>'QS Takeoff'!D40</x:f>
        <x:v>0</x:v>
      </x:c>
      <x:c r="H44" s="185" t="n">
        <x:f>'QS Takeoff'!G40</x:f>
        <x:v>0</x:v>
      </x:c>
      <x:c r="I44" s="185" t="n">
        <x:f>SUMIF('Resource Build-Up'!$B$7:$B$306,D44,'Resource Build-Up'!$Z$7:$Z$306)</x:f>
        <x:v>0</x:v>
      </x:c>
      <x:c r="J44" s="186" t="n">
        <x:f ca="1">IFERROR(AGGREGATE(14,6,'Resource Build-Up'!$M$7:$M$306/('Resource Build-Up'!$B$7:$B$306=D44),1),0)</x:f>
        <x:v>0</x:v>
      </x:c>
      <x:c r="K44" s="186" t="str">
        <x:f t="shared" ca="1" si="5">IF(J44=0,"",ROUNDUP(J44/8,0))</x:f>
      </x:c>
      <x:c r="L44" s="191"/>
      <x:c r="M44" s="186" t="str">
        <x:f t="shared" ca="1" si="6">IF(L44&lt;&gt;"",L44,K44)</x:f>
      </x:c>
      <x:c r="N44" s="188" t="str">
        <x:f t="shared" ca="1" si="7">IF(M44="","",TEXT(M44,"0")&amp;" days")</x:f>
      </x:c>
      <x:c r="O44" s="106"/>
      <x:c r="P44" s="106"/>
      <x:c r="Q44" s="106"/>
      <x:c r="R44" s="106"/>
      <x:c r="S44" s="190"/>
      <x:c r="T44" s="130" t="n">
        <x:f t="shared" si="8">I44-H44</x:f>
        <x:v>0</x:v>
      </x:c>
      <x:c r="U44" s="106" t="str">
        <x:f t="shared" si="9">IF(ABS(T44)&lt;0.01,"OK","CHECK")</x:f>
        <x:v>OK</x:v>
      </x:c>
      <x:c r="V44" s="106" t="str">
        <x:v>Auto Scheduled</x:v>
      </x:c>
      <x:c r="W44" s="106" t="str">
        <x:v>Prorated</x:v>
      </x:c>
      <x:c r="X44" s="106"/>
    </x:row>
    <x:row r="45" s="3" customFormat="1" ht="52.79999923706055" customHeight="1">
      <x:c r="A45" s="30">
        <x:v>39</x:v>
      </x:c>
      <x:c r="B45" s="30">
        <x:v>43</x:v>
      </x:c>
      <x:c r="C45" s="106" t="n">
        <x:f>'QS Takeoff'!A41</x:f>
        <x:v>0</x:v>
      </x:c>
      <x:c r="D45" s="106" t="n">
        <x:f>'QS Takeoff'!B41</x:f>
        <x:v>0</x:v>
      </x:c>
      <x:c r="E45" s="106" t="n">
        <x:f>'QS Takeoff'!C41</x:f>
        <x:v>0</x:v>
      </x:c>
      <x:c r="F45" s="106" t="n">
        <x:f>'QS Takeoff'!E41</x:f>
        <x:v>0</x:v>
      </x:c>
      <x:c r="G45" s="106" t="n">
        <x:f>'QS Takeoff'!D41</x:f>
        <x:v>0</x:v>
      </x:c>
      <x:c r="H45" s="185" t="n">
        <x:f>'QS Takeoff'!G41</x:f>
        <x:v>0</x:v>
      </x:c>
      <x:c r="I45" s="185" t="n">
        <x:f>SUMIF('Resource Build-Up'!$B$7:$B$306,D45,'Resource Build-Up'!$Z$7:$Z$306)</x:f>
        <x:v>0</x:v>
      </x:c>
      <x:c r="J45" s="186" t="n">
        <x:f ca="1">IFERROR(AGGREGATE(14,6,'Resource Build-Up'!$M$7:$M$306/('Resource Build-Up'!$B$7:$B$306=D45),1),0)</x:f>
        <x:v>0</x:v>
      </x:c>
      <x:c r="K45" s="186" t="str">
        <x:f t="shared" ca="1" si="5">IF(J45=0,"",ROUNDUP(J45/8,0))</x:f>
      </x:c>
      <x:c r="L45" s="187"/>
      <x:c r="M45" s="186" t="str">
        <x:f t="shared" si="6">IF(L45&lt;&gt;"",L45,K45)</x:f>
      </x:c>
      <x:c r="N45" s="188" t="str">
        <x:f t="shared" si="7">IF(M45="","",TEXT(M45,"0")&amp;" days")</x:f>
      </x:c>
      <x:c r="O45" s="106"/>
      <x:c r="P45" s="106"/>
      <x:c r="Q45" s="106"/>
      <x:c r="R45" s="106"/>
      <x:c r="S45" s="190"/>
      <x:c r="T45" s="130" t="n">
        <x:f t="shared" si="8">I45-H45</x:f>
        <x:v>0</x:v>
      </x:c>
      <x:c r="U45" s="106" t="str">
        <x:f t="shared" si="9">IF(ABS(T45)&lt;0.01,"OK","CHECK")</x:f>
        <x:v>OK</x:v>
      </x:c>
      <x:c r="V45" s="106" t="str">
        <x:v>Auto Scheduled</x:v>
      </x:c>
      <x:c r="W45" s="106" t="str">
        <x:v>Prorated</x:v>
      </x:c>
      <x:c r="X45" s="106"/>
    </x:row>
    <x:row r="46" s="3" customFormat="1" ht="52.79999923706055" customHeight="1">
      <x:c r="A46" s="30">
        <x:v>40</x:v>
      </x:c>
      <x:c r="B46" s="30">
        <x:v>44</x:v>
      </x:c>
      <x:c r="C46" s="106" t="n">
        <x:f>'QS Takeoff'!A42</x:f>
        <x:v>0</x:v>
      </x:c>
      <x:c r="D46" s="106" t="n">
        <x:f>'QS Takeoff'!B42</x:f>
        <x:v>0</x:v>
      </x:c>
      <x:c r="E46" s="106" t="n">
        <x:f>'QS Takeoff'!C42</x:f>
        <x:v>0</x:v>
      </x:c>
      <x:c r="F46" s="106" t="n">
        <x:f>'QS Takeoff'!E42</x:f>
        <x:v>0</x:v>
      </x:c>
      <x:c r="G46" s="106" t="n">
        <x:f>'QS Takeoff'!D42</x:f>
        <x:v>0</x:v>
      </x:c>
      <x:c r="H46" s="185" t="n">
        <x:f>'QS Takeoff'!G42</x:f>
        <x:v>0</x:v>
      </x:c>
      <x:c r="I46" s="185" t="n">
        <x:f>SUMIF('Resource Build-Up'!$B$7:$B$306,D46,'Resource Build-Up'!$Z$7:$Z$306)</x:f>
        <x:v>0</x:v>
      </x:c>
      <x:c r="J46" s="186" t="n">
        <x:f ca="1">IFERROR(AGGREGATE(14,6,'Resource Build-Up'!$M$7:$M$306/('Resource Build-Up'!$B$7:$B$306=D46),1),0)</x:f>
        <x:v>0</x:v>
      </x:c>
      <x:c r="K46" s="186" t="str">
        <x:f t="shared" ca="1" si="5">IF(J46=0,"",ROUNDUP(J46/8,0))</x:f>
      </x:c>
      <x:c r="L46" s="187"/>
      <x:c r="M46" s="186" t="str">
        <x:f t="shared" si="6">IF(L46&lt;&gt;"",L46,K46)</x:f>
      </x:c>
      <x:c r="N46" s="188" t="str">
        <x:f t="shared" si="7">IF(M46="","",TEXT(M46,"0")&amp;" days")</x:f>
      </x:c>
      <x:c r="O46" s="106"/>
      <x:c r="P46" s="106"/>
      <x:c r="Q46" s="106"/>
      <x:c r="R46" s="106"/>
      <x:c r="S46" s="190"/>
      <x:c r="T46" s="130" t="n">
        <x:f t="shared" si="8">I46-H46</x:f>
        <x:v>0</x:v>
      </x:c>
      <x:c r="U46" s="106" t="str">
        <x:f t="shared" si="9">IF(ABS(T46)&lt;0.01,"OK","CHECK")</x:f>
        <x:v>OK</x:v>
      </x:c>
      <x:c r="V46" s="106" t="str">
        <x:v>Auto Scheduled</x:v>
      </x:c>
      <x:c r="W46" s="106" t="str">
        <x:v>Prorated</x:v>
      </x:c>
      <x:c r="X46" s="106"/>
    </x:row>
    <x:row r="47" s="3" customFormat="1" ht="52.79999923706055" customHeight="1">
      <x:c r="A47" s="30">
        <x:v>41</x:v>
      </x:c>
      <x:c r="B47" s="30">
        <x:v>45</x:v>
      </x:c>
      <x:c r="C47" s="106" t="n">
        <x:f>'QS Takeoff'!A43</x:f>
        <x:v>0</x:v>
      </x:c>
      <x:c r="D47" s="106" t="n">
        <x:f>'QS Takeoff'!B43</x:f>
        <x:v>0</x:v>
      </x:c>
      <x:c r="E47" s="106" t="n">
        <x:f>'QS Takeoff'!C43</x:f>
        <x:v>0</x:v>
      </x:c>
      <x:c r="F47" s="106" t="n">
        <x:f>'QS Takeoff'!E43</x:f>
        <x:v>0</x:v>
      </x:c>
      <x:c r="G47" s="106" t="n">
        <x:f>'QS Takeoff'!D43</x:f>
        <x:v>0</x:v>
      </x:c>
      <x:c r="H47" s="185" t="n">
        <x:f>'QS Takeoff'!G43</x:f>
        <x:v>0</x:v>
      </x:c>
      <x:c r="I47" s="185" t="n">
        <x:f>SUMIF('Resource Build-Up'!$B$7:$B$306,D47,'Resource Build-Up'!$Z$7:$Z$306)</x:f>
        <x:v>0</x:v>
      </x:c>
      <x:c r="J47" s="186" t="n">
        <x:f ca="1">IFERROR(AGGREGATE(14,6,'Resource Build-Up'!$M$7:$M$306/('Resource Build-Up'!$B$7:$B$306=D47),1),0)</x:f>
        <x:v>0</x:v>
      </x:c>
      <x:c r="K47" s="186" t="str">
        <x:f t="shared" ca="1" si="5">IF(J47=0,"",ROUNDUP(J47/8,0))</x:f>
      </x:c>
      <x:c r="L47" s="187"/>
      <x:c r="M47" s="186" t="str">
        <x:f t="shared" si="6">IF(L47&lt;&gt;"",L47,K47)</x:f>
      </x:c>
      <x:c r="N47" s="188" t="str">
        <x:f t="shared" si="7">IF(M47="","",TEXT(M47,"0")&amp;" days")</x:f>
      </x:c>
      <x:c r="O47" s="106"/>
      <x:c r="P47" s="106"/>
      <x:c r="Q47" s="106"/>
      <x:c r="R47" s="106"/>
      <x:c r="S47" s="190"/>
      <x:c r="T47" s="130" t="n">
        <x:f t="shared" si="8">I47-H47</x:f>
        <x:v>0</x:v>
      </x:c>
      <x:c r="U47" s="106" t="str">
        <x:f t="shared" si="9">IF(ABS(T47)&lt;0.01,"OK","CHECK")</x:f>
        <x:v>OK</x:v>
      </x:c>
      <x:c r="V47" s="106" t="str">
        <x:v>Auto Scheduled</x:v>
      </x:c>
      <x:c r="W47" s="106" t="str">
        <x:v>Prorated</x:v>
      </x:c>
      <x:c r="X47" s="106"/>
    </x:row>
    <x:row r="48" s="3" customFormat="1" ht="52.79999923706055" customHeight="1">
      <x:c r="A48" s="30">
        <x:v>42</x:v>
      </x:c>
      <x:c r="B48" s="30">
        <x:v>46</x:v>
      </x:c>
      <x:c r="C48" s="106" t="n">
        <x:f>'QS Takeoff'!A44</x:f>
        <x:v>0</x:v>
      </x:c>
      <x:c r="D48" s="106" t="n">
        <x:f>'QS Takeoff'!B44</x:f>
        <x:v>0</x:v>
      </x:c>
      <x:c r="E48" s="106" t="n">
        <x:f>'QS Takeoff'!C44</x:f>
        <x:v>0</x:v>
      </x:c>
      <x:c r="F48" s="106" t="n">
        <x:f>'QS Takeoff'!E44</x:f>
        <x:v>0</x:v>
      </x:c>
      <x:c r="G48" s="106" t="n">
        <x:f>'QS Takeoff'!D44</x:f>
        <x:v>0</x:v>
      </x:c>
      <x:c r="H48" s="185" t="n">
        <x:f>'QS Takeoff'!G44</x:f>
        <x:v>0</x:v>
      </x:c>
      <x:c r="I48" s="185" t="n">
        <x:f>SUMIF('Resource Build-Up'!$B$7:$B$306,D48,'Resource Build-Up'!$Z$7:$Z$306)</x:f>
        <x:v>0</x:v>
      </x:c>
      <x:c r="J48" s="186" t="n">
        <x:f ca="1">IFERROR(AGGREGATE(14,6,'Resource Build-Up'!$M$7:$M$306/('Resource Build-Up'!$B$7:$B$306=D48),1),0)</x:f>
        <x:v>0</x:v>
      </x:c>
      <x:c r="K48" s="186" t="str">
        <x:f t="shared" ca="1" si="5">IF(J48=0,"",ROUNDUP(J48/8,0))</x:f>
      </x:c>
      <x:c r="L48" s="187"/>
      <x:c r="M48" s="186" t="str">
        <x:f t="shared" si="6">IF(L48&lt;&gt;"",L48,K48)</x:f>
      </x:c>
      <x:c r="N48" s="188" t="str">
        <x:f t="shared" si="7">IF(M48="","",TEXT(M48,"0")&amp;" days")</x:f>
      </x:c>
      <x:c r="O48" s="106"/>
      <x:c r="P48" s="106"/>
      <x:c r="Q48" s="106"/>
      <x:c r="R48" s="106"/>
      <x:c r="S48" s="190"/>
      <x:c r="T48" s="130" t="n">
        <x:f t="shared" si="8">I48-H48</x:f>
        <x:v>0</x:v>
      </x:c>
      <x:c r="U48" s="106" t="str">
        <x:f t="shared" si="9">IF(ABS(T48)&lt;0.01,"OK","CHECK")</x:f>
        <x:v>OK</x:v>
      </x:c>
      <x:c r="V48" s="106" t="str">
        <x:v>Auto Scheduled</x:v>
      </x:c>
      <x:c r="W48" s="106" t="str">
        <x:v>Prorated</x:v>
      </x:c>
      <x:c r="X48" s="106"/>
    </x:row>
    <x:row r="49" s="3" customFormat="1" ht="52.79999923706055" customHeight="1">
      <x:c r="A49" s="30">
        <x:v>43</x:v>
      </x:c>
      <x:c r="B49" s="30">
        <x:v>47</x:v>
      </x:c>
      <x:c r="C49" s="106" t="n">
        <x:f>'QS Takeoff'!A45</x:f>
        <x:v>0</x:v>
      </x:c>
      <x:c r="D49" s="106" t="n">
        <x:f>'QS Takeoff'!B45</x:f>
        <x:v>0</x:v>
      </x:c>
      <x:c r="E49" s="106" t="n">
        <x:f>'QS Takeoff'!C45</x:f>
        <x:v>0</x:v>
      </x:c>
      <x:c r="F49" s="106" t="n">
        <x:f>'QS Takeoff'!E45</x:f>
        <x:v>0</x:v>
      </x:c>
      <x:c r="G49" s="106" t="n">
        <x:f>'QS Takeoff'!D45</x:f>
        <x:v>0</x:v>
      </x:c>
      <x:c r="H49" s="185" t="n">
        <x:f>'QS Takeoff'!G45</x:f>
        <x:v>0</x:v>
      </x:c>
      <x:c r="I49" s="185" t="n">
        <x:f>SUMIF('Resource Build-Up'!$B$7:$B$306,D49,'Resource Build-Up'!$Z$7:$Z$306)</x:f>
        <x:v>0</x:v>
      </x:c>
      <x:c r="J49" s="186" t="n">
        <x:f ca="1">IFERROR(AGGREGATE(14,6,'Resource Build-Up'!$M$7:$M$306/('Resource Build-Up'!$B$7:$B$306=D49),1),0)</x:f>
        <x:v>0</x:v>
      </x:c>
      <x:c r="K49" s="186" t="str">
        <x:f t="shared" ca="1" si="5">IF(J49=0,"",ROUNDUP(J49/8,0))</x:f>
      </x:c>
      <x:c r="L49" s="187"/>
      <x:c r="M49" s="186" t="str">
        <x:f t="shared" si="6">IF(L49&lt;&gt;"",L49,K49)</x:f>
      </x:c>
      <x:c r="N49" s="188" t="str">
        <x:f t="shared" si="7">IF(M49="","",TEXT(M49,"0")&amp;" days")</x:f>
      </x:c>
      <x:c r="O49" s="106"/>
      <x:c r="P49" s="106"/>
      <x:c r="Q49" s="106"/>
      <x:c r="R49" s="106"/>
      <x:c r="S49" s="190"/>
      <x:c r="T49" s="130" t="n">
        <x:f t="shared" si="8">I49-H49</x:f>
        <x:v>0</x:v>
      </x:c>
      <x:c r="U49" s="106" t="str">
        <x:f t="shared" si="9">IF(ABS(T49)&lt;0.01,"OK","CHECK")</x:f>
        <x:v>OK</x:v>
      </x:c>
      <x:c r="V49" s="106" t="str">
        <x:v>Auto Scheduled</x:v>
      </x:c>
      <x:c r="W49" s="106" t="str">
        <x:v>Prorated</x:v>
      </x:c>
      <x:c r="X49" s="106"/>
    </x:row>
    <x:row r="50" s="3" customFormat="1" ht="52.79999923706055" customHeight="1">
      <x:c r="A50" s="30">
        <x:v>44</x:v>
      </x:c>
      <x:c r="B50" s="30">
        <x:v>48</x:v>
      </x:c>
      <x:c r="C50" s="106" t="n">
        <x:f>'QS Takeoff'!A46</x:f>
        <x:v>0</x:v>
      </x:c>
      <x:c r="D50" s="106" t="n">
        <x:f>'QS Takeoff'!B46</x:f>
        <x:v>0</x:v>
      </x:c>
      <x:c r="E50" s="106" t="n">
        <x:f>'QS Takeoff'!C46</x:f>
        <x:v>0</x:v>
      </x:c>
      <x:c r="F50" s="106" t="n">
        <x:f>'QS Takeoff'!E46</x:f>
        <x:v>0</x:v>
      </x:c>
      <x:c r="G50" s="106" t="n">
        <x:f>'QS Takeoff'!D46</x:f>
        <x:v>0</x:v>
      </x:c>
      <x:c r="H50" s="185" t="n">
        <x:f>'QS Takeoff'!G46</x:f>
        <x:v>0</x:v>
      </x:c>
      <x:c r="I50" s="185" t="n">
        <x:f>SUMIF('Resource Build-Up'!$B$7:$B$306,D50,'Resource Build-Up'!$Z$7:$Z$306)</x:f>
        <x:v>0</x:v>
      </x:c>
      <x:c r="J50" s="186" t="n">
        <x:f ca="1">IFERROR(AGGREGATE(14,6,'Resource Build-Up'!$M$7:$M$306/('Resource Build-Up'!$B$7:$B$306=D50),1),0)</x:f>
        <x:v>0</x:v>
      </x:c>
      <x:c r="K50" s="186" t="str">
        <x:f t="shared" ca="1" si="5">IF(J50=0,"",ROUNDUP(J50/8,0))</x:f>
      </x:c>
      <x:c r="L50" s="187"/>
      <x:c r="M50" s="186" t="str">
        <x:f t="shared" si="6">IF(L50&lt;&gt;"",L50,K50)</x:f>
      </x:c>
      <x:c r="N50" s="188" t="str">
        <x:f t="shared" si="7">IF(M50="","",TEXT(M50,"0")&amp;" days")</x:f>
      </x:c>
      <x:c r="O50" s="106"/>
      <x:c r="P50" s="106"/>
      <x:c r="Q50" s="106"/>
      <x:c r="R50" s="106"/>
      <x:c r="S50" s="190"/>
      <x:c r="T50" s="130" t="n">
        <x:f t="shared" si="8">I50-H50</x:f>
        <x:v>0</x:v>
      </x:c>
      <x:c r="U50" s="106" t="str">
        <x:f t="shared" si="9">IF(ABS(T50)&lt;0.01,"OK","CHECK")</x:f>
        <x:v>OK</x:v>
      </x:c>
      <x:c r="V50" s="106" t="str">
        <x:v>Auto Scheduled</x:v>
      </x:c>
      <x:c r="W50" s="106" t="str">
        <x:v>Prorated</x:v>
      </x:c>
      <x:c r="X50" s="106"/>
    </x:row>
    <x:row r="51" s="3" customFormat="1" ht="52.79999923706055" customHeight="1">
      <x:c r="A51" s="30">
        <x:v>45</x:v>
      </x:c>
      <x:c r="B51" s="30">
        <x:v>49</x:v>
      </x:c>
      <x:c r="C51" s="106" t="n">
        <x:f>'QS Takeoff'!A47</x:f>
        <x:v>0</x:v>
      </x:c>
      <x:c r="D51" s="106" t="n">
        <x:f>'QS Takeoff'!B47</x:f>
        <x:v>0</x:v>
      </x:c>
      <x:c r="E51" s="106" t="n">
        <x:f>'QS Takeoff'!C47</x:f>
        <x:v>0</x:v>
      </x:c>
      <x:c r="F51" s="106" t="n">
        <x:f>'QS Takeoff'!E47</x:f>
        <x:v>0</x:v>
      </x:c>
      <x:c r="G51" s="106" t="n">
        <x:f>'QS Takeoff'!D47</x:f>
        <x:v>0</x:v>
      </x:c>
      <x:c r="H51" s="185" t="n">
        <x:f>'QS Takeoff'!G47</x:f>
        <x:v>0</x:v>
      </x:c>
      <x:c r="I51" s="185" t="n">
        <x:f>SUMIF('Resource Build-Up'!$B$7:$B$306,D51,'Resource Build-Up'!$Z$7:$Z$306)</x:f>
        <x:v>0</x:v>
      </x:c>
      <x:c r="J51" s="186" t="n">
        <x:f ca="1">IFERROR(AGGREGATE(14,6,'Resource Build-Up'!$M$7:$M$306/('Resource Build-Up'!$B$7:$B$306=D51),1),0)</x:f>
        <x:v>0</x:v>
      </x:c>
      <x:c r="K51" s="186" t="str">
        <x:f t="shared" ca="1" si="5">IF(J51=0,"",ROUNDUP(J51/8,0))</x:f>
      </x:c>
      <x:c r="L51" s="187"/>
      <x:c r="M51" s="186" t="str">
        <x:f t="shared" si="6">IF(L51&lt;&gt;"",L51,K51)</x:f>
      </x:c>
      <x:c r="N51" s="188" t="str">
        <x:f t="shared" si="7">IF(M51="","",TEXT(M51,"0")&amp;" days")</x:f>
      </x:c>
      <x:c r="O51" s="106"/>
      <x:c r="P51" s="106"/>
      <x:c r="Q51" s="106"/>
      <x:c r="R51" s="106"/>
      <x:c r="S51" s="190"/>
      <x:c r="T51" s="130" t="n">
        <x:f t="shared" si="8">I51-H51</x:f>
        <x:v>0</x:v>
      </x:c>
      <x:c r="U51" s="106" t="str">
        <x:f t="shared" si="9">IF(ABS(T51)&lt;0.01,"OK","CHECK")</x:f>
        <x:v>OK</x:v>
      </x:c>
      <x:c r="V51" s="106" t="str">
        <x:v>Auto Scheduled</x:v>
      </x:c>
      <x:c r="W51" s="106" t="str">
        <x:v>Prorated</x:v>
      </x:c>
      <x:c r="X51" s="106"/>
    </x:row>
    <x:row r="52" s="3" customFormat="1" ht="52.79999923706055" customHeight="1">
      <x:c r="A52" s="30">
        <x:v>46</x:v>
      </x:c>
      <x:c r="B52" s="30">
        <x:v>50</x:v>
      </x:c>
      <x:c r="C52" s="106" t="n">
        <x:f>'QS Takeoff'!A48</x:f>
        <x:v>0</x:v>
      </x:c>
      <x:c r="D52" s="106" t="n">
        <x:f>'QS Takeoff'!B48</x:f>
        <x:v>0</x:v>
      </x:c>
      <x:c r="E52" s="106" t="n">
        <x:f>'QS Takeoff'!C48</x:f>
        <x:v>0</x:v>
      </x:c>
      <x:c r="F52" s="106" t="n">
        <x:f>'QS Takeoff'!E48</x:f>
        <x:v>0</x:v>
      </x:c>
      <x:c r="G52" s="106" t="n">
        <x:f>'QS Takeoff'!D48</x:f>
        <x:v>0</x:v>
      </x:c>
      <x:c r="H52" s="185" t="n">
        <x:f>'QS Takeoff'!G48</x:f>
        <x:v>0</x:v>
      </x:c>
      <x:c r="I52" s="185" t="n">
        <x:f>SUMIF('Resource Build-Up'!$B$7:$B$306,D52,'Resource Build-Up'!$Z$7:$Z$306)</x:f>
        <x:v>0</x:v>
      </x:c>
      <x:c r="J52" s="186" t="n">
        <x:f ca="1">IFERROR(AGGREGATE(14,6,'Resource Build-Up'!$M$7:$M$306/('Resource Build-Up'!$B$7:$B$306=D52),1),0)</x:f>
        <x:v>0</x:v>
      </x:c>
      <x:c r="K52" s="186" t="str">
        <x:f t="shared" ca="1" si="5">IF(J52=0,"",ROUNDUP(J52/8,0))</x:f>
      </x:c>
      <x:c r="L52" s="191"/>
      <x:c r="M52" s="186" t="str">
        <x:f t="shared" ca="1" si="6">IF(L52&lt;&gt;"",L52,K52)</x:f>
      </x:c>
      <x:c r="N52" s="188" t="str">
        <x:f t="shared" ca="1" si="7">IF(M52="","",TEXT(M52,"0")&amp;" days")</x:f>
      </x:c>
      <x:c r="O52" s="106"/>
      <x:c r="P52" s="106"/>
      <x:c r="Q52" s="106"/>
      <x:c r="R52" s="106"/>
      <x:c r="S52" s="189"/>
      <x:c r="T52" s="130" t="n">
        <x:f t="shared" si="8">I52-H52</x:f>
        <x:v>0</x:v>
      </x:c>
      <x:c r="U52" s="106" t="str">
        <x:f t="shared" si="9">IF(ABS(T52)&lt;0.01,"OK","CHECK")</x:f>
        <x:v>OK</x:v>
      </x:c>
      <x:c r="V52" s="106" t="str">
        <x:v>Auto Scheduled</x:v>
      </x:c>
      <x:c r="W52" s="106" t="str">
        <x:v>Prorated</x:v>
      </x:c>
      <x:c r="X52" s="106"/>
    </x:row>
    <x:row r="53" s="3" customFormat="1" ht="52.79999923706055" customHeight="1">
      <x:c r="A53" s="30">
        <x:v>47</x:v>
      </x:c>
      <x:c r="B53" s="30">
        <x:v>51</x:v>
      </x:c>
      <x:c r="C53" s="106" t="n">
        <x:f>'QS Takeoff'!A49</x:f>
        <x:v>0</x:v>
      </x:c>
      <x:c r="D53" s="106" t="n">
        <x:f>'QS Takeoff'!B49</x:f>
        <x:v>0</x:v>
      </x:c>
      <x:c r="E53" s="106" t="n">
        <x:f>'QS Takeoff'!C49</x:f>
        <x:v>0</x:v>
      </x:c>
      <x:c r="F53" s="106" t="n">
        <x:f>'QS Takeoff'!E49</x:f>
        <x:v>0</x:v>
      </x:c>
      <x:c r="G53" s="106" t="n">
        <x:f>'QS Takeoff'!D49</x:f>
        <x:v>0</x:v>
      </x:c>
      <x:c r="H53" s="185" t="n">
        <x:f>'QS Takeoff'!G49</x:f>
        <x:v>0</x:v>
      </x:c>
      <x:c r="I53" s="185" t="n">
        <x:f>SUMIF('Resource Build-Up'!$B$7:$B$306,D53,'Resource Build-Up'!$Z$7:$Z$306)</x:f>
        <x:v>0</x:v>
      </x:c>
      <x:c r="J53" s="186" t="n">
        <x:f ca="1">IFERROR(AGGREGATE(14,6,'Resource Build-Up'!$M$7:$M$306/('Resource Build-Up'!$B$7:$B$306=D53),1),0)</x:f>
        <x:v>0</x:v>
      </x:c>
      <x:c r="K53" s="186" t="str">
        <x:f t="shared" ca="1" si="5">IF(J53=0,"",ROUNDUP(J53/8,0))</x:f>
      </x:c>
      <x:c r="L53" s="191"/>
      <x:c r="M53" s="186" t="str">
        <x:f t="shared" ca="1" si="6">IF(L53&lt;&gt;"",L53,K53)</x:f>
      </x:c>
      <x:c r="N53" s="188" t="str">
        <x:f t="shared" ca="1" si="7">IF(M53="","",TEXT(M53,"0")&amp;" days")</x:f>
      </x:c>
      <x:c r="O53" s="106"/>
      <x:c r="P53" s="106"/>
      <x:c r="Q53" s="106"/>
      <x:c r="R53" s="106"/>
      <x:c r="S53" s="189"/>
      <x:c r="T53" s="130" t="n">
        <x:f t="shared" si="8">I53-H53</x:f>
        <x:v>0</x:v>
      </x:c>
      <x:c r="U53" s="106" t="str">
        <x:f t="shared" si="9">IF(ABS(T53)&lt;0.01,"OK","CHECK")</x:f>
        <x:v>OK</x:v>
      </x:c>
      <x:c r="V53" s="106" t="str">
        <x:v>Auto Scheduled</x:v>
      </x:c>
      <x:c r="W53" s="106" t="str">
        <x:v>Prorated</x:v>
      </x:c>
      <x:c r="X53" s="106"/>
    </x:row>
    <x:row r="54" s="3" customFormat="1" ht="52.79999923706055" customHeight="1">
      <x:c r="A54" s="30">
        <x:v>48</x:v>
      </x:c>
      <x:c r="B54" s="30">
        <x:v>52</x:v>
      </x:c>
      <x:c r="C54" s="106" t="n">
        <x:f>'QS Takeoff'!A50</x:f>
        <x:v>0</x:v>
      </x:c>
      <x:c r="D54" s="106" t="n">
        <x:f>'QS Takeoff'!B50</x:f>
        <x:v>0</x:v>
      </x:c>
      <x:c r="E54" s="106" t="n">
        <x:f>'QS Takeoff'!C50</x:f>
        <x:v>0</x:v>
      </x:c>
      <x:c r="F54" s="106" t="n">
        <x:f>'QS Takeoff'!E50</x:f>
        <x:v>0</x:v>
      </x:c>
      <x:c r="G54" s="106" t="n">
        <x:f>'QS Takeoff'!D50</x:f>
        <x:v>0</x:v>
      </x:c>
      <x:c r="H54" s="185" t="n">
        <x:f>'QS Takeoff'!G50</x:f>
        <x:v>0</x:v>
      </x:c>
      <x:c r="I54" s="185" t="n">
        <x:f>SUMIF('Resource Build-Up'!$B$7:$B$306,D54,'Resource Build-Up'!$Z$7:$Z$306)</x:f>
        <x:v>0</x:v>
      </x:c>
      <x:c r="J54" s="186" t="n">
        <x:f ca="1">IFERROR(AGGREGATE(14,6,'Resource Build-Up'!$M$7:$M$306/('Resource Build-Up'!$B$7:$B$306=D54),1),0)</x:f>
        <x:v>0</x:v>
      </x:c>
      <x:c r="K54" s="186" t="str">
        <x:f t="shared" ca="1" si="5">IF(J54=0,"",ROUNDUP(J54/8,0))</x:f>
      </x:c>
      <x:c r="L54" s="187"/>
      <x:c r="M54" s="186" t="str">
        <x:f t="shared" si="6">IF(L54&lt;&gt;"",L54,K54)</x:f>
      </x:c>
      <x:c r="N54" s="188" t="str">
        <x:f t="shared" si="7">IF(M54="","",TEXT(M54,"0")&amp;" days")</x:f>
      </x:c>
      <x:c r="O54" s="106"/>
      <x:c r="P54" s="106"/>
      <x:c r="Q54" s="106"/>
      <x:c r="R54" s="106"/>
      <x:c r="S54" s="189"/>
      <x:c r="T54" s="130" t="n">
        <x:f t="shared" si="8">I54-H54</x:f>
        <x:v>0</x:v>
      </x:c>
      <x:c r="U54" s="106" t="str">
        <x:f t="shared" si="9">IF(ABS(T54)&lt;0.01,"OK","CHECK")</x:f>
        <x:v>OK</x:v>
      </x:c>
      <x:c r="V54" s="106" t="str">
        <x:v>Auto Scheduled</x:v>
      </x:c>
      <x:c r="W54" s="106" t="str">
        <x:v>Prorated</x:v>
      </x:c>
      <x:c r="X54" s="106"/>
    </x:row>
    <x:row r="55" s="3" customFormat="1" ht="52.79999923706055" customHeight="1">
      <x:c r="A55" s="30">
        <x:v>49</x:v>
      </x:c>
      <x:c r="B55" s="30">
        <x:v>53</x:v>
      </x:c>
      <x:c r="C55" s="106" t="n">
        <x:f>'QS Takeoff'!A51</x:f>
        <x:v>0</x:v>
      </x:c>
      <x:c r="D55" s="106" t="n">
        <x:f>'QS Takeoff'!B51</x:f>
        <x:v>0</x:v>
      </x:c>
      <x:c r="E55" s="106" t="n">
        <x:f>'QS Takeoff'!C51</x:f>
        <x:v>0</x:v>
      </x:c>
      <x:c r="F55" s="106" t="n">
        <x:f>'QS Takeoff'!E51</x:f>
        <x:v>0</x:v>
      </x:c>
      <x:c r="G55" s="106" t="n">
        <x:f>'QS Takeoff'!D51</x:f>
        <x:v>0</x:v>
      </x:c>
      <x:c r="H55" s="185" t="n">
        <x:f>'QS Takeoff'!G51</x:f>
        <x:v>0</x:v>
      </x:c>
      <x:c r="I55" s="185" t="n">
        <x:f>SUMIF('Resource Build-Up'!$B$7:$B$306,D55,'Resource Build-Up'!$Z$7:$Z$306)</x:f>
        <x:v>0</x:v>
      </x:c>
      <x:c r="J55" s="186" t="n">
        <x:f ca="1">IFERROR(AGGREGATE(14,6,'Resource Build-Up'!$M$7:$M$306/('Resource Build-Up'!$B$7:$B$306=D55),1),0)</x:f>
        <x:v>0</x:v>
      </x:c>
      <x:c r="K55" s="186" t="str">
        <x:f t="shared" ca="1" si="5">IF(J55=0,"",ROUNDUP(J55/8,0))</x:f>
      </x:c>
      <x:c r="L55" s="187"/>
      <x:c r="M55" s="186" t="str">
        <x:f t="shared" si="6">IF(L55&lt;&gt;"",L55,K55)</x:f>
      </x:c>
      <x:c r="N55" s="188" t="str">
        <x:f t="shared" si="7">IF(M55="","",TEXT(M55,"0")&amp;" days")</x:f>
      </x:c>
      <x:c r="O55" s="106"/>
      <x:c r="P55" s="106"/>
      <x:c r="Q55" s="106"/>
      <x:c r="R55" s="106"/>
      <x:c r="S55" s="190"/>
      <x:c r="T55" s="130" t="n">
        <x:f t="shared" si="8">I55-H55</x:f>
        <x:v>0</x:v>
      </x:c>
      <x:c r="U55" s="106" t="str">
        <x:f t="shared" si="9">IF(ABS(T55)&lt;0.01,"OK","CHECK")</x:f>
        <x:v>OK</x:v>
      </x:c>
      <x:c r="V55" s="106" t="str">
        <x:v>Auto Scheduled</x:v>
      </x:c>
      <x:c r="W55" s="106" t="str">
        <x:v>Prorated</x:v>
      </x:c>
      <x:c r="X55" s="106"/>
    </x:row>
    <x:row r="56" s="3" customFormat="1" ht="52.79999923706055" customHeight="1">
      <x:c r="A56" s="30">
        <x:v>50</x:v>
      </x:c>
      <x:c r="B56" s="30">
        <x:v>54</x:v>
      </x:c>
      <x:c r="C56" s="106" t="n">
        <x:f>'QS Takeoff'!A52</x:f>
        <x:v>0</x:v>
      </x:c>
      <x:c r="D56" s="106" t="n">
        <x:f>'QS Takeoff'!B52</x:f>
        <x:v>0</x:v>
      </x:c>
      <x:c r="E56" s="106" t="n">
        <x:f>'QS Takeoff'!C52</x:f>
        <x:v>0</x:v>
      </x:c>
      <x:c r="F56" s="106" t="n">
        <x:f>'QS Takeoff'!E52</x:f>
        <x:v>0</x:v>
      </x:c>
      <x:c r="G56" s="106" t="n">
        <x:f>'QS Takeoff'!D52</x:f>
        <x:v>0</x:v>
      </x:c>
      <x:c r="H56" s="185" t="n">
        <x:f>'QS Takeoff'!G52</x:f>
        <x:v>0</x:v>
      </x:c>
      <x:c r="I56" s="185" t="n">
        <x:f>SUMIF('Resource Build-Up'!$B$7:$B$306,D56,'Resource Build-Up'!$Z$7:$Z$306)</x:f>
        <x:v>0</x:v>
      </x:c>
      <x:c r="J56" s="186" t="n">
        <x:f ca="1">IFERROR(AGGREGATE(14,6,'Resource Build-Up'!$M$7:$M$306/('Resource Build-Up'!$B$7:$B$306=D56),1),0)</x:f>
        <x:v>0</x:v>
      </x:c>
      <x:c r="K56" s="186" t="str">
        <x:f t="shared" ca="1" si="5">IF(J56=0,"",ROUNDUP(J56/8,0))</x:f>
      </x:c>
      <x:c r="L56" s="187"/>
      <x:c r="M56" s="186" t="str">
        <x:f t="shared" si="6">IF(L56&lt;&gt;"",L56,K56)</x:f>
      </x:c>
      <x:c r="N56" s="188" t="str">
        <x:f t="shared" si="7">IF(M56="","",TEXT(M56,"0")&amp;" days")</x:f>
      </x:c>
      <x:c r="O56" s="106"/>
      <x:c r="P56" s="106"/>
      <x:c r="Q56" s="106"/>
      <x:c r="R56" s="106"/>
      <x:c r="S56" s="190"/>
      <x:c r="T56" s="130" t="n">
        <x:f t="shared" si="8">I56-H56</x:f>
        <x:v>0</x:v>
      </x:c>
      <x:c r="U56" s="106" t="str">
        <x:f t="shared" si="9">IF(ABS(T56)&lt;0.01,"OK","CHECK")</x:f>
        <x:v>OK</x:v>
      </x:c>
      <x:c r="V56" s="106" t="str">
        <x:v>Auto Scheduled</x:v>
      </x:c>
      <x:c r="W56" s="106" t="str">
        <x:v>Prorated</x:v>
      </x:c>
      <x:c r="X56" s="106"/>
    </x:row>
    <x:row r="57" s="3" customFormat="1" ht="52.79999923706055" customHeight="1">
      <x:c r="A57" s="30">
        <x:v>51</x:v>
      </x:c>
      <x:c r="B57" s="30">
        <x:v>55</x:v>
      </x:c>
      <x:c r="C57" s="106" t="n">
        <x:f>'QS Takeoff'!A53</x:f>
        <x:v>0</x:v>
      </x:c>
      <x:c r="D57" s="106" t="n">
        <x:f>'QS Takeoff'!B53</x:f>
        <x:v>0</x:v>
      </x:c>
      <x:c r="E57" s="106" t="n">
        <x:f>'QS Takeoff'!C53</x:f>
        <x:v>0</x:v>
      </x:c>
      <x:c r="F57" s="106" t="n">
        <x:f>'QS Takeoff'!E53</x:f>
        <x:v>0</x:v>
      </x:c>
      <x:c r="G57" s="106" t="n">
        <x:f>'QS Takeoff'!D53</x:f>
        <x:v>0</x:v>
      </x:c>
      <x:c r="H57" s="185" t="n">
        <x:f>'QS Takeoff'!G53</x:f>
        <x:v>0</x:v>
      </x:c>
      <x:c r="I57" s="185" t="n">
        <x:f>SUMIF('Resource Build-Up'!$B$7:$B$306,D57,'Resource Build-Up'!$Z$7:$Z$306)</x:f>
        <x:v>0</x:v>
      </x:c>
      <x:c r="J57" s="186" t="n">
        <x:f ca="1">IFERROR(AGGREGATE(14,6,'Resource Build-Up'!$M$7:$M$306/('Resource Build-Up'!$B$7:$B$306=D57),1),0)</x:f>
        <x:v>0</x:v>
      </x:c>
      <x:c r="K57" s="186" t="str">
        <x:f t="shared" ca="1" si="5">IF(J57=0,"",ROUNDUP(J57/8,0))</x:f>
      </x:c>
      <x:c r="L57" s="187"/>
      <x:c r="M57" s="186" t="str">
        <x:f t="shared" si="6">IF(L57&lt;&gt;"",L57,K57)</x:f>
      </x:c>
      <x:c r="N57" s="188" t="str">
        <x:f t="shared" si="7">IF(M57="","",TEXT(M57,"0")&amp;" days")</x:f>
      </x:c>
      <x:c r="O57" s="106"/>
      <x:c r="P57" s="106"/>
      <x:c r="Q57" s="106"/>
      <x:c r="R57" s="106"/>
      <x:c r="S57" s="190"/>
      <x:c r="T57" s="130" t="n">
        <x:f t="shared" si="8">I57-H57</x:f>
        <x:v>0</x:v>
      </x:c>
      <x:c r="U57" s="106" t="str">
        <x:f t="shared" si="9">IF(ABS(T57)&lt;0.01,"OK","CHECK")</x:f>
        <x:v>OK</x:v>
      </x:c>
      <x:c r="V57" s="106" t="str">
        <x:v>Auto Scheduled</x:v>
      </x:c>
      <x:c r="W57" s="106" t="str">
        <x:v>Prorated</x:v>
      </x:c>
      <x:c r="X57" s="106"/>
    </x:row>
    <x:row r="58" s="3" customFormat="1" ht="52.79999923706055" customHeight="1">
      <x:c r="A58" s="30">
        <x:v>52</x:v>
      </x:c>
      <x:c r="B58" s="30">
        <x:v>56</x:v>
      </x:c>
      <x:c r="C58" s="106" t="n">
        <x:f>'QS Takeoff'!A54</x:f>
        <x:v>0</x:v>
      </x:c>
      <x:c r="D58" s="106" t="n">
        <x:f>'QS Takeoff'!B54</x:f>
        <x:v>0</x:v>
      </x:c>
      <x:c r="E58" s="106" t="n">
        <x:f>'QS Takeoff'!C54</x:f>
        <x:v>0</x:v>
      </x:c>
      <x:c r="F58" s="106" t="n">
        <x:f>'QS Takeoff'!E54</x:f>
        <x:v>0</x:v>
      </x:c>
      <x:c r="G58" s="106" t="n">
        <x:f>'QS Takeoff'!D54</x:f>
        <x:v>0</x:v>
      </x:c>
      <x:c r="H58" s="185" t="n">
        <x:f>'QS Takeoff'!G54</x:f>
        <x:v>0</x:v>
      </x:c>
      <x:c r="I58" s="185" t="n">
        <x:f>SUMIF('Resource Build-Up'!$B$7:$B$306,D58,'Resource Build-Up'!$Z$7:$Z$306)</x:f>
        <x:v>0</x:v>
      </x:c>
      <x:c r="J58" s="186" t="n">
        <x:f ca="1">IFERROR(AGGREGATE(14,6,'Resource Build-Up'!$M$7:$M$306/('Resource Build-Up'!$B$7:$B$306=D58),1),0)</x:f>
        <x:v>0</x:v>
      </x:c>
      <x:c r="K58" s="186" t="str">
        <x:f t="shared" ca="1" si="5">IF(J58=0,"",ROUNDUP(J58/8,0))</x:f>
      </x:c>
      <x:c r="L58" s="187"/>
      <x:c r="M58" s="186" t="str">
        <x:f t="shared" si="6">IF(L58&lt;&gt;"",L58,K58)</x:f>
      </x:c>
      <x:c r="N58" s="188" t="str">
        <x:f t="shared" si="7">IF(M58="","",TEXT(M58,"0")&amp;" days")</x:f>
      </x:c>
      <x:c r="O58" s="106"/>
      <x:c r="P58" s="106"/>
      <x:c r="Q58" s="106"/>
      <x:c r="R58" s="106"/>
      <x:c r="S58" s="190"/>
      <x:c r="T58" s="130" t="n">
        <x:f t="shared" si="8">I58-H58</x:f>
        <x:v>0</x:v>
      </x:c>
      <x:c r="U58" s="106" t="str">
        <x:f t="shared" si="9">IF(ABS(T58)&lt;0.01,"OK","CHECK")</x:f>
        <x:v>OK</x:v>
      </x:c>
      <x:c r="V58" s="106" t="str">
        <x:v>Auto Scheduled</x:v>
      </x:c>
      <x:c r="W58" s="106" t="str">
        <x:v>Prorated</x:v>
      </x:c>
      <x:c r="X58" s="106"/>
    </x:row>
    <x:row r="59" s="3" customFormat="1" ht="52.79999923706055" customHeight="1">
      <x:c r="A59" s="30">
        <x:v>53</x:v>
      </x:c>
      <x:c r="B59" s="30">
        <x:v>57</x:v>
      </x:c>
      <x:c r="C59" s="106" t="n">
        <x:f>'QS Takeoff'!A55</x:f>
        <x:v>0</x:v>
      </x:c>
      <x:c r="D59" s="106" t="n">
        <x:f>'QS Takeoff'!B55</x:f>
        <x:v>0</x:v>
      </x:c>
      <x:c r="E59" s="106" t="n">
        <x:f>'QS Takeoff'!C55</x:f>
        <x:v>0</x:v>
      </x:c>
      <x:c r="F59" s="106" t="n">
        <x:f>'QS Takeoff'!E55</x:f>
        <x:v>0</x:v>
      </x:c>
      <x:c r="G59" s="106" t="n">
        <x:f>'QS Takeoff'!D55</x:f>
        <x:v>0</x:v>
      </x:c>
      <x:c r="H59" s="185" t="n">
        <x:f>'QS Takeoff'!G55</x:f>
        <x:v>0</x:v>
      </x:c>
      <x:c r="I59" s="185" t="n">
        <x:f>SUMIF('Resource Build-Up'!$B$7:$B$306,D59,'Resource Build-Up'!$Z$7:$Z$306)</x:f>
        <x:v>0</x:v>
      </x:c>
      <x:c r="J59" s="186" t="n">
        <x:f ca="1">IFERROR(AGGREGATE(14,6,'Resource Build-Up'!$M$7:$M$306/('Resource Build-Up'!$B$7:$B$306=D59),1),0)</x:f>
        <x:v>0</x:v>
      </x:c>
      <x:c r="K59" s="186" t="str">
        <x:f t="shared" ca="1" si="5">IF(J59=0,"",ROUNDUP(J59/8,0))</x:f>
      </x:c>
      <x:c r="L59" s="187"/>
      <x:c r="M59" s="186" t="str">
        <x:f t="shared" si="6">IF(L59&lt;&gt;"",L59,K59)</x:f>
      </x:c>
      <x:c r="N59" s="188" t="str">
        <x:f t="shared" si="7">IF(M59="","",TEXT(M59,"0")&amp;" days")</x:f>
      </x:c>
      <x:c r="O59" s="106"/>
      <x:c r="P59" s="106"/>
      <x:c r="Q59" s="106"/>
      <x:c r="R59" s="106"/>
      <x:c r="S59" s="190"/>
      <x:c r="T59" s="130" t="n">
        <x:f t="shared" si="8">I59-H59</x:f>
        <x:v>0</x:v>
      </x:c>
      <x:c r="U59" s="106" t="str">
        <x:f t="shared" si="9">IF(ABS(T59)&lt;0.01,"OK","CHECK")</x:f>
        <x:v>OK</x:v>
      </x:c>
      <x:c r="V59" s="106" t="str">
        <x:v>Auto Scheduled</x:v>
      </x:c>
      <x:c r="W59" s="106" t="str">
        <x:v>Prorated</x:v>
      </x:c>
      <x:c r="X59" s="106"/>
    </x:row>
    <x:row r="60" s="3" customFormat="1" ht="52.79999923706055" customHeight="1">
      <x:c r="A60" s="30">
        <x:v>54</x:v>
      </x:c>
      <x:c r="B60" s="30">
        <x:v>58</x:v>
      </x:c>
      <x:c r="C60" s="106" t="n">
        <x:f>'QS Takeoff'!A56</x:f>
        <x:v>0</x:v>
      </x:c>
      <x:c r="D60" s="106" t="n">
        <x:f>'QS Takeoff'!B56</x:f>
        <x:v>0</x:v>
      </x:c>
      <x:c r="E60" s="106" t="n">
        <x:f>'QS Takeoff'!C56</x:f>
        <x:v>0</x:v>
      </x:c>
      <x:c r="F60" s="106" t="n">
        <x:f>'QS Takeoff'!E56</x:f>
        <x:v>0</x:v>
      </x:c>
      <x:c r="G60" s="106" t="n">
        <x:f>'QS Takeoff'!D56</x:f>
        <x:v>0</x:v>
      </x:c>
      <x:c r="H60" s="185" t="n">
        <x:f>'QS Takeoff'!G56</x:f>
        <x:v>0</x:v>
      </x:c>
      <x:c r="I60" s="185" t="n">
        <x:f>SUMIF('Resource Build-Up'!$B$7:$B$306,D60,'Resource Build-Up'!$Z$7:$Z$306)</x:f>
        <x:v>0</x:v>
      </x:c>
      <x:c r="J60" s="186" t="n">
        <x:f ca="1">IFERROR(AGGREGATE(14,6,'Resource Build-Up'!$M$7:$M$306/('Resource Build-Up'!$B$7:$B$306=D60),1),0)</x:f>
        <x:v>0</x:v>
      </x:c>
      <x:c r="K60" s="186" t="str">
        <x:f t="shared" ca="1" si="5">IF(J60=0,"",ROUNDUP(J60/8,0))</x:f>
      </x:c>
      <x:c r="L60" s="187"/>
      <x:c r="M60" s="186" t="str">
        <x:f t="shared" si="6">IF(L60&lt;&gt;"",L60,K60)</x:f>
      </x:c>
      <x:c r="N60" s="188" t="str">
        <x:f t="shared" si="7">IF(M60="","",TEXT(M60,"0")&amp;" days")</x:f>
      </x:c>
      <x:c r="O60" s="106"/>
      <x:c r="P60" s="106"/>
      <x:c r="Q60" s="106"/>
      <x:c r="R60" s="106"/>
      <x:c r="S60" s="189"/>
      <x:c r="T60" s="130" t="n">
        <x:f t="shared" si="8">I60-H60</x:f>
        <x:v>0</x:v>
      </x:c>
      <x:c r="U60" s="106" t="str">
        <x:f t="shared" si="9">IF(ABS(T60)&lt;0.01,"OK","CHECK")</x:f>
        <x:v>OK</x:v>
      </x:c>
      <x:c r="V60" s="106" t="str">
        <x:v>Auto Scheduled</x:v>
      </x:c>
      <x:c r="W60" s="106" t="str">
        <x:v>Prorated</x:v>
      </x:c>
      <x:c r="X60" s="106"/>
    </x:row>
    <x:row r="61" s="3" customFormat="1" ht="52.79999923706055" customHeight="1">
      <x:c r="A61" s="30">
        <x:v>55</x:v>
      </x:c>
      <x:c r="B61" s="30">
        <x:v>59</x:v>
      </x:c>
      <x:c r="C61" s="106" t="n">
        <x:f>'QS Takeoff'!A57</x:f>
        <x:v>0</x:v>
      </x:c>
      <x:c r="D61" s="106" t="n">
        <x:f>'QS Takeoff'!B57</x:f>
        <x:v>0</x:v>
      </x:c>
      <x:c r="E61" s="106" t="n">
        <x:f>'QS Takeoff'!C57</x:f>
        <x:v>0</x:v>
      </x:c>
      <x:c r="F61" s="106" t="n">
        <x:f>'QS Takeoff'!E57</x:f>
        <x:v>0</x:v>
      </x:c>
      <x:c r="G61" s="106" t="n">
        <x:f>'QS Takeoff'!D57</x:f>
        <x:v>0</x:v>
      </x:c>
      <x:c r="H61" s="185" t="n">
        <x:f>'QS Takeoff'!G57</x:f>
        <x:v>0</x:v>
      </x:c>
      <x:c r="I61" s="185" t="n">
        <x:f>SUMIF('Resource Build-Up'!$B$7:$B$306,D61,'Resource Build-Up'!$Z$7:$Z$306)</x:f>
        <x:v>0</x:v>
      </x:c>
      <x:c r="J61" s="186" t="n">
        <x:f ca="1">IFERROR(AGGREGATE(14,6,'Resource Build-Up'!$M$7:$M$306/('Resource Build-Up'!$B$7:$B$306=D61),1),0)</x:f>
        <x:v>0</x:v>
      </x:c>
      <x:c r="K61" s="186" t="str">
        <x:f t="shared" ca="1" si="5">IF(J61=0,"",ROUNDUP(J61/8,0))</x:f>
      </x:c>
      <x:c r="L61" s="187"/>
      <x:c r="M61" s="186" t="str">
        <x:f t="shared" si="6">IF(L61&lt;&gt;"",L61,K61)</x:f>
      </x:c>
      <x:c r="N61" s="188" t="str">
        <x:f t="shared" si="7">IF(M61="","",TEXT(M61,"0")&amp;" days")</x:f>
      </x:c>
      <x:c r="O61" s="106"/>
      <x:c r="P61" s="106"/>
      <x:c r="Q61" s="106"/>
      <x:c r="R61" s="106"/>
      <x:c r="S61" s="190"/>
      <x:c r="T61" s="130" t="n">
        <x:f t="shared" si="8">I61-H61</x:f>
        <x:v>0</x:v>
      </x:c>
      <x:c r="U61" s="106" t="str">
        <x:f t="shared" si="9">IF(ABS(T61)&lt;0.01,"OK","CHECK")</x:f>
        <x:v>OK</x:v>
      </x:c>
      <x:c r="V61" s="106" t="str">
        <x:v>Auto Scheduled</x:v>
      </x:c>
      <x:c r="W61" s="106" t="str">
        <x:v>Prorated</x:v>
      </x:c>
      <x:c r="X61" s="106"/>
    </x:row>
    <x:row r="62" s="3" customFormat="1" ht="52.79999923706055" customHeight="1">
      <x:c r="A62" s="30">
        <x:v>56</x:v>
      </x:c>
      <x:c r="B62" s="30">
        <x:v>60</x:v>
      </x:c>
      <x:c r="C62" s="106" t="n">
        <x:f>'QS Takeoff'!A58</x:f>
        <x:v>0</x:v>
      </x:c>
      <x:c r="D62" s="106" t="n">
        <x:f>'QS Takeoff'!B58</x:f>
        <x:v>0</x:v>
      </x:c>
      <x:c r="E62" s="106" t="n">
        <x:f>'QS Takeoff'!C58</x:f>
        <x:v>0</x:v>
      </x:c>
      <x:c r="F62" s="106" t="n">
        <x:f>'QS Takeoff'!E58</x:f>
        <x:v>0</x:v>
      </x:c>
      <x:c r="G62" s="106" t="n">
        <x:f>'QS Takeoff'!D58</x:f>
        <x:v>0</x:v>
      </x:c>
      <x:c r="H62" s="185" t="n">
        <x:f>'QS Takeoff'!G58</x:f>
        <x:v>0</x:v>
      </x:c>
      <x:c r="I62" s="185" t="n">
        <x:f>SUMIF('Resource Build-Up'!$B$7:$B$306,D62,'Resource Build-Up'!$Z$7:$Z$306)</x:f>
        <x:v>0</x:v>
      </x:c>
      <x:c r="J62" s="186" t="n">
        <x:f ca="1">IFERROR(AGGREGATE(14,6,'Resource Build-Up'!$M$7:$M$306/('Resource Build-Up'!$B$7:$B$306=D62),1),0)</x:f>
        <x:v>0</x:v>
      </x:c>
      <x:c r="K62" s="186" t="str">
        <x:f t="shared" ca="1" si="5">IF(J62=0,"",ROUNDUP(J62/8,0))</x:f>
      </x:c>
      <x:c r="L62" s="187"/>
      <x:c r="M62" s="186" t="str">
        <x:f t="shared" si="6">IF(L62&lt;&gt;"",L62,K62)</x:f>
      </x:c>
      <x:c r="N62" s="188" t="str">
        <x:f t="shared" si="7">IF(M62="","",TEXT(M62,"0")&amp;" days")</x:f>
      </x:c>
      <x:c r="O62" s="106"/>
      <x:c r="P62" s="106"/>
      <x:c r="Q62" s="106"/>
      <x:c r="R62" s="106"/>
      <x:c r="S62" s="190"/>
      <x:c r="T62" s="130" t="n">
        <x:f t="shared" si="8">I62-H62</x:f>
        <x:v>0</x:v>
      </x:c>
      <x:c r="U62" s="106" t="str">
        <x:f t="shared" si="9">IF(ABS(T62)&lt;0.01,"OK","CHECK")</x:f>
        <x:v>OK</x:v>
      </x:c>
      <x:c r="V62" s="106" t="str">
        <x:v>Auto Scheduled</x:v>
      </x:c>
      <x:c r="W62" s="106" t="str">
        <x:v>Prorated</x:v>
      </x:c>
      <x:c r="X62" s="106"/>
    </x:row>
    <x:row r="63" s="3" customFormat="1" ht="52.79999923706055" customHeight="1">
      <x:c r="A63" s="30">
        <x:v>57</x:v>
      </x:c>
      <x:c r="B63" s="30">
        <x:v>61</x:v>
      </x:c>
      <x:c r="C63" s="106" t="n">
        <x:f>'QS Takeoff'!A59</x:f>
        <x:v>0</x:v>
      </x:c>
      <x:c r="D63" s="106" t="n">
        <x:f>'QS Takeoff'!B59</x:f>
        <x:v>0</x:v>
      </x:c>
      <x:c r="E63" s="106" t="n">
        <x:f>'QS Takeoff'!C59</x:f>
        <x:v>0</x:v>
      </x:c>
      <x:c r="F63" s="106" t="n">
        <x:f>'QS Takeoff'!E59</x:f>
        <x:v>0</x:v>
      </x:c>
      <x:c r="G63" s="106" t="n">
        <x:f>'QS Takeoff'!D59</x:f>
        <x:v>0</x:v>
      </x:c>
      <x:c r="H63" s="185" t="n">
        <x:f>'QS Takeoff'!G59</x:f>
        <x:v>0</x:v>
      </x:c>
      <x:c r="I63" s="185" t="n">
        <x:f>SUMIF('Resource Build-Up'!$B$7:$B$306,D63,'Resource Build-Up'!$Z$7:$Z$306)</x:f>
        <x:v>0</x:v>
      </x:c>
      <x:c r="J63" s="186" t="n">
        <x:f ca="1">IFERROR(AGGREGATE(14,6,'Resource Build-Up'!$M$7:$M$306/('Resource Build-Up'!$B$7:$B$306=D63),1),0)</x:f>
        <x:v>0</x:v>
      </x:c>
      <x:c r="K63" s="186" t="str">
        <x:f t="shared" ca="1" si="5">IF(J63=0,"",ROUNDUP(J63/8,0))</x:f>
      </x:c>
      <x:c r="L63" s="187"/>
      <x:c r="M63" s="186" t="str">
        <x:f t="shared" si="6">IF(L63&lt;&gt;"",L63,K63)</x:f>
      </x:c>
      <x:c r="N63" s="188" t="str">
        <x:f t="shared" si="7">IF(M63="","",TEXT(M63,"0")&amp;" days")</x:f>
      </x:c>
      <x:c r="O63" s="106"/>
      <x:c r="P63" s="106"/>
      <x:c r="Q63" s="106"/>
      <x:c r="R63" s="106"/>
      <x:c r="S63" s="189"/>
      <x:c r="T63" s="130" t="n">
        <x:f t="shared" si="8">I63-H63</x:f>
        <x:v>0</x:v>
      </x:c>
      <x:c r="U63" s="106" t="str">
        <x:f t="shared" si="9">IF(ABS(T63)&lt;0.01,"OK","CHECK")</x:f>
        <x:v>OK</x:v>
      </x:c>
      <x:c r="V63" s="106" t="str">
        <x:v>Auto Scheduled</x:v>
      </x:c>
      <x:c r="W63" s="106" t="str">
        <x:v>Prorated</x:v>
      </x:c>
      <x:c r="X63" s="106"/>
    </x:row>
    <x:row r="64" s="3" customFormat="1" ht="52.79999923706055" customHeight="1">
      <x:c r="A64" s="30">
        <x:v>58</x:v>
      </x:c>
      <x:c r="B64" s="30">
        <x:v>62</x:v>
      </x:c>
      <x:c r="C64" s="106" t="n">
        <x:f>'QS Takeoff'!A60</x:f>
        <x:v>0</x:v>
      </x:c>
      <x:c r="D64" s="106" t="n">
        <x:f>'QS Takeoff'!B60</x:f>
        <x:v>0</x:v>
      </x:c>
      <x:c r="E64" s="106" t="n">
        <x:f>'QS Takeoff'!C60</x:f>
        <x:v>0</x:v>
      </x:c>
      <x:c r="F64" s="106" t="n">
        <x:f>'QS Takeoff'!E60</x:f>
        <x:v>0</x:v>
      </x:c>
      <x:c r="G64" s="106" t="n">
        <x:f>'QS Takeoff'!D60</x:f>
        <x:v>0</x:v>
      </x:c>
      <x:c r="H64" s="185" t="n">
        <x:f>'QS Takeoff'!G60</x:f>
        <x:v>0</x:v>
      </x:c>
      <x:c r="I64" s="185" t="n">
        <x:f>SUMIF('Resource Build-Up'!$B$7:$B$306,D64,'Resource Build-Up'!$Z$7:$Z$306)</x:f>
        <x:v>0</x:v>
      </x:c>
      <x:c r="J64" s="186" t="n">
        <x:f ca="1">IFERROR(AGGREGATE(14,6,'Resource Build-Up'!$M$7:$M$306/('Resource Build-Up'!$B$7:$B$306=D64),1),0)</x:f>
        <x:v>0</x:v>
      </x:c>
      <x:c r="K64" s="186" t="str">
        <x:f t="shared" ca="1" si="5">IF(J64=0,"",ROUNDUP(J64/8,0))</x:f>
      </x:c>
      <x:c r="L64" s="187"/>
      <x:c r="M64" s="186" t="str">
        <x:f t="shared" si="6">IF(L64&lt;&gt;"",L64,K64)</x:f>
      </x:c>
      <x:c r="N64" s="188" t="str">
        <x:f t="shared" si="7">IF(M64="","",TEXT(M64,"0")&amp;" days")</x:f>
      </x:c>
      <x:c r="O64" s="106"/>
      <x:c r="P64" s="106"/>
      <x:c r="Q64" s="106"/>
      <x:c r="R64" s="106"/>
      <x:c r="S64" s="189"/>
      <x:c r="T64" s="130" t="n">
        <x:f t="shared" si="8">I64-H64</x:f>
        <x:v>0</x:v>
      </x:c>
      <x:c r="U64" s="106" t="str">
        <x:f t="shared" si="9">IF(ABS(T64)&lt;0.01,"OK","CHECK")</x:f>
        <x:v>OK</x:v>
      </x:c>
      <x:c r="V64" s="106" t="str">
        <x:v>Auto Scheduled</x:v>
      </x:c>
      <x:c r="W64" s="106" t="str">
        <x:v>Prorated</x:v>
      </x:c>
      <x:c r="X64" s="106"/>
    </x:row>
    <x:row r="65" s="3" customFormat="1" ht="52.79999923706055" customHeight="1">
      <x:c r="A65" s="30">
        <x:v>59</x:v>
      </x:c>
      <x:c r="B65" s="30">
        <x:v>63</x:v>
      </x:c>
      <x:c r="C65" s="106" t="n">
        <x:f>'QS Takeoff'!A61</x:f>
        <x:v>0</x:v>
      </x:c>
      <x:c r="D65" s="106" t="n">
        <x:f>'QS Takeoff'!B61</x:f>
        <x:v>0</x:v>
      </x:c>
      <x:c r="E65" s="106" t="n">
        <x:f>'QS Takeoff'!C61</x:f>
        <x:v>0</x:v>
      </x:c>
      <x:c r="F65" s="106" t="n">
        <x:f>'QS Takeoff'!E61</x:f>
        <x:v>0</x:v>
      </x:c>
      <x:c r="G65" s="106" t="n">
        <x:f>'QS Takeoff'!D61</x:f>
        <x:v>0</x:v>
      </x:c>
      <x:c r="H65" s="185" t="n">
        <x:f>'QS Takeoff'!G61</x:f>
        <x:v>0</x:v>
      </x:c>
      <x:c r="I65" s="185" t="n">
        <x:f>SUMIF('Resource Build-Up'!$B$7:$B$306,D65,'Resource Build-Up'!$Z$7:$Z$306)</x:f>
        <x:v>0</x:v>
      </x:c>
      <x:c r="J65" s="186" t="n">
        <x:f ca="1">IFERROR(AGGREGATE(14,6,'Resource Build-Up'!$M$7:$M$306/('Resource Build-Up'!$B$7:$B$306=D65),1),0)</x:f>
        <x:v>0</x:v>
      </x:c>
      <x:c r="K65" s="186" t="str">
        <x:f t="shared" ca="1" si="5">IF(J65=0,"",ROUNDUP(J65/8,0))</x:f>
      </x:c>
      <x:c r="L65" s="187"/>
      <x:c r="M65" s="186" t="str">
        <x:f t="shared" si="6">IF(L65&lt;&gt;"",L65,K65)</x:f>
      </x:c>
      <x:c r="N65" s="188" t="str">
        <x:f t="shared" si="7">IF(M65="","",TEXT(M65,"0")&amp;" days")</x:f>
      </x:c>
      <x:c r="O65" s="106"/>
      <x:c r="P65" s="106"/>
      <x:c r="Q65" s="106"/>
      <x:c r="R65" s="106"/>
      <x:c r="S65" s="189"/>
      <x:c r="T65" s="130" t="n">
        <x:f t="shared" si="8">I65-H65</x:f>
        <x:v>0</x:v>
      </x:c>
      <x:c r="U65" s="106" t="str">
        <x:f t="shared" si="9">IF(ABS(T65)&lt;0.01,"OK","CHECK")</x:f>
        <x:v>OK</x:v>
      </x:c>
      <x:c r="V65" s="106" t="str">
        <x:v>Auto Scheduled</x:v>
      </x:c>
      <x:c r="W65" s="106" t="str">
        <x:v>Prorated</x:v>
      </x:c>
      <x:c r="X65" s="106"/>
    </x:row>
    <x:row r="66" s="3" customFormat="1" ht="52.79999923706055" customHeight="1">
      <x:c r="A66" s="30">
        <x:v>60</x:v>
      </x:c>
      <x:c r="B66" s="30">
        <x:v>65</x:v>
      </x:c>
      <x:c r="C66" s="106" t="n">
        <x:f>'QS Takeoff'!A62</x:f>
        <x:v>0</x:v>
      </x:c>
      <x:c r="D66" s="106" t="n">
        <x:f>'QS Takeoff'!B62</x:f>
        <x:v>0</x:v>
      </x:c>
      <x:c r="E66" s="106" t="n">
        <x:f>'QS Takeoff'!C62</x:f>
        <x:v>0</x:v>
      </x:c>
      <x:c r="F66" s="106" t="n">
        <x:f>'QS Takeoff'!E62</x:f>
        <x:v>0</x:v>
      </x:c>
      <x:c r="G66" s="106" t="n">
        <x:f>'QS Takeoff'!D62</x:f>
        <x:v>0</x:v>
      </x:c>
      <x:c r="H66" s="185" t="n">
        <x:f>'QS Takeoff'!G62</x:f>
        <x:v>0</x:v>
      </x:c>
      <x:c r="I66" s="185" t="n">
        <x:f>SUMIF('Resource Build-Up'!$B$7:$B$306,D66,'Resource Build-Up'!$Z$7:$Z$306)</x:f>
        <x:v>0</x:v>
      </x:c>
      <x:c r="J66" s="186" t="n">
        <x:f ca="1">IFERROR(AGGREGATE(14,6,'Resource Build-Up'!$M$7:$M$306/('Resource Build-Up'!$B$7:$B$306=D66),1),0)</x:f>
        <x:v>0</x:v>
      </x:c>
      <x:c r="K66" s="186" t="str">
        <x:f t="shared" ca="1" si="5">IF(J66=0,"",ROUNDUP(J66/8,0))</x:f>
      </x:c>
      <x:c r="L66" s="187"/>
      <x:c r="M66" s="186" t="str">
        <x:f t="shared" si="6">IF(L66&lt;&gt;"",L66,K66)</x:f>
      </x:c>
      <x:c r="N66" s="188" t="str">
        <x:f t="shared" si="7">IF(M66="","",TEXT(M66,"0")&amp;" days")</x:f>
      </x:c>
      <x:c r="O66" s="106"/>
      <x:c r="P66" s="106"/>
      <x:c r="Q66" s="106"/>
      <x:c r="R66" s="106"/>
      <x:c r="S66" s="190"/>
      <x:c r="T66" s="130" t="n">
        <x:f t="shared" si="8">I66-H66</x:f>
        <x:v>0</x:v>
      </x:c>
      <x:c r="U66" s="106" t="str">
        <x:f t="shared" si="9">IF(ABS(T66)&lt;0.01,"OK","CHECK")</x:f>
        <x:v>OK</x:v>
      </x:c>
      <x:c r="V66" s="106" t="str">
        <x:v>Auto Scheduled</x:v>
      </x:c>
      <x:c r="W66" s="106" t="str">
        <x:v>Prorated</x:v>
      </x:c>
      <x:c r="X66" s="106"/>
    </x:row>
    <x:row r="67" s="3" customFormat="1" ht="52.79999923706055" customHeight="1">
      <x:c r="A67" s="30">
        <x:v>61</x:v>
      </x:c>
      <x:c r="B67" s="30">
        <x:v>66</x:v>
      </x:c>
      <x:c r="C67" s="106" t="n">
        <x:f>'QS Takeoff'!A63</x:f>
        <x:v>0</x:v>
      </x:c>
      <x:c r="D67" s="106" t="n">
        <x:f>'QS Takeoff'!B63</x:f>
        <x:v>0</x:v>
      </x:c>
      <x:c r="E67" s="106" t="n">
        <x:f>'QS Takeoff'!C63</x:f>
        <x:v>0</x:v>
      </x:c>
      <x:c r="F67" s="106" t="n">
        <x:f>'QS Takeoff'!E63</x:f>
        <x:v>0</x:v>
      </x:c>
      <x:c r="G67" s="106" t="n">
        <x:f>'QS Takeoff'!D63</x:f>
        <x:v>0</x:v>
      </x:c>
      <x:c r="H67" s="185" t="n">
        <x:f>'QS Takeoff'!G63</x:f>
        <x:v>0</x:v>
      </x:c>
      <x:c r="I67" s="185" t="n">
        <x:f>SUMIF('Resource Build-Up'!$B$7:$B$306,D67,'Resource Build-Up'!$Z$7:$Z$306)</x:f>
        <x:v>0</x:v>
      </x:c>
      <x:c r="J67" s="186" t="n">
        <x:f ca="1">IFERROR(AGGREGATE(14,6,'Resource Build-Up'!$M$7:$M$306/('Resource Build-Up'!$B$7:$B$306=D67),1),0)</x:f>
        <x:v>0</x:v>
      </x:c>
      <x:c r="K67" s="186" t="str">
        <x:f t="shared" ca="1" si="5">IF(J67=0,"",ROUNDUP(J67/8,0))</x:f>
      </x:c>
      <x:c r="L67" s="191"/>
      <x:c r="M67" s="186" t="str">
        <x:f t="shared" ca="1" si="6">IF(L67&lt;&gt;"",L67,K67)</x:f>
      </x:c>
      <x:c r="N67" s="188" t="str">
        <x:f t="shared" ca="1" si="7">IF(M67="","",TEXT(M67,"0")&amp;" days")</x:f>
      </x:c>
      <x:c r="O67" s="106"/>
      <x:c r="P67" s="106"/>
      <x:c r="Q67" s="106"/>
      <x:c r="R67" s="106"/>
      <x:c r="S67" s="189"/>
      <x:c r="T67" s="130" t="n">
        <x:f t="shared" si="8">I67-H67</x:f>
        <x:v>0</x:v>
      </x:c>
      <x:c r="U67" s="106" t="str">
        <x:f t="shared" si="9">IF(ABS(T67)&lt;0.01,"OK","CHECK")</x:f>
        <x:v>OK</x:v>
      </x:c>
      <x:c r="V67" s="106" t="str">
        <x:v>Auto Scheduled</x:v>
      </x:c>
      <x:c r="W67" s="106" t="str">
        <x:v>Prorated</x:v>
      </x:c>
      <x:c r="X67" s="106"/>
    </x:row>
    <x:row r="68" s="3" customFormat="1" ht="52.79999923706055" customHeight="1">
      <x:c r="A68" s="30">
        <x:v>62</x:v>
      </x:c>
      <x:c r="B68" s="30">
        <x:v>67</x:v>
      </x:c>
      <x:c r="C68" s="106" t="n">
        <x:f>'QS Takeoff'!A64</x:f>
        <x:v>0</x:v>
      </x:c>
      <x:c r="D68" s="106" t="n">
        <x:f>'QS Takeoff'!B64</x:f>
        <x:v>0</x:v>
      </x:c>
      <x:c r="E68" s="106" t="n">
        <x:f>'QS Takeoff'!C64</x:f>
        <x:v>0</x:v>
      </x:c>
      <x:c r="F68" s="106" t="n">
        <x:f>'QS Takeoff'!E64</x:f>
        <x:v>0</x:v>
      </x:c>
      <x:c r="G68" s="106" t="n">
        <x:f>'QS Takeoff'!D64</x:f>
        <x:v>0</x:v>
      </x:c>
      <x:c r="H68" s="185" t="n">
        <x:f>'QS Takeoff'!G64</x:f>
        <x:v>0</x:v>
      </x:c>
      <x:c r="I68" s="185" t="n">
        <x:f>SUMIF('Resource Build-Up'!$B$7:$B$306,D68,'Resource Build-Up'!$Z$7:$Z$306)</x:f>
        <x:v>0</x:v>
      </x:c>
      <x:c r="J68" s="186" t="n">
        <x:f ca="1">IFERROR(AGGREGATE(14,6,'Resource Build-Up'!$M$7:$M$306/('Resource Build-Up'!$B$7:$B$306=D68),1),0)</x:f>
        <x:v>0</x:v>
      </x:c>
      <x:c r="K68" s="186" t="str">
        <x:f t="shared" ca="1" si="5">IF(J68=0,"",ROUNDUP(J68/8,0))</x:f>
      </x:c>
      <x:c r="L68" s="187"/>
      <x:c r="M68" s="186" t="str">
        <x:f t="shared" si="6">IF(L68&lt;&gt;"",L68,K68)</x:f>
      </x:c>
      <x:c r="N68" s="188" t="str">
        <x:f t="shared" si="7">IF(M68="","",TEXT(M68,"0")&amp;" days")</x:f>
      </x:c>
      <x:c r="O68" s="106"/>
      <x:c r="P68" s="106"/>
      <x:c r="Q68" s="106"/>
      <x:c r="R68" s="106"/>
      <x:c r="S68" s="190"/>
      <x:c r="T68" s="130" t="n">
        <x:f t="shared" si="8">I68-H68</x:f>
        <x:v>0</x:v>
      </x:c>
      <x:c r="U68" s="106" t="str">
        <x:f t="shared" si="9">IF(ABS(T68)&lt;0.01,"OK","CHECK")</x:f>
        <x:v>OK</x:v>
      </x:c>
      <x:c r="V68" s="106" t="str">
        <x:v>Auto Scheduled</x:v>
      </x:c>
      <x:c r="W68" s="106" t="str">
        <x:v>Prorated</x:v>
      </x:c>
      <x:c r="X68" s="106"/>
    </x:row>
    <x:row r="69" s="3" customFormat="1" ht="52.79999923706055" customHeight="1">
      <x:c r="A69" s="30">
        <x:v>63</x:v>
      </x:c>
      <x:c r="B69" s="30">
        <x:v>68</x:v>
      </x:c>
      <x:c r="C69" s="106" t="n">
        <x:f>'QS Takeoff'!A65</x:f>
        <x:v>0</x:v>
      </x:c>
      <x:c r="D69" s="106" t="n">
        <x:f>'QS Takeoff'!B65</x:f>
        <x:v>0</x:v>
      </x:c>
      <x:c r="E69" s="106" t="n">
        <x:f>'QS Takeoff'!C65</x:f>
        <x:v>0</x:v>
      </x:c>
      <x:c r="F69" s="106" t="n">
        <x:f>'QS Takeoff'!E65</x:f>
        <x:v>0</x:v>
      </x:c>
      <x:c r="G69" s="106" t="n">
        <x:f>'QS Takeoff'!D65</x:f>
        <x:v>0</x:v>
      </x:c>
      <x:c r="H69" s="185" t="n">
        <x:f>'QS Takeoff'!G65</x:f>
        <x:v>0</x:v>
      </x:c>
      <x:c r="I69" s="185" t="n">
        <x:f>SUMIF('Resource Build-Up'!$B$7:$B$306,D69,'Resource Build-Up'!$Z$7:$Z$306)</x:f>
        <x:v>0</x:v>
      </x:c>
      <x:c r="J69" s="186" t="n">
        <x:f ca="1">IFERROR(AGGREGATE(14,6,'Resource Build-Up'!$M$7:$M$306/('Resource Build-Up'!$B$7:$B$306=D69),1),0)</x:f>
        <x:v>0</x:v>
      </x:c>
      <x:c r="K69" s="186" t="str">
        <x:f t="shared" ca="1" si="5">IF(J69=0,"",ROUNDUP(J69/8,0))</x:f>
      </x:c>
      <x:c r="L69" s="187"/>
      <x:c r="M69" s="186" t="str">
        <x:f t="shared" si="6">IF(L69&lt;&gt;"",L69,K69)</x:f>
      </x:c>
      <x:c r="N69" s="188" t="str">
        <x:f t="shared" si="7">IF(M69="","",TEXT(M69,"0")&amp;" days")</x:f>
      </x:c>
      <x:c r="O69" s="106"/>
      <x:c r="P69" s="106"/>
      <x:c r="Q69" s="106"/>
      <x:c r="R69" s="106"/>
      <x:c r="S69" s="190"/>
      <x:c r="T69" s="130" t="n">
        <x:f t="shared" si="8">I69-H69</x:f>
        <x:v>0</x:v>
      </x:c>
      <x:c r="U69" s="106" t="str">
        <x:f t="shared" si="9">IF(ABS(T69)&lt;0.01,"OK","CHECK")</x:f>
        <x:v>OK</x:v>
      </x:c>
      <x:c r="V69" s="106" t="str">
        <x:v>Auto Scheduled</x:v>
      </x:c>
      <x:c r="W69" s="106" t="str">
        <x:v>Prorated</x:v>
      </x:c>
      <x:c r="X69" s="106"/>
    </x:row>
    <x:row r="70" s="3" customFormat="1" ht="52.79999923706055" customHeight="1">
      <x:c r="A70" s="30">
        <x:v>64</x:v>
      </x:c>
      <x:c r="B70" s="30">
        <x:v>69</x:v>
      </x:c>
      <x:c r="C70" s="106" t="n">
        <x:f>'QS Takeoff'!A66</x:f>
        <x:v>0</x:v>
      </x:c>
      <x:c r="D70" s="106" t="n">
        <x:f>'QS Takeoff'!B66</x:f>
        <x:v>0</x:v>
      </x:c>
      <x:c r="E70" s="106" t="n">
        <x:f>'QS Takeoff'!C66</x:f>
        <x:v>0</x:v>
      </x:c>
      <x:c r="F70" s="106" t="n">
        <x:f>'QS Takeoff'!E66</x:f>
        <x:v>0</x:v>
      </x:c>
      <x:c r="G70" s="106" t="n">
        <x:f>'QS Takeoff'!D66</x:f>
        <x:v>0</x:v>
      </x:c>
      <x:c r="H70" s="185" t="n">
        <x:f>'QS Takeoff'!G66</x:f>
        <x:v>0</x:v>
      </x:c>
      <x:c r="I70" s="185" t="n">
        <x:f>SUMIF('Resource Build-Up'!$B$7:$B$306,D70,'Resource Build-Up'!$Z$7:$Z$306)</x:f>
        <x:v>0</x:v>
      </x:c>
      <x:c r="J70" s="186" t="n">
        <x:f ca="1">IFERROR(AGGREGATE(14,6,'Resource Build-Up'!$M$7:$M$306/('Resource Build-Up'!$B$7:$B$306=D70),1),0)</x:f>
        <x:v>0</x:v>
      </x:c>
      <x:c r="K70" s="186" t="str">
        <x:f t="shared" ca="1" si="5">IF(J70=0,"",ROUNDUP(J70/8,0))</x:f>
      </x:c>
      <x:c r="L70" s="187"/>
      <x:c r="M70" s="186" t="str">
        <x:f t="shared" si="6">IF(L70&lt;&gt;"",L70,K70)</x:f>
      </x:c>
      <x:c r="N70" s="188" t="str">
        <x:f t="shared" si="7">IF(M70="","",TEXT(M70,"0")&amp;" days")</x:f>
      </x:c>
      <x:c r="O70" s="106"/>
      <x:c r="P70" s="106"/>
      <x:c r="Q70" s="106"/>
      <x:c r="R70" s="106"/>
      <x:c r="S70" s="190"/>
      <x:c r="T70" s="130" t="n">
        <x:f t="shared" si="8">I70-H70</x:f>
        <x:v>0</x:v>
      </x:c>
      <x:c r="U70" s="106" t="str">
        <x:f t="shared" si="9">IF(ABS(T70)&lt;0.01,"OK","CHECK")</x:f>
        <x:v>OK</x:v>
      </x:c>
      <x:c r="V70" s="106" t="str">
        <x:v>Auto Scheduled</x:v>
      </x:c>
      <x:c r="W70" s="106" t="str">
        <x:v>Prorated</x:v>
      </x:c>
      <x:c r="X70" s="106"/>
    </x:row>
    <x:row r="71" s="3" customFormat="1" ht="52.79999923706055" customHeight="1">
      <x:c r="A71" s="30">
        <x:v>65</x:v>
      </x:c>
      <x:c r="B71" s="30">
        <x:v>70</x:v>
      </x:c>
      <x:c r="C71" s="106" t="n">
        <x:f>'QS Takeoff'!A67</x:f>
        <x:v>0</x:v>
      </x:c>
      <x:c r="D71" s="106" t="n">
        <x:f>'QS Takeoff'!B67</x:f>
        <x:v>0</x:v>
      </x:c>
      <x:c r="E71" s="106" t="n">
        <x:f>'QS Takeoff'!C67</x:f>
        <x:v>0</x:v>
      </x:c>
      <x:c r="F71" s="106" t="n">
        <x:f>'QS Takeoff'!E67</x:f>
        <x:v>0</x:v>
      </x:c>
      <x:c r="G71" s="106" t="n">
        <x:f>'QS Takeoff'!D67</x:f>
        <x:v>0</x:v>
      </x:c>
      <x:c r="H71" s="185" t="n">
        <x:f>'QS Takeoff'!G67</x:f>
        <x:v>0</x:v>
      </x:c>
      <x:c r="I71" s="185" t="n">
        <x:f>SUMIF('Resource Build-Up'!$B$7:$B$306,D71,'Resource Build-Up'!$Z$7:$Z$306)</x:f>
        <x:v>0</x:v>
      </x:c>
      <x:c r="J71" s="186" t="n">
        <x:f ca="1">IFERROR(AGGREGATE(14,6,'Resource Build-Up'!$M$7:$M$306/('Resource Build-Up'!$B$7:$B$306=D71),1),0)</x:f>
        <x:v>0</x:v>
      </x:c>
      <x:c r="K71" s="186" t="str">
        <x:f t="shared" ref="K71:K77" ca="1" si="10">IF(J71=0,"",ROUNDUP(J71/8,0))</x:f>
      </x:c>
      <x:c r="L71" s="187"/>
      <x:c r="M71" s="186" t="str">
        <x:f t="shared" ref="M71:M77" si="11">IF(L71&lt;&gt;"",L71,K71)</x:f>
      </x:c>
      <x:c r="N71" s="188" t="str">
        <x:f t="shared" ref="N71:N74" si="12">IF(M71="","",TEXT(M71,"0")&amp;" days")</x:f>
      </x:c>
      <x:c r="O71" s="106"/>
      <x:c r="P71" s="106"/>
      <x:c r="Q71" s="106"/>
      <x:c r="R71" s="106"/>
      <x:c r="S71" s="190"/>
      <x:c r="T71" s="130" t="n">
        <x:f t="shared" ref="T71:T77" si="13">I71-H71</x:f>
        <x:v>0</x:v>
      </x:c>
      <x:c r="U71" s="106" t="str">
        <x:f t="shared" ref="U71:U77" si="14">IF(ABS(T71)&lt;0.01,"OK","CHECK")</x:f>
        <x:v>OK</x:v>
      </x:c>
      <x:c r="V71" s="106" t="str">
        <x:v>Auto Scheduled</x:v>
      </x:c>
      <x:c r="W71" s="106" t="str">
        <x:v>Prorated</x:v>
      </x:c>
      <x:c r="X71" s="106"/>
    </x:row>
    <x:row r="72" s="3" customFormat="1" ht="52.79999923706055" customHeight="1">
      <x:c r="A72" s="30">
        <x:v>66</x:v>
      </x:c>
      <x:c r="B72" s="30">
        <x:v>73</x:v>
      </x:c>
      <x:c r="C72" s="106" t="n">
        <x:f>'QS Takeoff'!A68</x:f>
        <x:v>0</x:v>
      </x:c>
      <x:c r="D72" s="106" t="n">
        <x:f>'QS Takeoff'!B68</x:f>
        <x:v>0</x:v>
      </x:c>
      <x:c r="E72" s="106" t="n">
        <x:f>'QS Takeoff'!C68</x:f>
        <x:v>0</x:v>
      </x:c>
      <x:c r="F72" s="106" t="n">
        <x:f>'QS Takeoff'!E68</x:f>
        <x:v>0</x:v>
      </x:c>
      <x:c r="G72" s="106" t="n">
        <x:f>'QS Takeoff'!D68</x:f>
        <x:v>0</x:v>
      </x:c>
      <x:c r="H72" s="185" t="n">
        <x:f>'QS Takeoff'!G68</x:f>
        <x:v>0</x:v>
      </x:c>
      <x:c r="I72" s="185" t="n">
        <x:f>SUMIF('Resource Build-Up'!$B$7:$B$306,D72,'Resource Build-Up'!$Z$7:$Z$306)</x:f>
        <x:v>0</x:v>
      </x:c>
      <x:c r="J72" s="186" t="n">
        <x:f ca="1">IFERROR(AGGREGATE(14,6,'Resource Build-Up'!$M$7:$M$306/('Resource Build-Up'!$B$7:$B$306=D72),1),0)</x:f>
        <x:v>0</x:v>
      </x:c>
      <x:c r="K72" s="186" t="str">
        <x:f t="shared" ca="1" si="10">IF(J72=0,"",ROUNDUP(J72/8,0))</x:f>
      </x:c>
      <x:c r="L72" s="187"/>
      <x:c r="M72" s="186" t="str">
        <x:f t="shared" si="11">IF(L72&lt;&gt;"",L72,K72)</x:f>
      </x:c>
      <x:c r="N72" s="188" t="str">
        <x:f t="shared" si="12">IF(M72="","",TEXT(M72,"0")&amp;" days")</x:f>
      </x:c>
      <x:c r="O72" s="106"/>
      <x:c r="P72" s="106"/>
      <x:c r="Q72" s="106"/>
      <x:c r="R72" s="106"/>
      <x:c r="S72" s="190"/>
      <x:c r="T72" s="130" t="n">
        <x:f t="shared" si="13">I72-H72</x:f>
        <x:v>0</x:v>
      </x:c>
      <x:c r="U72" s="106" t="str">
        <x:f t="shared" si="14">IF(ABS(T72)&lt;0.01,"OK","CHECK")</x:f>
        <x:v>OK</x:v>
      </x:c>
      <x:c r="V72" s="106" t="str">
        <x:v>Auto Scheduled</x:v>
      </x:c>
      <x:c r="W72" s="106" t="str">
        <x:v>Prorated</x:v>
      </x:c>
      <x:c r="X72" s="106"/>
    </x:row>
    <x:row r="73" s="3" customFormat="1" ht="52.79999923706055" customHeight="1">
      <x:c r="A73" s="30">
        <x:v>67</x:v>
      </x:c>
      <x:c r="B73" s="30">
        <x:v>74</x:v>
      </x:c>
      <x:c r="C73" s="106" t="n">
        <x:f>'QS Takeoff'!A69</x:f>
        <x:v>0</x:v>
      </x:c>
      <x:c r="D73" s="106" t="n">
        <x:f>'QS Takeoff'!B69</x:f>
        <x:v>0</x:v>
      </x:c>
      <x:c r="E73" s="106" t="n">
        <x:f>'QS Takeoff'!C69</x:f>
        <x:v>0</x:v>
      </x:c>
      <x:c r="F73" s="106" t="n">
        <x:f>'QS Takeoff'!E69</x:f>
        <x:v>0</x:v>
      </x:c>
      <x:c r="G73" s="106" t="n">
        <x:f>'QS Takeoff'!D69</x:f>
        <x:v>0</x:v>
      </x:c>
      <x:c r="H73" s="185" t="n">
        <x:f>'QS Takeoff'!G69</x:f>
        <x:v>0</x:v>
      </x:c>
      <x:c r="I73" s="185" t="n">
        <x:f>SUMIF('Resource Build-Up'!$B$7:$B$306,D73,'Resource Build-Up'!$Z$7:$Z$306)</x:f>
        <x:v>0</x:v>
      </x:c>
      <x:c r="J73" s="186" t="n">
        <x:f ca="1">IFERROR(AGGREGATE(14,6,'Resource Build-Up'!$M$7:$M$306/('Resource Build-Up'!$B$7:$B$306=D73),1),0)</x:f>
        <x:v>0</x:v>
      </x:c>
      <x:c r="K73" s="186" t="str">
        <x:f t="shared" ca="1" si="10">IF(J73=0,"",ROUNDUP(J73/8,0))</x:f>
      </x:c>
      <x:c r="L73" s="187"/>
      <x:c r="M73" s="186" t="str">
        <x:f t="shared" si="11">IF(L73&lt;&gt;"",L73,K73)</x:f>
      </x:c>
      <x:c r="N73" s="188" t="str">
        <x:f t="shared" si="12">IF(M73="","",TEXT(M73,"0")&amp;" days")</x:f>
      </x:c>
      <x:c r="O73" s="106"/>
      <x:c r="P73" s="106"/>
      <x:c r="Q73" s="106"/>
      <x:c r="R73" s="106"/>
      <x:c r="S73" s="190"/>
      <x:c r="T73" s="130" t="n">
        <x:f t="shared" si="13">I73-H73</x:f>
        <x:v>0</x:v>
      </x:c>
      <x:c r="U73" s="106" t="str">
        <x:f t="shared" si="14">IF(ABS(T73)&lt;0.01,"OK","CHECK")</x:f>
        <x:v>OK</x:v>
      </x:c>
      <x:c r="V73" s="106" t="str">
        <x:v>Auto Scheduled</x:v>
      </x:c>
      <x:c r="W73" s="106" t="str">
        <x:v>Prorated</x:v>
      </x:c>
      <x:c r="X73" s="106"/>
    </x:row>
    <x:row r="74" s="3" customFormat="1" ht="52.79999923706055" customHeight="1">
      <x:c r="A74" s="30">
        <x:v>68</x:v>
      </x:c>
      <x:c r="B74" s="30">
        <x:v>75</x:v>
      </x:c>
      <x:c r="C74" s="106" t="n">
        <x:f>'QS Takeoff'!A70</x:f>
        <x:v>0</x:v>
      </x:c>
      <x:c r="D74" s="106" t="n">
        <x:f>'QS Takeoff'!B70</x:f>
        <x:v>0</x:v>
      </x:c>
      <x:c r="E74" s="106" t="n">
        <x:f>'QS Takeoff'!C70</x:f>
        <x:v>0</x:v>
      </x:c>
      <x:c r="F74" s="106" t="n">
        <x:f>'QS Takeoff'!E70</x:f>
        <x:v>0</x:v>
      </x:c>
      <x:c r="G74" s="106" t="n">
        <x:f>'QS Takeoff'!D70</x:f>
        <x:v>0</x:v>
      </x:c>
      <x:c r="H74" s="185" t="n">
        <x:f>'QS Takeoff'!G70</x:f>
        <x:v>0</x:v>
      </x:c>
      <x:c r="I74" s="185" t="n">
        <x:f>SUMIF('Resource Build-Up'!$B$7:$B$306,D74,'Resource Build-Up'!$Z$7:$Z$306)</x:f>
        <x:v>0</x:v>
      </x:c>
      <x:c r="J74" s="186" t="n">
        <x:f ca="1">IFERROR(AGGREGATE(14,6,'Resource Build-Up'!$M$7:$M$306/('Resource Build-Up'!$B$7:$B$306=D74),1),0)</x:f>
        <x:v>0</x:v>
      </x:c>
      <x:c r="K74" s="186" t="str">
        <x:f t="shared" ca="1" si="10">IF(J74=0,"",ROUNDUP(J74/8,0))</x:f>
      </x:c>
      <x:c r="L74" s="187"/>
      <x:c r="M74" s="186" t="str">
        <x:f t="shared" si="11">IF(L74&lt;&gt;"",L74,K74)</x:f>
      </x:c>
      <x:c r="N74" s="188" t="str">
        <x:f t="shared" si="12">IF(M74="","",TEXT(M74,"0")&amp;" days")</x:f>
      </x:c>
      <x:c r="O74" s="106"/>
      <x:c r="P74" s="106"/>
      <x:c r="Q74" s="106"/>
      <x:c r="R74" s="106"/>
      <x:c r="S74" s="189"/>
      <x:c r="T74" s="130" t="n">
        <x:f t="shared" si="13">I74-H74</x:f>
        <x:v>0</x:v>
      </x:c>
      <x:c r="U74" s="106" t="str">
        <x:f t="shared" si="14">IF(ABS(T74)&lt;0.01,"OK","CHECK")</x:f>
        <x:v>OK</x:v>
      </x:c>
      <x:c r="V74" s="106" t="str">
        <x:v>Auto Scheduled</x:v>
      </x:c>
      <x:c r="W74" s="106" t="str">
        <x:v>Prorated</x:v>
      </x:c>
      <x:c r="X74" s="106"/>
    </x:row>
    <x:row r="75" s="3" customFormat="1" ht="52.79999923706055" customHeight="1">
      <x:c r="A75" s="30">
        <x:v>69</x:v>
      </x:c>
      <x:c r="B75" s="30">
        <x:v>76</x:v>
      </x:c>
      <x:c r="C75" s="106" t="n">
        <x:f>'QS Takeoff'!A71</x:f>
        <x:v>0</x:v>
      </x:c>
      <x:c r="D75" s="106" t="n">
        <x:f>'QS Takeoff'!B71</x:f>
        <x:v>0</x:v>
      </x:c>
      <x:c r="E75" s="106" t="n">
        <x:f>'QS Takeoff'!C71</x:f>
        <x:v>0</x:v>
      </x:c>
      <x:c r="F75" s="106" t="n">
        <x:f>'QS Takeoff'!E71</x:f>
        <x:v>0</x:v>
      </x:c>
      <x:c r="G75" s="106" t="n">
        <x:f>'QS Takeoff'!D71</x:f>
        <x:v>0</x:v>
      </x:c>
      <x:c r="H75" s="185" t="n">
        <x:f>'QS Takeoff'!G71</x:f>
        <x:v>0</x:v>
      </x:c>
      <x:c r="I75" s="185" t="n">
        <x:f>SUMIF('Resource Build-Up'!$B$7:$B$306,D75,'Resource Build-Up'!$Z$7:$Z$306)</x:f>
        <x:v>0</x:v>
      </x:c>
      <x:c r="J75" s="186" t="n">
        <x:f ca="1">IFERROR(AGGREGATE(14,6,'Resource Build-Up'!$M$7:$M$306/('Resource Build-Up'!$B$7:$B$306=D75),1),0)</x:f>
        <x:v>0</x:v>
      </x:c>
      <x:c r="K75" s="186" t="str">
        <x:f t="shared" ca="1" si="10">IF(J75=0,"",ROUNDUP(J75/8,0))</x:f>
      </x:c>
      <x:c r="L75" s="187"/>
      <x:c r="M75" s="186" t="str">
        <x:f t="shared" si="11">IF(L75&lt;&gt;"",L75,K75)</x:f>
      </x:c>
      <x:c r="N75" s="188" t="str">
        <x:f>IF(M75="","",TEXT(M75,"0")&amp;" days")</x:f>
      </x:c>
      <x:c r="O75" s="106"/>
      <x:c r="P75" s="106"/>
      <x:c r="Q75" s="106"/>
      <x:c r="R75" s="106"/>
      <x:c r="S75" s="189"/>
      <x:c r="T75" s="130" t="n">
        <x:f t="shared" si="13">I75-H75</x:f>
        <x:v>0</x:v>
      </x:c>
      <x:c r="U75" s="106" t="str">
        <x:f t="shared" si="14">IF(ABS(T75)&lt;0.01,"OK","CHECK")</x:f>
        <x:v>OK</x:v>
      </x:c>
      <x:c r="V75" s="106" t="str">
        <x:v>Auto Scheduled</x:v>
      </x:c>
      <x:c r="W75" s="106" t="str">
        <x:v>Prorated</x:v>
      </x:c>
      <x:c r="X75" s="106"/>
    </x:row>
    <x:row r="76" s="3" customFormat="1" ht="52.79999923706055" customHeight="1">
      <x:c r="A76" s="30">
        <x:v>70</x:v>
      </x:c>
      <x:c r="B76" s="30">
        <x:v>77</x:v>
      </x:c>
      <x:c r="C76" s="106" t="n">
        <x:f>'QS Takeoff'!A72</x:f>
        <x:v>0</x:v>
      </x:c>
      <x:c r="D76" s="106" t="n">
        <x:f>'QS Takeoff'!B72</x:f>
        <x:v>0</x:v>
      </x:c>
      <x:c r="E76" s="106" t="n">
        <x:f>'QS Takeoff'!C72</x:f>
        <x:v>0</x:v>
      </x:c>
      <x:c r="F76" s="106" t="n">
        <x:f>'QS Takeoff'!E72</x:f>
        <x:v>0</x:v>
      </x:c>
      <x:c r="G76" s="106" t="n">
        <x:f>'QS Takeoff'!D72</x:f>
        <x:v>0</x:v>
      </x:c>
      <x:c r="H76" s="185" t="n">
        <x:f>'QS Takeoff'!G72</x:f>
        <x:v>0</x:v>
      </x:c>
      <x:c r="I76" s="185" t="n">
        <x:f>SUMIF('Resource Build-Up'!$B$7:$B$306,D76,'Resource Build-Up'!$Z$7:$Z$306)</x:f>
        <x:v>0</x:v>
      </x:c>
      <x:c r="J76" s="186" t="n">
        <x:f ca="1">IFERROR(AGGREGATE(14,6,'Resource Build-Up'!$M$7:$M$306/('Resource Build-Up'!$B$7:$B$306=D76),1),0)</x:f>
        <x:v>0</x:v>
      </x:c>
      <x:c r="K76" s="186" t="str">
        <x:f t="shared" ca="1" si="10">IF(J76=0,"",ROUNDUP(J76/8,0))</x:f>
      </x:c>
      <x:c r="L76" s="187"/>
      <x:c r="M76" s="186" t="str">
        <x:f t="shared" si="11">IF(L76&lt;&gt;"",L76,K76)</x:f>
      </x:c>
      <x:c r="N76" s="188" t="str">
        <x:f>IF(M76="","",TEXT(M76,"0")&amp;" days")</x:f>
      </x:c>
      <x:c r="O76" s="106"/>
      <x:c r="P76" s="106"/>
      <x:c r="Q76" s="106"/>
      <x:c r="R76" s="106"/>
      <x:c r="S76" s="190"/>
      <x:c r="T76" s="130" t="n">
        <x:f t="shared" si="13">I76-H76</x:f>
        <x:v>0</x:v>
      </x:c>
      <x:c r="U76" s="106" t="str">
        <x:f t="shared" si="14">IF(ABS(T76)&lt;0.01,"OK","CHECK")</x:f>
        <x:v>OK</x:v>
      </x:c>
      <x:c r="V76" s="106" t="str">
        <x:v>Auto Scheduled</x:v>
      </x:c>
      <x:c r="W76" s="106" t="str">
        <x:v>Prorated</x:v>
      </x:c>
      <x:c r="X76" s="106"/>
    </x:row>
    <x:row r="77" s="3" customFormat="1" ht="52.79999923706055" customHeight="1">
      <x:c r="A77" s="30">
        <x:v>71</x:v>
      </x:c>
      <x:c r="B77" s="30">
        <x:v>78</x:v>
      </x:c>
      <x:c r="C77" s="106" t="n">
        <x:f>'QS Takeoff'!A73</x:f>
        <x:v>0</x:v>
      </x:c>
      <x:c r="D77" s="106" t="n">
        <x:f>'QS Takeoff'!B73</x:f>
        <x:v>0</x:v>
      </x:c>
      <x:c r="E77" s="106" t="n">
        <x:f>'QS Takeoff'!C73</x:f>
        <x:v>0</x:v>
      </x:c>
      <x:c r="F77" s="106" t="n">
        <x:f>'QS Takeoff'!E73</x:f>
        <x:v>0</x:v>
      </x:c>
      <x:c r="G77" s="106" t="n">
        <x:f>'QS Takeoff'!D73</x:f>
        <x:v>0</x:v>
      </x:c>
      <x:c r="H77" s="185" t="n">
        <x:f>'QS Takeoff'!G73</x:f>
        <x:v>0</x:v>
      </x:c>
      <x:c r="I77" s="185" t="n">
        <x:f>SUMIF('Resource Build-Up'!$B$7:$B$306,D77,'Resource Build-Up'!$Z$7:$Z$306)</x:f>
        <x:v>0</x:v>
      </x:c>
      <x:c r="J77" s="186" t="n">
        <x:f ca="1">IFERROR(AGGREGATE(14,6,'Resource Build-Up'!$M$7:$M$306/('Resource Build-Up'!$B$7:$B$306=D77),1),0)</x:f>
        <x:v>0</x:v>
      </x:c>
      <x:c r="K77" s="186" t="str">
        <x:f t="shared" ca="1" si="10">IF(J77=0,"",ROUNDUP(J77/8,0))</x:f>
      </x:c>
      <x:c r="L77" s="187"/>
      <x:c r="M77" s="186" t="str">
        <x:f t="shared" si="11">IF(L77&lt;&gt;"",L77,K77)</x:f>
      </x:c>
      <x:c r="N77" s="188" t="str">
        <x:f>IF(M77="","",TEXT(M77,"0")&amp;" days")</x:f>
      </x:c>
      <x:c r="O77" s="106"/>
      <x:c r="P77" s="106"/>
      <x:c r="Q77" s="106"/>
      <x:c r="R77" s="106"/>
      <x:c r="S77" s="189"/>
      <x:c r="T77" s="130" t="n">
        <x:f t="shared" si="13">I77-H77</x:f>
        <x:v>0</x:v>
      </x:c>
      <x:c r="U77" s="106" t="str">
        <x:f t="shared" si="14">IF(ABS(T77)&lt;0.01,"OK","CHECK")</x:f>
        <x:v>OK</x:v>
      </x:c>
      <x:c r="V77" s="106" t="str">
        <x:v>Auto Scheduled</x:v>
      </x:c>
      <x:c r="W77" s="106" t="str">
        <x:v>Prorated</x:v>
      </x:c>
      <x:c r="X77" s="106"/>
    </x:row>
  </x:sheetData>
  <x:mergeCells>
    <x:mergeCell ref="A1:X1"/>
    <x:mergeCell ref="A2:X2"/>
    <x:mergeCell ref="A3:X3"/>
    <x:mergeCell ref="A4:X4"/>
    <x:mergeCell ref="A5:X5"/>
  </x:mergeCells>
  <x:pageMargins left="0.7" right="0.7" top="0.75" bottom="0.75" header="0.3" footer="0.3"/>
</x:worksheet>
</file>

<file path=xl/worksheets/sheet11.xml><?xml version="1.0" encoding="utf-8"?>
<x:worksheet xmlns:x="http://schemas.openxmlformats.org/spreadsheetml/2006/main">
  <x:sheetFormatPr defaultRowHeight="15"/>
  <x:cols>
    <x:col min="1" max="1" width="43" hidden="0" customWidth="1"/>
    <x:col min="2" max="2" width="32" hidden="0" customWidth="1"/>
    <x:col min="4" max="4" width="25" hidden="0" customWidth="1"/>
    <x:col min="5" max="5" width="38" hidden="0" customWidth="1"/>
    <x:col min="6" max="6" width="18" hidden="0" customWidth="1"/>
    <x:col min="7" max="7" width="27" hidden="0" customWidth="1"/>
    <x:col min="8" max="8" width="34" hidden="0" customWidth="1"/>
    <x:col min="10" max="10" width="38" hidden="0" customWidth="1"/>
  </x:cols>
  <x:sheetData>
    <x:row r="1" ht="26" customHeight="1">
      <x:c r="A1" s="548" t="str">
        <x:v>WEATHER RISK INTEGRATION - MASTER ESTIMATE WORKBOOK REV4</x:v>
      </x:c>
      <x:c r="B1" s="548"/>
      <x:c r="C1" s="548"/>
      <x:c r="D1" s="548"/>
      <x:c r="E1" s="548"/>
      <x:c r="F1" s="548"/>
      <x:c r="G1" s="548"/>
      <x:c r="H1" s="548"/>
      <x:c r="I1" s="26"/>
      <x:c r="J1" s="26"/>
    </x:row>
    <x:row r="2" ht="38" customHeight="1">
      <x:c r="A2" s="511" t="str">
        <x:v>Use the approved NZ Weather Risk Estimating Tool for climate/task calculations. This sheet links the tool run to live resources, programme, Commercial Inputs CA10, tender total and cashflow without using a flat weather percentage.</x:v>
      </x:c>
      <x:c r="B2" s="511"/>
      <x:c r="C2" s="511"/>
      <x:c r="D2" s="511"/>
      <x:c r="E2" s="511"/>
      <x:c r="F2" s="511"/>
      <x:c r="G2" s="511"/>
      <x:c r="H2" s="511"/>
      <x:c r="I2" s="26"/>
      <x:c r="J2" s="26"/>
    </x:row>
    <x:row r="3">
      <x:c r="A3" s="26"/>
      <x:c r="B3" s="26"/>
      <x:c r="C3" s="26"/>
      <x:c r="D3" s="26"/>
      <x:c r="E3" s="26"/>
      <x:c r="F3" s="26"/>
      <x:c r="G3" s="26"/>
      <x:c r="H3" s="26"/>
      <x:c r="I3" s="26"/>
      <x:c r="J3" s="26"/>
    </x:row>
    <x:row r="4">
      <x:c r="A4" s="549" t="str">
        <x:v>LIVE PROJECT / PROGRAMME INPUTS</x:v>
      </x:c>
      <x:c r="B4" s="549"/>
      <x:c r="C4" s="26"/>
      <x:c r="D4" s="549" t="str">
        <x:v>INTEGRATION / RELEASE CONTROLS</x:v>
      </x:c>
      <x:c r="E4" s="549"/>
      <x:c r="F4" s="549"/>
      <x:c r="G4" s="549"/>
      <x:c r="H4" s="549"/>
      <x:c r="I4" s="26"/>
      <x:c r="J4" s="26"/>
    </x:row>
    <x:row r="5">
      <x:c r="A5" s="26" t="str">
        <x:v>Project location</x:v>
      </x:c>
      <x:c r="B5" s="550" t="n">
        <x:f>Summary!$B$4</x:f>
        <x:v>0</x:v>
      </x:c>
      <x:c r="C5" s="26"/>
      <x:c r="D5" s="26" t="str">
        <x:v>1</x:v>
      </x:c>
      <x:c r="E5" s="26" t="str">
        <x:v>Weather tool remains the approved climate/task calculation source; this workbook does not replace NIWA/tool logic.</x:v>
      </x:c>
      <x:c r="F5" s="26"/>
      <x:c r="G5" s="26"/>
      <x:c r="H5" s="26"/>
      <x:c r="I5" s="26"/>
      <x:c r="J5" s="26"/>
    </x:row>
    <x:row r="6">
      <x:c r="A6" s="26" t="str">
        <x:v>Weather station / representative location</x:v>
      </x:c>
      <x:c r="B6" s="551"/>
      <x:c r="C6" s="26"/>
      <x:c r="D6" s="26" t="str">
        <x:v>2</x:v>
      </x:c>
      <x:c r="E6" s="26" t="str">
        <x:v>CA10 is formula-linked to Selected Weather Allowance. Do not re-enter a flat weather percentage in Commercial Inputs.</x:v>
      </x:c>
      <x:c r="F6" s="26"/>
      <x:c r="G6" s="26"/>
      <x:c r="H6" s="26"/>
      <x:c r="I6" s="26"/>
      <x:c r="J6" s="26"/>
    </x:row>
    <x:row r="7">
      <x:c r="A7" s="26" t="str">
        <x:v>Assumed construction start</x:v>
      </x:c>
      <x:c r="B7" s="552"/>
      <x:c r="C7" s="26"/>
      <x:c r="D7" s="26" t="str">
        <x:v>3</x:v>
      </x:c>
      <x:c r="E7" s="26" t="str">
        <x:v>Direct productivity applies only to Resource Build-Up rows tagged Weather Exposed = Yes and Resource Type = Labour or Plant.</x:v>
      </x:c>
      <x:c r="F7" s="26"/>
      <x:c r="G7" s="26"/>
      <x:c r="H7" s="26"/>
      <x:c r="I7" s="26"/>
      <x:c r="J7" s="26"/>
    </x:row>
    <x:row r="8">
      <x:c r="A8" s="26" t="str">
        <x:v>Baseline working days</x:v>
      </x:c>
      <x:c r="B8" s="553" t="n">
        <x:f>MAX('Programme Export'!$M$7:$M$77)</x:f>
        <x:v>0</x:v>
      </x:c>
      <x:c r="C8" s="26"/>
      <x:c r="D8" s="26" t="str">
        <x:v>4</x:v>
      </x:c>
      <x:c r="E8" s="26" t="str">
        <x:v>Critical-path delay is not summed across concurrent tasks. Update the external Weather Tool when sequence or critical path changes.</x:v>
      </x:c>
      <x:c r="F8" s="26"/>
      <x:c r="G8" s="26"/>
      <x:c r="H8" s="26"/>
      <x:c r="I8" s="26"/>
      <x:c r="J8" s="26"/>
    </x:row>
    <x:row r="9">
      <x:c r="A9" s="26" t="str">
        <x:v>Working days per week</x:v>
      </x:c>
      <x:c r="B9" s="659" t="n">
        <x:v>5</x:v>
      </x:c>
      <x:c r="C9" s="26"/>
      <x:c r="D9" s="26" t="str">
        <x:v>5</x:v>
      </x:c>
      <x:c r="E9" s="26" t="str">
        <x:v>Daily preliminaries derive from PG01 + PG04 + PG10. Weekly billed hire/facilities derive from PG03 + PG08.</x:v>
      </x:c>
      <x:c r="F9" s="26"/>
      <x:c r="G9" s="26"/>
      <x:c r="H9" s="26"/>
      <x:c r="I9" s="26"/>
      <x:c r="J9" s="26"/>
    </x:row>
    <x:row r="10">
      <x:c r="A10" s="26" t="str">
        <x:v>Weather-tool weekday-only base finish</x:v>
      </x:c>
      <x:c r="B10" s="555" t="str">
        <x:f>IF(OR(B7="",B8=""),"",WORKDAY(B7,B8-1))</x:f>
      </x:c>
      <x:c r="C10" s="26"/>
      <x:c r="D10" s="26" t="str">
        <x:v>6</x:v>
      </x:c>
      <x:c r="E10" s="26" t="str">
        <x:v>CA09 dewatering remains separate. Recovery/remediation in this sheet defaults to zero to avoid double counting unless project-specific evidence justifies it.</x:v>
      </x:c>
      <x:c r="F10" s="26"/>
      <x:c r="G10" s="26"/>
      <x:c r="H10" s="26"/>
      <x:c r="I10" s="26"/>
      <x:c r="J10" s="26"/>
    </x:row>
    <x:row r="11">
      <x:c r="A11" s="26" t="str">
        <x:v>Public holiday / entered shutdown adjusted base finish</x:v>
      </x:c>
      <x:c r="B11" s="555" t="str">
        <x:f>IF(OR(B7="",B8=""),"",WORKDAY(B7,B8-1,$F$55:$F$70))</x:f>
      </x:c>
      <x:c r="C11" s="26"/>
      <x:c r="D11" s="26" t="str">
        <x:v>7</x:v>
      </x:c>
      <x:c r="E11" s="26" t="str">
        <x:v>Wind proxy is excluded by default and remains AMBER unless a project-specific wind basis is verified.</x:v>
      </x:c>
      <x:c r="F11" s="26"/>
      <x:c r="G11" s="26"/>
      <x:c r="H11" s="26"/>
      <x:c r="I11" s="26"/>
      <x:c r="J11" s="26"/>
    </x:row>
    <x:row r="12">
      <x:c r="A12" s="26" t="str">
        <x:v>Weather-exposed labour + plant cost</x:v>
      </x:c>
      <x:c r="B12" s="556" t="n">
        <x:f>SUM('Resource Build-Up'!$AN$7:$AN$306)</x:f>
        <x:v>0</x:v>
      </x:c>
      <x:c r="C12" s="26"/>
      <x:c r="D12" s="26" t="str">
        <x:v>8</x:v>
      </x:c>
      <x:c r="E12" s="26" t="str">
        <x:v>Rerun the Weather Tool when start date, baseline duration, exposed cost mix, work calendar or critical path materially changes.</x:v>
      </x:c>
      <x:c r="F12" s="26"/>
      <x:c r="G12" s="26"/>
      <x:c r="H12" s="26"/>
      <x:c r="I12" s="26"/>
      <x:c r="J12" s="26"/>
    </x:row>
    <x:row r="13">
      <x:c r="A13" s="26" t="str">
        <x:v>Daily time-related preliminaries</x:v>
      </x:c>
      <x:c r="B13" s="556" t="n">
        <x:f>IFERROR((SUMIFS('QS Takeoff'!$G$3:$G$73,'QS Takeoff'!$B$3:$B$73,"PG01")+SUMIFS('QS Takeoff'!$G$3:$G$73,'QS Takeoff'!$B$3:$B$73,"PG04")+SUMIFS('QS Takeoff'!$G$3:$G$73,'QS Takeoff'!$B$3:$B$73,"PG10"))/B8,0)</x:f>
        <x:v>0</x:v>
      </x:c>
      <x:c r="C13" s="26"/>
      <x:c r="D13" s="26" t="str">
        <x:v>9</x:v>
      </x:c>
      <x:c r="E13" s="26" t="str">
        <x:v>Entered statutory holidays/shutdowns affect calendar completion only; they are not weather delay.</x:v>
      </x:c>
      <x:c r="F13" s="26"/>
      <x:c r="G13" s="26"/>
      <x:c r="H13" s="26"/>
      <x:c r="I13" s="26"/>
      <x:c r="J13" s="26"/>
    </x:row>
    <x:row r="14">
      <x:c r="A14" s="26" t="str">
        <x:v>Weekly billed hire / facilities</x:v>
      </x:c>
      <x:c r="B14" s="556" t="n">
        <x:f>IFERROR((SUMIFS('QS Takeoff'!$G$3:$G$73,'QS Takeoff'!$B$3:$B$73,"PG03")+SUMIFS('QS Takeoff'!$G$3:$G$73,'QS Takeoff'!$B$3:$B$73,"PG08"))/B15,0)</x:f>
        <x:v>0</x:v>
      </x:c>
      <x:c r="C14" s="26"/>
      <x:c r="D14" s="26"/>
      <x:c r="E14" s="26"/>
      <x:c r="F14" s="26"/>
      <x:c r="G14" s="26"/>
      <x:c r="H14" s="26"/>
      <x:c r="I14" s="26"/>
      <x:c r="J14" s="26"/>
    </x:row>
    <x:row r="15">
      <x:c r="A15" s="26" t="str">
        <x:v>Baseline billed weeks</x:v>
      </x:c>
      <x:c r="B15" s="553" t="n">
        <x:f>IF(OR(B8="",B9="",B9=0),0,ROUNDUP(B8/B9,0))</x:f>
        <x:v>0</x:v>
      </x:c>
      <x:c r="C15" s="26"/>
      <x:c r="D15" s="520" t="str">
        <x:v>Source / evidence</x:v>
      </x:c>
      <x:c r="E15" s="520" t="str">
        <x:v>NIWA 1991-2020 climate normals via NZ_Weather_Risk_Estimating_Tool_Rev2; public holiday dates via Employment New Zealand.</x:v>
      </x:c>
      <x:c r="F15" s="520"/>
      <x:c r="G15" s="520"/>
      <x:c r="H15" s="520"/>
      <x:c r="I15" s="26"/>
      <x:c r="J15" s="26"/>
    </x:row>
    <x:row r="16">
      <x:c r="A16" s="26" t="str">
        <x:v>Project-specific recovery / remediation allowance</x:v>
      </x:c>
      <x:c r="B16" s="557" t="n">
        <x:v>0</x:v>
      </x:c>
      <x:c r="C16" s="26"/>
      <x:c r="D16" s="26" t="str">
        <x:v>Holiday source URL</x:v>
      </x:c>
      <x:c r="E16" s="26" t="str">
        <x:v>https://www.employment.govt.nz/leave-and-holidays/public-holidays/public-holidays-and-anniversary-dates</x:v>
      </x:c>
      <x:c r="F16" s="26"/>
      <x:c r="G16" s="26"/>
      <x:c r="H16" s="26"/>
      <x:c r="I16" s="26"/>
      <x:c r="J16" s="26"/>
    </x:row>
    <x:row r="17">
      <x:c r="A17" s="26"/>
      <x:c r="B17" s="26"/>
      <x:c r="C17" s="26"/>
      <x:c r="D17" s="26"/>
      <x:c r="E17" s="26"/>
      <x:c r="F17" s="26"/>
      <x:c r="G17" s="26"/>
      <x:c r="H17" s="26"/>
      <x:c r="I17" s="26"/>
      <x:c r="J17" s="26"/>
    </x:row>
    <x:row r="18">
      <x:c r="A18" s="656" t="str">
        <x:v>APPROVED WEATHER TOOL RUN RECORD</x:v>
      </x:c>
      <x:c r="B18" s="549"/>
      <x:c r="C18" s="26"/>
      <x:c r="D18" s="549" t="str">
        <x:v>WEATHER / TENDER RECONCILIATION</x:v>
      </x:c>
      <x:c r="E18" s="549"/>
      <x:c r="F18" s="549"/>
      <x:c r="G18" s="549"/>
      <x:c r="H18" s="549"/>
      <x:c r="I18" s="26"/>
      <x:c r="J18" s="26"/>
    </x:row>
    <x:row r="19">
      <x:c r="A19" s="26" t="str">
        <x:v>Approved tool version</x:v>
      </x:c>
      <x:c r="B19" s="26" t="str">
        <x:v>NZ_Weather_Risk_Estimating_Tool_Rev2.xlsx</x:v>
      </x:c>
      <x:c r="C19" s="26"/>
      <x:c r="D19" s="26" t="str">
        <x:v>Current exposed-cost difference vs tool run</x:v>
      </x:c>
      <x:c r="E19" s="550" t="n">
        <x:f>B12-B23</x:f>
        <x:v>0</x:v>
      </x:c>
      <x:c r="F19" s="26"/>
      <x:c r="G19" s="26"/>
      <x:c r="H19" s="26"/>
      <x:c r="I19" s="26"/>
      <x:c r="J19" s="26"/>
    </x:row>
    <x:row r="20">
      <x:c r="A20" s="26" t="str">
        <x:v>Tool run station</x:v>
      </x:c>
      <x:c r="B20" s="558"/>
      <x:c r="C20" s="26"/>
      <x:c r="D20" s="26" t="str">
        <x:v>Current start vs tool run</x:v>
      </x:c>
      <x:c r="E20" s="550" t="n">
        <x:f>B7-B21</x:f>
        <x:v>0</x:v>
      </x:c>
      <x:c r="F20" s="26"/>
      <x:c r="G20" s="26"/>
      <x:c r="H20" s="26"/>
      <x:c r="I20" s="26"/>
      <x:c r="J20" s="26"/>
    </x:row>
    <x:row r="21">
      <x:c r="A21" s="26" t="str">
        <x:v>Tool run start date</x:v>
      </x:c>
      <x:c r="B21" s="552"/>
      <x:c r="C21" s="26"/>
      <x:c r="D21" s="26" t="str">
        <x:v>Current baseline WD vs tool run</x:v>
      </x:c>
      <x:c r="E21" s="550" t="n">
        <x:f>B8-B22</x:f>
        <x:v>0</x:v>
      </x:c>
      <x:c r="F21" s="26"/>
      <x:c r="G21" s="26"/>
      <x:c r="H21" s="26"/>
      <x:c r="I21" s="26"/>
      <x:c r="J21" s="26"/>
    </x:row>
    <x:row r="22">
      <x:c r="A22" s="26" t="str">
        <x:v>Tool run baseline working days</x:v>
      </x:c>
      <x:c r="B22" s="558"/>
      <x:c r="C22" s="26"/>
      <x:c r="D22" s="26" t="str">
        <x:v>Weather Risk -&gt; Commercial Inputs CA10</x:v>
      </x:c>
      <x:c r="E22" s="550" t="n">
        <x:f>'Commercial Inputs'!$E$14-B40</x:f>
        <x:v>0</x:v>
      </x:c>
      <x:c r="F22" s="26"/>
      <x:c r="G22" s="26"/>
      <x:c r="H22" s="26"/>
      <x:c r="I22" s="26"/>
      <x:c r="J22" s="26"/>
    </x:row>
    <x:row r="23">
      <x:c r="A23" s="26" t="str">
        <x:v>Tool run exposed labour + plant cost</x:v>
      </x:c>
      <x:c r="B23" s="557"/>
      <x:c r="C23" s="26"/>
      <x:c r="D23" s="26" t="str">
        <x:v>Selected wind status</x:v>
      </x:c>
      <x:c r="E23" s="26" t="str">
        <x:f>IF(B29="Yes","AMBER - included","AMBER - sensitivity only / excluded")</x:f>
        <x:v>AMBER - sensitivity only / excluded</x:v>
      </x:c>
      <x:c r="F23" s="26"/>
      <x:c r="G23" s="26"/>
      <x:c r="H23" s="26"/>
      <x:c r="I23" s="26"/>
      <x:c r="J23" s="26"/>
    </x:row>
    <x:row r="24">
      <x:c r="A24" s="26" t="str">
        <x:v>Rain / wet-ground direct productivity output</x:v>
      </x:c>
      <x:c r="B24" s="557"/>
      <x:c r="C24" s="26"/>
      <x:c r="D24" s="26"/>
      <x:c r="E24" s="26"/>
      <x:c r="F24" s="26"/>
      <x:c r="G24" s="26"/>
      <x:c r="H24" s="26"/>
      <x:c r="I24" s="26"/>
      <x:c r="J24" s="26"/>
    </x:row>
    <x:row r="25">
      <x:c r="A25" s="26" t="str">
        <x:v>Direct productivity impact rate</x:v>
      </x:c>
      <x:c r="B25" s="559" t="n">
        <x:f>IFERROR(B24/B23,0)</x:f>
        <x:v>0</x:v>
      </x:c>
      <x:c r="C25" s="26"/>
      <x:c r="D25" s="26"/>
      <x:c r="E25" s="26"/>
      <x:c r="F25" s="26"/>
      <x:c r="G25" s="26"/>
      <x:c r="H25" s="26"/>
      <x:c r="I25" s="26"/>
      <x:c r="J25" s="26"/>
    </x:row>
    <x:row r="26">
      <x:c r="A26" s="26" t="str">
        <x:v>Critical-path weather delay working days</x:v>
      </x:c>
      <x:c r="B26" s="560"/>
      <x:c r="C26" s="26"/>
      <x:c r="D26" s="26"/>
      <x:c r="E26" s="26"/>
      <x:c r="F26" s="26"/>
      <x:c r="G26" s="26"/>
      <x:c r="H26" s="26"/>
      <x:c r="I26" s="26"/>
      <x:c r="J26" s="26"/>
    </x:row>
    <x:row r="27">
      <x:c r="A27" s="26" t="str">
        <x:v>Additional billed hire weeks</x:v>
      </x:c>
      <x:c r="B27" s="560"/>
      <x:c r="C27" s="26"/>
      <x:c r="D27" s="26"/>
      <x:c r="E27" s="26"/>
      <x:c r="F27" s="26"/>
      <x:c r="G27" s="26"/>
      <x:c r="H27" s="26"/>
      <x:c r="I27" s="26"/>
      <x:c r="J27" s="26"/>
    </x:row>
    <x:row r="28">
      <x:c r="A28" s="26" t="str">
        <x:v>Wind proxy sensitivity - additional cost</x:v>
      </x:c>
      <x:c r="B28" s="557"/>
      <x:c r="C28" s="26"/>
      <x:c r="D28" s="26"/>
      <x:c r="E28" s="26"/>
      <x:c r="F28" s="26"/>
      <x:c r="G28" s="26"/>
      <x:c r="H28" s="26"/>
      <x:c r="I28" s="26"/>
      <x:c r="J28" s="26"/>
    </x:row>
    <x:row r="29">
      <x:c r="A29" s="26" t="str">
        <x:v>Include AMBER wind proxy?</x:v>
      </x:c>
      <x:c r="B29" s="558" t="str">
        <x:v>No</x:v>
      </x:c>
      <x:c r="C29" s="26"/>
      <x:c r="D29" s="26"/>
      <x:c r="E29" s="26"/>
      <x:c r="F29" s="26"/>
      <x:c r="G29" s="26"/>
      <x:c r="H29" s="26"/>
      <x:c r="I29" s="26"/>
      <x:c r="J29" s="26"/>
    </x:row>
    <x:row r="30">
      <x:c r="A30" s="26" t="str">
        <x:v>Tool output confidence</x:v>
      </x:c>
      <x:c r="B30" s="661" t="str">
        <x:v>RED - approved weather tool run not loaded</x:v>
      </x:c>
      <x:c r="C30" s="26"/>
      <x:c r="D30" s="26"/>
      <x:c r="E30" s="26"/>
      <x:c r="F30" s="26"/>
      <x:c r="G30" s="26"/>
      <x:c r="H30" s="26"/>
      <x:c r="I30" s="26"/>
      <x:c r="J30" s="26"/>
    </x:row>
    <x:row r="31">
      <x:c r="A31" s="26" t="str">
        <x:v>Tool rerun status</x:v>
      </x:c>
      <x:c r="B31" s="609" t="str">
        <x:f>IF(OR(B20="",B21="",B22="",B23="",B24=""),"RERUN WEATHER TOOL",IF(OR(B6&lt;&gt;B20,B7&lt;&gt;B21,B8&lt;&gt;B22,ABS(B12-B23)/MAX(1,B23)&gt;1%),"RERUN WEATHER TOOL","CURRENT - within 1% exposed-cost tolerance"))</x:f>
        <x:v>RERUN WEATHER TOOL</x:v>
      </x:c>
      <x:c r="C31" s="26"/>
      <x:c r="D31" s="26"/>
      <x:c r="E31" s="26"/>
      <x:c r="F31" s="26"/>
      <x:c r="G31" s="26"/>
      <x:c r="H31" s="26"/>
      <x:c r="I31" s="26"/>
      <x:c r="J31" s="26"/>
    </x:row>
    <x:row r="32">
      <x:c r="A32" s="26"/>
      <x:c r="B32" s="26"/>
      <x:c r="C32" s="26"/>
      <x:c r="D32" s="26"/>
      <x:c r="E32" s="26"/>
      <x:c r="F32" s="26"/>
      <x:c r="G32" s="26"/>
      <x:c r="H32" s="26"/>
      <x:c r="I32" s="26"/>
      <x:c r="J32" s="26"/>
    </x:row>
    <x:row r="33">
      <x:c r="A33" s="656" t="str">
        <x:v>LIVE WEATHER COST INTEGRATION</x:v>
      </x:c>
      <x:c r="B33" s="549"/>
      <x:c r="C33" s="26"/>
      <x:c r="D33" s="26"/>
      <x:c r="E33" s="26"/>
      <x:c r="F33" s="26"/>
      <x:c r="G33" s="26"/>
      <x:c r="H33" s="26"/>
      <x:c r="I33" s="26"/>
      <x:c r="J33" s="26"/>
    </x:row>
    <x:row r="34">
      <x:c r="A34" s="26" t="str">
        <x:v>Direct productivity allowance - resource linked</x:v>
      </x:c>
      <x:c r="B34" s="556" t="n">
        <x:f>IFERROR(B24*(B12/B23),0)</x:f>
        <x:v>0</x:v>
      </x:c>
      <x:c r="C34" s="26"/>
      <x:c r="D34" s="26"/>
      <x:c r="E34" s="26"/>
      <x:c r="F34" s="26"/>
      <x:c r="G34" s="26"/>
      <x:c r="H34" s="26"/>
      <x:c r="I34" s="26"/>
      <x:c r="J34" s="26"/>
    </x:row>
    <x:row r="35">
      <x:c r="A35" s="26" t="str">
        <x:v>Critical-path time-related preliminaries</x:v>
      </x:c>
      <x:c r="B35" s="556" t="n">
        <x:f>B26*B13</x:f>
        <x:v>0</x:v>
      </x:c>
      <x:c r="C35" s="26"/>
      <x:c r="D35" s="26"/>
      <x:c r="E35" s="26"/>
      <x:c r="F35" s="26"/>
      <x:c r="G35" s="26"/>
      <x:c r="H35" s="26"/>
      <x:c r="I35" s="26"/>
      <x:c r="J35" s="26"/>
    </x:row>
    <x:row r="36">
      <x:c r="A36" s="26" t="str">
        <x:v>Additional billed hire / facilities</x:v>
      </x:c>
      <x:c r="B36" s="556" t="n">
        <x:f>B27*B14</x:f>
        <x:v>0</x:v>
      </x:c>
      <x:c r="C36" s="26"/>
      <x:c r="D36" s="26"/>
      <x:c r="E36" s="26"/>
      <x:c r="F36" s="26"/>
      <x:c r="G36" s="26"/>
      <x:c r="H36" s="26"/>
      <x:c r="I36" s="26"/>
      <x:c r="J36" s="26"/>
    </x:row>
    <x:row r="37">
      <x:c r="A37" s="26" t="str">
        <x:v>Project recovery / remediation</x:v>
      </x:c>
      <x:c r="B37" s="556" t="n">
        <x:f>B16</x:f>
        <x:v>0</x:v>
      </x:c>
      <x:c r="C37" s="26"/>
      <x:c r="D37" s="26"/>
      <x:c r="E37" s="26"/>
      <x:c r="F37" s="26"/>
      <x:c r="G37" s="26"/>
      <x:c r="H37" s="26"/>
      <x:c r="I37" s="26"/>
      <x:c r="J37" s="26"/>
    </x:row>
    <x:row r="38">
      <x:c r="A38" s="26" t="str">
        <x:v>Rain + wet-ground allowance</x:v>
      </x:c>
      <x:c r="B38" s="556" t="n">
        <x:f>SUM(B34:B37)</x:f>
        <x:v>0</x:v>
      </x:c>
      <x:c r="C38" s="26"/>
      <x:c r="D38" s="26"/>
      <x:c r="E38" s="26"/>
      <x:c r="F38" s="26"/>
      <x:c r="G38" s="26"/>
      <x:c r="H38" s="26"/>
      <x:c r="I38" s="26"/>
      <x:c r="J38" s="26"/>
    </x:row>
    <x:row r="39">
      <x:c r="A39" s="26" t="str">
        <x:v>AMBER wind proxy sensitivity</x:v>
      </x:c>
      <x:c r="B39" s="556" t="n">
        <x:f>B28</x:f>
        <x:v>0</x:v>
      </x:c>
      <x:c r="C39" s="26"/>
      <x:c r="D39" s="26"/>
      <x:c r="E39" s="26"/>
      <x:c r="F39" s="26"/>
      <x:c r="G39" s="26"/>
      <x:c r="H39" s="26"/>
      <x:c r="I39" s="26"/>
      <x:c r="J39" s="26"/>
    </x:row>
    <x:row r="40">
      <x:c r="A40" s="609" t="str">
        <x:v>SELECTED WEATHER ALLOWANCE -&gt; Commercial Inputs CA10</x:v>
      </x:c>
      <x:c r="B40" s="562" t="n">
        <x:f>B38+IF(B29="Yes",B39,0)</x:f>
        <x:v>0</x:v>
      </x:c>
      <x:c r="C40" s="26"/>
      <x:c r="D40" s="26"/>
      <x:c r="E40" s="26"/>
      <x:c r="F40" s="26"/>
      <x:c r="G40" s="26"/>
      <x:c r="H40" s="26"/>
      <x:c r="I40" s="26"/>
      <x:c r="J40" s="26"/>
    </x:row>
    <x:row r="41">
      <x:c r="A41" s="26" t="str">
        <x:v>Selected weather as % of base direct cost</x:v>
      </x:c>
      <x:c r="B41" s="559" t="n">
        <x:f>IFERROR(B40/'Tender Build-Up'!$B$20,0)</x:f>
        <x:v>0</x:v>
      </x:c>
      <x:c r="C41" s="26"/>
      <x:c r="D41" s="26"/>
      <x:c r="E41" s="26"/>
      <x:c r="F41" s="26"/>
      <x:c r="G41" s="26"/>
      <x:c r="H41" s="26"/>
      <x:c r="I41" s="26"/>
      <x:c r="J41" s="26"/>
    </x:row>
    <x:row r="42">
      <x:c r="A42" s="26" t="str">
        <x:v>Previous approved weather allowance (optional)</x:v>
      </x:c>
      <x:c r="B42" s="556" t="n">
        <x:v>0</x:v>
      </x:c>
      <x:c r="C42" s="26"/>
      <x:c r="D42" s="26"/>
      <x:c r="E42" s="26"/>
      <x:c r="F42" s="26"/>
      <x:c r="G42" s="26"/>
      <x:c r="H42" s="26"/>
      <x:c r="I42" s="26"/>
      <x:c r="J42" s="26"/>
    </x:row>
    <x:row r="43">
      <x:c r="A43" s="26" t="str">
        <x:v>Weather allowance delta vs previous approved</x:v>
      </x:c>
      <x:c r="B43" s="556" t="n">
        <x:f>B40-B42</x:f>
        <x:v>0</x:v>
      </x:c>
      <x:c r="C43" s="26"/>
      <x:c r="D43" s="26"/>
      <x:c r="E43" s="26"/>
      <x:c r="F43" s="26"/>
      <x:c r="G43" s="26"/>
      <x:c r="H43" s="26"/>
      <x:c r="I43" s="26"/>
      <x:c r="J43" s="26"/>
    </x:row>
    <x:row r="44">
      <x:c r="A44" s="26" t="str">
        <x:v>Previous approved tender total excl. GST (optional)</x:v>
      </x:c>
      <x:c r="B44" s="556" t="n">
        <x:v>0</x:v>
      </x:c>
      <x:c r="C44" s="26"/>
      <x:c r="D44" s="26"/>
      <x:c r="E44" s="26"/>
      <x:c r="F44" s="26"/>
      <x:c r="G44" s="26"/>
      <x:c r="H44" s="26"/>
      <x:c r="I44" s="26"/>
      <x:c r="J44" s="26"/>
    </x:row>
    <x:row r="45">
      <x:c r="A45" s="26" t="str">
        <x:v>Current tender total excl. GST</x:v>
      </x:c>
      <x:c r="B45" s="556" t="n">
        <x:f>'Tender Build-Up'!$B$47</x:f>
        <x:v>0</x:v>
      </x:c>
      <x:c r="C45" s="26"/>
      <x:c r="D45" s="26"/>
      <x:c r="E45" s="26"/>
      <x:c r="F45" s="26"/>
      <x:c r="G45" s="26"/>
      <x:c r="H45" s="26"/>
      <x:c r="I45" s="26"/>
      <x:c r="J45" s="26"/>
    </x:row>
    <x:row r="46">
      <x:c r="A46" s="26" t="str">
        <x:v>Tender delta vs previous approved</x:v>
      </x:c>
      <x:c r="B46" s="556" t="n">
        <x:f>B45-B44</x:f>
        <x:v>0</x:v>
      </x:c>
      <x:c r="C46" s="26"/>
      <x:c r="D46" s="26"/>
      <x:c r="E46" s="26"/>
      <x:c r="F46" s="26"/>
      <x:c r="G46" s="26"/>
      <x:c r="H46" s="26"/>
      <x:c r="I46" s="26"/>
      <x:c r="J46" s="26"/>
    </x:row>
    <x:row r="47">
      <x:c r="A47" s="26" t="str">
        <x:v>Weather-adjusted completion incl. entered non-working dates</x:v>
      </x:c>
      <x:c r="B47" s="555" t="str">
        <x:f>IF(OR(B11="",B26=""),"",WORKDAY(B11,ROUNDUP(B26,0),$F$55:$F$70))</x:f>
      </x:c>
      <x:c r="C47" s="26"/>
      <x:c r="D47" s="26"/>
      <x:c r="E47" s="26"/>
      <x:c r="F47" s="26"/>
      <x:c r="G47" s="26"/>
      <x:c r="H47" s="26"/>
      <x:c r="I47" s="26"/>
      <x:c r="J47" s="26"/>
    </x:row>
    <x:row r="48">
      <x:c r="A48" s="26" t="str">
        <x:v>Elapsed calendar days from assumed start</x:v>
      </x:c>
      <x:c r="B48" s="553" t="str">
        <x:f>IF(OR(B47="",B7=""),"",B47-B7+1)</x:f>
      </x:c>
      <x:c r="C48" s="26"/>
      <x:c r="D48" s="26"/>
      <x:c r="E48" s="26"/>
      <x:c r="F48" s="26"/>
      <x:c r="G48" s="26"/>
      <x:c r="H48" s="26"/>
      <x:c r="I48" s="26"/>
      <x:c r="J48" s="26"/>
    </x:row>
    <x:row r="49">
      <x:c r="A49" s="26"/>
      <x:c r="B49" s="26"/>
      <x:c r="C49" s="26"/>
      <x:c r="D49" s="26"/>
      <x:c r="E49" s="26"/>
      <x:c r="F49" s="26"/>
      <x:c r="G49" s="26"/>
      <x:c r="H49" s="26"/>
      <x:c r="I49" s="26"/>
      <x:c r="J49" s="26"/>
    </x:row>
    <x:row r="50">
      <x:c r="A50" s="26"/>
      <x:c r="B50" s="26"/>
      <x:c r="C50" s="26"/>
      <x:c r="D50" s="26"/>
      <x:c r="E50" s="26"/>
      <x:c r="F50" s="26"/>
      <x:c r="G50" s="26"/>
      <x:c r="H50" s="26"/>
      <x:c r="I50" s="26"/>
      <x:c r="J50" s="26"/>
    </x:row>
    <x:row r="51">
      <x:c r="A51" s="26"/>
      <x:c r="B51" s="26"/>
      <x:c r="C51" s="26"/>
      <x:c r="D51" s="26"/>
      <x:c r="E51" s="26"/>
      <x:c r="F51" s="26"/>
      <x:c r="G51" s="26"/>
      <x:c r="H51" s="26"/>
      <x:c r="I51" s="26"/>
      <x:c r="J51" s="26"/>
    </x:row>
    <x:row r="52">
      <x:c r="A52" s="26"/>
      <x:c r="B52" s="26"/>
      <x:c r="C52" s="26"/>
      <x:c r="D52" s="26"/>
      <x:c r="E52" s="26"/>
      <x:c r="F52" s="26"/>
      <x:c r="G52" s="26"/>
      <x:c r="H52" s="26"/>
      <x:c r="I52" s="26"/>
      <x:c r="J52" s="26"/>
    </x:row>
    <x:row r="53">
      <x:c r="A53" s="26"/>
      <x:c r="B53" s="26"/>
      <x:c r="C53" s="26"/>
      <x:c r="D53" s="26"/>
      <x:c r="E53" s="26"/>
      <x:c r="F53" s="549" t="str">
        <x:v>NON-WORKING DATE REGISTER - affects calendar span, not weather probability</x:v>
      </x:c>
      <x:c r="G53" s="549"/>
      <x:c r="H53" s="549"/>
      <x:c r="I53" s="26"/>
      <x:c r="J53" s="549" t="str">
        <x:v>Weather Task Type - approved Rev2 library</x:v>
      </x:c>
    </x:row>
    <x:row r="54">
      <x:c r="A54" s="26"/>
      <x:c r="B54" s="26"/>
      <x:c r="C54" s="26"/>
      <x:c r="D54" s="26"/>
      <x:c r="E54" s="26"/>
      <x:c r="F54" s="563" t="str">
        <x:v>Non-working date</x:v>
      </x:c>
      <x:c r="G54" s="563" t="str">
        <x:v>Type / reason</x:v>
      </x:c>
      <x:c r="H54" s="563" t="str">
        <x:v>Evidence / note</x:v>
      </x:c>
      <x:c r="I54" s="26"/>
      <x:c r="J54" s="520" t="str">
        <x:v>Erosion &amp; sediment controls</x:v>
      </x:c>
    </x:row>
    <x:row r="55">
      <x:c r="A55" s="26"/>
      <x:c r="B55" s="26"/>
      <x:c r="C55" s="26"/>
      <x:c r="D55" s="26"/>
      <x:c r="E55" s="26"/>
      <x:c r="F55" s="555"/>
      <x:c r="G55" s="26" t="str">
        <x:v>Project non-working date / shutdown - enter if applicable</x:v>
      </x:c>
      <x:c r="H55" s="26" t="str">
        <x:v>Estimator / contract calendar evidence</x:v>
      </x:c>
      <x:c r="I55" s="26"/>
      <x:c r="J55" s="520" t="str">
        <x:v>Bulk earthworks</x:v>
      </x:c>
    </x:row>
    <x:row r="56">
      <x:c r="A56" s="26"/>
      <x:c r="B56" s="26"/>
      <x:c r="C56" s="26"/>
      <x:c r="D56" s="26"/>
      <x:c r="E56" s="26"/>
      <x:c r="F56" s="555"/>
      <x:c r="G56" s="26"/>
      <x:c r="H56" s="26"/>
      <x:c r="I56" s="26"/>
      <x:c r="J56" s="520" t="str">
        <x:v>Detailed earthworks / trim subgrade</x:v>
      </x:c>
    </x:row>
    <x:row r="57">
      <x:c r="A57" s="26"/>
      <x:c r="B57" s="26"/>
      <x:c r="C57" s="26"/>
      <x:c r="D57" s="26"/>
      <x:c r="E57" s="26"/>
      <x:c r="F57" s="555"/>
      <x:c r="G57" s="26"/>
      <x:c r="H57" s="26"/>
      <x:c r="I57" s="26"/>
      <x:c r="J57" s="520" t="str">
        <x:v>Cut to fill / cartage</x:v>
      </x:c>
    </x:row>
    <x:row r="58">
      <x:c r="A58" s="26"/>
      <x:c r="B58" s="26"/>
      <x:c r="C58" s="26"/>
      <x:c r="D58" s="26"/>
      <x:c r="E58" s="26"/>
      <x:c r="F58" s="555"/>
      <x:c r="G58" s="26"/>
      <x:c r="H58" s="26"/>
      <x:c r="I58" s="26"/>
      <x:c r="J58" s="520" t="str">
        <x:v>Building platform / pad prep</x:v>
      </x:c>
    </x:row>
    <x:row r="59">
      <x:c r="A59" s="26"/>
      <x:c r="B59" s="26"/>
      <x:c r="C59" s="26"/>
      <x:c r="D59" s="26"/>
      <x:c r="E59" s="26"/>
      <x:c r="F59" s="555"/>
      <x:c r="G59" s="26"/>
      <x:c r="H59" s="26"/>
      <x:c r="I59" s="26"/>
      <x:c r="J59" s="520" t="str">
        <x:v>Drainage trenching</x:v>
      </x:c>
    </x:row>
    <x:row r="60">
      <x:c r="A60" s="26"/>
      <x:c r="B60" s="26"/>
      <x:c r="C60" s="26"/>
      <x:c r="D60" s="26"/>
      <x:c r="E60" s="26"/>
      <x:c r="F60" s="555"/>
      <x:c r="G60" s="26"/>
      <x:c r="H60" s="26"/>
      <x:c r="I60" s="26"/>
      <x:c r="J60" s="520" t="str">
        <x:v>Manholes / chambers</x:v>
      </x:c>
    </x:row>
    <x:row r="61">
      <x:c r="A61" s="26"/>
      <x:c r="B61" s="26"/>
      <x:c r="C61" s="26"/>
      <x:c r="D61" s="26"/>
      <x:c r="E61" s="26"/>
      <x:c r="F61" s="555"/>
      <x:c r="G61" s="26"/>
      <x:c r="H61" s="26"/>
      <x:c r="I61" s="26"/>
      <x:c r="J61" s="520" t="str">
        <x:v>Service trenches / ducting</x:v>
      </x:c>
    </x:row>
    <x:row r="62">
      <x:c r="A62" s="26"/>
      <x:c r="B62" s="26"/>
      <x:c r="C62" s="26"/>
      <x:c r="D62" s="26"/>
      <x:c r="E62" s="26"/>
      <x:c r="F62" s="552"/>
      <x:c r="G62" s="558"/>
      <x:c r="H62" s="558"/>
      <x:c r="I62" s="26"/>
      <x:c r="J62" s="520" t="str">
        <x:v>Retaining wall excavation</x:v>
      </x:c>
    </x:row>
    <x:row r="63">
      <x:c r="A63" s="26"/>
      <x:c r="B63" s="26"/>
      <x:c r="C63" s="26"/>
      <x:c r="D63" s="26"/>
      <x:c r="E63" s="26"/>
      <x:c r="F63" s="552"/>
      <x:c r="G63" s="558"/>
      <x:c r="H63" s="558"/>
      <x:c r="I63" s="26"/>
      <x:c r="J63" s="520" t="str">
        <x:v>Retaining wall installation</x:v>
      </x:c>
    </x:row>
    <x:row r="64">
      <x:c r="A64" s="26"/>
      <x:c r="B64" s="26"/>
      <x:c r="C64" s="26"/>
      <x:c r="D64" s="26"/>
      <x:c r="E64" s="26"/>
      <x:c r="F64" s="552"/>
      <x:c r="G64" s="558"/>
      <x:c r="H64" s="558"/>
      <x:c r="I64" s="26"/>
      <x:c r="J64" s="520" t="str">
        <x:v>External concrete placing</x:v>
      </x:c>
    </x:row>
    <x:row r="65">
      <x:c r="A65" s="26"/>
      <x:c r="B65" s="26"/>
      <x:c r="C65" s="26"/>
      <x:c r="D65" s="26"/>
      <x:c r="E65" s="26"/>
      <x:c r="F65" s="552"/>
      <x:c r="G65" s="558"/>
      <x:c r="H65" s="558"/>
      <x:c r="I65" s="26"/>
      <x:c r="J65" s="520" t="str">
        <x:v>External concrete finishing</x:v>
      </x:c>
    </x:row>
    <x:row r="66">
      <x:c r="A66" s="26"/>
      <x:c r="B66" s="26"/>
      <x:c r="C66" s="26"/>
      <x:c r="D66" s="26"/>
      <x:c r="E66" s="26"/>
      <x:c r="F66" s="552"/>
      <x:c r="G66" s="558"/>
      <x:c r="H66" s="558"/>
      <x:c r="I66" s="26"/>
      <x:c r="J66" s="520" t="str">
        <x:v>Kerb &amp; channel</x:v>
      </x:c>
    </x:row>
    <x:row r="67">
      <x:c r="A67" s="26"/>
      <x:c r="B67" s="26"/>
      <x:c r="C67" s="26"/>
      <x:c r="D67" s="26"/>
      <x:c r="E67" s="26"/>
      <x:c r="F67" s="552"/>
      <x:c r="G67" s="558"/>
      <x:c r="H67" s="558"/>
      <x:c r="I67" s="26"/>
      <x:c r="J67" s="520" t="str">
        <x:v>Subbase / pavement prep</x:v>
      </x:c>
    </x:row>
    <x:row r="68">
      <x:c r="A68" s="26"/>
      <x:c r="B68" s="26"/>
      <x:c r="C68" s="26"/>
      <x:c r="D68" s="26"/>
      <x:c r="E68" s="26"/>
      <x:c r="F68" s="552"/>
      <x:c r="G68" s="558"/>
      <x:c r="H68" s="558"/>
      <x:c r="I68" s="26"/>
      <x:c r="J68" s="520" t="str">
        <x:v>Asphalt / sealing</x:v>
      </x:c>
    </x:row>
    <x:row r="69">
      <x:c r="A69" s="26"/>
      <x:c r="B69" s="26"/>
      <x:c r="C69" s="26"/>
      <x:c r="D69" s="26"/>
      <x:c r="E69" s="26"/>
      <x:c r="F69" s="552"/>
      <x:c r="G69" s="558"/>
      <x:c r="H69" s="558"/>
      <x:c r="I69" s="26"/>
      <x:c r="J69" s="520" t="str">
        <x:v>Landscaping / topsoil / grassing</x:v>
      </x:c>
    </x:row>
    <x:row r="70">
      <x:c r="A70" s="26"/>
      <x:c r="B70" s="26"/>
      <x:c r="C70" s="26"/>
      <x:c r="D70" s="26"/>
      <x:c r="E70" s="26"/>
      <x:c r="F70" s="552"/>
      <x:c r="G70" s="558"/>
      <x:c r="H70" s="558"/>
      <x:c r="I70" s="26"/>
      <x:c r="J70" s="520" t="str">
        <x:v>Site establishment / temp fencing</x:v>
      </x:c>
    </x:row>
    <x:row r="71">
      <x:c r="A71" s="26"/>
      <x:c r="B71" s="26"/>
      <x:c r="C71" s="26"/>
      <x:c r="D71" s="26"/>
      <x:c r="E71" s="26"/>
      <x:c r="F71" s="26"/>
      <x:c r="G71" s="26"/>
      <x:c r="H71" s="26"/>
      <x:c r="I71" s="26"/>
      <x:c r="J71" s="520" t="str">
        <x:v>External painting / coatings</x:v>
      </x:c>
    </x:row>
    <x:row r="72">
      <x:c r="A72" s="26"/>
      <x:c r="B72" s="26"/>
      <x:c r="C72" s="26"/>
      <x:c r="D72" s="26"/>
      <x:c r="E72" s="26"/>
      <x:c r="F72" s="26"/>
      <x:c r="G72" s="26"/>
      <x:c r="H72" s="26"/>
      <x:c r="I72" s="26"/>
      <x:c r="J72" s="26"/>
    </x:row>
    <x:row r="73">
      <x:c r="A73" s="26"/>
      <x:c r="B73" s="26"/>
      <x:c r="C73" s="26"/>
      <x:c r="D73" s="26"/>
      <x:c r="E73" s="26"/>
      <x:c r="F73" s="26"/>
      <x:c r="G73" s="26"/>
      <x:c r="H73" s="26"/>
      <x:c r="I73" s="26"/>
      <x:c r="J73" s="26"/>
    </x:row>
    <x:row r="74">
      <x:c r="A74" s="26"/>
      <x:c r="B74" s="26"/>
      <x:c r="C74" s="26"/>
      <x:c r="D74" s="26"/>
      <x:c r="E74" s="26"/>
      <x:c r="F74" s="26"/>
      <x:c r="G74" s="26"/>
      <x:c r="H74" s="26"/>
      <x:c r="I74" s="26"/>
      <x:c r="J74" s="26"/>
    </x:row>
    <x:row r="75">
      <x:c r="A75" s="26"/>
      <x:c r="B75" s="26"/>
      <x:c r="C75" s="26"/>
      <x:c r="D75" s="26"/>
      <x:c r="E75" s="26"/>
      <x:c r="F75" s="26"/>
      <x:c r="G75" s="26"/>
      <x:c r="H75" s="26"/>
      <x:c r="I75" s="26"/>
      <x:c r="J75" s="26"/>
    </x:row>
    <x:row r="76">
      <x:c r="A76" s="26"/>
      <x:c r="B76" s="26"/>
      <x:c r="C76" s="26"/>
      <x:c r="D76" s="26"/>
      <x:c r="E76" s="26"/>
      <x:c r="F76" s="26"/>
      <x:c r="G76" s="26"/>
      <x:c r="H76" s="26"/>
      <x:c r="I76" s="26"/>
      <x:c r="J76" s="26"/>
    </x:row>
    <x:row r="77">
      <x:c r="A77" s="26"/>
      <x:c r="B77" s="26"/>
      <x:c r="C77" s="26"/>
      <x:c r="D77" s="26"/>
      <x:c r="E77" s="26"/>
      <x:c r="F77" s="26"/>
      <x:c r="G77" s="26"/>
      <x:c r="H77" s="26"/>
      <x:c r="I77" s="26"/>
      <x:c r="J77" s="26"/>
    </x:row>
    <x:row r="78">
      <x:c r="A78" s="26"/>
      <x:c r="B78" s="26"/>
      <x:c r="C78" s="26"/>
      <x:c r="D78" s="26"/>
      <x:c r="E78" s="26"/>
      <x:c r="F78" s="26"/>
      <x:c r="G78" s="26"/>
      <x:c r="H78" s="26"/>
      <x:c r="I78" s="26"/>
      <x:c r="J78" s="26"/>
    </x:row>
    <x:row r="79">
      <x:c r="A79" s="26"/>
      <x:c r="B79" s="26"/>
      <x:c r="C79" s="26"/>
      <x:c r="D79" s="26"/>
      <x:c r="E79" s="26"/>
      <x:c r="F79" s="26"/>
      <x:c r="G79" s="26"/>
      <x:c r="H79" s="26"/>
      <x:c r="I79" s="26"/>
      <x:c r="J79" s="26"/>
    </x:row>
    <x:row r="80">
      <x:c r="A80" s="26"/>
      <x:c r="B80" s="26"/>
      <x:c r="C80" s="26"/>
      <x:c r="D80" s="26"/>
      <x:c r="E80" s="26"/>
      <x:c r="F80" s="26"/>
      <x:c r="G80" s="26"/>
      <x:c r="H80" s="26"/>
      <x:c r="I80" s="26"/>
      <x:c r="J80" s="26"/>
    </x:row>
    <x:row r="81">
      <x:c r="A81" s="26"/>
      <x:c r="B81" s="26"/>
      <x:c r="C81" s="26"/>
      <x:c r="D81" s="26"/>
      <x:c r="E81" s="26"/>
      <x:c r="F81" s="26"/>
      <x:c r="G81" s="26"/>
      <x:c r="H81" s="26"/>
      <x:c r="I81" s="26"/>
      <x:c r="J81" s="26"/>
    </x:row>
    <x:row r="82">
      <x:c r="A82" s="26"/>
      <x:c r="B82" s="26"/>
      <x:c r="C82" s="26"/>
      <x:c r="D82" s="26"/>
      <x:c r="E82" s="26"/>
      <x:c r="F82" s="26"/>
      <x:c r="G82" s="26"/>
      <x:c r="H82" s="26"/>
      <x:c r="I82" s="26"/>
      <x:c r="J82" s="26"/>
    </x:row>
    <x:row r="83">
      <x:c r="A83" s="26"/>
      <x:c r="B83" s="26"/>
      <x:c r="C83" s="26"/>
      <x:c r="D83" s="26"/>
      <x:c r="E83" s="26"/>
      <x:c r="F83" s="26"/>
      <x:c r="G83" s="26"/>
      <x:c r="H83" s="26"/>
      <x:c r="I83" s="26"/>
      <x:c r="J83" s="26"/>
    </x:row>
    <x:row r="84">
      <x:c r="A84" s="26"/>
      <x:c r="B84" s="26"/>
      <x:c r="C84" s="26"/>
      <x:c r="D84" s="26"/>
      <x:c r="E84" s="26"/>
      <x:c r="F84" s="26"/>
      <x:c r="G84" s="26"/>
      <x:c r="H84" s="26"/>
      <x:c r="I84" s="26"/>
      <x:c r="J84" s="26"/>
    </x:row>
    <x:row r="85">
      <x:c r="A85" s="26"/>
      <x:c r="B85" s="26"/>
      <x:c r="C85" s="26"/>
      <x:c r="D85" s="26"/>
      <x:c r="E85" s="26"/>
      <x:c r="F85" s="26"/>
      <x:c r="G85" s="26"/>
      <x:c r="H85" s="26"/>
      <x:c r="I85" s="26"/>
      <x:c r="J85" s="26"/>
    </x:row>
    <x:row r="86">
      <x:c r="A86" s="26"/>
      <x:c r="B86" s="26"/>
      <x:c r="C86" s="26"/>
      <x:c r="D86" s="26"/>
      <x:c r="E86" s="26"/>
      <x:c r="F86" s="26"/>
      <x:c r="G86" s="26"/>
      <x:c r="H86" s="26"/>
      <x:c r="I86" s="26"/>
      <x:c r="J86" s="26"/>
    </x:row>
    <x:row r="87">
      <x:c r="A87" s="26"/>
      <x:c r="B87" s="26"/>
      <x:c r="C87" s="26"/>
      <x:c r="D87" s="26"/>
      <x:c r="E87" s="26"/>
      <x:c r="F87" s="26"/>
      <x:c r="G87" s="26"/>
      <x:c r="H87" s="26"/>
      <x:c r="I87" s="26"/>
      <x:c r="J87" s="26"/>
    </x:row>
    <x:row r="88">
      <x:c r="A88" s="26"/>
      <x:c r="B88" s="26"/>
      <x:c r="C88" s="26"/>
      <x:c r="D88" s="26"/>
      <x:c r="E88" s="26"/>
      <x:c r="F88" s="26"/>
      <x:c r="G88" s="26"/>
      <x:c r="H88" s="26"/>
      <x:c r="I88" s="26"/>
      <x:c r="J88" s="26"/>
    </x:row>
    <x:row r="89">
      <x:c r="A89" s="26"/>
      <x:c r="B89" s="26"/>
      <x:c r="C89" s="26"/>
      <x:c r="D89" s="26"/>
      <x:c r="E89" s="26"/>
      <x:c r="F89" s="26"/>
      <x:c r="G89" s="26"/>
      <x:c r="H89" s="26"/>
      <x:c r="I89" s="26"/>
      <x:c r="J89" s="26"/>
    </x:row>
    <x:row r="90">
      <x:c r="A90" s="26"/>
      <x:c r="B90" s="26"/>
      <x:c r="C90" s="26"/>
      <x:c r="D90" s="26"/>
      <x:c r="E90" s="26"/>
      <x:c r="F90" s="26"/>
      <x:c r="G90" s="26"/>
      <x:c r="H90" s="26"/>
      <x:c r="I90" s="26"/>
      <x:c r="J90" s="26"/>
    </x:row>
  </x:sheetData>
  <x:mergeCells>
    <x:mergeCell ref="A1:H1"/>
    <x:mergeCell ref="A2:H2"/>
    <x:mergeCell ref="A4:B4"/>
    <x:mergeCell ref="A18:B18"/>
    <x:mergeCell ref="A33:B33"/>
    <x:mergeCell ref="D4:H4"/>
    <x:mergeCell ref="E15:H15"/>
    <x:mergeCell ref="E16:H16"/>
    <x:mergeCell ref="D18:H18"/>
    <x:mergeCell ref="F53:H53"/>
    <x:mergeCell ref="E5:H5"/>
    <x:mergeCell ref="E6:H6"/>
    <x:mergeCell ref="E7:H7"/>
    <x:mergeCell ref="E8:H8"/>
    <x:mergeCell ref="E9:H9"/>
    <x:mergeCell ref="E10:H10"/>
    <x:mergeCell ref="E11:H11"/>
    <x:mergeCell ref="E12:H12"/>
    <x:mergeCell ref="E13:H13"/>
  </x:mergeCells>
  <x:dataValidations count="1">
    <x:dataValidation type="list" sqref="B29">
      <x:formula1>"Yes,No"</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4" max="4" width="14" hidden="0" customWidth="1"/>
    <x:col min="5" max="5" width="68" hidden="0" customWidth="1"/>
    <x:col min="6" max="6" width="18" hidden="0" customWidth="1"/>
    <x:col min="7" max="7" width="34" hidden="0" customWidth="1"/>
    <x:col min="1" max="1" width="29" hidden="0" customWidth="1"/>
    <x:col min="2" max="2" width="52" hidden="0" customWidth="1"/>
    <x:col min="3" max="3" width="48" hidden="0" customWidth="1"/>
    <x:col min="8" max="8" width="18" hidden="0" customWidth="1"/>
    <x:col min="9" max="9" width="31" hidden="0" customWidth="1"/>
    <x:col min="10" max="10" width="18" hidden="0" customWidth="1"/>
    <x:col min="11" max="11" width="14" hidden="0" customWidth="1"/>
    <x:col min="12" max="12" width="17" hidden="0" customWidth="1"/>
    <x:col min="13" max="13" width="12" hidden="0" customWidth="1"/>
    <x:col min="14" max="14" width="18" hidden="0" customWidth="1"/>
    <x:col min="15" max="15" width="18" hidden="0" customWidth="1"/>
    <x:col min="16" max="16" width="18" hidden="0" customWidth="1"/>
    <x:col min="17" max="17" width="15" hidden="0" customWidth="1"/>
    <x:col min="18" max="18" width="18" hidden="0" customWidth="1"/>
    <x:col min="19" max="19" width="17" hidden="0" customWidth="1"/>
    <x:col min="20" max="20" width="18" hidden="0" customWidth="1"/>
    <x:col min="21" max="21" width="24" hidden="0" customWidth="1"/>
    <x:col min="22" max="22" width="25" hidden="0" customWidth="1"/>
    <x:col min="23" max="23" width="14" hidden="0" customWidth="1"/>
    <x:col min="24" max="24" width="24" hidden="0" customWidth="1"/>
    <x:col min="25" max="25" width="18" hidden="0" customWidth="1"/>
    <x:col min="26" max="26" width="14" hidden="0" customWidth="1"/>
    <x:col min="27" max="27" width="58" hidden="0" customWidth="1"/>
    <x:col min="28" max="28" width="48" hidden="0" customWidth="1"/>
    <x:col min="29" max="29" width="42" hidden="0" customWidth="1"/>
  </x:cols>
  <x:sheetData>
    <x:row r="1" ht="28" customHeight="1">
      <x:c r="A1" s="671" t="str">
        <x:v>RISK TRUTH ENGINE - MASTER ESTIMATE WORKBOOK REV4</x:v>
      </x:c>
      <x:c r="B1" s="671"/>
      <x:c r="C1" s="671"/>
      <x:c r="D1" s="671"/>
      <x:c r="E1" s="671"/>
      <x:c r="F1" s="671"/>
      <x:c r="G1" s="671"/>
      <x:c r="H1" s="671"/>
      <x:c r="I1" s="671"/>
      <x:c r="J1" s="671"/>
      <x:c r="K1" s="671"/>
      <x:c r="L1" s="671"/>
      <x:c r="M1" s="671"/>
      <x:c r="N1" s="671"/>
      <x:c r="O1" s="671"/>
      <x:c r="P1" s="671"/>
      <x:c r="Q1" s="671"/>
      <x:c r="R1" s="671"/>
      <x:c r="S1" s="671"/>
      <x:c r="T1" s="671"/>
      <x:c r="U1" s="671"/>
      <x:c r="V1" s="671"/>
      <x:c r="W1" s="671"/>
      <x:c r="X1" s="671"/>
      <x:c r="Y1" s="671"/>
      <x:c r="Z1" s="671"/>
      <x:c r="AA1" s="671"/>
      <x:c r="AB1" s="671"/>
      <x:c r="AC1" s="671"/>
    </x:row>
    <x:row r="2" ht="36" customHeight="1">
      <x:c r="A2" s="674" t="str">
        <x:v>Permanent risk-control and reconciliation module. Record tender baseline before residual exposure. Quantifiable physical consequences return to Resource Build-Up / QS Takeoff; specialist engines remain separate. CA01/CA02 receive residual cross-cutting provisions only and are never default project-value percentages.</x:v>
      </x:c>
      <x:c r="B2" s="674"/>
      <x:c r="C2" s="674"/>
      <x:c r="D2" s="674"/>
      <x:c r="E2" s="674"/>
      <x:c r="F2" s="674"/>
      <x:c r="G2" s="674"/>
      <x:c r="H2" s="674"/>
      <x:c r="I2" s="674"/>
      <x:c r="J2" s="674"/>
      <x:c r="K2" s="674"/>
      <x:c r="L2" s="674"/>
      <x:c r="M2" s="674"/>
      <x:c r="N2" s="674"/>
      <x:c r="O2" s="674"/>
      <x:c r="P2" s="674"/>
      <x:c r="Q2" s="674"/>
      <x:c r="R2" s="674"/>
      <x:c r="S2" s="674"/>
      <x:c r="T2" s="674"/>
      <x:c r="U2" s="674"/>
      <x:c r="V2" s="674"/>
      <x:c r="W2" s="674"/>
      <x:c r="X2" s="674"/>
      <x:c r="Y2" s="674"/>
      <x:c r="Z2" s="674"/>
      <x:c r="AA2" s="674"/>
      <x:c r="AB2" s="674"/>
      <x:c r="AC2" s="674"/>
    </x:row>
    <x:row r="4">
      <x:c r="A4" s="678" t="str">
        <x:v>RISK TRUTH / RELEASE CONTROL</x:v>
      </x:c>
      <x:c r="B4" s="678" t="str">
        <x:v>Value / Status</x:v>
      </x:c>
      <x:c r="D4" s="678" t="str">
        <x:v>INTEGRATION RULES</x:v>
      </x:c>
      <x:c r="E4" s="678"/>
      <x:c r="F4" s="678"/>
      <x:c r="G4" s="678"/>
      <x:c r="I4" s="719" t="str">
        <x:v>RISK TRUTH COMMERCIAL RECALC</x:v>
      </x:c>
      <x:c r="J4" s="719" t="str">
        <x:v>Value</x:v>
      </x:c>
    </x:row>
    <x:row r="5">
      <x:c r="A5" s="681" t="str">
        <x:v>Previous approved tender total (optional)</x:v>
      </x:c>
      <x:c r="B5" s="596" t="n">
        <x:v>0</x:v>
      </x:c>
      <x:c r="D5" s="681" t="str">
        <x:v>1</x:v>
      </x:c>
      <x:c r="E5" s="27" t="str">
        <x:v>Likelihood / impact prioritise management; they never create dollars automatically.</x:v>
      </x:c>
      <x:c r="I5" s="722" t="str">
        <x:v>Subtotal before commercial adjustments</x:v>
      </x:c>
      <x:c r="J5" s="487" t="n">
        <x:f>'Tender Build-Up'!$B$40</x:f>
        <x:v>0</x:v>
      </x:c>
    </x:row>
    <x:row r="6">
      <x:c r="A6" s="681" t="str">
        <x:v>Current live tender total</x:v>
      </x:c>
      <x:c r="B6" s="682" t="n">
        <x:f>'Tender Build-Up'!$B$47</x:f>
        <x:v>0</x:v>
      </x:c>
      <x:c r="D6" s="681" t="str">
        <x:v>2</x:v>
      </x:c>
      <x:c r="E6" s="27" t="str">
        <x:v>Every exposure identifies where the risk is already treated before any residual is considered.</x:v>
      </x:c>
      <x:c r="I6" s="722" t="str">
        <x:v>CA17 overhead</x:v>
      </x:c>
      <x:c r="J6" s="487" t="n">
        <x:f>IF('Commercial Inputs'!$F$21&lt;&gt;"Yes",0,IF('Commercial Inputs'!$C$21="Markup %",J5*N('Commercial Inputs'!$D$21),IF('Commercial Inputs'!$C$21="Fixed Amount",N('Commercial Inputs'!$E$21),0)))</x:f>
        <x:v>0</x:v>
      </x:c>
    </x:row>
    <x:row r="7">
      <x:c r="A7" s="681" t="str">
        <x:v>Previous approved CA01 (optional)</x:v>
      </x:c>
      <x:c r="B7" s="682" t="n">
        <x:v>0</x:v>
      </x:c>
      <x:c r="D7" s="681" t="str">
        <x:v>3</x:v>
      </x:c>
      <x:c r="E7" s="27" t="str">
        <x:v>Quantifiable physical work returns to Resource Build-Up / QS Takeoff.</x:v>
      </x:c>
      <x:c r="I7" s="722" t="str">
        <x:v>CA19 bonds</x:v>
      </x:c>
      <x:c r="J7" s="487" t="n">
        <x:f>IF('Commercial Inputs'!$F$23&lt;&gt;"Yes",0,IF('Commercial Inputs'!$C$23="%",J5*N('Commercial Inputs'!$D$23),IF('Commercial Inputs'!$C$23="PC Sum",N('Commercial Inputs'!$E$23),0)))</x:f>
        <x:v>0</x:v>
      </x:c>
    </x:row>
    <x:row r="8">
      <x:c r="A8" s="681" t="str">
        <x:v>Previous approved CA02 (optional)</x:v>
      </x:c>
      <x:c r="B8" s="682" t="n">
        <x:v>0</x:v>
      </x:c>
      <x:c r="D8" s="681" t="str">
        <x:v>4</x:v>
      </x:c>
      <x:c r="E8" s="27" t="str">
        <x:v>CA01 / CA02 receive residual cross-cutting provisions only when a more direct cost location is not truthful.</x:v>
      </x:c>
      <x:c r="I8" s="722" t="str">
        <x:v>CA20 retention finance</x:v>
      </x:c>
      <x:c r="J8" s="487" t="n">
        <x:f>IF('Commercial Inputs'!$F$24&lt;&gt;"Yes",0,IF('Commercial Inputs'!$C$24="%",J5*N('Commercial Inputs'!$D$24),IF('Commercial Inputs'!$C$24="PC Sum",N('Commercial Inputs'!$E$24),0)))</x:f>
        <x:v>0</x:v>
      </x:c>
    </x:row>
    <x:row r="9">
      <x:c r="A9" s="681" t="str">
        <x:v>Risk Truth CA01 design/scope residual total</x:v>
      </x:c>
      <x:c r="B9" s="682" t="n">
        <x:f>SUMIFS($T$41:$T$61,$R$41:$R$61,"CA01",$S$41:$S$61,"Yes")</x:f>
        <x:v>0</x:v>
      </x:c>
      <x:c r="D9" s="681" t="str">
        <x:v>5</x:v>
      </x:c>
      <x:c r="E9" s="27" t="str">
        <x:v>Weather remains Weather Risk -&gt; CA10. Dewatering remains CA09 unless separately changed.</x:v>
      </x:c>
      <x:c r="I9" s="722" t="str">
        <x:v>CA18 profit</x:v>
      </x:c>
      <x:c r="J9" s="487" t="n">
        <x:f>IF('Commercial Inputs'!$F$22&lt;&gt;"Yes",0,IF('Commercial Inputs'!$C$22="Margin %",(J5+J6+J7+J8)/(1-N('Commercial Inputs'!$D$22))-(J5+J6+J7+J8),IF('Commercial Inputs'!$C$22="Markup %",(J5+J6+J7+J8)*N('Commercial Inputs'!$D$22),IF('Commercial Inputs'!$C$22="Fixed Amount",N('Commercial Inputs'!$E$22),0))))</x:f>
        <x:v>0</x:v>
      </x:c>
    </x:row>
    <x:row r="10">
      <x:c r="A10" s="681" t="str">
        <x:v>Risk Truth CA02 construction/execution residual total</x:v>
      </x:c>
      <x:c r="B10" s="682" t="n">
        <x:f>SUMIFS($T$41:$T$61,$R$41:$R$61,"CA02",$S$41:$S$61,"Yes")</x:f>
        <x:v>0</x:v>
      </x:c>
      <x:c r="D10" s="681" t="str">
        <x:v>6</x:v>
      </x:c>
      <x:c r="E10" s="27" t="str">
        <x:v>Any RED exposure, unproven duplicate or incomplete programme dependency blocks final release.</x:v>
      </x:c>
      <x:c r="I10" s="722" t="str">
        <x:v>Recalculated tender total</x:v>
      </x:c>
      <x:c r="J10" s="487" t="n">
        <x:f>SUM(J5:J9)</x:f>
        <x:v>0</x:v>
      </x:c>
    </x:row>
    <x:row r="11">
      <x:c r="A11" s="681" t="str">
        <x:v>Risk Truth recalculated tender total</x:v>
      </x:c>
      <x:c r="B11" s="682" t="n">
        <x:f>$J$10</x:f>
        <x:v>0</x:v>
      </x:c>
      <x:c r="D11" s="681" t="str">
        <x:v>7</x:v>
      </x:c>
      <x:c r="E11" s="27" t="str">
        <x:v>One cost can have several contributing risks, but only one PRIMARY cost-treatment owner.</x:v>
      </x:c>
    </x:row>
    <x:row r="12">
      <x:c r="A12" s="681" t="str">
        <x:v>Live CA01 feed -&gt; Commercial Inputs</x:v>
      </x:c>
      <x:c r="B12" s="682" t="n">
        <x:f>$B$9</x:f>
        <x:v>0</x:v>
      </x:c>
      <x:c r="D12" s="681" t="str">
        <x:v>8</x:v>
      </x:c>
      <x:c r="E12" s="27" t="str">
        <x:v>Actual outcomes are retained later for estimate-v-actual calibration; historic tender assumptions are not overwritten.</x:v>
      </x:c>
    </x:row>
    <x:row r="13">
      <x:c r="A13" s="681" t="str">
        <x:v>Live CA02 feed -&gt; Commercial Inputs</x:v>
      </x:c>
      <x:c r="B13" s="682" t="n">
        <x:f>$B$10</x:f>
        <x:v>0</x:v>
      </x:c>
    </x:row>
    <x:row r="14">
      <x:c r="A14" s="681" t="str">
        <x:v>Current Risk Truth residual total</x:v>
      </x:c>
      <x:c r="B14" s="682" t="n">
        <x:f>$B$9+$B$10</x:f>
        <x:v>0</x:v>
      </x:c>
      <x:c r="D14" s="678"/>
      <x:c r="E14" s="678"/>
      <x:c r="F14" s="678"/>
      <x:c r="G14" s="678"/>
    </x:row>
    <x:row r="15">
      <x:c r="A15" s="681" t="str">
        <x:v>Risk Truth release gate</x:v>
      </x:c>
      <x:c r="B15" s="683" t="str">
        <x:f>IF(OR(B16&gt;0,B17&gt;0,B18&lt;&gt;"OK",LEFT(B19,3)="RED"),"HOLD - RED ITEMS / INTEGRATION CHECK","PASS")</x:f>
        <x:v>HOLD - RED ITEMS / INTEGRATION CHECK</x:v>
      </x:c>
      <x:c r="D15" s="27"/>
      <x:c r="E15" s="682"/>
      <x:c r="F15" s="27"/>
      <x:c r="G15" s="27"/>
    </x:row>
    <x:row r="16">
      <x:c r="A16" s="681" t="str">
        <x:v>RED risk count</x:v>
      </x:c>
      <x:c r="B16" s="683" t="n">
        <x:f>COUNTIF($K$25:$K$36,"RED")</x:f>
        <x:v>1</x:v>
      </x:c>
      <x:c r="D16" s="27"/>
      <x:c r="E16" s="682"/>
      <x:c r="F16" s="27"/>
      <x:c r="G16" s="27"/>
    </x:row>
    <x:row r="17">
      <x:c r="A17" s="681" t="str">
        <x:v>RED exposure count</x:v>
      </x:c>
      <x:c r="B17" s="683" t="n">
        <x:f>COUNTIF($Z$41:$Z$61,"RED")</x:f>
        <x:v>1</x:v>
      </x:c>
      <x:c r="D17" s="27"/>
      <x:c r="E17" s="682"/>
      <x:c r="F17" s="27"/>
      <x:c r="G17" s="27"/>
    </x:row>
    <x:row r="18">
      <x:c r="A18" s="681" t="str">
        <x:v>Duplicate-cost gate</x:v>
      </x:c>
      <x:c r="B18" s="683" t="str">
        <x:f>IF(OR(COUNTIF($X$41:$X$61,"RED - RESIDUAL NOT DISTINCT")&gt;0,COUNTIF($X$41:$X$61,"RED - UNDECLARED OVERLAP")&gt;0),"RED","OK")</x:f>
        <x:v>OK</x:v>
      </x:c>
      <x:c r="D18" s="27"/>
      <x:c r="E18" s="682"/>
      <x:c r="F18" s="27"/>
      <x:c r="G18" s="27"/>
    </x:row>
    <x:row r="19">
      <x:c r="A19" s="681" t="str">
        <x:v>Programme dependency gate</x:v>
      </x:c>
      <x:c r="B19" s="684" t="str">
        <x:f>IF(COUNTIF('Programme Export'!$U$7:$U$77,"CHECK")&gt;0,"RED - PROGRAMME COST RECONCILIATION","OK")</x:f>
        <x:v>OK</x:v>
      </x:c>
      <x:c r="D19" s="27"/>
      <x:c r="E19" s="682"/>
      <x:c r="F19" s="27"/>
      <x:c r="G19" s="27"/>
    </x:row>
    <x:row r="20">
      <x:c r="A20" s="681" t="str">
        <x:v>Tender delta vs previous approved</x:v>
      </x:c>
      <x:c r="B20" s="682" t="str">
        <x:f>IF(B5=0,"",B6-B5)</x:f>
      </x:c>
      <x:c r="D20" s="27"/>
      <x:c r="E20" s="682"/>
      <x:c r="F20" s="27"/>
      <x:c r="G20" s="27"/>
    </x:row>
    <x:row r="21">
      <x:c r="A21" s="681" t="str">
        <x:v>Current tender equals Risk Truth recalculation?</x:v>
      </x:c>
      <x:c r="B21" s="682" t="str">
        <x:f>IF(ABS(B6-B11)&lt;0.01,"YES","NO")</x:f>
        <x:v>YES</x:v>
      </x:c>
      <x:c r="D21" s="27"/>
      <x:c r="E21" s="682"/>
      <x:c r="F21" s="27"/>
      <x:c r="G21" s="27"/>
    </x:row>
    <x:row r="22">
      <x:c r="A22" s="681" t="str">
        <x:v>Risk Truth calculation difference</x:v>
      </x:c>
      <x:c r="B22" s="682" t="n">
        <x:f>B6-B11</x:f>
        <x:v>0</x:v>
      </x:c>
      <x:c r="D22"/>
      <x:c r="E22"/>
      <x:c r="F22"/>
      <x:c r="G22"/>
    </x:row>
    <x:row r="24">
      <x:c r="A24" s="678" t="str">
        <x:v>Risk ID</x:v>
      </x:c>
      <x:c r="B24" s="678" t="str">
        <x:v>Risk Description</x:v>
      </x:c>
      <x:c r="C24" s="678" t="str">
        <x:v>Primary Class</x:v>
      </x:c>
      <x:c r="D24" s="678" t="str">
        <x:v>Likelihood</x:v>
      </x:c>
      <x:c r="E24" s="678" t="str">
        <x:v>Impact</x:v>
      </x:c>
      <x:c r="F24" s="678" t="str">
        <x:v>Rating</x:v>
      </x:c>
      <x:c r="G24" s="678" t="str">
        <x:v>Current Response</x:v>
      </x:c>
      <x:c r="H24" s="678" t="str">
        <x:v>Owner</x:v>
      </x:c>
      <x:c r="I24" s="678" t="str">
        <x:v>RFI / Action</x:v>
      </x:c>
      <x:c r="J24" s="678" t="str">
        <x:v>Tender Baseline</x:v>
      </x:c>
      <x:c r="K24" s="678" t="str">
        <x:v>Overall Status</x:v>
      </x:c>
    </x:row>
    <x:row r="25">
      <x:c r="A25" s="27"/>
      <x:c r="B25" s="27"/>
      <x:c r="C25" s="27"/>
      <x:c r="D25" s="27"/>
      <x:c r="E25" s="27"/>
      <x:c r="F25" s="27"/>
      <x:c r="G25" s="27"/>
      <x:c r="H25" s="27"/>
      <x:c r="I25" s="27"/>
      <x:c r="J25" s="27"/>
      <x:c r="K25" s="27" t="str">
        <x:f>IF(A25="","",IF(COUNTIFS($B$41:$B$61,A25,$Z$41:$Z$61,"RED")&gt;0,"RED",IF(COUNTIFS($B$41:$B$61,A25,$Z$41:$Z$61,"AMBER")&gt;0,"AMBER","GREEN")))</x:f>
      </x:c>
    </x:row>
    <x:row r="26">
      <x:c r="A26" s="27"/>
      <x:c r="B26" s="27"/>
      <x:c r="C26" s="27"/>
      <x:c r="D26" s="27"/>
      <x:c r="E26" s="27"/>
      <x:c r="F26" s="27"/>
      <x:c r="G26" s="27"/>
      <x:c r="H26" s="27"/>
      <x:c r="I26" s="27"/>
      <x:c r="J26" s="27"/>
      <x:c r="K26" s="27" t="str">
        <x:f>IF(A26="","",IF(COUNTIFS($B$41:$B$61,A26,$Z$41:$Z$61,"RED")&gt;0,"RED",IF(COUNTIFS($B$41:$B$61,A26,$Z$41:$Z$61,"AMBER")&gt;0,"AMBER","GREEN")))</x:f>
      </x:c>
    </x:row>
    <x:row r="27">
      <x:c r="A27" s="27"/>
      <x:c r="B27" s="27"/>
      <x:c r="C27" s="27"/>
      <x:c r="D27" s="27"/>
      <x:c r="E27" s="27"/>
      <x:c r="F27" s="27"/>
      <x:c r="G27" s="27"/>
      <x:c r="H27" s="27"/>
      <x:c r="I27" s="27"/>
      <x:c r="J27" s="27"/>
      <x:c r="K27" s="27" t="str">
        <x:f>IF(A27="","",IF(COUNTIFS($B$41:$B$61,A27,$Z$41:$Z$61,"RED")&gt;0,"RED",IF(COUNTIFS($B$41:$B$61,A27,$Z$41:$Z$61,"AMBER")&gt;0,"AMBER","GREEN")))</x:f>
      </x:c>
    </x:row>
    <x:row r="28">
      <x:c r="A28" s="27"/>
      <x:c r="B28" s="27"/>
      <x:c r="C28" s="27"/>
      <x:c r="D28" s="27"/>
      <x:c r="E28" s="27"/>
      <x:c r="F28" s="27"/>
      <x:c r="G28" s="27"/>
      <x:c r="H28" s="27"/>
      <x:c r="I28" s="27"/>
      <x:c r="J28" s="27"/>
      <x:c r="K28" s="27" t="str">
        <x:f>IF(A28="","",IF(COUNTIFS($B$41:$B$61,A28,$Z$41:$Z$61,"RED")&gt;0,"RED",IF(COUNTIFS($B$41:$B$61,A28,$Z$41:$Z$61,"AMBER")&gt;0,"AMBER","GREEN")))</x:f>
      </x:c>
    </x:row>
    <x:row r="29">
      <x:c r="A29" s="27"/>
      <x:c r="B29" s="27"/>
      <x:c r="C29" s="27"/>
      <x:c r="D29" s="27"/>
      <x:c r="E29" s="27"/>
      <x:c r="F29" s="27"/>
      <x:c r="G29" s="27"/>
      <x:c r="H29" s="27"/>
      <x:c r="I29" s="27"/>
      <x:c r="J29" s="27"/>
      <x:c r="K29" s="27" t="str">
        <x:f>IF(A29="","",IF(COUNTIFS($B$41:$B$61,A29,$Z$41:$Z$61,"RED")&gt;0,"RED",IF(COUNTIFS($B$41:$B$61,A29,$Z$41:$Z$61,"AMBER")&gt;0,"AMBER","GREEN")))</x:f>
      </x:c>
    </x:row>
    <x:row r="30">
      <x:c r="A30" s="27"/>
      <x:c r="B30" s="27"/>
      <x:c r="C30" s="27"/>
      <x:c r="D30" s="27"/>
      <x:c r="E30" s="27"/>
      <x:c r="F30" s="27"/>
      <x:c r="G30" s="27"/>
      <x:c r="H30" s="27"/>
      <x:c r="I30" s="27"/>
      <x:c r="J30" s="27"/>
      <x:c r="K30" s="27" t="str">
        <x:f>IF(A30="","",IF(COUNTIFS($B$41:$B$61,A30,$Z$41:$Z$61,"RED")&gt;0,"RED",IF(COUNTIFS($B$41:$B$61,A30,$Z$41:$Z$61,"AMBER")&gt;0,"AMBER","GREEN")))</x:f>
      </x:c>
    </x:row>
    <x:row r="31">
      <x:c r="A31" s="27"/>
      <x:c r="B31" s="27"/>
      <x:c r="C31" s="27"/>
      <x:c r="D31" s="27"/>
      <x:c r="E31" s="27"/>
      <x:c r="F31" s="27"/>
      <x:c r="G31" s="27"/>
      <x:c r="H31" s="27"/>
      <x:c r="I31" s="27"/>
      <x:c r="J31" s="27"/>
      <x:c r="K31" s="27" t="str">
        <x:f>IF(A31="","",IF(COUNTIFS($B$41:$B$61,A31,$Z$41:$Z$61,"RED")&gt;0,"RED",IF(COUNTIFS($B$41:$B$61,A31,$Z$41:$Z$61,"AMBER")&gt;0,"AMBER","GREEN")))</x:f>
      </x:c>
    </x:row>
    <x:row r="32">
      <x:c r="A32" s="27"/>
      <x:c r="B32" s="27"/>
      <x:c r="C32" s="27"/>
      <x:c r="D32" s="27"/>
      <x:c r="E32" s="27"/>
      <x:c r="F32" s="27"/>
      <x:c r="G32" s="27"/>
      <x:c r="H32" s="27"/>
      <x:c r="I32" s="27"/>
      <x:c r="J32" s="27"/>
      <x:c r="K32" s="27" t="str">
        <x:f>IF(A32="","",IF(COUNTIFS($B$41:$B$61,A32,$Z$41:$Z$61,"RED")&gt;0,"RED",IF(COUNTIFS($B$41:$B$61,A32,$Z$41:$Z$61,"AMBER")&gt;0,"AMBER","GREEN")))</x:f>
      </x:c>
    </x:row>
    <x:row r="33">
      <x:c r="A33" s="27"/>
      <x:c r="B33" s="27"/>
      <x:c r="C33" s="27"/>
      <x:c r="D33" s="27"/>
      <x:c r="E33" s="27"/>
      <x:c r="F33" s="27"/>
      <x:c r="G33" s="27"/>
      <x:c r="H33" s="27"/>
      <x:c r="I33" s="27"/>
      <x:c r="J33" s="27"/>
      <x:c r="K33" s="27" t="str">
        <x:f>IF(A33="","",IF(COUNTIFS($B$41:$B$61,A33,$Z$41:$Z$61,"RED")&gt;0,"RED",IF(COUNTIFS($B$41:$B$61,A33,$Z$41:$Z$61,"AMBER")&gt;0,"AMBER","GREEN")))</x:f>
      </x:c>
    </x:row>
    <x:row r="34">
      <x:c r="A34" s="27"/>
      <x:c r="B34" s="27"/>
      <x:c r="C34" s="27"/>
      <x:c r="D34" s="27"/>
      <x:c r="E34" s="27"/>
      <x:c r="F34" s="27"/>
      <x:c r="G34" s="27"/>
      <x:c r="H34" s="27"/>
      <x:c r="I34" s="27"/>
      <x:c r="J34" s="27"/>
      <x:c r="K34" s="27" t="str">
        <x:f>IF(A34="","",IF(COUNTIFS($B$41:$B$61,A34,$Z$41:$Z$61,"RED")&gt;0,"RED",IF(COUNTIFS($B$41:$B$61,A34,$Z$41:$Z$61,"AMBER")&gt;0,"AMBER","GREEN")))</x:f>
      </x:c>
    </x:row>
    <x:row r="35">
      <x:c r="A35" s="27"/>
      <x:c r="B35" s="27"/>
      <x:c r="C35" s="27"/>
      <x:c r="D35" s="27"/>
      <x:c r="E35" s="27"/>
      <x:c r="F35" s="27"/>
      <x:c r="G35" s="27"/>
      <x:c r="H35" s="27"/>
      <x:c r="I35" s="27"/>
      <x:c r="J35" s="27"/>
      <x:c r="K35" s="27" t="str">
        <x:f>IF(A35="","",IF(COUNTIFS($B$41:$B$61,A35,$Z$41:$Z$61,"RED")&gt;0,"RED",IF(COUNTIFS($B$41:$B$61,A35,$Z$41:$Z$61,"AMBER")&gt;0,"AMBER","GREEN")))</x:f>
      </x:c>
    </x:row>
    <x:row r="36">
      <x:c r="A36" s="27" t="str">
        <x:v>WX01</x:v>
      </x:c>
      <x:c r="B36" s="27" t="str">
        <x:v>Normal foreseeable weather exposure</x:v>
      </x:c>
      <x:c r="C36" s="27" t="str">
        <x:v>B - Normal foreseeable variability</x:v>
      </x:c>
      <x:c r="D36" s="27" t="str">
        <x:v>N/A</x:v>
      </x:c>
      <x:c r="E36" s="27" t="str">
        <x:v>N/A</x:v>
      </x:c>
      <x:c r="F36" s="27" t="str">
        <x:v>Modelled</x:v>
      </x:c>
      <x:c r="G36" s="27" t="str">
        <x:v>Approved Weather Risk engine -&gt; CA10; do not duplicate in CA02</x:v>
      </x:c>
      <x:c r="H36" s="27" t="str">
        <x:v>Estimator</x:v>
      </x:c>
      <x:c r="I36" s="27" t="str">
        <x:v>Weather rerun / N/A review</x:v>
      </x:c>
      <x:c r="J36" s="27" t="str">
        <x:v>CA10 linked Weather Risk</x:v>
      </x:c>
      <x:c r="K36" s="27" t="str">
        <x:f>IF(A36="","",IF(COUNTIFS($B$41:$B$61,A36,$Z$41:$Z$61,"RED")&gt;0,"RED",IF(COUNTIFS($B$41:$B$61,A36,$Z$41:$Z$61,"AMBER")&gt;0,"AMBER","GREEN")))</x:f>
        <x:v>RED</x:v>
      </x:c>
    </x:row>
    <x:row r="40" ht="50" customHeight="1">
      <x:c r="A40" s="678" t="str">
        <x:v>Exposure ID</x:v>
      </x:c>
      <x:c r="B40" s="678" t="str">
        <x:v>Risk ID</x:v>
      </x:c>
      <x:c r="C40" s="678" t="str">
        <x:v>Exposure / Cost Consequence</x:v>
      </x:c>
      <x:c r="D40" s="678" t="str">
        <x:v>Affected Driver</x:v>
      </x:c>
      <x:c r="E40" s="678" t="str">
        <x:v>Affected Cost Ref</x:v>
      </x:c>
      <x:c r="F40" s="678" t="str">
        <x:v>Existing Treatment</x:v>
      </x:c>
      <x:c r="G40" s="678" t="str">
        <x:v>Existing Baseline Amount</x:v>
      </x:c>
      <x:c r="H40" s="678" t="str">
        <x:v>Residual Exposure</x:v>
      </x:c>
      <x:c r="I40" s="678" t="str">
        <x:v>Calculation Mode</x:v>
      </x:c>
      <x:c r="J40" s="678" t="str">
        <x:v>Residual Qty</x:v>
      </x:c>
      <x:c r="K40" s="678" t="str">
        <x:v>Unit</x:v>
      </x:c>
      <x:c r="L40" s="678" t="str">
        <x:v>Unit Rate / Impact</x:v>
      </x:c>
      <x:c r="M40" s="678" t="str">
        <x:v>Probability</x:v>
      </x:c>
      <x:c r="N40" s="678" t="str">
        <x:v>Modelled Residual</x:v>
      </x:c>
      <x:c r="O40" s="678" t="str">
        <x:v>Selected Tender Provision</x:v>
      </x:c>
      <x:c r="P40" s="678" t="str">
        <x:v>Cost Treatment Owner</x:v>
      </x:c>
      <x:c r="Q40" s="678" t="str">
        <x:v>Residual Distinct?</x:v>
      </x:c>
      <x:c r="R40" s="678" t="str">
        <x:v>Integration Target</x:v>
      </x:c>
      <x:c r="S40" s="678" t="str">
        <x:v>Include New Risk Cost?</x:v>
      </x:c>
      <x:c r="T40" s="678" t="str">
        <x:v>Risk Truth Addition</x:v>
      </x:c>
      <x:c r="U40" s="678" t="str">
        <x:v>Overlap Group</x:v>
      </x:c>
      <x:c r="V40" s="678" t="str">
        <x:v>Embedded Variability / Response?</x:v>
      </x:c>
      <x:c r="W40" s="678" t="str">
        <x:v>Evidence Status</x:v>
      </x:c>
      <x:c r="X40" s="678" t="str">
        <x:v>Duplication Check</x:v>
      </x:c>
      <x:c r="Y40" s="678" t="str">
        <x:v>Integration Complete?</x:v>
      </x:c>
      <x:c r="Z40" s="678" t="str">
        <x:v>Final Status</x:v>
      </x:c>
      <x:c r="AA40" s="678" t="str">
        <x:v>Sensitivity / Basis</x:v>
      </x:c>
      <x:c r="AB40" s="678" t="str">
        <x:v>Firm-Up / Rerun Action</x:v>
      </x:c>
      <x:c r="AC40" s="678" t="str">
        <x:v>Source / Reference</x:v>
      </x:c>
    </x:row>
    <x:row r="41">
      <x:c r="A41" s="27"/>
      <x:c r="B41" s="27"/>
      <x:c r="C41" s="27"/>
      <x:c r="D41" s="27"/>
      <x:c r="E41" s="27"/>
      <x:c r="F41" s="27"/>
      <x:c r="G41" s="682"/>
      <x:c r="H41" s="27"/>
      <x:c r="I41" s="27"/>
      <x:c r="J41" s="685"/>
      <x:c r="K41" s="685"/>
      <x:c r="L41" s="682"/>
      <x:c r="M41" s="687"/>
      <x:c r="N41" s="682" t="str">
        <x:f>IF(I41="Already in Base / No Add",0,IF(I41="Unit Rate Delta",IF(OR(J41="",L41=""),"",J41*L41),IF(I41="Probability x Impact",IF(OR(M41="",L41=""),"",M41*L41),IF(I41="Fixed Allowance",O41,IF(I41="Specialist Engine",O41,IF(I41="By Others / Excluded",0,""))))))</x:f>
      </x:c>
      <x:c r="O41" s="686"/>
      <x:c r="P41" s="685"/>
      <x:c r="Q41" s="685"/>
      <x:c r="R41" s="685"/>
      <x:c r="S41" s="685"/>
      <x:c r="T41" s="682" t="n">
        <x:f>IF(S41="Yes",N(O41),0)</x:f>
        <x:v>0</x:v>
      </x:c>
      <x:c r="U41" s="27"/>
      <x:c r="V41" s="685"/>
      <x:c r="W41" s="685"/>
      <x:c r="X41" s="683" t="str">
        <x:f>IF(AND(S41="Yes",N(O41)&gt;0,Q41&lt;&gt;"Yes"),"RED - RESIDUAL NOT DISTINCT",IF(AND(COUNTIF($E$41:$E$61,E41)&gt;1,U41=""),"RED - UNDECLARED OVERLAP",IF(COUNTIF($E$41:$E$61,E41)&gt;1,"DECLARED OVERLAP","OK")))</x:f>
        <x:v>OK</x:v>
      </x:c>
      <x:c r="Y41" s="685"/>
      <x:c r="Z41" s="683" t="str">
        <x:f>IF(LEFT(X41,3)="RED","RED",IF(OR(W41="RED",I41="RFI Hold",AND(I41="Unit Rate Delta",ISBLANK(J41))),"RED",IF(OR(W41="AMBER",LEFT(V41,5)="CHECK"),"AMBER","GREEN")))</x:f>
        <x:v>GREEN</x:v>
      </x:c>
      <x:c r="AA41" s="27"/>
      <x:c r="AB41" s="27"/>
      <x:c r="AC41" s="27"/>
    </x:row>
    <x:row r="42">
      <x:c r="A42" s="27"/>
      <x:c r="B42" s="27"/>
      <x:c r="C42" s="27"/>
      <x:c r="D42" s="27"/>
      <x:c r="E42" s="27"/>
      <x:c r="F42" s="27"/>
      <x:c r="G42" s="682"/>
      <x:c r="H42" s="27"/>
      <x:c r="I42" s="27"/>
      <x:c r="J42" s="685"/>
      <x:c r="K42" s="685"/>
      <x:c r="L42" s="682"/>
      <x:c r="M42" s="687"/>
      <x:c r="N42" s="682" t="str">
        <x:f>IF(I42="Already in Base / No Add",0,IF(I42="Unit Rate Delta",IF(OR(J42="",L42=""),"",J42*L42),IF(I42="Probability x Impact",IF(OR(M42="",L42=""),"",M42*L42),IF(I42="Fixed Allowance",O42,IF(I42="Specialist Engine",O42,IF(I42="By Others / Excluded",0,""))))))</x:f>
      </x:c>
      <x:c r="O42" s="686"/>
      <x:c r="P42" s="685"/>
      <x:c r="Q42" s="685"/>
      <x:c r="R42" s="685"/>
      <x:c r="S42" s="685"/>
      <x:c r="T42" s="682" t="n">
        <x:f>IF(S42="Yes",N(O42),0)</x:f>
        <x:v>0</x:v>
      </x:c>
      <x:c r="U42" s="27"/>
      <x:c r="V42" s="685"/>
      <x:c r="W42" s="685"/>
      <x:c r="X42" s="683" t="str">
        <x:f>IF(AND(S42="Yes",N(O42)&gt;0,Q42&lt;&gt;"Yes"),"RED - RESIDUAL NOT DISTINCT",IF(AND(COUNTIF($E$41:$E$61,E42)&gt;1,U42=""),"RED - UNDECLARED OVERLAP",IF(COUNTIF($E$41:$E$61,E42)&gt;1,"DECLARED OVERLAP","OK")))</x:f>
        <x:v>OK</x:v>
      </x:c>
      <x:c r="Y42" s="685"/>
      <x:c r="Z42" s="683" t="str">
        <x:f>IF(LEFT(X42,3)="RED","RED",IF(OR(W42="RED",I42="RFI Hold",AND(I42="Unit Rate Delta",ISBLANK(J42))),"RED",IF(OR(W42="AMBER",LEFT(V42,5)="CHECK"),"AMBER","GREEN")))</x:f>
        <x:v>GREEN</x:v>
      </x:c>
      <x:c r="AA42" s="27"/>
      <x:c r="AB42" s="27"/>
      <x:c r="AC42" s="27"/>
    </x:row>
    <x:row r="43">
      <x:c r="A43" s="27"/>
      <x:c r="B43" s="27"/>
      <x:c r="C43" s="27"/>
      <x:c r="D43" s="27"/>
      <x:c r="E43" s="27"/>
      <x:c r="F43" s="27"/>
      <x:c r="G43" s="682"/>
      <x:c r="H43" s="27"/>
      <x:c r="I43" s="27"/>
      <x:c r="J43" s="685"/>
      <x:c r="K43" s="685"/>
      <x:c r="L43" s="682"/>
      <x:c r="M43" s="687"/>
      <x:c r="N43" s="682" t="str">
        <x:f>IF(I43="Already in Base / No Add",0,IF(I43="Unit Rate Delta",IF(OR(J43="",L43=""),"",J43*L43),IF(I43="Probability x Impact",IF(OR(M43="",L43=""),"",M43*L43),IF(I43="Fixed Allowance",O43,IF(I43="Specialist Engine",O43,IF(I43="By Others / Excluded",0,""))))))</x:f>
      </x:c>
      <x:c r="O43" s="686"/>
      <x:c r="P43" s="685"/>
      <x:c r="Q43" s="685"/>
      <x:c r="R43" s="685"/>
      <x:c r="S43" s="685"/>
      <x:c r="T43" s="682" t="n">
        <x:f>IF(S43="Yes",N(O43),0)</x:f>
        <x:v>0</x:v>
      </x:c>
      <x:c r="U43" s="27"/>
      <x:c r="V43" s="685"/>
      <x:c r="W43" s="685"/>
      <x:c r="X43" s="683" t="str">
        <x:f>IF(AND(S43="Yes",N(O43)&gt;0,Q43&lt;&gt;"Yes"),"RED - RESIDUAL NOT DISTINCT",IF(AND(COUNTIF($E$41:$E$61,E43)&gt;1,U43=""),"RED - UNDECLARED OVERLAP",IF(COUNTIF($E$41:$E$61,E43)&gt;1,"DECLARED OVERLAP","OK")))</x:f>
        <x:v>OK</x:v>
      </x:c>
      <x:c r="Y43" s="685"/>
      <x:c r="Z43" s="683" t="str">
        <x:f>IF(LEFT(X43,3)="RED","RED",IF(OR(W43="RED",I43="RFI Hold",AND(I43="Unit Rate Delta",ISBLANK(J43))),"RED",IF(OR(W43="AMBER",LEFT(V43,5)="CHECK"),"AMBER","GREEN")))</x:f>
        <x:v>GREEN</x:v>
      </x:c>
      <x:c r="AA43" s="27"/>
      <x:c r="AB43" s="27"/>
      <x:c r="AC43" s="27"/>
    </x:row>
    <x:row r="44">
      <x:c r="A44" s="27"/>
      <x:c r="B44" s="27"/>
      <x:c r="C44" s="27"/>
      <x:c r="D44" s="27"/>
      <x:c r="E44" s="27"/>
      <x:c r="F44" s="27"/>
      <x:c r="G44" s="682"/>
      <x:c r="H44" s="27"/>
      <x:c r="I44" s="27"/>
      <x:c r="J44" s="685"/>
      <x:c r="K44" s="685"/>
      <x:c r="L44" s="682"/>
      <x:c r="M44" s="687"/>
      <x:c r="N44" s="682" t="str">
        <x:f>IF(I44="Already in Base / No Add",0,IF(I44="Unit Rate Delta",IF(OR(J44="",L44=""),"",J44*L44),IF(I44="Probability x Impact",IF(OR(M44="",L44=""),"",M44*L44),IF(I44="Fixed Allowance",O44,IF(I44="Specialist Engine",O44,IF(I44="By Others / Excluded",0,""))))))</x:f>
      </x:c>
      <x:c r="O44" s="686"/>
      <x:c r="P44" s="685"/>
      <x:c r="Q44" s="685"/>
      <x:c r="R44" s="685"/>
      <x:c r="S44" s="685"/>
      <x:c r="T44" s="682" t="n">
        <x:f>IF(S44="Yes",N(O44),0)</x:f>
        <x:v>0</x:v>
      </x:c>
      <x:c r="U44" s="27"/>
      <x:c r="V44" s="685"/>
      <x:c r="W44" s="685"/>
      <x:c r="X44" s="683" t="str">
        <x:f>IF(AND(S44="Yes",N(O44)&gt;0,Q44&lt;&gt;"Yes"),"RED - RESIDUAL NOT DISTINCT",IF(AND(COUNTIF($E$41:$E$61,E44)&gt;1,U44=""),"RED - UNDECLARED OVERLAP",IF(COUNTIF($E$41:$E$61,E44)&gt;1,"DECLARED OVERLAP","OK")))</x:f>
        <x:v>OK</x:v>
      </x:c>
      <x:c r="Y44" s="685"/>
      <x:c r="Z44" s="683" t="str">
        <x:f>IF(LEFT(X44,3)="RED","RED",IF(OR(W44="RED",I44="RFI Hold",AND(I44="Unit Rate Delta",ISBLANK(J44))),"RED",IF(OR(W44="AMBER",LEFT(V44,5)="CHECK"),"AMBER","GREEN")))</x:f>
        <x:v>GREEN</x:v>
      </x:c>
      <x:c r="AA44" s="27"/>
      <x:c r="AB44" s="27"/>
      <x:c r="AC44" s="27"/>
    </x:row>
    <x:row r="45">
      <x:c r="A45" s="27"/>
      <x:c r="B45" s="27"/>
      <x:c r="C45" s="27"/>
      <x:c r="D45" s="27"/>
      <x:c r="E45" s="27"/>
      <x:c r="F45" s="27"/>
      <x:c r="G45" s="682"/>
      <x:c r="H45" s="27"/>
      <x:c r="I45" s="27"/>
      <x:c r="J45" s="685"/>
      <x:c r="K45" s="685"/>
      <x:c r="L45" s="682"/>
      <x:c r="M45" s="687"/>
      <x:c r="N45" s="682" t="str">
        <x:f>IF(I45="Already in Base / No Add",0,IF(I45="Unit Rate Delta",IF(OR(J45="",L45=""),"",J45*L45),IF(I45="Probability x Impact",IF(OR(M45="",L45=""),"",M45*L45),IF(I45="Fixed Allowance",O45,IF(I45="Specialist Engine",O45,IF(I45="By Others / Excluded",0,""))))))</x:f>
      </x:c>
      <x:c r="O45" s="686"/>
      <x:c r="P45" s="685"/>
      <x:c r="Q45" s="685"/>
      <x:c r="R45" s="685"/>
      <x:c r="S45" s="685"/>
      <x:c r="T45" s="682" t="n">
        <x:f>IF(S45="Yes",N(O45),0)</x:f>
        <x:v>0</x:v>
      </x:c>
      <x:c r="U45" s="27"/>
      <x:c r="V45" s="685"/>
      <x:c r="W45" s="685"/>
      <x:c r="X45" s="683" t="str">
        <x:f>IF(AND(S45="Yes",N(O45)&gt;0,Q45&lt;&gt;"Yes"),"RED - RESIDUAL NOT DISTINCT",IF(AND(COUNTIF($E$41:$E$61,E45)&gt;1,U45=""),"RED - UNDECLARED OVERLAP",IF(COUNTIF($E$41:$E$61,E45)&gt;1,"DECLARED OVERLAP","OK")))</x:f>
        <x:v>OK</x:v>
      </x:c>
      <x:c r="Y45" s="685"/>
      <x:c r="Z45" s="683" t="str">
        <x:f>IF(LEFT(X45,3)="RED","RED",IF(OR(W45="RED",I45="RFI Hold",AND(I45="Unit Rate Delta",ISBLANK(J45))),"RED",IF(OR(W45="AMBER",LEFT(V45,5)="CHECK"),"AMBER","GREEN")))</x:f>
        <x:v>GREEN</x:v>
      </x:c>
      <x:c r="AA45" s="27"/>
      <x:c r="AB45" s="27"/>
      <x:c r="AC45" s="27"/>
    </x:row>
    <x:row r="46">
      <x:c r="A46" s="27"/>
      <x:c r="B46" s="27"/>
      <x:c r="C46" s="27"/>
      <x:c r="D46" s="27"/>
      <x:c r="E46" s="27"/>
      <x:c r="F46" s="27"/>
      <x:c r="G46" s="682"/>
      <x:c r="H46" s="27"/>
      <x:c r="I46" s="27"/>
      <x:c r="J46" s="685"/>
      <x:c r="K46" s="685"/>
      <x:c r="L46" s="682"/>
      <x:c r="M46" s="687"/>
      <x:c r="N46" s="682" t="str">
        <x:f>IF(I46="Already in Base / No Add",0,IF(I46="Unit Rate Delta",IF(OR(J46="",L46=""),"",J46*L46),IF(I46="Probability x Impact",IF(OR(M46="",L46=""),"",M46*L46),IF(I46="Fixed Allowance",O46,IF(I46="Specialist Engine",O46,IF(I46="By Others / Excluded",0,""))))))</x:f>
      </x:c>
      <x:c r="O46" s="686"/>
      <x:c r="P46" s="685"/>
      <x:c r="Q46" s="685"/>
      <x:c r="R46" s="685"/>
      <x:c r="S46" s="685"/>
      <x:c r="T46" s="682" t="n">
        <x:f>IF(S46="Yes",N(O46),0)</x:f>
        <x:v>0</x:v>
      </x:c>
      <x:c r="U46" s="27"/>
      <x:c r="V46" s="685"/>
      <x:c r="W46" s="685"/>
      <x:c r="X46" s="683" t="str">
        <x:f>IF(AND(S46="Yes",N(O46)&gt;0,Q46&lt;&gt;"Yes"),"RED - RESIDUAL NOT DISTINCT",IF(AND(COUNTIF($E$41:$E$61,E46)&gt;1,U46=""),"RED - UNDECLARED OVERLAP",IF(COUNTIF($E$41:$E$61,E46)&gt;1,"DECLARED OVERLAP","OK")))</x:f>
        <x:v>OK</x:v>
      </x:c>
      <x:c r="Y46" s="685"/>
      <x:c r="Z46" s="683" t="str">
        <x:f>IF(LEFT(X46,3)="RED","RED",IF(OR(W46="RED",I46="RFI Hold",AND(I46="Unit Rate Delta",ISBLANK(J46))),"RED",IF(OR(W46="AMBER",LEFT(V46,5)="CHECK"),"AMBER","GREEN")))</x:f>
        <x:v>GREEN</x:v>
      </x:c>
      <x:c r="AA46" s="27"/>
      <x:c r="AB46" s="27"/>
      <x:c r="AC46" s="27"/>
    </x:row>
    <x:row r="47">
      <x:c r="A47" s="27"/>
      <x:c r="B47" s="27"/>
      <x:c r="C47" s="27"/>
      <x:c r="D47" s="27"/>
      <x:c r="E47" s="27"/>
      <x:c r="F47" s="27"/>
      <x:c r="G47" s="682"/>
      <x:c r="H47" s="27"/>
      <x:c r="I47" s="27"/>
      <x:c r="J47" s="685"/>
      <x:c r="K47" s="685"/>
      <x:c r="L47" s="682"/>
      <x:c r="M47" s="687"/>
      <x:c r="N47" s="682" t="str">
        <x:f>IF(I47="Already in Base / No Add",0,IF(I47="Unit Rate Delta",IF(OR(J47="",L47=""),"",J47*L47),IF(I47="Probability x Impact",IF(OR(M47="",L47=""),"",M47*L47),IF(I47="Fixed Allowance",O47,IF(I47="Specialist Engine",O47,IF(I47="By Others / Excluded",0,""))))))</x:f>
      </x:c>
      <x:c r="O47" s="686"/>
      <x:c r="P47" s="685"/>
      <x:c r="Q47" s="685"/>
      <x:c r="R47" s="685"/>
      <x:c r="S47" s="685"/>
      <x:c r="T47" s="682" t="n">
        <x:f>IF(S47="Yes",N(O47),0)</x:f>
        <x:v>0</x:v>
      </x:c>
      <x:c r="U47" s="27"/>
      <x:c r="V47" s="685"/>
      <x:c r="W47" s="685"/>
      <x:c r="X47" s="683" t="str">
        <x:f>IF(AND(S47="Yes",N(O47)&gt;0,Q47&lt;&gt;"Yes"),"RED - RESIDUAL NOT DISTINCT",IF(AND(COUNTIF($E$41:$E$61,E47)&gt;1,U47=""),"RED - UNDECLARED OVERLAP",IF(COUNTIF($E$41:$E$61,E47)&gt;1,"DECLARED OVERLAP","OK")))</x:f>
        <x:v>OK</x:v>
      </x:c>
      <x:c r="Y47" s="685"/>
      <x:c r="Z47" s="683" t="str">
        <x:f>IF(LEFT(X47,3)="RED","RED",IF(OR(W47="RED",I47="RFI Hold",AND(I47="Unit Rate Delta",ISBLANK(J47))),"RED",IF(OR(W47="AMBER",LEFT(V47,5)="CHECK"),"AMBER","GREEN")))</x:f>
        <x:v>GREEN</x:v>
      </x:c>
      <x:c r="AA47" s="27"/>
      <x:c r="AB47" s="27"/>
      <x:c r="AC47" s="27"/>
    </x:row>
    <x:row r="48">
      <x:c r="A48" s="27"/>
      <x:c r="B48" s="27"/>
      <x:c r="C48" s="27"/>
      <x:c r="D48" s="27"/>
      <x:c r="E48" s="27"/>
      <x:c r="F48" s="27"/>
      <x:c r="G48" s="682"/>
      <x:c r="H48" s="27"/>
      <x:c r="I48" s="27"/>
      <x:c r="J48" s="685"/>
      <x:c r="K48" s="685"/>
      <x:c r="L48" s="682"/>
      <x:c r="M48" s="687"/>
      <x:c r="N48" s="682" t="str">
        <x:f>IF(I48="Already in Base / No Add",0,IF(I48="Unit Rate Delta",IF(OR(J48="",L48=""),"",J48*L48),IF(I48="Probability x Impact",IF(OR(M48="",L48=""),"",M48*L48),IF(I48="Fixed Allowance",O48,IF(I48="Specialist Engine",O48,IF(I48="By Others / Excluded",0,""))))))</x:f>
      </x:c>
      <x:c r="O48" s="686"/>
      <x:c r="P48" s="685"/>
      <x:c r="Q48" s="685"/>
      <x:c r="R48" s="685"/>
      <x:c r="S48" s="685"/>
      <x:c r="T48" s="682" t="n">
        <x:f>IF(S48="Yes",N(O48),0)</x:f>
        <x:v>0</x:v>
      </x:c>
      <x:c r="U48" s="27"/>
      <x:c r="V48" s="685"/>
      <x:c r="W48" s="685"/>
      <x:c r="X48" s="683" t="str">
        <x:f>IF(AND(S48="Yes",N(O48)&gt;0,Q48&lt;&gt;"Yes"),"RED - RESIDUAL NOT DISTINCT",IF(AND(COUNTIF($E$41:$E$61,E48)&gt;1,U48=""),"RED - UNDECLARED OVERLAP",IF(COUNTIF($E$41:$E$61,E48)&gt;1,"DECLARED OVERLAP","OK")))</x:f>
        <x:v>OK</x:v>
      </x:c>
      <x:c r="Y48" s="685"/>
      <x:c r="Z48" s="683" t="str">
        <x:f>IF(LEFT(X48,3)="RED","RED",IF(OR(W48="RED",I48="RFI Hold",AND(I48="Unit Rate Delta",ISBLANK(J48))),"RED",IF(OR(W48="AMBER",LEFT(V48,5)="CHECK"),"AMBER","GREEN")))</x:f>
        <x:v>GREEN</x:v>
      </x:c>
      <x:c r="AA48" s="27"/>
      <x:c r="AB48" s="27"/>
      <x:c r="AC48" s="27"/>
    </x:row>
    <x:row r="49">
      <x:c r="A49" s="27"/>
      <x:c r="B49" s="27"/>
      <x:c r="C49" s="27"/>
      <x:c r="D49" s="27"/>
      <x:c r="E49" s="27"/>
      <x:c r="F49" s="27"/>
      <x:c r="G49" s="682"/>
      <x:c r="H49" s="27"/>
      <x:c r="I49" s="27"/>
      <x:c r="J49" s="685"/>
      <x:c r="K49" s="685"/>
      <x:c r="L49" s="682"/>
      <x:c r="M49" s="687"/>
      <x:c r="N49" s="682" t="str">
        <x:f>IF(I49="Already in Base / No Add",0,IF(I49="Unit Rate Delta",IF(OR(J49="",L49=""),"",J49*L49),IF(I49="Probability x Impact",IF(OR(M49="",L49=""),"",M49*L49),IF(I49="Fixed Allowance",O49,IF(I49="Specialist Engine",O49,IF(I49="By Others / Excluded",0,""))))))</x:f>
      </x:c>
      <x:c r="O49" s="686"/>
      <x:c r="P49" s="685"/>
      <x:c r="Q49" s="685"/>
      <x:c r="R49" s="685"/>
      <x:c r="S49" s="685"/>
      <x:c r="T49" s="682" t="n">
        <x:f>IF(S49="Yes",N(O49),0)</x:f>
        <x:v>0</x:v>
      </x:c>
      <x:c r="U49" s="27"/>
      <x:c r="V49" s="685"/>
      <x:c r="W49" s="685"/>
      <x:c r="X49" s="683" t="str">
        <x:f>IF(AND(S49="Yes",N(O49)&gt;0,Q49&lt;&gt;"Yes"),"RED - RESIDUAL NOT DISTINCT",IF(AND(COUNTIF($E$41:$E$61,E49)&gt;1,U49=""),"RED - UNDECLARED OVERLAP",IF(COUNTIF($E$41:$E$61,E49)&gt;1,"DECLARED OVERLAP","OK")))</x:f>
        <x:v>OK</x:v>
      </x:c>
      <x:c r="Y49" s="685"/>
      <x:c r="Z49" s="683" t="str">
        <x:f>IF(LEFT(X49,3)="RED","RED",IF(OR(W49="RED",I49="RFI Hold",AND(I49="Unit Rate Delta",ISBLANK(J49))),"RED",IF(OR(W49="AMBER",LEFT(V49,5)="CHECK"),"AMBER","GREEN")))</x:f>
        <x:v>GREEN</x:v>
      </x:c>
      <x:c r="AA49" s="27"/>
      <x:c r="AB49" s="27"/>
      <x:c r="AC49" s="27"/>
    </x:row>
    <x:row r="50">
      <x:c r="A50" s="27"/>
      <x:c r="B50" s="27"/>
      <x:c r="C50" s="27"/>
      <x:c r="D50" s="27"/>
      <x:c r="E50" s="27"/>
      <x:c r="F50" s="27"/>
      <x:c r="G50" s="682"/>
      <x:c r="H50" s="27"/>
      <x:c r="I50" s="27"/>
      <x:c r="J50" s="685"/>
      <x:c r="K50" s="685"/>
      <x:c r="L50" s="682"/>
      <x:c r="M50" s="687"/>
      <x:c r="N50" s="682" t="str">
        <x:f>IF(I50="Already in Base / No Add",0,IF(I50="Unit Rate Delta",IF(OR(J50="",L50=""),"",J50*L50),IF(I50="Probability x Impact",IF(OR(M50="",L50=""),"",M50*L50),IF(I50="Fixed Allowance",O50,IF(I50="Specialist Engine",O50,IF(I50="By Others / Excluded",0,""))))))</x:f>
      </x:c>
      <x:c r="O50" s="686"/>
      <x:c r="P50" s="685"/>
      <x:c r="Q50" s="685"/>
      <x:c r="R50" s="685"/>
      <x:c r="S50" s="685"/>
      <x:c r="T50" s="682" t="n">
        <x:f>IF(S50="Yes",N(O50),0)</x:f>
        <x:v>0</x:v>
      </x:c>
      <x:c r="U50" s="27"/>
      <x:c r="V50" s="685"/>
      <x:c r="W50" s="685"/>
      <x:c r="X50" s="683" t="str">
        <x:f>IF(AND(S50="Yes",N(O50)&gt;0,Q50&lt;&gt;"Yes"),"RED - RESIDUAL NOT DISTINCT",IF(AND(COUNTIF($E$41:$E$61,E50)&gt;1,U50=""),"RED - UNDECLARED OVERLAP",IF(COUNTIF($E$41:$E$61,E50)&gt;1,"DECLARED OVERLAP","OK")))</x:f>
        <x:v>OK</x:v>
      </x:c>
      <x:c r="Y50" s="685"/>
      <x:c r="Z50" s="683" t="str">
        <x:f>IF(LEFT(X50,3)="RED","RED",IF(OR(W50="RED",I50="RFI Hold",AND(I50="Unit Rate Delta",ISBLANK(J50))),"RED",IF(OR(W50="AMBER",LEFT(V50,5)="CHECK"),"AMBER","GREEN")))</x:f>
        <x:v>GREEN</x:v>
      </x:c>
      <x:c r="AA50" s="27"/>
      <x:c r="AB50" s="27"/>
      <x:c r="AC50" s="27"/>
    </x:row>
    <x:row r="51">
      <x:c r="A51" s="27"/>
      <x:c r="B51" s="27"/>
      <x:c r="C51" s="27"/>
      <x:c r="D51" s="27"/>
      <x:c r="E51" s="27"/>
      <x:c r="F51" s="27"/>
      <x:c r="G51" s="682"/>
      <x:c r="H51" s="27"/>
      <x:c r="I51" s="27"/>
      <x:c r="J51" s="685"/>
      <x:c r="K51" s="685"/>
      <x:c r="L51" s="682"/>
      <x:c r="M51" s="687"/>
      <x:c r="N51" s="682" t="str">
        <x:f>IF(I51="Already in Base / No Add",0,IF(I51="Unit Rate Delta",IF(OR(J51="",L51=""),"",J51*L51),IF(I51="Probability x Impact",IF(OR(M51="",L51=""),"",M51*L51),IF(I51="Fixed Allowance",O51,IF(I51="Specialist Engine",O51,IF(I51="By Others / Excluded",0,""))))))</x:f>
      </x:c>
      <x:c r="O51" s="686"/>
      <x:c r="P51" s="685"/>
      <x:c r="Q51" s="685"/>
      <x:c r="R51" s="685"/>
      <x:c r="S51" s="685"/>
      <x:c r="T51" s="682" t="n">
        <x:f>IF(S51="Yes",N(O51),0)</x:f>
        <x:v>0</x:v>
      </x:c>
      <x:c r="U51" s="27"/>
      <x:c r="V51" s="685"/>
      <x:c r="W51" s="685"/>
      <x:c r="X51" s="683" t="str">
        <x:f>IF(AND(S51="Yes",N(O51)&gt;0,Q51&lt;&gt;"Yes"),"RED - RESIDUAL NOT DISTINCT",IF(AND(COUNTIF($E$41:$E$61,E51)&gt;1,U51=""),"RED - UNDECLARED OVERLAP",IF(COUNTIF($E$41:$E$61,E51)&gt;1,"DECLARED OVERLAP","OK")))</x:f>
        <x:v>OK</x:v>
      </x:c>
      <x:c r="Y51" s="685"/>
      <x:c r="Z51" s="683" t="str">
        <x:f>IF(LEFT(X51,3)="RED","RED",IF(OR(W51="RED",I51="RFI Hold",AND(I51="Unit Rate Delta",ISBLANK(J51))),"RED",IF(OR(W51="AMBER",LEFT(V51,5)="CHECK"),"AMBER","GREEN")))</x:f>
        <x:v>GREEN</x:v>
      </x:c>
      <x:c r="AA51" s="27"/>
      <x:c r="AB51" s="27"/>
      <x:c r="AC51" s="27"/>
    </x:row>
    <x:row r="52">
      <x:c r="A52" s="27"/>
      <x:c r="B52" s="27"/>
      <x:c r="C52" s="27"/>
      <x:c r="D52" s="27"/>
      <x:c r="E52" s="27"/>
      <x:c r="F52" s="27"/>
      <x:c r="G52" s="682"/>
      <x:c r="H52" s="27"/>
      <x:c r="I52" s="27"/>
      <x:c r="J52" s="685"/>
      <x:c r="K52" s="685"/>
      <x:c r="L52" s="682"/>
      <x:c r="M52" s="687"/>
      <x:c r="N52" s="682" t="str">
        <x:f>IF(I52="Already in Base / No Add",0,IF(I52="Unit Rate Delta",IF(OR(J52="",L52=""),"",J52*L52),IF(I52="Probability x Impact",IF(OR(M52="",L52=""),"",M52*L52),IF(I52="Fixed Allowance",O52,IF(I52="Specialist Engine",O52,IF(I52="By Others / Excluded",0,""))))))</x:f>
      </x:c>
      <x:c r="O52" s="686"/>
      <x:c r="P52" s="685"/>
      <x:c r="Q52" s="685"/>
      <x:c r="R52" s="685"/>
      <x:c r="S52" s="685"/>
      <x:c r="T52" s="682" t="n">
        <x:f>IF(S52="Yes",N(O52),0)</x:f>
        <x:v>0</x:v>
      </x:c>
      <x:c r="U52" s="27"/>
      <x:c r="V52" s="685"/>
      <x:c r="W52" s="685"/>
      <x:c r="X52" s="683" t="str">
        <x:f>IF(AND(S52="Yes",N(O52)&gt;0,Q52&lt;&gt;"Yes"),"RED - RESIDUAL NOT DISTINCT",IF(AND(COUNTIF($E$41:$E$61,E52)&gt;1,U52=""),"RED - UNDECLARED OVERLAP",IF(COUNTIF($E$41:$E$61,E52)&gt;1,"DECLARED OVERLAP","OK")))</x:f>
        <x:v>OK</x:v>
      </x:c>
      <x:c r="Y52" s="685"/>
      <x:c r="Z52" s="683" t="str">
        <x:f>IF(LEFT(X52,3)="RED","RED",IF(OR(W52="RED",I52="RFI Hold",AND(I52="Unit Rate Delta",ISBLANK(J52))),"RED",IF(OR(W52="AMBER",LEFT(V52,5)="CHECK"),"AMBER","GREEN")))</x:f>
        <x:v>GREEN</x:v>
      </x:c>
      <x:c r="AA52" s="27"/>
      <x:c r="AB52" s="27"/>
      <x:c r="AC52" s="27"/>
    </x:row>
    <x:row r="53">
      <x:c r="A53" s="27"/>
      <x:c r="B53" s="27"/>
      <x:c r="C53" s="27"/>
      <x:c r="D53" s="27"/>
      <x:c r="E53" s="27"/>
      <x:c r="F53" s="27"/>
      <x:c r="G53" s="682"/>
      <x:c r="H53" s="27"/>
      <x:c r="I53" s="27"/>
      <x:c r="J53" s="685"/>
      <x:c r="K53" s="685"/>
      <x:c r="L53" s="682"/>
      <x:c r="M53" s="687"/>
      <x:c r="N53" s="682" t="str">
        <x:f>IF(I53="Already in Base / No Add",0,IF(I53="Unit Rate Delta",IF(OR(J53="",L53=""),"",J53*L53),IF(I53="Probability x Impact",IF(OR(M53="",L53=""),"",M53*L53),IF(I53="Fixed Allowance",O53,IF(I53="Specialist Engine",O53,IF(I53="By Others / Excluded",0,""))))))</x:f>
      </x:c>
      <x:c r="O53" s="686"/>
      <x:c r="P53" s="685"/>
      <x:c r="Q53" s="685"/>
      <x:c r="R53" s="685"/>
      <x:c r="S53" s="685"/>
      <x:c r="T53" s="682" t="n">
        <x:f>IF(S53="Yes",N(O53),0)</x:f>
        <x:v>0</x:v>
      </x:c>
      <x:c r="U53" s="27"/>
      <x:c r="V53" s="685"/>
      <x:c r="W53" s="685"/>
      <x:c r="X53" s="683" t="str">
        <x:f>IF(AND(S53="Yes",N(O53)&gt;0,Q53&lt;&gt;"Yes"),"RED - RESIDUAL NOT DISTINCT",IF(AND(COUNTIF($E$41:$E$61,E53)&gt;1,U53=""),"RED - UNDECLARED OVERLAP",IF(COUNTIF($E$41:$E$61,E53)&gt;1,"DECLARED OVERLAP","OK")))</x:f>
        <x:v>OK</x:v>
      </x:c>
      <x:c r="Y53" s="685"/>
      <x:c r="Z53" s="683" t="str">
        <x:f>IF(LEFT(X53,3)="RED","RED",IF(OR(W53="RED",I53="RFI Hold",AND(I53="Unit Rate Delta",ISBLANK(J53))),"RED",IF(OR(W53="AMBER",LEFT(V53,5)="CHECK"),"AMBER","GREEN")))</x:f>
        <x:v>GREEN</x:v>
      </x:c>
      <x:c r="AA53" s="27"/>
      <x:c r="AB53" s="27"/>
      <x:c r="AC53" s="27"/>
    </x:row>
    <x:row r="54">
      <x:c r="A54" s="27"/>
      <x:c r="B54" s="27"/>
      <x:c r="C54" s="27"/>
      <x:c r="D54" s="27"/>
      <x:c r="E54" s="27"/>
      <x:c r="F54" s="27"/>
      <x:c r="G54" s="682"/>
      <x:c r="H54" s="27"/>
      <x:c r="I54" s="27"/>
      <x:c r="J54" s="685"/>
      <x:c r="K54" s="685"/>
      <x:c r="L54" s="682"/>
      <x:c r="M54" s="687"/>
      <x:c r="N54" s="682" t="str">
        <x:f>IF(I54="Already in Base / No Add",0,IF(I54="Unit Rate Delta",IF(OR(J54="",L54=""),"",J54*L54),IF(I54="Probability x Impact",IF(OR(M54="",L54=""),"",M54*L54),IF(I54="Fixed Allowance",O54,IF(I54="Specialist Engine",O54,IF(I54="By Others / Excluded",0,""))))))</x:f>
      </x:c>
      <x:c r="O54" s="686"/>
      <x:c r="P54" s="685"/>
      <x:c r="Q54" s="685"/>
      <x:c r="R54" s="685"/>
      <x:c r="S54" s="685"/>
      <x:c r="T54" s="682" t="n">
        <x:f>IF(S54="Yes",N(O54),0)</x:f>
        <x:v>0</x:v>
      </x:c>
      <x:c r="U54" s="27"/>
      <x:c r="V54" s="685"/>
      <x:c r="W54" s="685"/>
      <x:c r="X54" s="683" t="str">
        <x:f>IF(AND(S54="Yes",N(O54)&gt;0,Q54&lt;&gt;"Yes"),"RED - RESIDUAL NOT DISTINCT",IF(AND(COUNTIF($E$41:$E$61,E54)&gt;1,U54=""),"RED - UNDECLARED OVERLAP",IF(COUNTIF($E$41:$E$61,E54)&gt;1,"DECLARED OVERLAP","OK")))</x:f>
        <x:v>OK</x:v>
      </x:c>
      <x:c r="Y54" s="685"/>
      <x:c r="Z54" s="683" t="str">
        <x:f>IF(LEFT(X54,3)="RED","RED",IF(OR(W54="RED",I54="RFI Hold",AND(I54="Unit Rate Delta",ISBLANK(J54))),"RED",IF(OR(W54="AMBER",LEFT(V54,5)="CHECK"),"AMBER","GREEN")))</x:f>
        <x:v>GREEN</x:v>
      </x:c>
      <x:c r="AA54" s="27"/>
      <x:c r="AB54" s="27"/>
      <x:c r="AC54" s="27"/>
    </x:row>
    <x:row r="55">
      <x:c r="A55" s="27"/>
      <x:c r="B55" s="27"/>
      <x:c r="C55" s="27"/>
      <x:c r="D55" s="27"/>
      <x:c r="E55" s="27"/>
      <x:c r="F55" s="27"/>
      <x:c r="G55" s="682"/>
      <x:c r="H55" s="27"/>
      <x:c r="I55" s="27"/>
      <x:c r="J55" s="685"/>
      <x:c r="K55" s="685"/>
      <x:c r="L55" s="682"/>
      <x:c r="M55" s="687"/>
      <x:c r="N55" s="682" t="str">
        <x:f>IF(I55="Already in Base / No Add",0,IF(I55="Unit Rate Delta",IF(OR(J55="",L55=""),"",J55*L55),IF(I55="Probability x Impact",IF(OR(M55="",L55=""),"",M55*L55),IF(I55="Fixed Allowance",O55,IF(I55="Specialist Engine",O55,IF(I55="By Others / Excluded",0,""))))))</x:f>
      </x:c>
      <x:c r="O55" s="686"/>
      <x:c r="P55" s="685"/>
      <x:c r="Q55" s="685"/>
      <x:c r="R55" s="685"/>
      <x:c r="S55" s="685"/>
      <x:c r="T55" s="682" t="n">
        <x:f>IF(S55="Yes",N(O55),0)</x:f>
        <x:v>0</x:v>
      </x:c>
      <x:c r="U55" s="27"/>
      <x:c r="V55" s="685"/>
      <x:c r="W55" s="685"/>
      <x:c r="X55" s="683" t="str">
        <x:f>IF(AND(S55="Yes",N(O55)&gt;0,Q55&lt;&gt;"Yes"),"RED - RESIDUAL NOT DISTINCT",IF(AND(COUNTIF($E$41:$E$61,E55)&gt;1,U55=""),"RED - UNDECLARED OVERLAP",IF(COUNTIF($E$41:$E$61,E55)&gt;1,"DECLARED OVERLAP","OK")))</x:f>
        <x:v>OK</x:v>
      </x:c>
      <x:c r="Y55" s="685"/>
      <x:c r="Z55" s="683" t="str">
        <x:f>IF(LEFT(X55,3)="RED","RED",IF(OR(W55="RED",I55="RFI Hold",AND(I55="Unit Rate Delta",ISBLANK(J55))),"RED",IF(OR(W55="AMBER",LEFT(V55,5)="CHECK"),"AMBER","GREEN")))</x:f>
        <x:v>GREEN</x:v>
      </x:c>
      <x:c r="AA55" s="27"/>
      <x:c r="AB55" s="27"/>
      <x:c r="AC55" s="27"/>
    </x:row>
    <x:row r="56">
      <x:c r="A56" s="27"/>
      <x:c r="B56" s="27"/>
      <x:c r="C56" s="27"/>
      <x:c r="D56" s="27"/>
      <x:c r="E56" s="27"/>
      <x:c r="F56" s="27"/>
      <x:c r="G56" s="682"/>
      <x:c r="H56" s="27"/>
      <x:c r="I56" s="27"/>
      <x:c r="J56" s="685"/>
      <x:c r="K56" s="685"/>
      <x:c r="L56" s="682"/>
      <x:c r="M56" s="687"/>
      <x:c r="N56" s="682" t="str">
        <x:f>IF(I56="Already in Base / No Add",0,IF(I56="Unit Rate Delta",IF(OR(J56="",L56=""),"",J56*L56),IF(I56="Probability x Impact",IF(OR(M56="",L56=""),"",M56*L56),IF(I56="Fixed Allowance",O56,IF(I56="Specialist Engine",O56,IF(I56="By Others / Excluded",0,""))))))</x:f>
      </x:c>
      <x:c r="O56" s="686"/>
      <x:c r="P56" s="685"/>
      <x:c r="Q56" s="685"/>
      <x:c r="R56" s="685"/>
      <x:c r="S56" s="685"/>
      <x:c r="T56" s="682" t="n">
        <x:f>IF(S56="Yes",N(O56),0)</x:f>
        <x:v>0</x:v>
      </x:c>
      <x:c r="U56" s="27"/>
      <x:c r="V56" s="685"/>
      <x:c r="W56" s="685"/>
      <x:c r="X56" s="683" t="str">
        <x:f>IF(AND(S56="Yes",N(O56)&gt;0,Q56&lt;&gt;"Yes"),"RED - RESIDUAL NOT DISTINCT",IF(AND(COUNTIF($E$41:$E$61,E56)&gt;1,U56=""),"RED - UNDECLARED OVERLAP",IF(COUNTIF($E$41:$E$61,E56)&gt;1,"DECLARED OVERLAP","OK")))</x:f>
        <x:v>OK</x:v>
      </x:c>
      <x:c r="Y56" s="685"/>
      <x:c r="Z56" s="683" t="str">
        <x:f>IF(LEFT(X56,3)="RED","RED",IF(OR(W56="RED",I56="RFI Hold",AND(I56="Unit Rate Delta",ISBLANK(J56))),"RED",IF(OR(W56="AMBER",LEFT(V56,5)="CHECK"),"AMBER","GREEN")))</x:f>
        <x:v>GREEN</x:v>
      </x:c>
      <x:c r="AA56" s="27"/>
      <x:c r="AB56" s="27"/>
      <x:c r="AC56" s="27"/>
    </x:row>
    <x:row r="57">
      <x:c r="A57" s="27"/>
      <x:c r="B57" s="27"/>
      <x:c r="C57" s="27"/>
      <x:c r="D57" s="27"/>
      <x:c r="E57" s="27"/>
      <x:c r="F57" s="27"/>
      <x:c r="G57" s="682"/>
      <x:c r="H57" s="27"/>
      <x:c r="I57" s="27"/>
      <x:c r="J57" s="685"/>
      <x:c r="K57" s="685"/>
      <x:c r="L57" s="682"/>
      <x:c r="M57" s="687"/>
      <x:c r="N57" s="682" t="str">
        <x:f>IF(I57="Already in Base / No Add",0,IF(I57="Unit Rate Delta",IF(OR(J57="",L57=""),"",J57*L57),IF(I57="Probability x Impact",IF(OR(M57="",L57=""),"",M57*L57),IF(I57="Fixed Allowance",O57,IF(I57="Specialist Engine",O57,IF(I57="By Others / Excluded",0,""))))))</x:f>
      </x:c>
      <x:c r="O57" s="686"/>
      <x:c r="P57" s="685"/>
      <x:c r="Q57" s="685"/>
      <x:c r="R57" s="685"/>
      <x:c r="S57" s="685"/>
      <x:c r="T57" s="682" t="n">
        <x:f>IF(S57="Yes",N(O57),0)</x:f>
        <x:v>0</x:v>
      </x:c>
      <x:c r="U57" s="27"/>
      <x:c r="V57" s="685"/>
      <x:c r="W57" s="685"/>
      <x:c r="X57" s="683" t="str">
        <x:f>IF(AND(S57="Yes",N(O57)&gt;0,Q57&lt;&gt;"Yes"),"RED - RESIDUAL NOT DISTINCT",IF(AND(COUNTIF($E$41:$E$61,E57)&gt;1,U57=""),"RED - UNDECLARED OVERLAP",IF(COUNTIF($E$41:$E$61,E57)&gt;1,"DECLARED OVERLAP","OK")))</x:f>
        <x:v>OK</x:v>
      </x:c>
      <x:c r="Y57" s="685"/>
      <x:c r="Z57" s="683" t="str">
        <x:f>IF(LEFT(X57,3)="RED","RED",IF(OR(W57="RED",I57="RFI Hold",AND(I57="Unit Rate Delta",ISBLANK(J57))),"RED",IF(OR(W57="AMBER",LEFT(V57,5)="CHECK"),"AMBER","GREEN")))</x:f>
        <x:v>GREEN</x:v>
      </x:c>
      <x:c r="AA57" s="27"/>
      <x:c r="AB57" s="27"/>
      <x:c r="AC57" s="27"/>
    </x:row>
    <x:row r="58">
      <x:c r="A58" s="27"/>
      <x:c r="B58" s="27"/>
      <x:c r="C58" s="27"/>
      <x:c r="D58" s="27"/>
      <x:c r="E58" s="27"/>
      <x:c r="F58" s="27"/>
      <x:c r="G58" s="682"/>
      <x:c r="H58" s="27"/>
      <x:c r="I58" s="27"/>
      <x:c r="J58" s="685"/>
      <x:c r="K58" s="685"/>
      <x:c r="L58" s="682"/>
      <x:c r="M58" s="687"/>
      <x:c r="N58" s="682" t="str">
        <x:f>IF(I58="Already in Base / No Add",0,IF(I58="Unit Rate Delta",IF(OR(J58="",L58=""),"",J58*L58),IF(I58="Probability x Impact",IF(OR(M58="",L58=""),"",M58*L58),IF(I58="Fixed Allowance",O58,IF(I58="Specialist Engine",O58,IF(I58="By Others / Excluded",0,""))))))</x:f>
      </x:c>
      <x:c r="O58" s="686"/>
      <x:c r="P58" s="685"/>
      <x:c r="Q58" s="685"/>
      <x:c r="R58" s="685"/>
      <x:c r="S58" s="685"/>
      <x:c r="T58" s="682" t="n">
        <x:f>IF(S58="Yes",N(O58),0)</x:f>
        <x:v>0</x:v>
      </x:c>
      <x:c r="U58" s="27"/>
      <x:c r="V58" s="685"/>
      <x:c r="W58" s="685"/>
      <x:c r="X58" s="683" t="str">
        <x:f>IF(AND(S58="Yes",N(O58)&gt;0,Q58&lt;&gt;"Yes"),"RED - RESIDUAL NOT DISTINCT",IF(AND(COUNTIF($E$41:$E$61,E58)&gt;1,U58=""),"RED - UNDECLARED OVERLAP",IF(COUNTIF($E$41:$E$61,E58)&gt;1,"DECLARED OVERLAP","OK")))</x:f>
        <x:v>OK</x:v>
      </x:c>
      <x:c r="Y58" s="685"/>
      <x:c r="Z58" s="683" t="str">
        <x:f>IF(LEFT(X58,3)="RED","RED",IF(OR(W58="RED",I58="RFI Hold",AND(I58="Unit Rate Delta",ISBLANK(J58))),"RED",IF(OR(W58="AMBER",LEFT(V58,5)="CHECK"),"AMBER","GREEN")))</x:f>
        <x:v>GREEN</x:v>
      </x:c>
      <x:c r="AA58" s="27"/>
      <x:c r="AB58" s="27"/>
      <x:c r="AC58" s="27"/>
    </x:row>
    <x:row r="59">
      <x:c r="A59" s="27"/>
      <x:c r="B59" s="27"/>
      <x:c r="C59" s="27"/>
      <x:c r="D59" s="27"/>
      <x:c r="E59" s="27"/>
      <x:c r="F59" s="27"/>
      <x:c r="G59" s="682"/>
      <x:c r="H59" s="27"/>
      <x:c r="I59" s="27"/>
      <x:c r="J59" s="685"/>
      <x:c r="K59" s="685"/>
      <x:c r="L59" s="682"/>
      <x:c r="M59" s="687"/>
      <x:c r="N59" s="682" t="str">
        <x:f>IF(I59="Already in Base / No Add",0,IF(I59="Unit Rate Delta",IF(OR(J59="",L59=""),"",J59*L59),IF(I59="Probability x Impact",IF(OR(M59="",L59=""),"",M59*L59),IF(I59="Fixed Allowance",O59,IF(I59="Specialist Engine",O59,IF(I59="By Others / Excluded",0,""))))))</x:f>
      </x:c>
      <x:c r="O59" s="686"/>
      <x:c r="P59" s="685"/>
      <x:c r="Q59" s="685"/>
      <x:c r="R59" s="685"/>
      <x:c r="S59" s="685"/>
      <x:c r="T59" s="682" t="n">
        <x:f>IF(S59="Yes",N(O59),0)</x:f>
        <x:v>0</x:v>
      </x:c>
      <x:c r="U59" s="27"/>
      <x:c r="V59" s="685"/>
      <x:c r="W59" s="685"/>
      <x:c r="X59" s="683" t="str">
        <x:f>IF(AND(S59="Yes",N(O59)&gt;0,Q59&lt;&gt;"Yes"),"RED - RESIDUAL NOT DISTINCT",IF(AND(COUNTIF($E$41:$E$61,E59)&gt;1,U59=""),"RED - UNDECLARED OVERLAP",IF(COUNTIF($E$41:$E$61,E59)&gt;1,"DECLARED OVERLAP","OK")))</x:f>
        <x:v>OK</x:v>
      </x:c>
      <x:c r="Y59" s="685"/>
      <x:c r="Z59" s="683" t="str">
        <x:f>IF(LEFT(X59,3)="RED","RED",IF(OR(W59="RED",I59="RFI Hold",AND(I59="Unit Rate Delta",ISBLANK(J59))),"RED",IF(OR(W59="AMBER",LEFT(V59,5)="CHECK"),"AMBER","GREEN")))</x:f>
        <x:v>GREEN</x:v>
      </x:c>
      <x:c r="AA59" s="27"/>
      <x:c r="AB59" s="27"/>
      <x:c r="AC59" s="27"/>
    </x:row>
    <x:row r="60">
      <x:c r="A60" s="27"/>
      <x:c r="B60" s="27"/>
      <x:c r="C60" s="27"/>
      <x:c r="D60" s="27"/>
      <x:c r="E60" s="27"/>
      <x:c r="F60" s="27"/>
      <x:c r="G60" s="682"/>
      <x:c r="H60" s="27"/>
      <x:c r="I60" s="27"/>
      <x:c r="J60" s="685"/>
      <x:c r="K60" s="685"/>
      <x:c r="L60" s="682"/>
      <x:c r="M60" s="687"/>
      <x:c r="N60" s="682" t="str">
        <x:f>IF(I60="Already in Base / No Add",0,IF(I60="Unit Rate Delta",IF(OR(J60="",L60=""),"",J60*L60),IF(I60="Probability x Impact",IF(OR(M60="",L60=""),"",M60*L60),IF(I60="Fixed Allowance",O60,IF(I60="Specialist Engine",O60,IF(I60="By Others / Excluded",0,""))))))</x:f>
      </x:c>
      <x:c r="O60" s="686"/>
      <x:c r="P60" s="685"/>
      <x:c r="Q60" s="685"/>
      <x:c r="R60" s="685"/>
      <x:c r="S60" s="685"/>
      <x:c r="T60" s="682" t="n">
        <x:f>IF(S60="Yes",N(O60),0)</x:f>
        <x:v>0</x:v>
      </x:c>
      <x:c r="U60" s="27"/>
      <x:c r="V60" s="685"/>
      <x:c r="W60" s="685"/>
      <x:c r="X60" s="683" t="str">
        <x:f>IF(AND(S60="Yes",N(O60)&gt;0,Q60&lt;&gt;"Yes"),"RED - RESIDUAL NOT DISTINCT",IF(AND(COUNTIF($E$41:$E$61,E60)&gt;1,U60=""),"RED - UNDECLARED OVERLAP",IF(COUNTIF($E$41:$E$61,E60)&gt;1,"DECLARED OVERLAP","OK")))</x:f>
        <x:v>OK</x:v>
      </x:c>
      <x:c r="Y60" s="685"/>
      <x:c r="Z60" s="683" t="str">
        <x:f>IF(LEFT(X60,3)="RED","RED",IF(OR(W60="RED",I60="RFI Hold",AND(I60="Unit Rate Delta",ISBLANK(J60))),"RED",IF(OR(W60="AMBER",LEFT(V60,5)="CHECK"),"AMBER","GREEN")))</x:f>
        <x:v>GREEN</x:v>
      </x:c>
      <x:c r="AA60" s="27"/>
      <x:c r="AB60" s="27"/>
      <x:c r="AC60" s="27"/>
    </x:row>
    <x:row r="61">
      <x:c r="A61" s="27" t="str">
        <x:v>WX01-001</x:v>
      </x:c>
      <x:c r="B61" s="27" t="str">
        <x:v>WX01</x:v>
      </x:c>
      <x:c r="C61" s="27" t="str">
        <x:v>Normal foreseeable weather productivity / critical-path exposure</x:v>
      </x:c>
      <x:c r="D61" s="27" t="str">
        <x:v>Productivity / Duration</x:v>
      </x:c>
      <x:c r="E61" s="27" t="str">
        <x:v>CA10</x:v>
      </x:c>
      <x:c r="F61" s="27" t="str">
        <x:v>Specialist Weather Engine</x:v>
      </x:c>
      <x:c r="G61" s="682" t="n">
        <x:f>'Weather Risk'!$B$40</x:f>
        <x:v>0</x:v>
      </x:c>
      <x:c r="H61" s="27" t="str">
        <x:v>Weather model must be current or documented N/A</x:v>
      </x:c>
      <x:c r="I61" s="27" t="str">
        <x:v>Specialist Engine</x:v>
      </x:c>
      <x:c r="J61" s="685"/>
      <x:c r="K61" s="685" t="str">
        <x:v>LS</x:v>
      </x:c>
      <x:c r="L61" s="682"/>
      <x:c r="M61" s="687"/>
      <x:c r="N61" s="682" t="n">
        <x:f>IF(I61="Already in Base / No Add",0,IF(I61="Unit Rate Delta",IF(OR(J61="",L61=""),"",J61*L61),IF(I61="Probability x Impact",IF(OR(M61="",L61=""),"",M61*L61),IF(I61="Fixed Allowance",O61,IF(I61="Specialist Engine",O61,IF(I61="By Others / Excluded",0,""))))))</x:f>
        <x:v>0</x:v>
      </x:c>
      <x:c r="O61" s="686" t="n">
        <x:f>'Weather Risk'!$B$40</x:f>
        <x:v>0</x:v>
      </x:c>
      <x:c r="P61" s="685" t="str">
        <x:v>Primary</x:v>
      </x:c>
      <x:c r="Q61" s="685" t="str">
        <x:v>N/A</x:v>
      </x:c>
      <x:c r="R61" s="685" t="str">
        <x:v>CA10</x:v>
      </x:c>
      <x:c r="S61" s="685" t="str">
        <x:v>No</x:v>
      </x:c>
      <x:c r="T61" s="682" t="n">
        <x:f>IF(S61="Yes",N(O61),0)</x:f>
        <x:v>0</x:v>
      </x:c>
      <x:c r="U61" s="27" t="str">
        <x:v>WEATHER-PROGRAMME</x:v>
      </x:c>
      <x:c r="V61" s="685" t="str">
        <x:v>No</x:v>
      </x:c>
      <x:c r="W61" s="685" t="str">
        <x:v>RED</x:v>
      </x:c>
      <x:c r="X61" s="683" t="str">
        <x:f>IF(AND(S61="Yes",N(O61)&gt;0,Q61&lt;&gt;"Yes"),"RED - RESIDUAL NOT DISTINCT",IF(AND(COUNTIF($E$41:$E$61,E61)&gt;1,U61=""),"RED - UNDECLARED OVERLAP",IF(COUNTIF($E$41:$E$61,E61)&gt;1,"DECLARED OVERLAP","OK")))</x:f>
        <x:v>OK</x:v>
      </x:c>
      <x:c r="Y61" s="685" t="str">
        <x:v>Existing</x:v>
      </x:c>
      <x:c r="Z61" s="683" t="str">
        <x:f>IF(LEFT(X61,3)="RED","RED",IF(OR(W61="RED",I61="RFI Hold",AND(I61="Unit Rate Delta",ISBLANK(J61))),"RED",IF(OR(W61="AMBER",LEFT(V61,5)="CHECK"),"AMBER","GREEN")))</x:f>
        <x:v>RED</x:v>
      </x:c>
      <x:c r="AA61" s="27" t="str">
        <x:v>Weather is modelled in the specialist engine and cannot also be included in CA02.</x:v>
      </x:c>
      <x:c r="AB61" s="27" t="str">
        <x:v>Run the approved Weather Tool or document N/A basis; then update Evidence Status after review.</x:v>
      </x:c>
      <x:c r="AC61" s="27" t="str">
        <x:v>Weather Risk / approved climate tool</x:v>
      </x:c>
    </x:row>
    <x:row r="64">
      <x:c r="A64" s="725" t="str">
        <x:v>PERMANENT MASTER RELEASE RULES</x:v>
      </x:c>
      <x:c r="B64" s="725"/>
      <x:c r="C64" s="725"/>
      <x:c r="D64" s="725"/>
      <x:c r="E64" s="725"/>
      <x:c r="F64"/>
      <x:c r="G64"/>
      <x:c r="H64"/>
      <x:c r="I64"/>
      <x:c r="J64"/>
      <x:c r="K64"/>
      <x:c r="L64"/>
      <x:c r="M64"/>
      <x:c r="N64"/>
      <x:c r="O64"/>
      <x:c r="P64"/>
      <x:c r="Q64"/>
      <x:c r="R64"/>
      <x:c r="S64"/>
      <x:c r="T64"/>
      <x:c r="U64"/>
      <x:c r="V64"/>
      <x:c r="W64"/>
      <x:c r="X64"/>
      <x:c r="Y64"/>
      <x:c r="Z64"/>
      <x:c r="AA64"/>
      <x:c r="AB64"/>
      <x:c r="AC64"/>
    </x:row>
    <x:row r="65">
      <x:c r="A65" s="27" t="str">
        <x:v>Rule 1</x:v>
      </x:c>
      <x:c r="B65" s="27" t="str">
        <x:v>Likelihood / impact prioritise management; they do not create dollars automatically.</x:v>
      </x:c>
      <x:c r="C65" s="27"/>
      <x:c r="D65" s="27"/>
      <x:c r="E65" s="27"/>
      <x:c r="F65"/>
      <x:c r="G65"/>
      <x:c r="H65"/>
      <x:c r="I65"/>
      <x:c r="J65"/>
      <x:c r="K65"/>
      <x:c r="L65"/>
      <x:c r="M65"/>
      <x:c r="N65"/>
      <x:c r="O65"/>
      <x:c r="P65"/>
      <x:c r="Q65"/>
      <x:c r="R65"/>
      <x:c r="S65"/>
      <x:c r="T65"/>
      <x:c r="U65"/>
      <x:c r="V65"/>
      <x:c r="W65"/>
      <x:c r="X65"/>
      <x:c r="Y65"/>
      <x:c r="Z65"/>
      <x:c r="AA65"/>
      <x:c r="AB65"/>
      <x:c r="AC65"/>
    </x:row>
    <x:row r="66">
      <x:c r="A66" t="str">
        <x:v>Rule 2</x:v>
      </x:c>
      <x:c r="B66" t="str">
        <x:v>Every risk exposure identifies where the risk is already treated before residual cost is considered.</x:v>
      </x:c>
      <x:c r="C66"/>
      <x:c r="D66"/>
      <x:c r="E66"/>
      <x:c r="F66"/>
      <x:c r="G66"/>
      <x:c r="H66"/>
      <x:c r="I66"/>
      <x:c r="J66"/>
      <x:c r="K66"/>
      <x:c r="L66"/>
      <x:c r="M66"/>
      <x:c r="N66"/>
      <x:c r="O66"/>
      <x:c r="P66"/>
      <x:c r="Q66"/>
      <x:c r="R66"/>
      <x:c r="S66"/>
      <x:c r="T66"/>
      <x:c r="U66"/>
      <x:c r="V66"/>
      <x:c r="W66"/>
      <x:c r="X66"/>
      <x:c r="Y66"/>
      <x:c r="Z66"/>
      <x:c r="AA66"/>
      <x:c r="AB66"/>
      <x:c r="AC66"/>
    </x:row>
    <x:row r="67">
      <x:c r="A67" s="719" t="str">
        <x:v>Rule 3</x:v>
      </x:c>
      <x:c r="B67" s="719" t="str">
        <x:v>Quantifiable physical consequences return to Resource Build-Up / QS Takeoff.</x:v>
      </x:c>
      <x:c r="C67" s="719"/>
      <x:c r="D67" s="719"/>
      <x:c r="E67" s="719"/>
      <x:c r="F67"/>
      <x:c r="G67"/>
      <x:c r="H67"/>
      <x:c r="I67"/>
      <x:c r="J67"/>
      <x:c r="K67"/>
      <x:c r="L67"/>
      <x:c r="M67"/>
      <x:c r="N67"/>
      <x:c r="O67"/>
      <x:c r="P67"/>
      <x:c r="Q67"/>
      <x:c r="R67"/>
      <x:c r="S67"/>
      <x:c r="T67"/>
      <x:c r="U67"/>
      <x:c r="V67"/>
      <x:c r="W67"/>
      <x:c r="X67"/>
      <x:c r="Y67"/>
      <x:c r="Z67"/>
      <x:c r="AA67"/>
      <x:c r="AB67"/>
      <x:c r="AC67"/>
    </x:row>
    <x:row r="68">
      <x:c r="A68" s="27" t="str">
        <x:v>Rule 4</x:v>
      </x:c>
      <x:c r="B68" s="27" t="str">
        <x:v>CA01 / CA02 contain residual cross-cutting risk only; generic project-value percentages are prohibited.</x:v>
      </x:c>
      <x:c r="C68" s="27"/>
      <x:c r="D68" s="727"/>
      <x:c r="E68" s="27"/>
      <x:c r="F68"/>
      <x:c r="G68"/>
      <x:c r="H68"/>
      <x:c r="I68"/>
      <x:c r="J68"/>
      <x:c r="K68"/>
      <x:c r="L68"/>
      <x:c r="M68"/>
      <x:c r="N68"/>
      <x:c r="O68"/>
      <x:c r="P68"/>
      <x:c r="Q68"/>
      <x:c r="R68"/>
      <x:c r="S68"/>
      <x:c r="T68"/>
      <x:c r="U68"/>
      <x:c r="V68"/>
      <x:c r="W68"/>
      <x:c r="X68"/>
      <x:c r="Y68"/>
      <x:c r="Z68"/>
      <x:c r="AA68"/>
      <x:c r="AB68"/>
      <x:c r="AC68"/>
    </x:row>
    <x:row r="69">
      <x:c r="A69" s="27" t="str">
        <x:v>Rule 5</x:v>
      </x:c>
      <x:c r="B69" s="27" t="str">
        <x:v>Specialist-engine risks remain in their specialist cost path and are referenced, not duplicated.</x:v>
      </x:c>
      <x:c r="C69" s="27"/>
      <x:c r="D69" s="727"/>
      <x:c r="E69" s="27"/>
      <x:c r="F69"/>
      <x:c r="G69"/>
      <x:c r="H69"/>
      <x:c r="I69"/>
      <x:c r="J69"/>
      <x:c r="K69"/>
      <x:c r="L69"/>
      <x:c r="M69"/>
      <x:c r="N69"/>
      <x:c r="O69"/>
      <x:c r="P69"/>
      <x:c r="Q69"/>
      <x:c r="R69"/>
      <x:c r="S69"/>
      <x:c r="T69"/>
      <x:c r="U69"/>
      <x:c r="V69"/>
      <x:c r="W69"/>
      <x:c r="X69"/>
      <x:c r="Y69"/>
      <x:c r="Z69"/>
      <x:c r="AA69"/>
      <x:c r="AB69"/>
      <x:c r="AC69"/>
    </x:row>
    <x:row r="70">
      <x:c r="A70" s="27" t="str">
        <x:v>Rule 6</x:v>
      </x:c>
      <x:c r="B70" s="27" t="str">
        <x:v>A positive Risk Truth addition requires a distinct residual basis, integration target and evidence status.</x:v>
      </x:c>
      <x:c r="C70" s="27"/>
      <x:c r="D70" s="727"/>
      <x:c r="E70" s="27"/>
      <x:c r="F70"/>
      <x:c r="G70"/>
      <x:c r="H70"/>
      <x:c r="I70"/>
      <x:c r="J70"/>
      <x:c r="K70"/>
      <x:c r="L70"/>
      <x:c r="M70"/>
      <x:c r="N70"/>
      <x:c r="O70"/>
      <x:c r="P70"/>
      <x:c r="Q70"/>
      <x:c r="R70"/>
      <x:c r="S70"/>
      <x:c r="T70"/>
      <x:c r="U70"/>
      <x:c r="V70"/>
      <x:c r="W70"/>
      <x:c r="X70"/>
      <x:c r="Y70"/>
      <x:c r="Z70"/>
      <x:c r="AA70"/>
      <x:c r="AB70"/>
      <x:c r="AC70"/>
    </x:row>
    <x:row r="71">
      <x:c r="A71" s="27" t="str">
        <x:v>Rule 7</x:v>
      </x:c>
      <x:c r="B71" s="27" t="str">
        <x:v>Any RED duplication, programme reconciliation or material risk item blocks final release.</x:v>
      </x:c>
      <x:c r="C71" s="27"/>
      <x:c r="D71" s="727"/>
      <x:c r="E71" s="27"/>
      <x:c r="F71"/>
      <x:c r="G71"/>
      <x:c r="H71"/>
      <x:c r="I71"/>
      <x:c r="J71"/>
      <x:c r="K71"/>
      <x:c r="L71"/>
      <x:c r="M71"/>
      <x:c r="N71"/>
      <x:c r="O71"/>
      <x:c r="P71"/>
      <x:c r="Q71"/>
      <x:c r="R71"/>
      <x:c r="S71"/>
      <x:c r="T71"/>
      <x:c r="U71"/>
      <x:c r="V71"/>
      <x:c r="W71"/>
      <x:c r="X71"/>
      <x:c r="Y71"/>
      <x:c r="Z71"/>
      <x:c r="AA71"/>
      <x:c r="AB71"/>
      <x:c r="AC71"/>
    </x:row>
    <x:row r="72">
      <x:c r="A72" s="27" t="str">
        <x:v>Rule 8</x:v>
      </x:c>
      <x:c r="B72" s="27" t="str">
        <x:v>Actual outcomes are retained later for estimate-v-actual calibration; historic tender assumptions are not overwritten.</x:v>
      </x:c>
      <x:c r="C72" s="27"/>
      <x:c r="D72" s="727"/>
      <x:c r="E72" s="27"/>
      <x:c r="F72"/>
      <x:c r="G72"/>
      <x:c r="H72"/>
      <x:c r="I72"/>
      <x:c r="J72"/>
      <x:c r="K72"/>
      <x:c r="L72"/>
      <x:c r="M72"/>
      <x:c r="N72"/>
      <x:c r="O72"/>
      <x:c r="P72"/>
      <x:c r="Q72"/>
      <x:c r="R72"/>
      <x:c r="S72"/>
      <x:c r="T72"/>
      <x:c r="U72"/>
      <x:c r="V72"/>
      <x:c r="W72"/>
      <x:c r="X72"/>
      <x:c r="Y72"/>
      <x:c r="Z72"/>
      <x:c r="AA72"/>
      <x:c r="AB72"/>
      <x:c r="AC72"/>
    </x:row>
    <x:row r="73">
      <x:c r="A73" s="27"/>
      <x:c r="B73" s="27"/>
      <x:c r="C73" s="27"/>
      <x:c r="D73" s="727"/>
      <x:c r="E73" s="27"/>
      <x:c r="F73"/>
      <x:c r="G73"/>
      <x:c r="H73"/>
      <x:c r="I73"/>
      <x:c r="J73"/>
      <x:c r="K73"/>
      <x:c r="L73"/>
      <x:c r="M73"/>
      <x:c r="N73"/>
      <x:c r="O73"/>
      <x:c r="P73"/>
      <x:c r="Q73"/>
      <x:c r="R73"/>
      <x:c r="S73"/>
      <x:c r="T73"/>
      <x:c r="U73"/>
      <x:c r="V73"/>
      <x:c r="W73"/>
      <x:c r="X73"/>
      <x:c r="Y73"/>
      <x:c r="Z73"/>
      <x:c r="AA73"/>
      <x:c r="AB73"/>
      <x:c r="AC73"/>
    </x:row>
    <x:row r="74" ht="72" customHeight="1">
      <x:c r="A74" s="27" t="str">
        <x:v>MASTER PROMOTION VALIDATION</x:v>
      </x:c>
      <x:c r="B74" s="27"/>
      <x:c r="C74" s="27"/>
      <x:c r="D74" s="27"/>
      <x:c r="E74" s="27"/>
      <x:c r="F74"/>
      <x:c r="G74"/>
      <x:c r="H74"/>
      <x:c r="I74"/>
      <x:c r="J74"/>
      <x:c r="K74"/>
      <x:c r="L74"/>
      <x:c r="M74"/>
      <x:c r="N74"/>
      <x:c r="O74"/>
      <x:c r="P74"/>
      <x:c r="Q74"/>
      <x:c r="R74"/>
      <x:c r="S74"/>
      <x:c r="T74"/>
      <x:c r="U74"/>
      <x:c r="V74"/>
      <x:c r="W74"/>
      <x:c r="X74"/>
      <x:c r="Y74"/>
      <x:c r="Z74"/>
      <x:c r="AA74"/>
      <x:c r="AB74"/>
      <x:c r="AC74"/>
    </x:row>
    <x:row r="75">
      <x:c r="A75" s="721" t="str">
        <x:v>Cost-chain propagation</x:v>
      </x:c>
      <x:c r="B75" s="721" t="str">
        <x:v>PASS</x:v>
      </x:c>
      <x:c r="C75" s="721" t="str">
        <x:v>Resource rate and quantity changes propagated through linked direct-cost and tender outputs during development testing.</x:v>
      </x:c>
      <x:c r="D75" s="721"/>
      <x:c r="E75" s="721"/>
      <x:c r="F75"/>
      <x:c r="G75"/>
      <x:c r="H75"/>
      <x:c r="I75"/>
      <x:c r="J75"/>
      <x:c r="K75"/>
      <x:c r="L75"/>
      <x:c r="M75"/>
      <x:c r="N75"/>
      <x:c r="O75"/>
      <x:c r="P75"/>
      <x:c r="Q75"/>
      <x:c r="R75"/>
      <x:c r="S75"/>
      <x:c r="T75"/>
      <x:c r="U75"/>
      <x:c r="V75"/>
      <x:c r="W75"/>
      <x:c r="X75"/>
      <x:c r="Y75"/>
      <x:c r="Z75"/>
      <x:c r="AA75"/>
      <x:c r="AB75"/>
      <x:c r="AC75"/>
    </x:row>
    <x:row r="76">
      <x:c r="A76" s="27" t="str">
        <x:v>Risk residual propagation</x:v>
      </x:c>
      <x:c r="B76" s="27" t="str">
        <x:v>PASS</x:v>
      </x:c>
      <x:c r="C76" s="27" t="str">
        <x:v>Approved residual CA01/CA02 feeds were proven to enter the tender exactly once.</x:v>
      </x:c>
      <x:c r="D76" s="727"/>
      <x:c r="E76" s="27"/>
      <x:c r="F76"/>
      <x:c r="G76"/>
      <x:c r="H76"/>
      <x:c r="I76"/>
      <x:c r="J76"/>
      <x:c r="K76"/>
      <x:c r="L76"/>
      <x:c r="M76"/>
      <x:c r="N76"/>
      <x:c r="O76"/>
      <x:c r="P76"/>
      <x:c r="Q76"/>
      <x:c r="R76"/>
      <x:c r="S76"/>
      <x:c r="T76"/>
      <x:c r="U76"/>
      <x:c r="V76"/>
      <x:c r="W76"/>
      <x:c r="X76"/>
      <x:c r="Y76"/>
      <x:c r="Z76"/>
      <x:c r="AA76"/>
      <x:c r="AB76"/>
      <x:c r="AC76"/>
    </x:row>
    <x:row r="77">
      <x:c r="A77" s="27" t="str">
        <x:v>Duplicate-cost blocker</x:v>
      </x:c>
      <x:c r="B77" s="27" t="str">
        <x:v>PASS</x:v>
      </x:c>
      <x:c r="C77" s="27" t="str">
        <x:v>Non-distinct duplicate risk provisions were proven to return RED and block release.</x:v>
      </x:c>
      <x:c r="D77" s="727"/>
      <x:c r="E77" s="27"/>
      <x:c r="F77"/>
      <x:c r="G77"/>
      <x:c r="H77"/>
      <x:c r="I77"/>
      <x:c r="J77"/>
      <x:c r="K77"/>
      <x:c r="L77"/>
      <x:c r="M77"/>
      <x:c r="N77"/>
      <x:c r="O77"/>
      <x:c r="P77"/>
      <x:c r="Q77"/>
      <x:c r="R77"/>
      <x:c r="S77"/>
      <x:c r="T77"/>
      <x:c r="U77"/>
      <x:c r="V77"/>
      <x:c r="W77"/>
      <x:c r="X77"/>
      <x:c r="Y77"/>
      <x:c r="Z77"/>
      <x:c r="AA77"/>
      <x:c r="AB77"/>
      <x:c r="AC77"/>
    </x:row>
    <x:row r="78">
      <x:c r="A78" s="27" t="str">
        <x:v>Programme propagation</x:v>
      </x:c>
      <x:c r="B78" s="27" t="str">
        <x:v>PASS</x:v>
      </x:c>
      <x:c r="C78" s="27" t="str">
        <x:v>Productivity/duration changes were proven to flow to Programme Export and trigger weather rerun logic.</x:v>
      </x:c>
      <x:c r="D78" s="727"/>
      <x:c r="E78" s="27"/>
      <x:c r="F78"/>
      <x:c r="G78"/>
      <x:c r="H78"/>
      <x:c r="I78"/>
      <x:c r="J78"/>
      <x:c r="K78"/>
      <x:c r="L78"/>
      <x:c r="M78"/>
      <x:c r="N78"/>
      <x:c r="O78"/>
      <x:c r="P78"/>
      <x:c r="Q78"/>
      <x:c r="R78"/>
      <x:c r="S78"/>
      <x:c r="T78"/>
      <x:c r="U78"/>
      <x:c r="V78"/>
      <x:c r="W78"/>
      <x:c r="X78"/>
      <x:c r="Y78"/>
      <x:c r="Z78"/>
      <x:c r="AA78"/>
      <x:c r="AB78"/>
      <x:c r="AC78"/>
    </x:row>
    <x:row r="79">
      <x:c r="A79" s="27" t="str">
        <x:v>Formula compatibility</x:v>
      </x:c>
      <x:c r="B79" s="27" t="str">
        <x:v>PASS</x:v>
      </x:c>
      <x:c r="C79" s="27" t="str">
        <x:v>Programme maximum-duration logic uses AGGREGATE rather than incompatible MAXIFS storage.</x:v>
      </x:c>
      <x:c r="D79" s="729"/>
      <x:c r="E79" s="27"/>
      <x:c r="F79"/>
      <x:c r="G79"/>
      <x:c r="H79"/>
      <x:c r="I79"/>
      <x:c r="J79"/>
      <x:c r="K79"/>
      <x:c r="L79"/>
      <x:c r="M79"/>
      <x:c r="N79"/>
      <x:c r="O79"/>
      <x:c r="P79"/>
      <x:c r="Q79"/>
      <x:c r="R79"/>
      <x:c r="S79"/>
      <x:c r="T79"/>
      <x:c r="U79"/>
      <x:c r="V79"/>
      <x:c r="W79"/>
      <x:c r="X79"/>
      <x:c r="Y79"/>
      <x:c r="Z79"/>
      <x:c r="AA79"/>
      <x:c r="AB79"/>
      <x:c r="AC79"/>
    </x:row>
    <x:row r="80">
      <x:c r="A80" s="27"/>
      <x:c r="B80" s="27"/>
      <x:c r="C80" s="27"/>
      <x:c r="D80" s="729"/>
      <x:c r="E80" s="27"/>
      <x:c r="F80"/>
      <x:c r="G80"/>
      <x:c r="H80"/>
      <x:c r="I80"/>
      <x:c r="J80"/>
      <x:c r="K80"/>
      <x:c r="L80"/>
      <x:c r="M80"/>
      <x:c r="N80"/>
      <x:c r="O80"/>
      <x:c r="P80"/>
      <x:c r="Q80"/>
      <x:c r="R80"/>
      <x:c r="S80"/>
      <x:c r="T80"/>
      <x:c r="U80"/>
      <x:c r="V80"/>
      <x:c r="W80"/>
      <x:c r="X80"/>
      <x:c r="Y80"/>
      <x:c r="Z80"/>
      <x:c r="AA80"/>
      <x:c r="AB80"/>
      <x:c r="AC80"/>
    </x:row>
    <x:row r="81">
      <x:c r="A81" s="27"/>
      <x:c r="B81" s="27"/>
      <x:c r="C81" s="27"/>
      <x:c r="D81" s="729"/>
      <x:c r="E81" s="27"/>
      <x:c r="F81"/>
      <x:c r="G81"/>
      <x:c r="H81"/>
      <x:c r="I81"/>
      <x:c r="J81"/>
      <x:c r="K81"/>
      <x:c r="L81"/>
      <x:c r="M81"/>
      <x:c r="N81"/>
      <x:c r="O81"/>
      <x:c r="P81"/>
      <x:c r="Q81"/>
      <x:c r="R81"/>
      <x:c r="S81"/>
      <x:c r="T81"/>
      <x:c r="U81"/>
      <x:c r="V81"/>
      <x:c r="W81"/>
      <x:c r="X81"/>
      <x:c r="Y81"/>
      <x:c r="Z81"/>
      <x:c r="AA81"/>
      <x:c r="AB81"/>
      <x:c r="AC81"/>
    </x:row>
  </x:sheetData>
  <x:mergeCells>
    <x:mergeCell ref="D4:G4"/>
    <x:mergeCell ref="D14:G14"/>
    <x:mergeCell ref="A1:K1"/>
    <x:mergeCell ref="A2:K2"/>
    <x:mergeCell ref="A64:E64"/>
  </x:mergeCells>
  <x:conditionalFormatting sqref="K25:K36">
    <x:cfRule type="expression" dxfId="7" priority="1">
      <x:formula>K25="RED"</x:formula>
    </x:cfRule>
    <x:cfRule type="expression" dxfId="8" priority="2">
      <x:formula>K25="AMBER"</x:formula>
    </x:cfRule>
    <x:cfRule type="expression" dxfId="9" priority="3">
      <x:formula>K25="GREEN"</x:formula>
    </x:cfRule>
  </x:conditionalFormatting>
  <x:conditionalFormatting sqref="W41:W61">
    <x:cfRule type="expression" dxfId="10" priority="4">
      <x:formula>W41="RED"</x:formula>
    </x:cfRule>
    <x:cfRule type="expression" dxfId="11" priority="5">
      <x:formula>W41="AMBER"</x:formula>
    </x:cfRule>
    <x:cfRule type="expression" dxfId="12" priority="6">
      <x:formula>W41="GREEN"</x:formula>
    </x:cfRule>
  </x:conditionalFormatting>
  <x:conditionalFormatting sqref="Z41:Z61">
    <x:cfRule type="expression" dxfId="13" priority="7">
      <x:formula>Z41="RED"</x:formula>
    </x:cfRule>
    <x:cfRule type="expression" dxfId="14" priority="8">
      <x:formula>Z41="AMBER"</x:formula>
    </x:cfRule>
    <x:cfRule type="expression" dxfId="15" priority="9">
      <x:formula>Z41="GREEN"</x:formula>
    </x:cfRule>
  </x:conditionalFormatting>
  <x:conditionalFormatting sqref="B15:B15">
    <x:cfRule type="expression" dxfId="16" priority="10">
      <x:formula>LEFT(B15,4)="PASS"</x:formula>
    </x:cfRule>
    <x:cfRule type="expression" dxfId="17" priority="11">
      <x:formula>LEFT(B15,4)="HOLD"</x:formula>
    </x:cfRule>
  </x:conditionalFormatting>
  <x:dataValidations count="9">
    <x:dataValidation type="list" sqref="C25:C36">
      <x:formula1>"A - Known/measurable,B - Normal foreseeable variability,C - Evidence-supported uncertainty,D - Known possible / unknown extent,E - Missing / contradictory information,F - Other-party responsibility,G - Abnormal / unforeseeable,D/F - Split exposures"</x:formula1>
    </x:dataValidation>
    <x:dataValidation type="list" sqref="D25:E36">
      <x:formula1>"Low,Medium,High,N/A"</x:formula1>
    </x:dataValidation>
    <x:dataValidation type="list" sqref="I41:I61">
      <x:formula1>"Already in Base / No Add,Unit Rate Delta,Probability x Impact,Scenario Weighted,Fixed Allowance,Specialist Engine,By Others / Excluded,RFI Hold"</x:formula1>
    </x:dataValidation>
    <x:dataValidation type="list" sqref="P41:P61">
      <x:formula1>"Primary,Contributing,Reference Only"</x:formula1>
    </x:dataValidation>
    <x:dataValidation type="list" sqref="Q41:Q61">
      <x:formula1>"Yes,No,N/A"</x:formula1>
    </x:dataValidation>
    <x:dataValidation type="list" sqref="R41:R61">
      <x:formula1>"QS Direct,CA01,CA02,CA09,CA10,By Others,Excluded,Future Programme Risk,None"</x:formula1>
    </x:dataValidation>
    <x:dataValidation type="list" sqref="S41:S61">
      <x:formula1>"Yes,No"</x:formula1>
    </x:dataValidation>
    <x:dataValidation type="list" sqref="W41:W61">
      <x:formula1>"GREEN,AMBER,RED"</x:formula1>
    </x:dataValidation>
    <x:dataValidation type="list" sqref="Y41:Y61">
      <x:formula1>"Yes,No,Existing,N/A"</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30" hidden="0" customWidth="1"/>
    <x:col min="3" max="3" width="16" hidden="0" customWidth="1"/>
    <x:col min="4" max="4" width="24" hidden="0" customWidth="1"/>
    <x:col min="5" max="5" width="13" hidden="0" customWidth="1"/>
    <x:col min="6" max="6" width="25" hidden="0" customWidth="1"/>
    <x:col min="7" max="7" width="22" hidden="0" customWidth="1"/>
    <x:col min="8" max="8" width="44" hidden="0" customWidth="1"/>
    <x:col min="9" max="9" width="24" hidden="0" customWidth="1"/>
    <x:col min="10" max="10" width="20" hidden="0" customWidth="1"/>
    <x:col min="11" max="11" width="15" hidden="0" customWidth="1"/>
    <x:col min="12" max="12" width="24" hidden="0" customWidth="1"/>
    <x:col min="13" max="13" width="24" hidden="0" customWidth="1"/>
    <x:col min="14" max="14" width="24" hidden="0" customWidth="1"/>
    <x:col min="15" max="15" width="28" hidden="0" customWidth="1"/>
    <x:col min="16" max="16" width="11" hidden="0" customWidth="1"/>
    <x:col min="17" max="17" width="12" hidden="0" customWidth="1"/>
    <x:col min="18" max="18" width="32" hidden="0" customWidth="1"/>
    <x:col min="19" max="19" width="24" hidden="0" customWidth="1"/>
    <x:col min="20" max="20" width="28" hidden="0" customWidth="1"/>
    <x:col min="21" max="21" width="24" hidden="0" customWidth="1"/>
    <x:col min="22" max="22" width="12" hidden="0" customWidth="1"/>
    <x:col min="23" max="23" width="22" hidden="0" customWidth="1"/>
    <x:col min="24" max="24" width="16" hidden="0" customWidth="1"/>
  </x:cols>
  <x:sheetData>
    <x:row r="1" ht="26" customHeight="1">
      <x:c r="A1" s="770" t="str">
        <x:v>INDEPENDENT ESTIMATE VERIFICATION BOARD - MASTER ESTIMATE WORKBOOK REV4</x:v>
      </x:c>
      <x:c r="B1" s="770"/>
      <x:c r="C1" s="770"/>
      <x:c r="D1" s="770"/>
      <x:c r="E1" s="770"/>
      <x:c r="F1" s="770"/>
      <x:c r="G1" s="770"/>
      <x:c r="H1" s="770"/>
      <x:c r="I1" s="770"/>
      <x:c r="J1" s="770"/>
      <x:c r="K1" s="770"/>
      <x:c r="L1" s="770"/>
      <x:c r="M1" s="770"/>
      <x:c r="N1" s="770"/>
      <x:c r="O1" s="770"/>
      <x:c r="P1" s="770"/>
      <x:c r="Q1" s="770"/>
      <x:c r="R1" s="770"/>
      <x:c r="S1" s="770"/>
      <x:c r="T1" s="770"/>
      <x:c r="U1" s="770"/>
      <x:c r="V1" s="770"/>
      <x:c r="W1" s="770"/>
      <x:c r="X1" s="770"/>
    </x:row>
    <x:row r="2" ht="52" customHeight="1">
      <x:c r="A2" s="771" t="str">
        <x:v>GOVERNING RULE: Every material component is presumed incorrect until independently demonstrated to be correct. Reviewers must be impartial, work blind to the primary estimate until their independent position is committed, and challenge the evidence rather than seek agreement. Agreement is not verification. No voting or averaging is permitted; the Chief Estimator adjudicates on the strongest evidence.</x:v>
      </x:c>
      <x:c r="B2" s="771"/>
      <x:c r="C2" s="771"/>
      <x:c r="D2" s="771"/>
      <x:c r="E2" s="771"/>
      <x:c r="F2" s="771"/>
      <x:c r="G2" s="771"/>
      <x:c r="H2" s="771"/>
      <x:c r="I2" s="771"/>
      <x:c r="J2" s="771"/>
      <x:c r="K2" s="771"/>
      <x:c r="L2" s="771"/>
      <x:c r="M2" s="771"/>
      <x:c r="N2" s="771"/>
      <x:c r="O2" s="771"/>
      <x:c r="P2" s="771"/>
      <x:c r="Q2" s="771"/>
      <x:c r="R2" s="771"/>
      <x:c r="S2" s="771"/>
      <x:c r="T2" s="771"/>
      <x:c r="U2" s="771"/>
      <x:c r="V2" s="771"/>
      <x:c r="W2" s="771"/>
      <x:c r="X2" s="771"/>
    </x:row>
    <x:row r="3" ht="34" customHeight="1">
      <x:c r="A3" s="772" t="str">
        <x:v>Workflow: Primary estimate frozen -&gt; independent clean-room reviews -&gt; specialist blind challenges -&gt; primary revealed -&gt; variance/findings recorded -&gt; evidence-led adjudication -&gt; accepted changes integrated once into the existing cost/programme chain -&gt; release gate.</x:v>
      </x:c>
      <x:c r="B3" s="772"/>
      <x:c r="C3" s="772"/>
      <x:c r="D3" s="772"/>
      <x:c r="E3" s="772"/>
      <x:c r="F3" s="772"/>
      <x:c r="G3" s="772"/>
      <x:c r="H3" s="772"/>
      <x:c r="I3" s="772"/>
      <x:c r="J3" s="772"/>
      <x:c r="K3" s="772"/>
      <x:c r="L3" s="772"/>
      <x:c r="M3" s="772"/>
      <x:c r="N3" s="772"/>
      <x:c r="O3" s="772"/>
      <x:c r="P3" s="772"/>
      <x:c r="Q3" s="772"/>
      <x:c r="R3" s="772"/>
      <x:c r="S3" s="772"/>
      <x:c r="T3" s="772"/>
      <x:c r="U3" s="772"/>
      <x:c r="V3" s="772"/>
      <x:c r="W3" s="772"/>
      <x:c r="X3" s="772"/>
    </x:row>
    <x:row r="4">
      <x:c r="A4" s="26"/>
      <x:c r="B4" s="26"/>
      <x:c r="C4" s="26"/>
      <x:c r="D4" s="26"/>
      <x:c r="E4" s="26"/>
      <x:c r="F4" s="26"/>
      <x:c r="G4" s="26"/>
      <x:c r="H4" s="26"/>
      <x:c r="I4" s="26"/>
      <x:c r="J4" s="26"/>
      <x:c r="K4" s="26"/>
      <x:c r="L4" s="26"/>
      <x:c r="M4" s="26"/>
      <x:c r="N4" s="26"/>
      <x:c r="O4" s="26"/>
      <x:c r="P4" s="26"/>
      <x:c r="Q4" s="26"/>
      <x:c r="R4" s="26"/>
      <x:c r="S4" s="26"/>
      <x:c r="T4" s="26"/>
      <x:c r="U4" s="26"/>
      <x:c r="V4" s="26"/>
      <x:c r="W4" s="26"/>
      <x:c r="X4" s="26"/>
    </x:row>
    <x:row r="5">
      <x:c r="A5" s="770" t="str">
        <x:v>BOARD / RELEASE CONTROL</x:v>
      </x:c>
      <x:c r="B5" s="770"/>
      <x:c r="C5" s="26"/>
      <x:c r="D5" s="770" t="str">
        <x:v>NON-NEGOTIABLE INDEPENDENCE RULES</x:v>
      </x:c>
      <x:c r="E5" s="770"/>
      <x:c r="F5" s="770"/>
      <x:c r="G5" s="770"/>
      <x:c r="H5" s="770"/>
      <x:c r="I5" s="770"/>
      <x:c r="J5" s="770"/>
      <x:c r="K5" s="26"/>
      <x:c r="L5" s="26"/>
      <x:c r="M5" s="26"/>
      <x:c r="N5" s="26"/>
      <x:c r="O5" s="26"/>
      <x:c r="P5" s="26"/>
      <x:c r="Q5" s="26"/>
      <x:c r="R5" s="26"/>
      <x:c r="S5" s="26"/>
      <x:c r="T5" s="26"/>
      <x:c r="U5" s="26"/>
      <x:c r="V5" s="26"/>
      <x:c r="W5" s="26"/>
      <x:c r="X5" s="26"/>
    </x:row>
    <x:row r="6">
      <x:c r="A6" s="25" t="str">
        <x:v>Review mode</x:v>
      </x:c>
      <x:c r="B6" s="26" t="str">
        <x:v>FULL BOARD - mandatory for priced estimates</x:v>
      </x:c>
      <x:c r="C6" s="26"/>
      <x:c r="D6" s="780" t="str">
        <x:v>1</x:v>
      </x:c>
      <x:c r="E6" s="26" t="str">
        <x:v>Assume the estimate is wrong until evidence proves the component correct.</x:v>
      </x:c>
      <x:c r="F6" s="26"/>
      <x:c r="G6" s="26"/>
      <x:c r="H6" s="26"/>
      <x:c r="I6" s="26"/>
      <x:c r="J6" s="26"/>
      <x:c r="K6" s="26"/>
      <x:c r="L6" s="26"/>
      <x:c r="M6" s="26"/>
      <x:c r="N6" s="26"/>
      <x:c r="O6" s="26"/>
      <x:c r="P6" s="26"/>
      <x:c r="Q6" s="26"/>
      <x:c r="R6" s="26"/>
      <x:c r="S6" s="26"/>
      <x:c r="T6" s="26"/>
      <x:c r="U6" s="26"/>
      <x:c r="V6" s="26"/>
      <x:c r="W6" s="26"/>
      <x:c r="X6" s="26"/>
    </x:row>
    <x:row r="7">
      <x:c r="A7" s="25" t="str">
        <x:v>Required clean-room whole-estimate reviewers</x:v>
      </x:c>
      <x:c r="B7" s="26" t="n">
        <x:v>3</x:v>
      </x:c>
      <x:c r="C7" s="26"/>
      <x:c r="D7" s="780" t="str">
        <x:v>2</x:v>
      </x:c>
      <x:c r="E7" s="26" t="str">
        <x:v>Clean-room reviewers receive project evidence but not the primary quantities, rates, productivity, duration, assumptions or tender total before commitment.</x:v>
      </x:c>
      <x:c r="F7" s="26"/>
      <x:c r="G7" s="26"/>
      <x:c r="H7" s="26"/>
      <x:c r="I7" s="26"/>
      <x:c r="J7" s="26"/>
      <x:c r="K7" s="26"/>
      <x:c r="L7" s="26"/>
      <x:c r="M7" s="26"/>
      <x:c r="N7" s="26"/>
      <x:c r="O7" s="26"/>
      <x:c r="P7" s="26"/>
      <x:c r="Q7" s="26"/>
      <x:c r="R7" s="26"/>
      <x:c r="S7" s="26"/>
      <x:c r="T7" s="26"/>
      <x:c r="U7" s="26"/>
      <x:c r="V7" s="26"/>
      <x:c r="W7" s="26"/>
      <x:c r="X7" s="26"/>
    </x:row>
    <x:row r="8">
      <x:c r="A8" s="25" t="str">
        <x:v>Required specialist challenge reviewers</x:v>
      </x:c>
      <x:c r="B8" s="26" t="n">
        <x:v>6</x:v>
      </x:c>
      <x:c r="C8" s="26"/>
      <x:c r="D8" s="780" t="str">
        <x:v>3</x:v>
      </x:c>
      <x:c r="E8" s="26" t="str">
        <x:v>Specialist reviewers are also blind to the primary answer until they have committed their independent challenge position wherever practicable.</x:v>
      </x:c>
      <x:c r="F8" s="26"/>
      <x:c r="G8" s="26"/>
      <x:c r="H8" s="26"/>
      <x:c r="I8" s="26"/>
      <x:c r="J8" s="26"/>
      <x:c r="K8" s="26"/>
      <x:c r="L8" s="26"/>
      <x:c r="M8" s="26"/>
      <x:c r="N8" s="26"/>
      <x:c r="O8" s="26"/>
      <x:c r="P8" s="26"/>
      <x:c r="Q8" s="26"/>
      <x:c r="R8" s="26"/>
      <x:c r="S8" s="26"/>
      <x:c r="T8" s="26"/>
      <x:c r="U8" s="26"/>
      <x:c r="V8" s="26"/>
      <x:c r="W8" s="26"/>
      <x:c r="X8" s="26"/>
    </x:row>
    <x:row r="9">
      <x:c r="A9" s="25" t="str">
        <x:v>Completed clean-room reviewers</x:v>
      </x:c>
      <x:c r="B9" s="26" t="n">
        <x:f>COUNTIFS($C$24:$C$33,"Clean-room",$L$24:$L$33,"COMPLETE")</x:f>
        <x:v>0</x:v>
      </x:c>
      <x:c r="C9" s="26"/>
      <x:c r="D9" s="780" t="str">
        <x:v>4</x:v>
      </x:c>
      <x:c r="E9" s="26" t="str">
        <x:v>Reviewers may not optimise toward a target total, previous tender, client budget or expected answer.</x:v>
      </x:c>
      <x:c r="F9" s="26"/>
      <x:c r="G9" s="26"/>
      <x:c r="H9" s="26"/>
      <x:c r="I9" s="26"/>
      <x:c r="J9" s="26"/>
      <x:c r="K9" s="26"/>
      <x:c r="L9" s="26"/>
      <x:c r="M9" s="26"/>
      <x:c r="N9" s="26"/>
      <x:c r="O9" s="26"/>
      <x:c r="P9" s="26"/>
      <x:c r="Q9" s="26"/>
      <x:c r="R9" s="26"/>
      <x:c r="S9" s="26"/>
      <x:c r="T9" s="26"/>
      <x:c r="U9" s="26"/>
      <x:c r="V9" s="26"/>
      <x:c r="W9" s="26"/>
      <x:c r="X9" s="26"/>
    </x:row>
    <x:row r="10">
      <x:c r="A10" s="25" t="str">
        <x:v>Completed specialist reviewers</x:v>
      </x:c>
      <x:c r="B10" s="26" t="n">
        <x:f>COUNTIFS($C$24:$C$33,"Specialist",$L$24:$L$33,"COMPLETE")</x:f>
        <x:v>0</x:v>
      </x:c>
      <x:c r="C10" s="26"/>
      <x:c r="D10" s="780" t="str">
        <x:v>5</x:v>
      </x:c>
      <x:c r="E10" s="26" t="str">
        <x:v>Agreement between reviewers is not evidence. Majority vote and averaging are prohibited.</x:v>
      </x:c>
      <x:c r="F10" s="26"/>
      <x:c r="G10" s="26"/>
      <x:c r="H10" s="26"/>
      <x:c r="I10" s="26"/>
      <x:c r="J10" s="26"/>
      <x:c r="K10" s="26"/>
      <x:c r="L10" s="26"/>
      <x:c r="M10" s="26"/>
      <x:c r="N10" s="26"/>
      <x:c r="O10" s="26"/>
      <x:c r="P10" s="26"/>
      <x:c r="Q10" s="26"/>
      <x:c r="R10" s="26"/>
      <x:c r="S10" s="26"/>
      <x:c r="T10" s="26"/>
      <x:c r="U10" s="26"/>
      <x:c r="V10" s="26"/>
      <x:c r="W10" s="26"/>
      <x:c r="X10" s="26"/>
    </x:row>
    <x:row r="11">
      <x:c r="A11" s="25" t="str">
        <x:v>Reviewer independence failures</x:v>
      </x:c>
      <x:c r="B11" s="26" t="n">
        <x:f>COUNTIF($L$24:$L$32,"RED - INDEPENDENCE FAILED")</x:f>
        <x:v>0</x:v>
      </x:c>
      <x:c r="C11" s="26"/>
      <x:c r="D11" s="780" t="str">
        <x:v>6</x:v>
      </x:c>
      <x:c r="E11" s="26" t="str">
        <x:v>Every disagreement is resolved by evidence quality, scope alignment and first-principles logic.</x:v>
      </x:c>
      <x:c r="F11" s="26"/>
      <x:c r="G11" s="26"/>
      <x:c r="H11" s="26"/>
      <x:c r="I11" s="26"/>
      <x:c r="J11" s="26"/>
      <x:c r="K11" s="26"/>
      <x:c r="L11" s="26"/>
      <x:c r="M11" s="26"/>
      <x:c r="N11" s="26"/>
      <x:c r="O11" s="26"/>
      <x:c r="P11" s="26"/>
      <x:c r="Q11" s="26"/>
      <x:c r="R11" s="26"/>
      <x:c r="S11" s="26"/>
      <x:c r="T11" s="26"/>
      <x:c r="U11" s="26"/>
      <x:c r="V11" s="26"/>
      <x:c r="W11" s="26"/>
      <x:c r="X11" s="26"/>
    </x:row>
    <x:row r="12">
      <x:c r="A12" s="25" t="str">
        <x:v>Unresolved material RED findings</x:v>
      </x:c>
      <x:c r="B12" s="26" t="n">
        <x:f>COUNTIF($W$117:$W$216,"OPEN - RED")+COUNTIF($W$117:$W$216,"RED - NOT INTEGRATED")</x:f>
        <x:v>0</x:v>
      </x:c>
      <x:c r="C12" s="26"/>
      <x:c r="D12" s="780" t="str">
        <x:v>7</x:v>
      </x:c>
      <x:c r="E12" s="26" t="str">
        <x:v>Accepted changes are made at the original source in Resource Library / Resource Build-Up / QS / Programme / Risk / Commercial Inputs - never as a second cost in this sheet.</x:v>
      </x:c>
      <x:c r="F12" s="26"/>
      <x:c r="G12" s="26"/>
      <x:c r="H12" s="26"/>
      <x:c r="I12" s="26"/>
      <x:c r="J12" s="26"/>
      <x:c r="K12" s="26"/>
      <x:c r="L12" s="26"/>
      <x:c r="M12" s="26"/>
      <x:c r="N12" s="26"/>
      <x:c r="O12" s="26"/>
      <x:c r="P12" s="26"/>
      <x:c r="Q12" s="26"/>
      <x:c r="R12" s="26"/>
      <x:c r="S12" s="26"/>
      <x:c r="T12" s="26"/>
      <x:c r="U12" s="26"/>
      <x:c r="V12" s="26"/>
      <x:c r="W12" s="26"/>
      <x:c r="X12" s="26"/>
    </x:row>
    <x:row r="13">
      <x:c r="A13" s="25" t="str">
        <x:v>Unresolved material AMBER findings</x:v>
      </x:c>
      <x:c r="B13" s="26" t="n">
        <x:f>COUNTIF($W$117:$W$216,"OPEN - AMBER")+COUNTIF($W$117:$W$216,"AMBER - NOT INTEGRATED")</x:f>
        <x:v>0</x:v>
      </x:c>
      <x:c r="C13" s="26"/>
      <x:c r="D13" s="780" t="str">
        <x:v>8</x:v>
      </x:c>
      <x:c r="E13" s="26" t="str">
        <x:v>If true process isolation cannot be achieved, record the limitation. Each mandatory reviewer must have an Isolation / Context ID or equivalent audit reference. Do not describe a review as fully independent when the primary answer was visible or the reviewer shared the primary reasoning context.</x:v>
      </x:c>
      <x:c r="F13" s="26"/>
      <x:c r="G13" s="26"/>
      <x:c r="H13" s="26"/>
      <x:c r="I13" s="26"/>
      <x:c r="J13" s="26"/>
      <x:c r="K13" s="26"/>
      <x:c r="L13" s="26"/>
      <x:c r="M13" s="26"/>
      <x:c r="N13" s="26"/>
      <x:c r="O13" s="26"/>
      <x:c r="P13" s="26"/>
      <x:c r="Q13" s="26"/>
      <x:c r="R13" s="26"/>
      <x:c r="S13" s="26"/>
      <x:c r="T13" s="26"/>
      <x:c r="U13" s="26"/>
      <x:c r="V13" s="26"/>
      <x:c r="W13" s="26"/>
      <x:c r="X13" s="26"/>
    </x:row>
    <x:row r="14">
      <x:c r="A14" s="25" t="str">
        <x:v>QS items on review HOLD</x:v>
      </x:c>
      <x:c r="B14" s="26" t="n">
        <x:f>COUNTIF($P$40:$P$110,"HOLD*")</x:f>
        <x:v>0</x:v>
      </x:c>
      <x:c r="C14" s="26"/>
      <x:c r="D14" s="26"/>
      <x:c r="E14" s="26"/>
      <x:c r="F14" s="26"/>
      <x:c r="G14" s="26"/>
      <x:c r="H14" s="26"/>
      <x:c r="I14" s="26"/>
      <x:c r="J14" s="26"/>
      <x:c r="K14" s="26"/>
      <x:c r="L14" s="26"/>
      <x:c r="M14" s="26"/>
      <x:c r="N14" s="26"/>
      <x:c r="O14" s="26"/>
      <x:c r="P14" s="26"/>
      <x:c r="Q14" s="26"/>
      <x:c r="R14" s="26"/>
      <x:c r="S14" s="26"/>
      <x:c r="T14" s="26"/>
      <x:c r="U14" s="26"/>
      <x:c r="V14" s="26"/>
      <x:c r="W14" s="26"/>
      <x:c r="X14" s="26"/>
    </x:row>
    <x:row r="15">
      <x:c r="A15" s="25" t="str">
        <x:v>Accepted changes not integrated</x:v>
      </x:c>
      <x:c r="B15" s="26" t="n">
        <x:f>COUNTIFS($S$117:$S$216,"CHANGE ACCEPTED",$V$117:$V$216,"&lt;&gt;Yes",$C$117:$C$216,"&lt;&gt;")+COUNTIFS($S$117:$S$216,"PARTIAL CHANGE",$V$117:$V$216,"&lt;&gt;Yes",$C$117:$C$216,"&lt;&gt;")</x:f>
        <x:v>0</x:v>
      </x:c>
      <x:c r="C15" s="26"/>
      <x:c r="D15" s="26"/>
      <x:c r="E15" s="26"/>
      <x:c r="F15" s="26"/>
      <x:c r="G15" s="26"/>
      <x:c r="H15" s="26"/>
      <x:c r="I15" s="26"/>
      <x:c r="J15" s="26"/>
      <x:c r="K15" s="26"/>
      <x:c r="L15" s="26"/>
      <x:c r="M15" s="26"/>
      <x:c r="N15" s="26"/>
      <x:c r="O15" s="26"/>
      <x:c r="P15" s="26"/>
      <x:c r="Q15" s="26"/>
      <x:c r="R15" s="26"/>
      <x:c r="S15" s="26"/>
      <x:c r="T15" s="26"/>
      <x:c r="U15" s="26"/>
      <x:c r="V15" s="26"/>
      <x:c r="W15" s="26"/>
      <x:c r="X15" s="26"/>
    </x:row>
    <x:row r="16">
      <x:c r="A16" s="25" t="str">
        <x:v>Active QS items</x:v>
      </x:c>
      <x:c r="B16" s="26" t="n">
        <x:f>COUNTA('QS Takeoff'!$B$3:$B$73)</x:f>
        <x:v>0</x:v>
      </x:c>
      <x:c r="C16" s="26"/>
      <x:c r="D16" s="26"/>
      <x:c r="E16" s="26"/>
      <x:c r="F16" s="26"/>
      <x:c r="G16" s="26"/>
      <x:c r="H16" s="26"/>
      <x:c r="I16" s="26"/>
      <x:c r="J16" s="26"/>
      <x:c r="K16" s="26"/>
      <x:c r="L16" s="26"/>
      <x:c r="M16" s="26"/>
      <x:c r="N16" s="26"/>
      <x:c r="O16" s="26"/>
      <x:c r="P16" s="26"/>
      <x:c r="Q16" s="26"/>
      <x:c r="R16" s="26"/>
      <x:c r="S16" s="26"/>
      <x:c r="T16" s="26"/>
      <x:c r="U16" s="26"/>
      <x:c r="V16" s="26"/>
      <x:c r="W16" s="26"/>
      <x:c r="X16" s="26"/>
    </x:row>
    <x:row r="17">
      <x:c r="A17" s="25" t="str">
        <x:v>QS items fully reviewed</x:v>
      </x:c>
      <x:c r="B17" s="26" t="n">
        <x:f>COUNTIF($P$40:$P$110,"PASS")</x:f>
        <x:v>0</x:v>
      </x:c>
      <x:c r="C17" s="26"/>
      <x:c r="D17" s="26"/>
      <x:c r="E17" s="26"/>
      <x:c r="F17" s="26"/>
      <x:c r="G17" s="26"/>
      <x:c r="H17" s="26"/>
      <x:c r="I17" s="26"/>
      <x:c r="J17" s="26"/>
      <x:c r="K17" s="26"/>
      <x:c r="L17" s="26"/>
      <x:c r="M17" s="26"/>
      <x:c r="N17" s="26"/>
      <x:c r="O17" s="26"/>
      <x:c r="P17" s="26"/>
      <x:c r="Q17" s="26"/>
      <x:c r="R17" s="26"/>
      <x:c r="S17" s="26"/>
      <x:c r="T17" s="26"/>
      <x:c r="U17" s="26"/>
      <x:c r="V17" s="26"/>
      <x:c r="W17" s="26"/>
      <x:c r="X17" s="26"/>
    </x:row>
    <x:row r="18">
      <x:c r="A18" s="25" t="str">
        <x:v>Chief adjudicator status</x:v>
      </x:c>
      <x:c r="B18" s="26" t="str">
        <x:f>$L$33</x:f>
        <x:v>HOLD - NOT COMPLETE</x:v>
      </x:c>
      <x:c r="C18" s="26"/>
      <x:c r="D18" s="26"/>
      <x:c r="E18" s="26"/>
      <x:c r="F18" s="26"/>
      <x:c r="G18" s="26"/>
      <x:c r="H18" s="26"/>
      <x:c r="I18" s="26"/>
      <x:c r="J18" s="26"/>
      <x:c r="K18" s="26"/>
      <x:c r="L18" s="26"/>
      <x:c r="M18" s="26"/>
      <x:c r="N18" s="26"/>
      <x:c r="O18" s="26"/>
      <x:c r="P18" s="26"/>
      <x:c r="Q18" s="26"/>
      <x:c r="R18" s="26"/>
      <x:c r="S18" s="26"/>
      <x:c r="T18" s="26"/>
      <x:c r="U18" s="26"/>
      <x:c r="V18" s="26"/>
      <x:c r="W18" s="26"/>
      <x:c r="X18" s="26"/>
    </x:row>
    <x:row r="19">
      <x:c r="A19" s="771" t="str">
        <x:v>BOARD RELEASE GATE</x:v>
      </x:c>
      <x:c r="B19" s="771" t="str">
        <x:f>IF(OR(B9&lt;B7,B10&lt;B8,B11&gt;0,B12&gt;0,B14&gt;0,B15&gt;0,B17&lt;B16,B18&lt;&gt;"COMPLETE"),"HOLD - INDEPENDENT REVIEW INCOMPLETE / RED",IF(B13&gt;0,"PASS WITH AMBER","PASS"))</x:f>
        <x:v>HOLD - INDEPENDENT REVIEW INCOMPLETE / RED</x:v>
      </x:c>
      <x:c r="C19" s="26"/>
      <x:c r="D19" s="26"/>
      <x:c r="E19" s="26"/>
      <x:c r="F19" s="26"/>
      <x:c r="G19" s="26"/>
      <x:c r="H19" s="26"/>
      <x:c r="I19" s="26"/>
      <x:c r="J19" s="26"/>
      <x:c r="K19" s="26"/>
      <x:c r="L19" s="26"/>
      <x:c r="M19" s="26"/>
      <x:c r="N19" s="26"/>
      <x:c r="O19" s="26"/>
      <x:c r="P19" s="26"/>
      <x:c r="Q19" s="26"/>
      <x:c r="R19" s="26"/>
      <x:c r="S19" s="26"/>
      <x:c r="T19" s="26"/>
      <x:c r="U19" s="26"/>
      <x:c r="V19" s="26"/>
      <x:c r="W19" s="26"/>
      <x:c r="X19" s="26"/>
    </x:row>
    <x:row r="20">
      <x:c r="A20" s="775" t="str">
        <x:v>Operating standard</x:v>
      </x:c>
      <x:c r="B20" s="772" t="str">
        <x:v>Independent Estimate Verification Board Standard Rev1 - development candidate</x:v>
      </x:c>
      <x:c r="C20" s="26"/>
      <x:c r="D20" s="26"/>
      <x:c r="E20" s="26"/>
      <x:c r="F20" s="26"/>
      <x:c r="G20" s="26"/>
      <x:c r="H20" s="26"/>
      <x:c r="I20" s="26"/>
      <x:c r="J20" s="26"/>
      <x:c r="K20" s="26"/>
      <x:c r="L20" s="26"/>
      <x:c r="M20" s="26"/>
      <x:c r="N20" s="26"/>
      <x:c r="O20" s="26"/>
      <x:c r="P20" s="26"/>
      <x:c r="Q20" s="26"/>
      <x:c r="R20" s="26"/>
      <x:c r="S20" s="26"/>
      <x:c r="T20" s="26"/>
      <x:c r="U20" s="26"/>
      <x:c r="V20" s="26"/>
      <x:c r="W20" s="26"/>
      <x:c r="X20" s="26"/>
    </x:row>
    <x:row r="21">
      <x:c r="A21" s="26"/>
      <x:c r="B21" s="26"/>
      <x:c r="C21" s="26"/>
      <x:c r="D21" s="26"/>
      <x:c r="E21" s="26"/>
      <x:c r="F21" s="26"/>
      <x:c r="G21" s="26"/>
      <x:c r="H21" s="26"/>
      <x:c r="I21" s="26"/>
      <x:c r="J21" s="26"/>
      <x:c r="K21" s="26"/>
      <x:c r="L21" s="26"/>
      <x:c r="M21" s="26"/>
      <x:c r="N21" s="26"/>
      <x:c r="O21" s="26"/>
      <x:c r="P21" s="26"/>
      <x:c r="Q21" s="26"/>
      <x:c r="R21" s="26"/>
      <x:c r="S21" s="26"/>
      <x:c r="T21" s="26"/>
      <x:c r="U21" s="26"/>
      <x:c r="V21" s="26"/>
      <x:c r="W21" s="26"/>
      <x:c r="X21" s="26"/>
    </x:row>
    <x:row r="22">
      <x:c r="A22" s="770" t="str">
        <x:v>REVIEWER INDEPENDENCE &amp; COMMITMENT REGISTER</x:v>
      </x:c>
      <x:c r="B22" s="770"/>
      <x:c r="C22" s="770"/>
      <x:c r="D22" s="770"/>
      <x:c r="E22" s="770"/>
      <x:c r="F22" s="770"/>
      <x:c r="G22" s="770"/>
      <x:c r="H22" s="770"/>
      <x:c r="I22" s="770"/>
      <x:c r="J22" s="770"/>
      <x:c r="K22" s="770"/>
      <x:c r="L22" s="770"/>
      <x:c r="M22" s="26"/>
      <x:c r="N22" s="26"/>
      <x:c r="O22" s="26"/>
      <x:c r="P22" s="26"/>
      <x:c r="Q22" s="26"/>
      <x:c r="R22" s="26"/>
      <x:c r="S22" s="26"/>
      <x:c r="T22" s="26"/>
      <x:c r="U22" s="26"/>
      <x:c r="V22" s="26"/>
      <x:c r="W22" s="26"/>
      <x:c r="X22" s="26"/>
    </x:row>
    <x:row r="23" ht="36" customHeight="1">
      <x:c r="A23" s="776" t="str">
        <x:v>Reviewer ID</x:v>
      </x:c>
      <x:c r="B23" s="776" t="str">
        <x:v>Role</x:v>
      </x:c>
      <x:c r="C23" s="776" t="str">
        <x:v>Review Type</x:v>
      </x:c>
      <x:c r="D23" s="776" t="str">
        <x:v>Required?</x:v>
      </x:c>
      <x:c r="E23" s="776" t="str">
        <x:v>Independent?</x:v>
      </x:c>
      <x:c r="F23" s="776" t="str">
        <x:v>Primary estimate withheld until commitment?</x:v>
      </x:c>
      <x:c r="G23" s="776" t="str">
        <x:v>Independent position committed?</x:v>
      </x:c>
      <x:c r="H23" s="776" t="str">
        <x:v>Independence / method note</x:v>
      </x:c>
      <x:c r="I23" s="776" t="str">
        <x:v>Isolation / Context ID</x:v>
      </x:c>
      <x:c r="J23" s="776" t="str">
        <x:v>Reviewer / Agent</x:v>
      </x:c>
      <x:c r="K23" s="776" t="str">
        <x:v>Completion date</x:v>
      </x:c>
      <x:c r="L23" s="776" t="str">
        <x:v>Reviewer Status</x:v>
      </x:c>
      <x:c r="M23" s="26"/>
      <x:c r="N23" s="26"/>
      <x:c r="O23" s="26"/>
      <x:c r="P23" s="26"/>
      <x:c r="Q23" s="26"/>
      <x:c r="R23" s="26"/>
      <x:c r="S23" s="26"/>
      <x:c r="T23" s="26"/>
      <x:c r="U23" s="26"/>
      <x:c r="V23" s="26"/>
      <x:c r="W23" s="26"/>
      <x:c r="X23" s="26"/>
    </x:row>
    <x:row r="24" ht="54" customHeight="1">
      <x:c r="A24" s="26" t="str">
        <x:v>ERB-01</x:v>
      </x:c>
      <x:c r="B24" s="26" t="str">
        <x:v>Independent Estimator A - whole estimate</x:v>
      </x:c>
      <x:c r="C24" s="26" t="str">
        <x:v>Clean-room</x:v>
      </x:c>
      <x:c r="D24" s="778" t="str">
        <x:v>Yes</x:v>
      </x:c>
      <x:c r="E24" s="778"/>
      <x:c r="F24" s="778"/>
      <x:c r="G24" s="778"/>
      <x:c r="H24" s="778" t="str">
        <x:v>Separate clean-room estimate from project evidence; no primary estimate values visible before commitment.</x:v>
      </x:c>
      <x:c r="I24" s="778"/>
      <x:c r="J24" s="778" t="str"/>
      <x:c r="K24" s="778"/>
      <x:c r="L24" s="788" t="str">
        <x:f>IF(D24&lt;&gt;"Yes","N/A",IF(OR(E24="",F24="",G24="",I24=""),"HOLD - NOT COMPLETE",IF(OR(E24&lt;&gt;"Yes",F24&lt;&gt;"Yes"),"RED - INDEPENDENCE FAILED",IF(G24&lt;&gt;"Yes","HOLD - NOT COMMITTED","COMPLETE"))))</x:f>
        <x:v>HOLD - NOT COMPLETE</x:v>
      </x:c>
      <x:c r="M24" s="26"/>
      <x:c r="N24" s="26"/>
      <x:c r="O24" s="26"/>
      <x:c r="P24" s="26"/>
      <x:c r="Q24" s="26"/>
      <x:c r="R24" s="26"/>
      <x:c r="S24" s="26"/>
      <x:c r="T24" s="26"/>
      <x:c r="U24" s="26"/>
      <x:c r="V24" s="26"/>
      <x:c r="W24" s="26"/>
      <x:c r="X24" s="26"/>
    </x:row>
    <x:row r="25" ht="54" customHeight="1">
      <x:c r="A25" s="26" t="str">
        <x:v>ERB-02</x:v>
      </x:c>
      <x:c r="B25" s="26" t="str">
        <x:v>Independent Estimator B - whole estimate</x:v>
      </x:c>
      <x:c r="C25" s="26" t="str">
        <x:v>Clean-room</x:v>
      </x:c>
      <x:c r="D25" s="778" t="str">
        <x:v>Yes</x:v>
      </x:c>
      <x:c r="E25" s="778"/>
      <x:c r="F25" s="778"/>
      <x:c r="G25" s="778"/>
      <x:c r="H25" s="778" t="str">
        <x:v>Separate clean-room estimate using an independent reasoning path; no primary values visible before commitment.</x:v>
      </x:c>
      <x:c r="I25" s="778"/>
      <x:c r="J25" s="778" t="str"/>
      <x:c r="K25" s="778"/>
      <x:c r="L25" s="788" t="str">
        <x:f>IF(D25&lt;&gt;"Yes","N/A",IF(OR(E25="",F25="",G25="",I25=""),"HOLD - NOT COMPLETE",IF(OR(E25&lt;&gt;"Yes",F25&lt;&gt;"Yes"),"RED - INDEPENDENCE FAILED",IF(G25&lt;&gt;"Yes","HOLD - NOT COMMITTED","COMPLETE"))))</x:f>
        <x:v>HOLD - NOT COMPLETE</x:v>
      </x:c>
      <x:c r="M25" s="26"/>
      <x:c r="N25" s="26"/>
      <x:c r="O25" s="26"/>
      <x:c r="P25" s="26"/>
      <x:c r="Q25" s="26"/>
      <x:c r="R25" s="26"/>
      <x:c r="S25" s="26"/>
      <x:c r="T25" s="26"/>
      <x:c r="U25" s="26"/>
      <x:c r="V25" s="26"/>
      <x:c r="W25" s="26"/>
      <x:c r="X25" s="26"/>
    </x:row>
    <x:row r="26" ht="54" customHeight="1">
      <x:c r="A26" s="26" t="str">
        <x:v>ERB-03</x:v>
      </x:c>
      <x:c r="B26" s="26" t="str">
        <x:v>Independent Estimator C - whole estimate</x:v>
      </x:c>
      <x:c r="C26" s="26" t="str">
        <x:v>Clean-room</x:v>
      </x:c>
      <x:c r="D26" s="778" t="str">
        <x:v>Yes</x:v>
      </x:c>
      <x:c r="E26" s="778"/>
      <x:c r="F26" s="778"/>
      <x:c r="G26" s="778"/>
      <x:c r="H26" s="778" t="str">
        <x:v>Separate clean-room estimate using an independent reasoning path; no primary values visible before commitment.</x:v>
      </x:c>
      <x:c r="I26" s="778"/>
      <x:c r="J26" s="778" t="str"/>
      <x:c r="K26" s="778"/>
      <x:c r="L26" s="788" t="str">
        <x:f>IF(D26&lt;&gt;"Yes","N/A",IF(OR(E26="",F26="",G26="",I26=""),"HOLD - NOT COMPLETE",IF(OR(E26&lt;&gt;"Yes",F26&lt;&gt;"Yes"),"RED - INDEPENDENCE FAILED",IF(G26&lt;&gt;"Yes","HOLD - NOT COMMITTED","COMPLETE"))))</x:f>
        <x:v>HOLD - NOT COMPLETE</x:v>
      </x:c>
      <x:c r="M26" s="26"/>
      <x:c r="N26" s="26"/>
      <x:c r="O26" s="26"/>
      <x:c r="P26" s="26"/>
      <x:c r="Q26" s="26"/>
      <x:c r="R26" s="26"/>
      <x:c r="S26" s="26"/>
      <x:c r="T26" s="26"/>
      <x:c r="U26" s="26"/>
      <x:c r="V26" s="26"/>
      <x:c r="W26" s="26"/>
      <x:c r="X26" s="26"/>
    </x:row>
    <x:row r="27" ht="54" customHeight="1">
      <x:c r="A27" s="26" t="str">
        <x:v>ERB-04</x:v>
      </x:c>
      <x:c r="B27" s="26" t="str">
        <x:v>Scope &amp; document challenge reviewer</x:v>
      </x:c>
      <x:c r="C27" s="26" t="str">
        <x:v>Specialist</x:v>
      </x:c>
      <x:c r="D27" s="778" t="str">
        <x:v>Yes</x:v>
      </x:c>
      <x:c r="E27" s="778"/>
      <x:c r="F27" s="778"/>
      <x:c r="G27" s="778"/>
      <x:c r="H27" s="778" t="str">
        <x:v>Re-read plans/specs/addenda for omissions, contradictions, interfaces, exclusions and RFIs without accepting the primary scope.</x:v>
      </x:c>
      <x:c r="I27" s="778"/>
      <x:c r="J27" s="778" t="str"/>
      <x:c r="K27" s="778"/>
      <x:c r="L27" s="788" t="str">
        <x:f>IF(D27&lt;&gt;"Yes","N/A",IF(OR(E27="",F27="",G27="",I27=""),"HOLD - NOT COMPLETE",IF(OR(E27&lt;&gt;"Yes",F27&lt;&gt;"Yes"),"RED - INDEPENDENCE FAILED",IF(G27&lt;&gt;"Yes","HOLD - NOT COMMITTED","COMPLETE"))))</x:f>
        <x:v>HOLD - NOT COMPLETE</x:v>
      </x:c>
      <x:c r="M27" s="26"/>
      <x:c r="N27" s="26"/>
      <x:c r="O27" s="26"/>
      <x:c r="P27" s="26"/>
      <x:c r="Q27" s="26"/>
      <x:c r="R27" s="26"/>
      <x:c r="S27" s="26"/>
      <x:c r="T27" s="26"/>
      <x:c r="U27" s="26"/>
      <x:c r="V27" s="26"/>
      <x:c r="W27" s="26"/>
      <x:c r="X27" s="26"/>
    </x:row>
    <x:row r="28" ht="54" customHeight="1">
      <x:c r="A28" s="26" t="str">
        <x:v>ERB-05</x:v>
      </x:c>
      <x:c r="B28" s="26" t="str">
        <x:v>Quantity &amp; takeoff challenge reviewer</x:v>
      </x:c>
      <x:c r="C28" s="26" t="str">
        <x:v>Specialist</x:v>
      </x:c>
      <x:c r="D28" s="778" t="str">
        <x:v>Yes</x:v>
      </x:c>
      <x:c r="E28" s="778"/>
      <x:c r="F28" s="778"/>
      <x:c r="G28" s="778"/>
      <x:c r="H28" s="778" t="str">
        <x:v>Independently measure/check quantities, dimensions, counts, units and waste basis before seeing primary measurements.</x:v>
      </x:c>
      <x:c r="I28" s="778"/>
      <x:c r="J28" s="778" t="str"/>
      <x:c r="K28" s="778"/>
      <x:c r="L28" s="788" t="str">
        <x:f>IF(D28&lt;&gt;"Yes","N/A",IF(OR(E28="",F28="",G28="",I28=""),"HOLD - NOT COMPLETE",IF(OR(E28&lt;&gt;"Yes",F28&lt;&gt;"Yes"),"RED - INDEPENDENCE FAILED",IF(G28&lt;&gt;"Yes","HOLD - NOT COMMITTED","COMPLETE"))))</x:f>
        <x:v>HOLD - NOT COMPLETE</x:v>
      </x:c>
      <x:c r="M28" s="26"/>
      <x:c r="N28" s="26"/>
      <x:c r="O28" s="26"/>
      <x:c r="P28" s="26"/>
      <x:c r="Q28" s="26"/>
      <x:c r="R28" s="26"/>
      <x:c r="S28" s="26"/>
      <x:c r="T28" s="26"/>
      <x:c r="U28" s="26"/>
      <x:c r="V28" s="26"/>
      <x:c r="W28" s="26"/>
      <x:c r="X28" s="26"/>
    </x:row>
    <x:row r="29" ht="54" customHeight="1">
      <x:c r="A29" s="26" t="str">
        <x:v>ERB-06</x:v>
      </x:c>
      <x:c r="B29" s="26" t="str">
        <x:v>Method / productivity / crew challenge reviewer</x:v>
      </x:c>
      <x:c r="C29" s="26" t="str">
        <x:v>Specialist</x:v>
      </x:c>
      <x:c r="D29" s="778" t="str">
        <x:v>Yes</x:v>
      </x:c>
      <x:c r="E29" s="778"/>
      <x:c r="F29" s="778"/>
      <x:c r="G29" s="778"/>
      <x:c r="H29" s="778" t="str">
        <x:v>Rebuild construction method, crew, plant, cycle and productivity from first principles before comparison.</x:v>
      </x:c>
      <x:c r="I29" s="778"/>
      <x:c r="J29" s="778" t="str"/>
      <x:c r="K29" s="778"/>
      <x:c r="L29" s="788" t="str">
        <x:f>IF(D29&lt;&gt;"Yes","N/A",IF(OR(E29="",F29="",G29="",I29=""),"HOLD - NOT COMPLETE",IF(OR(E29&lt;&gt;"Yes",F29&lt;&gt;"Yes"),"RED - INDEPENDENCE FAILED",IF(G29&lt;&gt;"Yes","HOLD - NOT COMMITTED","COMPLETE"))))</x:f>
        <x:v>HOLD - NOT COMPLETE</x:v>
      </x:c>
      <x:c r="M29" s="26"/>
      <x:c r="N29" s="26"/>
      <x:c r="O29" s="26"/>
      <x:c r="P29" s="26"/>
      <x:c r="Q29" s="26"/>
      <x:c r="R29" s="26"/>
      <x:c r="S29" s="26"/>
      <x:c r="T29" s="26"/>
      <x:c r="U29" s="26"/>
      <x:c r="V29" s="26"/>
      <x:c r="W29" s="26"/>
      <x:c r="X29" s="26"/>
    </x:row>
    <x:row r="30" ht="54" customHeight="1">
      <x:c r="A30" s="26" t="str">
        <x:v>ERB-07</x:v>
      </x:c>
      <x:c r="B30" s="26" t="str">
        <x:v>Rate &amp; procurement challenge reviewer</x:v>
      </x:c>
      <x:c r="C30" s="26" t="str">
        <x:v>Specialist</x:v>
      </x:c>
      <x:c r="D30" s="778" t="str">
        <x:v>Yes</x:v>
      </x:c>
      <x:c r="E30" s="778"/>
      <x:c r="F30" s="778"/>
      <x:c r="G30" s="778"/>
      <x:c r="H30" s="778" t="str">
        <x:v>Independently test labour, plant, material, subcontract and supplier pricing evidence and commercial basis.</x:v>
      </x:c>
      <x:c r="I30" s="778"/>
      <x:c r="J30" s="778" t="str"/>
      <x:c r="K30" s="778"/>
      <x:c r="L30" s="788" t="str">
        <x:f>IF(D30&lt;&gt;"Yes","N/A",IF(OR(E30="",F30="",G30="",I30=""),"HOLD - NOT COMPLETE",IF(OR(E30&lt;&gt;"Yes",F30&lt;&gt;"Yes"),"RED - INDEPENDENCE FAILED",IF(G30&lt;&gt;"Yes","HOLD - NOT COMMITTED","COMPLETE"))))</x:f>
        <x:v>HOLD - NOT COMPLETE</x:v>
      </x:c>
      <x:c r="M30" s="26"/>
      <x:c r="N30" s="26"/>
      <x:c r="O30" s="26"/>
      <x:c r="P30" s="26"/>
      <x:c r="Q30" s="26"/>
      <x:c r="R30" s="26"/>
      <x:c r="S30" s="26"/>
      <x:c r="T30" s="26"/>
      <x:c r="U30" s="26"/>
      <x:c r="V30" s="26"/>
      <x:c r="W30" s="26"/>
      <x:c r="X30" s="26"/>
    </x:row>
    <x:row r="31" ht="54" customHeight="1">
      <x:c r="A31" s="26" t="str">
        <x:v>ERB-08</x:v>
      </x:c>
      <x:c r="B31" s="26" t="str">
        <x:v>Programme &amp; time-cost challenge reviewer</x:v>
      </x:c>
      <x:c r="C31" s="26" t="str">
        <x:v>Specialist</x:v>
      </x:c>
      <x:c r="D31" s="778" t="str">
        <x:v>Yes</x:v>
      </x:c>
      <x:c r="E31" s="778"/>
      <x:c r="F31" s="778"/>
      <x:c r="G31" s="778"/>
      <x:c r="H31" s="778" t="str">
        <x:v>Independently test sequence, duration, work fronts, critical path and time-related cost reconciliation.</x:v>
      </x:c>
      <x:c r="I31" s="778"/>
      <x:c r="J31" s="778" t="str"/>
      <x:c r="K31" s="778"/>
      <x:c r="L31" s="788" t="str">
        <x:f>IF(D31&lt;&gt;"Yes","N/A",IF(OR(E31="",F31="",G31="",I31=""),"HOLD - NOT COMPLETE",IF(OR(E31&lt;&gt;"Yes",F31&lt;&gt;"Yes"),"RED - INDEPENDENCE FAILED",IF(G31&lt;&gt;"Yes","HOLD - NOT COMMITTED","COMPLETE"))))</x:f>
        <x:v>HOLD - NOT COMPLETE</x:v>
      </x:c>
      <x:c r="M31" s="26"/>
      <x:c r="N31" s="26"/>
      <x:c r="O31" s="26"/>
      <x:c r="P31" s="26"/>
      <x:c r="Q31" s="26"/>
      <x:c r="R31" s="26"/>
      <x:c r="S31" s="26"/>
      <x:c r="T31" s="26"/>
      <x:c r="U31" s="26"/>
      <x:c r="V31" s="26"/>
      <x:c r="W31" s="26"/>
      <x:c r="X31" s="26"/>
    </x:row>
    <x:row r="32" ht="54" customHeight="1">
      <x:c r="A32" s="26" t="str">
        <x:v>ERB-09</x:v>
      </x:c>
      <x:c r="B32" s="26" t="str">
        <x:v>Risk / commercial / double-count challenge reviewer</x:v>
      </x:c>
      <x:c r="C32" s="26" t="str">
        <x:v>Specialist</x:v>
      </x:c>
      <x:c r="D32" s="778" t="str">
        <x:v>Yes</x:v>
      </x:c>
      <x:c r="E32" s="778"/>
      <x:c r="F32" s="778"/>
      <x:c r="G32" s="778"/>
      <x:c r="H32" s="778" t="str">
        <x:v>Try to disprove risk treatment, commercial inputs, allowances, interfaces and duplicate-cost controls.</x:v>
      </x:c>
      <x:c r="I32" s="778"/>
      <x:c r="J32" s="778" t="str"/>
      <x:c r="K32" s="778"/>
      <x:c r="L32" s="788" t="str">
        <x:f>IF(D32&lt;&gt;"Yes","N/A",IF(OR(E32="",F32="",G32="",I32=""),"HOLD - NOT COMPLETE",IF(OR(E32&lt;&gt;"Yes",F32&lt;&gt;"Yes"),"RED - INDEPENDENCE FAILED",IF(G32&lt;&gt;"Yes","HOLD - NOT COMMITTED","COMPLETE"))))</x:f>
        <x:v>HOLD - NOT COMPLETE</x:v>
      </x:c>
      <x:c r="M32" s="26"/>
      <x:c r="N32" s="26"/>
      <x:c r="O32" s="26"/>
      <x:c r="P32" s="26"/>
      <x:c r="Q32" s="26"/>
      <x:c r="R32" s="26"/>
      <x:c r="S32" s="26"/>
      <x:c r="T32" s="26"/>
      <x:c r="U32" s="26"/>
      <x:c r="V32" s="26"/>
      <x:c r="W32" s="26"/>
      <x:c r="X32" s="26"/>
    </x:row>
    <x:row r="33" ht="54" customHeight="1">
      <x:c r="A33" s="26" t="str">
        <x:v>ERB-10</x:v>
      </x:c>
      <x:c r="B33" s="26" t="str">
        <x:v>Chief Estimator - evidence adjudicator</x:v>
      </x:c>
      <x:c r="C33" s="26" t="str">
        <x:v>Adjudication</x:v>
      </x:c>
      <x:c r="D33" s="778" t="str">
        <x:v>Yes</x:v>
      </x:c>
      <x:c r="E33" s="778" t="str">
        <x:v>N/A</x:v>
      </x:c>
      <x:c r="F33" s="778" t="str">
        <x:v>N/A</x:v>
      </x:c>
      <x:c r="G33" s="778"/>
      <x:c r="H33" s="778" t="str">
        <x:v>Sees all committed reviewer outputs and the frozen primary estimate. Adjudicates on evidence; never averages or votes.</x:v>
      </x:c>
      <x:c r="I33" s="778" t="str"/>
      <x:c r="J33" s="778" t="str"/>
      <x:c r="K33" s="778"/>
      <x:c r="L33" s="788" t="str">
        <x:f>IF(D33&lt;&gt;"Yes","N/A",IF(G33="","HOLD - NOT COMPLETE",IF(G33="Yes","COMPLETE","RED - ADJUDICATION NOT COMPLETE")))</x:f>
        <x:v>HOLD - NOT COMPLETE</x:v>
      </x:c>
      <x:c r="M33" s="26"/>
      <x:c r="N33" s="26"/>
      <x:c r="O33" s="26"/>
      <x:c r="P33" s="26"/>
      <x:c r="Q33" s="26"/>
      <x:c r="R33" s="26"/>
      <x:c r="S33" s="26"/>
      <x:c r="T33" s="26"/>
      <x:c r="U33" s="26"/>
      <x:c r="V33" s="26"/>
      <x:c r="W33" s="26"/>
      <x:c r="X33" s="26"/>
    </x:row>
    <x:row r="34">
      <x:c r="A34" s="26"/>
      <x:c r="B34" s="26"/>
      <x:c r="C34" s="26"/>
      <x:c r="D34" s="26"/>
      <x:c r="E34" s="26"/>
      <x:c r="F34" s="26"/>
      <x:c r="G34" s="26"/>
      <x:c r="H34" s="26"/>
      <x:c r="I34" s="26"/>
      <x:c r="J34" s="26"/>
      <x:c r="K34" s="26"/>
      <x:c r="L34" s="26"/>
      <x:c r="M34" s="26"/>
      <x:c r="N34" s="26"/>
      <x:c r="O34" s="26"/>
      <x:c r="P34" s="26"/>
      <x:c r="Q34" s="26"/>
      <x:c r="R34" s="26"/>
      <x:c r="S34" s="26"/>
      <x:c r="T34" s="26"/>
      <x:c r="U34" s="26"/>
      <x:c r="V34" s="26"/>
      <x:c r="W34" s="26"/>
      <x:c r="X34" s="26"/>
    </x:row>
    <x:row r="35">
      <x:c r="A35" s="26"/>
      <x:c r="B35" s="26"/>
      <x:c r="C35" s="26"/>
      <x:c r="D35" s="26"/>
      <x:c r="E35" s="26"/>
      <x:c r="F35" s="26"/>
      <x:c r="G35" s="26"/>
      <x:c r="H35" s="26"/>
      <x:c r="I35" s="26"/>
      <x:c r="J35" s="26"/>
      <x:c r="K35" s="26"/>
      <x:c r="L35" s="26"/>
      <x:c r="M35" s="26"/>
      <x:c r="N35" s="26"/>
      <x:c r="O35" s="26"/>
      <x:c r="P35" s="26"/>
      <x:c r="Q35" s="26"/>
      <x:c r="R35" s="26"/>
      <x:c r="S35" s="26"/>
      <x:c r="T35" s="26"/>
      <x:c r="U35" s="26"/>
      <x:c r="V35" s="26"/>
      <x:c r="W35" s="26"/>
      <x:c r="X35" s="26"/>
    </x:row>
    <x:row r="36">
      <x:c r="A36" s="770" t="str">
        <x:v>QS ITEM VERIFICATION COVERAGE - EVERY ACTIVE QS ITEM MUST SURVIVE EACH MANDATORY REVIEW</x:v>
      </x:c>
      <x:c r="B36" s="770"/>
      <x:c r="C36" s="770"/>
      <x:c r="D36" s="770"/>
      <x:c r="E36" s="770"/>
      <x:c r="F36" s="770"/>
      <x:c r="G36" s="770"/>
      <x:c r="H36" s="770"/>
      <x:c r="I36" s="770"/>
      <x:c r="J36" s="770"/>
      <x:c r="K36" s="770"/>
      <x:c r="L36" s="770"/>
      <x:c r="M36" s="770"/>
      <x:c r="N36" s="770"/>
      <x:c r="O36" s="770"/>
      <x:c r="P36" s="770"/>
      <x:c r="Q36" s="770"/>
      <x:c r="R36" s="26"/>
      <x:c r="S36" s="26"/>
      <x:c r="T36" s="26"/>
      <x:c r="U36" s="26"/>
      <x:c r="V36" s="26"/>
      <x:c r="W36" s="26"/>
      <x:c r="X36" s="26"/>
    </x:row>
    <x:row r="37">
      <x:c r="A37" s="26"/>
      <x:c r="B37" s="26"/>
      <x:c r="C37" s="26"/>
      <x:c r="D37" s="26"/>
      <x:c r="E37" s="26"/>
      <x:c r="F37" s="26"/>
      <x:c r="G37" s="26"/>
      <x:c r="H37" s="26"/>
      <x:c r="I37" s="26"/>
      <x:c r="J37" s="26"/>
      <x:c r="K37" s="26"/>
      <x:c r="L37" s="26"/>
      <x:c r="M37" s="26"/>
      <x:c r="N37" s="26"/>
      <x:c r="O37" s="26"/>
      <x:c r="P37" s="26"/>
      <x:c r="Q37" s="26"/>
      <x:c r="R37" s="26"/>
      <x:c r="S37" s="26"/>
      <x:c r="T37" s="26"/>
      <x:c r="U37" s="26"/>
      <x:c r="V37" s="26"/>
      <x:c r="W37" s="26"/>
      <x:c r="X37" s="26"/>
    </x:row>
    <x:row r="38">
      <x:c r="A38" s="26"/>
      <x:c r="B38" s="26"/>
      <x:c r="C38" s="26"/>
      <x:c r="D38" s="26"/>
      <x:c r="E38" s="26"/>
      <x:c r="F38" s="26"/>
      <x:c r="G38" s="26"/>
      <x:c r="H38" s="26"/>
      <x:c r="I38" s="26"/>
      <x:c r="J38" s="26"/>
      <x:c r="K38" s="26"/>
      <x:c r="L38" s="26"/>
      <x:c r="M38" s="26"/>
      <x:c r="N38" s="26"/>
      <x:c r="O38" s="26"/>
      <x:c r="P38" s="26"/>
      <x:c r="Q38" s="26"/>
      <x:c r="R38" s="26"/>
      <x:c r="S38" s="26"/>
      <x:c r="T38" s="26"/>
      <x:c r="U38" s="26"/>
      <x:c r="V38" s="26"/>
      <x:c r="W38" s="26"/>
      <x:c r="X38" s="26"/>
    </x:row>
    <x:row r="39" ht="38" customHeight="1">
      <x:c r="A39" s="776" t="str">
        <x:v>QS Code</x:v>
      </x:c>
      <x:c r="B39" s="776" t="str">
        <x:v>WBS / Section</x:v>
      </x:c>
      <x:c r="C39" s="776" t="str">
        <x:v>Description</x:v>
      </x:c>
      <x:c r="D39" s="776" t="str">
        <x:v>Quantity</x:v>
      </x:c>
      <x:c r="E39" s="776" t="str">
        <x:v>Unit</x:v>
      </x:c>
      <x:c r="F39" s="776" t="str">
        <x:v>Amount excl. GST</x:v>
      </x:c>
      <x:c r="G39" s="776" t="str">
        <x:v>Estimator A</x:v>
      </x:c>
      <x:c r="H39" s="776" t="str">
        <x:v>Estimator B</x:v>
      </x:c>
      <x:c r="I39" s="776" t="str">
        <x:v>Estimator C</x:v>
      </x:c>
      <x:c r="J39" s="776" t="str">
        <x:v>Scope</x:v>
      </x:c>
      <x:c r="K39" s="776" t="str">
        <x:v>Quantity</x:v>
      </x:c>
      <x:c r="L39" s="776" t="str">
        <x:v>Method / Productivity</x:v>
      </x:c>
      <x:c r="M39" s="776" t="str">
        <x:v>Rate / Procurement</x:v>
      </x:c>
      <x:c r="N39" s="776" t="str">
        <x:v>Programme</x:v>
      </x:c>
      <x:c r="O39" s="776" t="str">
        <x:v>Risk / Commercial</x:v>
      </x:c>
      <x:c r="P39" s="776" t="str">
        <x:v>Item Verification Gate</x:v>
      </x:c>
      <x:c r="Q39" s="776" t="str">
        <x:v>Finding IDs / Notes</x:v>
      </x:c>
      <x:c r="R39" s="26"/>
      <x:c r="S39" s="26"/>
      <x:c r="T39" s="26"/>
      <x:c r="U39" s="26"/>
      <x:c r="V39" s="26"/>
      <x:c r="W39" s="26"/>
      <x:c r="X39" s="26"/>
    </x:row>
    <x:row r="40" ht="22" customHeight="1">
      <x:c r="A40" s="26" t="str">
        <x:f>IF('QS Takeoff'!B3="","",'QS Takeoff'!B3)</x:f>
      </x:c>
      <x:c r="B40" s="26" t="str">
        <x:f>IF('QS Takeoff'!B3="","",'QS Takeoff'!A3)</x:f>
      </x:c>
      <x:c r="C40" s="26" t="str">
        <x:f>IF('QS Takeoff'!B3="","",'QS Takeoff'!C3)</x:f>
      </x:c>
      <x:c r="D40" s="550" t="str">
        <x:f>IF('QS Takeoff'!B3="","",'QS Takeoff'!E3)</x:f>
      </x:c>
      <x:c r="E40" s="26" t="str">
        <x:f>IF('QS Takeoff'!B3="","",'QS Takeoff'!D3)</x:f>
      </x:c>
      <x:c r="F40" s="556" t="str">
        <x:f>IF('QS Takeoff'!B3="","",'QS Takeoff'!G3)</x:f>
      </x:c>
      <x:c r="G40" s="778"/>
      <x:c r="H40" s="778"/>
      <x:c r="I40" s="778"/>
      <x:c r="J40" s="778"/>
      <x:c r="K40" s="778"/>
      <x:c r="L40" s="778"/>
      <x:c r="M40" s="778"/>
      <x:c r="N40" s="778"/>
      <x:c r="O40" s="778"/>
      <x:c r="P40" s="26" t="str">
        <x:f>IF(A40="","",IF(COUNTIF(G40:O40,"CHALLENGE - OPEN")&gt;0,"HOLD - OPEN CHALLENGE",IF(COUNTBLANK(G40:O40)&gt;0,"HOLD - NOT FULLY REVIEWED",IF(COUNTIF(G40:O40,"NOT REVIEWED")&gt;0,"HOLD - NOT FULLY REVIEWED","PASS"))))</x:f>
      </x:c>
      <x:c r="Q40" s="778"/>
      <x:c r="R40" s="26"/>
      <x:c r="S40" s="26"/>
      <x:c r="T40" s="26"/>
      <x:c r="U40" s="26"/>
      <x:c r="V40" s="26"/>
      <x:c r="W40" s="26"/>
      <x:c r="X40" s="26"/>
    </x:row>
    <x:row r="41" ht="22" customHeight="1">
      <x:c r="A41" s="26" t="str">
        <x:f>IF('QS Takeoff'!B4="","",'QS Takeoff'!B4)</x:f>
      </x:c>
      <x:c r="B41" s="26" t="str">
        <x:f>IF('QS Takeoff'!B4="","",'QS Takeoff'!A4)</x:f>
      </x:c>
      <x:c r="C41" s="26" t="str">
        <x:f>IF('QS Takeoff'!B4="","",'QS Takeoff'!C4)</x:f>
      </x:c>
      <x:c r="D41" s="550" t="str">
        <x:f>IF('QS Takeoff'!B4="","",'QS Takeoff'!E4)</x:f>
      </x:c>
      <x:c r="E41" s="26" t="str">
        <x:f>IF('QS Takeoff'!B4="","",'QS Takeoff'!D4)</x:f>
      </x:c>
      <x:c r="F41" s="556" t="str">
        <x:f>IF('QS Takeoff'!B4="","",'QS Takeoff'!G4)</x:f>
      </x:c>
      <x:c r="G41" s="778"/>
      <x:c r="H41" s="778"/>
      <x:c r="I41" s="778"/>
      <x:c r="J41" s="778"/>
      <x:c r="K41" s="778"/>
      <x:c r="L41" s="778"/>
      <x:c r="M41" s="778"/>
      <x:c r="N41" s="778"/>
      <x:c r="O41" s="778"/>
      <x:c r="P41" s="26" t="str">
        <x:f>IF(A41="","",IF(COUNTIF(G41:O41,"CHALLENGE - OPEN")&gt;0,"HOLD - OPEN CHALLENGE",IF(COUNTBLANK(G41:O41)&gt;0,"HOLD - NOT FULLY REVIEWED",IF(COUNTIF(G41:O41,"NOT REVIEWED")&gt;0,"HOLD - NOT FULLY REVIEWED","PASS"))))</x:f>
      </x:c>
      <x:c r="Q41" s="778"/>
      <x:c r="R41" s="26"/>
      <x:c r="S41" s="26"/>
      <x:c r="T41" s="26"/>
      <x:c r="U41" s="26"/>
      <x:c r="V41" s="26"/>
      <x:c r="W41" s="26"/>
      <x:c r="X41" s="26"/>
    </x:row>
    <x:row r="42" ht="22" customHeight="1">
      <x:c r="A42" s="26" t="str">
        <x:f>IF('QS Takeoff'!B5="","",'QS Takeoff'!B5)</x:f>
      </x:c>
      <x:c r="B42" s="26" t="str">
        <x:f>IF('QS Takeoff'!B5="","",'QS Takeoff'!A5)</x:f>
      </x:c>
      <x:c r="C42" s="26" t="str">
        <x:f>IF('QS Takeoff'!B5="","",'QS Takeoff'!C5)</x:f>
      </x:c>
      <x:c r="D42" s="550" t="str">
        <x:f>IF('QS Takeoff'!B5="","",'QS Takeoff'!E5)</x:f>
      </x:c>
      <x:c r="E42" s="26" t="str">
        <x:f>IF('QS Takeoff'!B5="","",'QS Takeoff'!D5)</x:f>
      </x:c>
      <x:c r="F42" s="556" t="str">
        <x:f>IF('QS Takeoff'!B5="","",'QS Takeoff'!G5)</x:f>
      </x:c>
      <x:c r="G42" s="778"/>
      <x:c r="H42" s="778"/>
      <x:c r="I42" s="778"/>
      <x:c r="J42" s="778"/>
      <x:c r="K42" s="778"/>
      <x:c r="L42" s="778"/>
      <x:c r="M42" s="778"/>
      <x:c r="N42" s="778"/>
      <x:c r="O42" s="778"/>
      <x:c r="P42" s="26" t="str">
        <x:f>IF(A42="","",IF(COUNTIF(G42:O42,"CHALLENGE - OPEN")&gt;0,"HOLD - OPEN CHALLENGE",IF(COUNTBLANK(G42:O42)&gt;0,"HOLD - NOT FULLY REVIEWED",IF(COUNTIF(G42:O42,"NOT REVIEWED")&gt;0,"HOLD - NOT FULLY REVIEWED","PASS"))))</x:f>
      </x:c>
      <x:c r="Q42" s="778"/>
      <x:c r="R42" s="26"/>
      <x:c r="S42" s="26"/>
      <x:c r="T42" s="26"/>
      <x:c r="U42" s="26"/>
      <x:c r="V42" s="26"/>
      <x:c r="W42" s="26"/>
      <x:c r="X42" s="26"/>
    </x:row>
    <x:row r="43" ht="22" customHeight="1">
      <x:c r="A43" s="26" t="str">
        <x:f>IF('QS Takeoff'!B6="","",'QS Takeoff'!B6)</x:f>
      </x:c>
      <x:c r="B43" s="26" t="str">
        <x:f>IF('QS Takeoff'!B6="","",'QS Takeoff'!A6)</x:f>
      </x:c>
      <x:c r="C43" s="26" t="str">
        <x:f>IF('QS Takeoff'!B6="","",'QS Takeoff'!C6)</x:f>
      </x:c>
      <x:c r="D43" s="550" t="str">
        <x:f>IF('QS Takeoff'!B6="","",'QS Takeoff'!E6)</x:f>
      </x:c>
      <x:c r="E43" s="26" t="str">
        <x:f>IF('QS Takeoff'!B6="","",'QS Takeoff'!D6)</x:f>
      </x:c>
      <x:c r="F43" s="556" t="str">
        <x:f>IF('QS Takeoff'!B6="","",'QS Takeoff'!G6)</x:f>
      </x:c>
      <x:c r="G43" s="778"/>
      <x:c r="H43" s="778"/>
      <x:c r="I43" s="778"/>
      <x:c r="J43" s="778"/>
      <x:c r="K43" s="778"/>
      <x:c r="L43" s="778"/>
      <x:c r="M43" s="778"/>
      <x:c r="N43" s="778"/>
      <x:c r="O43" s="778"/>
      <x:c r="P43" s="26" t="str">
        <x:f>IF(A43="","",IF(COUNTIF(G43:O43,"CHALLENGE - OPEN")&gt;0,"HOLD - OPEN CHALLENGE",IF(COUNTBLANK(G43:O43)&gt;0,"HOLD - NOT FULLY REVIEWED",IF(COUNTIF(G43:O43,"NOT REVIEWED")&gt;0,"HOLD - NOT FULLY REVIEWED","PASS"))))</x:f>
      </x:c>
      <x:c r="Q43" s="778"/>
      <x:c r="R43" s="26"/>
      <x:c r="S43" s="26"/>
      <x:c r="T43" s="26"/>
      <x:c r="U43" s="26"/>
      <x:c r="V43" s="26"/>
      <x:c r="W43" s="26"/>
      <x:c r="X43" s="26"/>
    </x:row>
    <x:row r="44" ht="22" customHeight="1">
      <x:c r="A44" s="26" t="str">
        <x:f>IF('QS Takeoff'!B7="","",'QS Takeoff'!B7)</x:f>
      </x:c>
      <x:c r="B44" s="26" t="str">
        <x:f>IF('QS Takeoff'!B7="","",'QS Takeoff'!A7)</x:f>
      </x:c>
      <x:c r="C44" s="26" t="str">
        <x:f>IF('QS Takeoff'!B7="","",'QS Takeoff'!C7)</x:f>
      </x:c>
      <x:c r="D44" s="550" t="str">
        <x:f>IF('QS Takeoff'!B7="","",'QS Takeoff'!E7)</x:f>
      </x:c>
      <x:c r="E44" s="26" t="str">
        <x:f>IF('QS Takeoff'!B7="","",'QS Takeoff'!D7)</x:f>
      </x:c>
      <x:c r="F44" s="556" t="str">
        <x:f>IF('QS Takeoff'!B7="","",'QS Takeoff'!G7)</x:f>
      </x:c>
      <x:c r="G44" s="778"/>
      <x:c r="H44" s="778"/>
      <x:c r="I44" s="778"/>
      <x:c r="J44" s="778"/>
      <x:c r="K44" s="778"/>
      <x:c r="L44" s="778"/>
      <x:c r="M44" s="778"/>
      <x:c r="N44" s="778"/>
      <x:c r="O44" s="778"/>
      <x:c r="P44" s="26" t="str">
        <x:f>IF(A44="","",IF(COUNTIF(G44:O44,"CHALLENGE - OPEN")&gt;0,"HOLD - OPEN CHALLENGE",IF(COUNTBLANK(G44:O44)&gt;0,"HOLD - NOT FULLY REVIEWED",IF(COUNTIF(G44:O44,"NOT REVIEWED")&gt;0,"HOLD - NOT FULLY REVIEWED","PASS"))))</x:f>
      </x:c>
      <x:c r="Q44" s="778"/>
      <x:c r="R44" s="26"/>
      <x:c r="S44" s="26"/>
      <x:c r="T44" s="26"/>
      <x:c r="U44" s="26"/>
      <x:c r="V44" s="26"/>
      <x:c r="W44" s="26"/>
      <x:c r="X44" s="26"/>
    </x:row>
    <x:row r="45" ht="22" customHeight="1">
      <x:c r="A45" s="26" t="str">
        <x:f>IF('QS Takeoff'!B8="","",'QS Takeoff'!B8)</x:f>
      </x:c>
      <x:c r="B45" s="26" t="str">
        <x:f>IF('QS Takeoff'!B8="","",'QS Takeoff'!A8)</x:f>
      </x:c>
      <x:c r="C45" s="26" t="str">
        <x:f>IF('QS Takeoff'!B8="","",'QS Takeoff'!C8)</x:f>
      </x:c>
      <x:c r="D45" s="550" t="str">
        <x:f>IF('QS Takeoff'!B8="","",'QS Takeoff'!E8)</x:f>
      </x:c>
      <x:c r="E45" s="26" t="str">
        <x:f>IF('QS Takeoff'!B8="","",'QS Takeoff'!D8)</x:f>
      </x:c>
      <x:c r="F45" s="556" t="str">
        <x:f>IF('QS Takeoff'!B8="","",'QS Takeoff'!G8)</x:f>
      </x:c>
      <x:c r="G45" s="778"/>
      <x:c r="H45" s="778"/>
      <x:c r="I45" s="778"/>
      <x:c r="J45" s="778"/>
      <x:c r="K45" s="778"/>
      <x:c r="L45" s="778"/>
      <x:c r="M45" s="778"/>
      <x:c r="N45" s="778"/>
      <x:c r="O45" s="778"/>
      <x:c r="P45" s="26" t="str">
        <x:f>IF(A45="","",IF(COUNTIF(G45:O45,"CHALLENGE - OPEN")&gt;0,"HOLD - OPEN CHALLENGE",IF(COUNTBLANK(G45:O45)&gt;0,"HOLD - NOT FULLY REVIEWED",IF(COUNTIF(G45:O45,"NOT REVIEWED")&gt;0,"HOLD - NOT FULLY REVIEWED","PASS"))))</x:f>
      </x:c>
      <x:c r="Q45" s="778"/>
      <x:c r="R45" s="26"/>
      <x:c r="S45" s="26"/>
      <x:c r="T45" s="26"/>
      <x:c r="U45" s="26"/>
      <x:c r="V45" s="26"/>
      <x:c r="W45" s="26"/>
      <x:c r="X45" s="26"/>
    </x:row>
    <x:row r="46" ht="22" customHeight="1">
      <x:c r="A46" s="26" t="str">
        <x:f>IF('QS Takeoff'!B9="","",'QS Takeoff'!B9)</x:f>
      </x:c>
      <x:c r="B46" s="26" t="str">
        <x:f>IF('QS Takeoff'!B9="","",'QS Takeoff'!A9)</x:f>
      </x:c>
      <x:c r="C46" s="26" t="str">
        <x:f>IF('QS Takeoff'!B9="","",'QS Takeoff'!C9)</x:f>
      </x:c>
      <x:c r="D46" s="550" t="str">
        <x:f>IF('QS Takeoff'!B9="","",'QS Takeoff'!E9)</x:f>
      </x:c>
      <x:c r="E46" s="26" t="str">
        <x:f>IF('QS Takeoff'!B9="","",'QS Takeoff'!D9)</x:f>
      </x:c>
      <x:c r="F46" s="556" t="str">
        <x:f>IF('QS Takeoff'!B9="","",'QS Takeoff'!G9)</x:f>
      </x:c>
      <x:c r="G46" s="778"/>
      <x:c r="H46" s="778"/>
      <x:c r="I46" s="778"/>
      <x:c r="J46" s="778"/>
      <x:c r="K46" s="778"/>
      <x:c r="L46" s="778"/>
      <x:c r="M46" s="778"/>
      <x:c r="N46" s="778"/>
      <x:c r="O46" s="778"/>
      <x:c r="P46" s="26" t="str">
        <x:f>IF(A46="","",IF(COUNTIF(G46:O46,"CHALLENGE - OPEN")&gt;0,"HOLD - OPEN CHALLENGE",IF(COUNTBLANK(G46:O46)&gt;0,"HOLD - NOT FULLY REVIEWED",IF(COUNTIF(G46:O46,"NOT REVIEWED")&gt;0,"HOLD - NOT FULLY REVIEWED","PASS"))))</x:f>
      </x:c>
      <x:c r="Q46" s="778"/>
      <x:c r="R46" s="26"/>
      <x:c r="S46" s="26"/>
      <x:c r="T46" s="26"/>
      <x:c r="U46" s="26"/>
      <x:c r="V46" s="26"/>
      <x:c r="W46" s="26"/>
      <x:c r="X46" s="26"/>
    </x:row>
    <x:row r="47" ht="22" customHeight="1">
      <x:c r="A47" s="26" t="str">
        <x:f>IF('QS Takeoff'!B10="","",'QS Takeoff'!B10)</x:f>
      </x:c>
      <x:c r="B47" s="26" t="str">
        <x:f>IF('QS Takeoff'!B10="","",'QS Takeoff'!A10)</x:f>
      </x:c>
      <x:c r="C47" s="26" t="str">
        <x:f>IF('QS Takeoff'!B10="","",'QS Takeoff'!C10)</x:f>
      </x:c>
      <x:c r="D47" s="550" t="str">
        <x:f>IF('QS Takeoff'!B10="","",'QS Takeoff'!E10)</x:f>
      </x:c>
      <x:c r="E47" s="26" t="str">
        <x:f>IF('QS Takeoff'!B10="","",'QS Takeoff'!D10)</x:f>
      </x:c>
      <x:c r="F47" s="556" t="str">
        <x:f>IF('QS Takeoff'!B10="","",'QS Takeoff'!G10)</x:f>
      </x:c>
      <x:c r="G47" s="778"/>
      <x:c r="H47" s="778"/>
      <x:c r="I47" s="778"/>
      <x:c r="J47" s="778"/>
      <x:c r="K47" s="778"/>
      <x:c r="L47" s="778"/>
      <x:c r="M47" s="778"/>
      <x:c r="N47" s="778"/>
      <x:c r="O47" s="778"/>
      <x:c r="P47" s="26" t="str">
        <x:f>IF(A47="","",IF(COUNTIF(G47:O47,"CHALLENGE - OPEN")&gt;0,"HOLD - OPEN CHALLENGE",IF(COUNTBLANK(G47:O47)&gt;0,"HOLD - NOT FULLY REVIEWED",IF(COUNTIF(G47:O47,"NOT REVIEWED")&gt;0,"HOLD - NOT FULLY REVIEWED","PASS"))))</x:f>
      </x:c>
      <x:c r="Q47" s="778"/>
      <x:c r="R47" s="26"/>
      <x:c r="S47" s="26"/>
      <x:c r="T47" s="26"/>
      <x:c r="U47" s="26"/>
      <x:c r="V47" s="26"/>
      <x:c r="W47" s="26"/>
      <x:c r="X47" s="26"/>
    </x:row>
    <x:row r="48" ht="22" customHeight="1">
      <x:c r="A48" s="26" t="str">
        <x:f>IF('QS Takeoff'!B11="","",'QS Takeoff'!B11)</x:f>
      </x:c>
      <x:c r="B48" s="26" t="str">
        <x:f>IF('QS Takeoff'!B11="","",'QS Takeoff'!A11)</x:f>
      </x:c>
      <x:c r="C48" s="26" t="str">
        <x:f>IF('QS Takeoff'!B11="","",'QS Takeoff'!C11)</x:f>
      </x:c>
      <x:c r="D48" s="550" t="str">
        <x:f>IF('QS Takeoff'!B11="","",'QS Takeoff'!E11)</x:f>
      </x:c>
      <x:c r="E48" s="26" t="str">
        <x:f>IF('QS Takeoff'!B11="","",'QS Takeoff'!D11)</x:f>
      </x:c>
      <x:c r="F48" s="556" t="str">
        <x:f>IF('QS Takeoff'!B11="","",'QS Takeoff'!G11)</x:f>
      </x:c>
      <x:c r="G48" s="778"/>
      <x:c r="H48" s="778"/>
      <x:c r="I48" s="778"/>
      <x:c r="J48" s="778"/>
      <x:c r="K48" s="778"/>
      <x:c r="L48" s="778"/>
      <x:c r="M48" s="778"/>
      <x:c r="N48" s="778"/>
      <x:c r="O48" s="778"/>
      <x:c r="P48" s="26" t="str">
        <x:f>IF(A48="","",IF(COUNTIF(G48:O48,"CHALLENGE - OPEN")&gt;0,"HOLD - OPEN CHALLENGE",IF(COUNTBLANK(G48:O48)&gt;0,"HOLD - NOT FULLY REVIEWED",IF(COUNTIF(G48:O48,"NOT REVIEWED")&gt;0,"HOLD - NOT FULLY REVIEWED","PASS"))))</x:f>
      </x:c>
      <x:c r="Q48" s="778"/>
      <x:c r="R48" s="26"/>
      <x:c r="S48" s="26"/>
      <x:c r="T48" s="26"/>
      <x:c r="U48" s="26"/>
      <x:c r="V48" s="26"/>
      <x:c r="W48" s="26"/>
      <x:c r="X48" s="26"/>
    </x:row>
    <x:row r="49" ht="22" customHeight="1">
      <x:c r="A49" s="26" t="str">
        <x:f>IF('QS Takeoff'!B12="","",'QS Takeoff'!B12)</x:f>
      </x:c>
      <x:c r="B49" s="26" t="str">
        <x:f>IF('QS Takeoff'!B12="","",'QS Takeoff'!A12)</x:f>
      </x:c>
      <x:c r="C49" s="26" t="str">
        <x:f>IF('QS Takeoff'!B12="","",'QS Takeoff'!C12)</x:f>
      </x:c>
      <x:c r="D49" s="550" t="str">
        <x:f>IF('QS Takeoff'!B12="","",'QS Takeoff'!E12)</x:f>
      </x:c>
      <x:c r="E49" s="26" t="str">
        <x:f>IF('QS Takeoff'!B12="","",'QS Takeoff'!D12)</x:f>
      </x:c>
      <x:c r="F49" s="556" t="str">
        <x:f>IF('QS Takeoff'!B12="","",'QS Takeoff'!G12)</x:f>
      </x:c>
      <x:c r="G49" s="778"/>
      <x:c r="H49" s="778"/>
      <x:c r="I49" s="778"/>
      <x:c r="J49" s="778"/>
      <x:c r="K49" s="778"/>
      <x:c r="L49" s="778"/>
      <x:c r="M49" s="778"/>
      <x:c r="N49" s="778"/>
      <x:c r="O49" s="778"/>
      <x:c r="P49" s="26" t="str">
        <x:f>IF(A49="","",IF(COUNTIF(G49:O49,"CHALLENGE - OPEN")&gt;0,"HOLD - OPEN CHALLENGE",IF(COUNTBLANK(G49:O49)&gt;0,"HOLD - NOT FULLY REVIEWED",IF(COUNTIF(G49:O49,"NOT REVIEWED")&gt;0,"HOLD - NOT FULLY REVIEWED","PASS"))))</x:f>
      </x:c>
      <x:c r="Q49" s="778"/>
      <x:c r="R49" s="26"/>
      <x:c r="S49" s="26"/>
      <x:c r="T49" s="26"/>
      <x:c r="U49" s="26"/>
      <x:c r="V49" s="26"/>
      <x:c r="W49" s="26"/>
      <x:c r="X49" s="26"/>
    </x:row>
    <x:row r="50" ht="22" customHeight="1">
      <x:c r="A50" s="26" t="str">
        <x:f>IF('QS Takeoff'!B13="","",'QS Takeoff'!B13)</x:f>
      </x:c>
      <x:c r="B50" s="26" t="str">
        <x:f>IF('QS Takeoff'!B13="","",'QS Takeoff'!A13)</x:f>
      </x:c>
      <x:c r="C50" s="26" t="str">
        <x:f>IF('QS Takeoff'!B13="","",'QS Takeoff'!C13)</x:f>
      </x:c>
      <x:c r="D50" s="550" t="str">
        <x:f>IF('QS Takeoff'!B13="","",'QS Takeoff'!E13)</x:f>
      </x:c>
      <x:c r="E50" s="26" t="str">
        <x:f>IF('QS Takeoff'!B13="","",'QS Takeoff'!D13)</x:f>
      </x:c>
      <x:c r="F50" s="556" t="str">
        <x:f>IF('QS Takeoff'!B13="","",'QS Takeoff'!G13)</x:f>
      </x:c>
      <x:c r="G50" s="778"/>
      <x:c r="H50" s="778"/>
      <x:c r="I50" s="778"/>
      <x:c r="J50" s="778"/>
      <x:c r="K50" s="778"/>
      <x:c r="L50" s="778"/>
      <x:c r="M50" s="778"/>
      <x:c r="N50" s="778"/>
      <x:c r="O50" s="778"/>
      <x:c r="P50" s="26" t="str">
        <x:f>IF(A50="","",IF(COUNTIF(G50:O50,"CHALLENGE - OPEN")&gt;0,"HOLD - OPEN CHALLENGE",IF(COUNTBLANK(G50:O50)&gt;0,"HOLD - NOT FULLY REVIEWED",IF(COUNTIF(G50:O50,"NOT REVIEWED")&gt;0,"HOLD - NOT FULLY REVIEWED","PASS"))))</x:f>
      </x:c>
      <x:c r="Q50" s="778"/>
      <x:c r="R50" s="26"/>
      <x:c r="S50" s="26"/>
      <x:c r="T50" s="26"/>
      <x:c r="U50" s="26"/>
      <x:c r="V50" s="26"/>
      <x:c r="W50" s="26"/>
      <x:c r="X50" s="26"/>
    </x:row>
    <x:row r="51" ht="22" customHeight="1">
      <x:c r="A51" s="26" t="str">
        <x:f>IF('QS Takeoff'!B14="","",'QS Takeoff'!B14)</x:f>
      </x:c>
      <x:c r="B51" s="26" t="str">
        <x:f>IF('QS Takeoff'!B14="","",'QS Takeoff'!A14)</x:f>
      </x:c>
      <x:c r="C51" s="26" t="str">
        <x:f>IF('QS Takeoff'!B14="","",'QS Takeoff'!C14)</x:f>
      </x:c>
      <x:c r="D51" s="550" t="str">
        <x:f>IF('QS Takeoff'!B14="","",'QS Takeoff'!E14)</x:f>
      </x:c>
      <x:c r="E51" s="26" t="str">
        <x:f>IF('QS Takeoff'!B14="","",'QS Takeoff'!D14)</x:f>
      </x:c>
      <x:c r="F51" s="556" t="str">
        <x:f>IF('QS Takeoff'!B14="","",'QS Takeoff'!G14)</x:f>
      </x:c>
      <x:c r="G51" s="778"/>
      <x:c r="H51" s="778"/>
      <x:c r="I51" s="778"/>
      <x:c r="J51" s="778"/>
      <x:c r="K51" s="778"/>
      <x:c r="L51" s="778"/>
      <x:c r="M51" s="778"/>
      <x:c r="N51" s="778"/>
      <x:c r="O51" s="778"/>
      <x:c r="P51" s="26" t="str">
        <x:f>IF(A51="","",IF(COUNTIF(G51:O51,"CHALLENGE - OPEN")&gt;0,"HOLD - OPEN CHALLENGE",IF(COUNTBLANK(G51:O51)&gt;0,"HOLD - NOT FULLY REVIEWED",IF(COUNTIF(G51:O51,"NOT REVIEWED")&gt;0,"HOLD - NOT FULLY REVIEWED","PASS"))))</x:f>
      </x:c>
      <x:c r="Q51" s="778"/>
      <x:c r="R51" s="26"/>
      <x:c r="S51" s="26"/>
      <x:c r="T51" s="26"/>
      <x:c r="U51" s="26"/>
      <x:c r="V51" s="26"/>
      <x:c r="W51" s="26"/>
      <x:c r="X51" s="26"/>
    </x:row>
    <x:row r="52" ht="22" customHeight="1">
      <x:c r="A52" s="26" t="str">
        <x:f>IF('QS Takeoff'!B15="","",'QS Takeoff'!B15)</x:f>
      </x:c>
      <x:c r="B52" s="26" t="str">
        <x:f>IF('QS Takeoff'!B15="","",'QS Takeoff'!A15)</x:f>
      </x:c>
      <x:c r="C52" s="26" t="str">
        <x:f>IF('QS Takeoff'!B15="","",'QS Takeoff'!C15)</x:f>
      </x:c>
      <x:c r="D52" s="550" t="str">
        <x:f>IF('QS Takeoff'!B15="","",'QS Takeoff'!E15)</x:f>
      </x:c>
      <x:c r="E52" s="26" t="str">
        <x:f>IF('QS Takeoff'!B15="","",'QS Takeoff'!D15)</x:f>
      </x:c>
      <x:c r="F52" s="556" t="str">
        <x:f>IF('QS Takeoff'!B15="","",'QS Takeoff'!G15)</x:f>
      </x:c>
      <x:c r="G52" s="778"/>
      <x:c r="H52" s="778"/>
      <x:c r="I52" s="778"/>
      <x:c r="J52" s="778"/>
      <x:c r="K52" s="778"/>
      <x:c r="L52" s="778"/>
      <x:c r="M52" s="778"/>
      <x:c r="N52" s="778"/>
      <x:c r="O52" s="778"/>
      <x:c r="P52" s="26" t="str">
        <x:f>IF(A52="","",IF(COUNTIF(G52:O52,"CHALLENGE - OPEN")&gt;0,"HOLD - OPEN CHALLENGE",IF(COUNTBLANK(G52:O52)&gt;0,"HOLD - NOT FULLY REVIEWED",IF(COUNTIF(G52:O52,"NOT REVIEWED")&gt;0,"HOLD - NOT FULLY REVIEWED","PASS"))))</x:f>
      </x:c>
      <x:c r="Q52" s="778"/>
      <x:c r="R52" s="26"/>
      <x:c r="S52" s="26"/>
      <x:c r="T52" s="26"/>
      <x:c r="U52" s="26"/>
      <x:c r="V52" s="26"/>
      <x:c r="W52" s="26"/>
      <x:c r="X52" s="26"/>
    </x:row>
    <x:row r="53" ht="22" customHeight="1">
      <x:c r="A53" s="26" t="str">
        <x:f>IF('QS Takeoff'!B16="","",'QS Takeoff'!B16)</x:f>
      </x:c>
      <x:c r="B53" s="26" t="str">
        <x:f>IF('QS Takeoff'!B16="","",'QS Takeoff'!A16)</x:f>
      </x:c>
      <x:c r="C53" s="26" t="str">
        <x:f>IF('QS Takeoff'!B16="","",'QS Takeoff'!C16)</x:f>
      </x:c>
      <x:c r="D53" s="550" t="str">
        <x:f>IF('QS Takeoff'!B16="","",'QS Takeoff'!E16)</x:f>
      </x:c>
      <x:c r="E53" s="26" t="str">
        <x:f>IF('QS Takeoff'!B16="","",'QS Takeoff'!D16)</x:f>
      </x:c>
      <x:c r="F53" s="556" t="str">
        <x:f>IF('QS Takeoff'!B16="","",'QS Takeoff'!G16)</x:f>
      </x:c>
      <x:c r="G53" s="778"/>
      <x:c r="H53" s="778"/>
      <x:c r="I53" s="778"/>
      <x:c r="J53" s="778"/>
      <x:c r="K53" s="778"/>
      <x:c r="L53" s="778"/>
      <x:c r="M53" s="778"/>
      <x:c r="N53" s="778"/>
      <x:c r="O53" s="778"/>
      <x:c r="P53" s="26" t="str">
        <x:f>IF(A53="","",IF(COUNTIF(G53:O53,"CHALLENGE - OPEN")&gt;0,"HOLD - OPEN CHALLENGE",IF(COUNTBLANK(G53:O53)&gt;0,"HOLD - NOT FULLY REVIEWED",IF(COUNTIF(G53:O53,"NOT REVIEWED")&gt;0,"HOLD - NOT FULLY REVIEWED","PASS"))))</x:f>
      </x:c>
      <x:c r="Q53" s="778"/>
      <x:c r="R53" s="26"/>
      <x:c r="S53" s="26"/>
      <x:c r="T53" s="26"/>
      <x:c r="U53" s="26"/>
      <x:c r="V53" s="26"/>
      <x:c r="W53" s="26"/>
      <x:c r="X53" s="26"/>
    </x:row>
    <x:row r="54" ht="22" customHeight="1">
      <x:c r="A54" s="26" t="str">
        <x:f>IF('QS Takeoff'!B17="","",'QS Takeoff'!B17)</x:f>
      </x:c>
      <x:c r="B54" s="26" t="str">
        <x:f>IF('QS Takeoff'!B17="","",'QS Takeoff'!A17)</x:f>
      </x:c>
      <x:c r="C54" s="26" t="str">
        <x:f>IF('QS Takeoff'!B17="","",'QS Takeoff'!C17)</x:f>
      </x:c>
      <x:c r="D54" s="550" t="str">
        <x:f>IF('QS Takeoff'!B17="","",'QS Takeoff'!E17)</x:f>
      </x:c>
      <x:c r="E54" s="26" t="str">
        <x:f>IF('QS Takeoff'!B17="","",'QS Takeoff'!D17)</x:f>
      </x:c>
      <x:c r="F54" s="556" t="str">
        <x:f>IF('QS Takeoff'!B17="","",'QS Takeoff'!G17)</x:f>
      </x:c>
      <x:c r="G54" s="778"/>
      <x:c r="H54" s="778"/>
      <x:c r="I54" s="778"/>
      <x:c r="J54" s="778"/>
      <x:c r="K54" s="778"/>
      <x:c r="L54" s="778"/>
      <x:c r="M54" s="778"/>
      <x:c r="N54" s="778"/>
      <x:c r="O54" s="778"/>
      <x:c r="P54" s="26" t="str">
        <x:f>IF(A54="","",IF(COUNTIF(G54:O54,"CHALLENGE - OPEN")&gt;0,"HOLD - OPEN CHALLENGE",IF(COUNTBLANK(G54:O54)&gt;0,"HOLD - NOT FULLY REVIEWED",IF(COUNTIF(G54:O54,"NOT REVIEWED")&gt;0,"HOLD - NOT FULLY REVIEWED","PASS"))))</x:f>
      </x:c>
      <x:c r="Q54" s="778"/>
      <x:c r="R54" s="26"/>
      <x:c r="S54" s="26"/>
      <x:c r="T54" s="26"/>
      <x:c r="U54" s="26"/>
      <x:c r="V54" s="26"/>
      <x:c r="W54" s="26"/>
      <x:c r="X54" s="26"/>
    </x:row>
    <x:row r="55" ht="22" customHeight="1">
      <x:c r="A55" s="26" t="str">
        <x:f>IF('QS Takeoff'!B18="","",'QS Takeoff'!B18)</x:f>
      </x:c>
      <x:c r="B55" s="26" t="str">
        <x:f>IF('QS Takeoff'!B18="","",'QS Takeoff'!A18)</x:f>
      </x:c>
      <x:c r="C55" s="26" t="str">
        <x:f>IF('QS Takeoff'!B18="","",'QS Takeoff'!C18)</x:f>
      </x:c>
      <x:c r="D55" s="550" t="str">
        <x:f>IF('QS Takeoff'!B18="","",'QS Takeoff'!E18)</x:f>
      </x:c>
      <x:c r="E55" s="26" t="str">
        <x:f>IF('QS Takeoff'!B18="","",'QS Takeoff'!D18)</x:f>
      </x:c>
      <x:c r="F55" s="556" t="str">
        <x:f>IF('QS Takeoff'!B18="","",'QS Takeoff'!G18)</x:f>
      </x:c>
      <x:c r="G55" s="778"/>
      <x:c r="H55" s="778"/>
      <x:c r="I55" s="778"/>
      <x:c r="J55" s="778"/>
      <x:c r="K55" s="778"/>
      <x:c r="L55" s="778"/>
      <x:c r="M55" s="778"/>
      <x:c r="N55" s="778"/>
      <x:c r="O55" s="778"/>
      <x:c r="P55" s="26" t="str">
        <x:f>IF(A55="","",IF(COUNTIF(G55:O55,"CHALLENGE - OPEN")&gt;0,"HOLD - OPEN CHALLENGE",IF(COUNTBLANK(G55:O55)&gt;0,"HOLD - NOT FULLY REVIEWED",IF(COUNTIF(G55:O55,"NOT REVIEWED")&gt;0,"HOLD - NOT FULLY REVIEWED","PASS"))))</x:f>
      </x:c>
      <x:c r="Q55" s="778"/>
      <x:c r="R55" s="26"/>
      <x:c r="S55" s="26"/>
      <x:c r="T55" s="26"/>
      <x:c r="U55" s="26"/>
      <x:c r="V55" s="26"/>
      <x:c r="W55" s="26"/>
      <x:c r="X55" s="26"/>
    </x:row>
    <x:row r="56" ht="22" customHeight="1">
      <x:c r="A56" s="26" t="str">
        <x:f>IF('QS Takeoff'!B19="","",'QS Takeoff'!B19)</x:f>
      </x:c>
      <x:c r="B56" s="26" t="str">
        <x:f>IF('QS Takeoff'!B19="","",'QS Takeoff'!A19)</x:f>
      </x:c>
      <x:c r="C56" s="26" t="str">
        <x:f>IF('QS Takeoff'!B19="","",'QS Takeoff'!C19)</x:f>
      </x:c>
      <x:c r="D56" s="550" t="str">
        <x:f>IF('QS Takeoff'!B19="","",'QS Takeoff'!E19)</x:f>
      </x:c>
      <x:c r="E56" s="26" t="str">
        <x:f>IF('QS Takeoff'!B19="","",'QS Takeoff'!D19)</x:f>
      </x:c>
      <x:c r="F56" s="556" t="str">
        <x:f>IF('QS Takeoff'!B19="","",'QS Takeoff'!G19)</x:f>
      </x:c>
      <x:c r="G56" s="778"/>
      <x:c r="H56" s="778"/>
      <x:c r="I56" s="778"/>
      <x:c r="J56" s="778"/>
      <x:c r="K56" s="778"/>
      <x:c r="L56" s="778"/>
      <x:c r="M56" s="778"/>
      <x:c r="N56" s="778"/>
      <x:c r="O56" s="778"/>
      <x:c r="P56" s="26" t="str">
        <x:f>IF(A56="","",IF(COUNTIF(G56:O56,"CHALLENGE - OPEN")&gt;0,"HOLD - OPEN CHALLENGE",IF(COUNTBLANK(G56:O56)&gt;0,"HOLD - NOT FULLY REVIEWED",IF(COUNTIF(G56:O56,"NOT REVIEWED")&gt;0,"HOLD - NOT FULLY REVIEWED","PASS"))))</x:f>
      </x:c>
      <x:c r="Q56" s="778"/>
      <x:c r="R56" s="26"/>
      <x:c r="S56" s="26"/>
      <x:c r="T56" s="26"/>
      <x:c r="U56" s="26"/>
      <x:c r="V56" s="26"/>
      <x:c r="W56" s="26"/>
      <x:c r="X56" s="26"/>
    </x:row>
    <x:row r="57" ht="22" customHeight="1">
      <x:c r="A57" s="26" t="str">
        <x:f>IF('QS Takeoff'!B20="","",'QS Takeoff'!B20)</x:f>
      </x:c>
      <x:c r="B57" s="26" t="str">
        <x:f>IF('QS Takeoff'!B20="","",'QS Takeoff'!A20)</x:f>
      </x:c>
      <x:c r="C57" s="26" t="str">
        <x:f>IF('QS Takeoff'!B20="","",'QS Takeoff'!C20)</x:f>
      </x:c>
      <x:c r="D57" s="550" t="str">
        <x:f>IF('QS Takeoff'!B20="","",'QS Takeoff'!E20)</x:f>
      </x:c>
      <x:c r="E57" s="26" t="str">
        <x:f>IF('QS Takeoff'!B20="","",'QS Takeoff'!D20)</x:f>
      </x:c>
      <x:c r="F57" s="556" t="str">
        <x:f>IF('QS Takeoff'!B20="","",'QS Takeoff'!G20)</x:f>
      </x:c>
      <x:c r="G57" s="778"/>
      <x:c r="H57" s="778"/>
      <x:c r="I57" s="778"/>
      <x:c r="J57" s="778"/>
      <x:c r="K57" s="778"/>
      <x:c r="L57" s="778"/>
      <x:c r="M57" s="778"/>
      <x:c r="N57" s="778"/>
      <x:c r="O57" s="778"/>
      <x:c r="P57" s="26" t="str">
        <x:f>IF(A57="","",IF(COUNTIF(G57:O57,"CHALLENGE - OPEN")&gt;0,"HOLD - OPEN CHALLENGE",IF(COUNTBLANK(G57:O57)&gt;0,"HOLD - NOT FULLY REVIEWED",IF(COUNTIF(G57:O57,"NOT REVIEWED")&gt;0,"HOLD - NOT FULLY REVIEWED","PASS"))))</x:f>
      </x:c>
      <x:c r="Q57" s="778"/>
      <x:c r="R57" s="26"/>
      <x:c r="S57" s="26"/>
      <x:c r="T57" s="26"/>
      <x:c r="U57" s="26"/>
      <x:c r="V57" s="26"/>
      <x:c r="W57" s="26"/>
      <x:c r="X57" s="26"/>
    </x:row>
    <x:row r="58" ht="22" customHeight="1">
      <x:c r="A58" s="26" t="str">
        <x:f>IF('QS Takeoff'!B21="","",'QS Takeoff'!B21)</x:f>
      </x:c>
      <x:c r="B58" s="26" t="str">
        <x:f>IF('QS Takeoff'!B21="","",'QS Takeoff'!A21)</x:f>
      </x:c>
      <x:c r="C58" s="26" t="str">
        <x:f>IF('QS Takeoff'!B21="","",'QS Takeoff'!C21)</x:f>
      </x:c>
      <x:c r="D58" s="550" t="str">
        <x:f>IF('QS Takeoff'!B21="","",'QS Takeoff'!E21)</x:f>
      </x:c>
      <x:c r="E58" s="26" t="str">
        <x:f>IF('QS Takeoff'!B21="","",'QS Takeoff'!D21)</x:f>
      </x:c>
      <x:c r="F58" s="556" t="str">
        <x:f>IF('QS Takeoff'!B21="","",'QS Takeoff'!G21)</x:f>
      </x:c>
      <x:c r="G58" s="778"/>
      <x:c r="H58" s="778"/>
      <x:c r="I58" s="778"/>
      <x:c r="J58" s="778"/>
      <x:c r="K58" s="778"/>
      <x:c r="L58" s="778"/>
      <x:c r="M58" s="778"/>
      <x:c r="N58" s="778"/>
      <x:c r="O58" s="778"/>
      <x:c r="P58" s="26" t="str">
        <x:f>IF(A58="","",IF(COUNTIF(G58:O58,"CHALLENGE - OPEN")&gt;0,"HOLD - OPEN CHALLENGE",IF(COUNTBLANK(G58:O58)&gt;0,"HOLD - NOT FULLY REVIEWED",IF(COUNTIF(G58:O58,"NOT REVIEWED")&gt;0,"HOLD - NOT FULLY REVIEWED","PASS"))))</x:f>
      </x:c>
      <x:c r="Q58" s="778"/>
      <x:c r="R58" s="26"/>
      <x:c r="S58" s="26"/>
      <x:c r="T58" s="26"/>
      <x:c r="U58" s="26"/>
      <x:c r="V58" s="26"/>
      <x:c r="W58" s="26"/>
      <x:c r="X58" s="26"/>
    </x:row>
    <x:row r="59" ht="22" customHeight="1">
      <x:c r="A59" s="26" t="str">
        <x:f>IF('QS Takeoff'!B22="","",'QS Takeoff'!B22)</x:f>
      </x:c>
      <x:c r="B59" s="26" t="str">
        <x:f>IF('QS Takeoff'!B22="","",'QS Takeoff'!A22)</x:f>
      </x:c>
      <x:c r="C59" s="26" t="str">
        <x:f>IF('QS Takeoff'!B22="","",'QS Takeoff'!C22)</x:f>
      </x:c>
      <x:c r="D59" s="550" t="str">
        <x:f>IF('QS Takeoff'!B22="","",'QS Takeoff'!E22)</x:f>
      </x:c>
      <x:c r="E59" s="26" t="str">
        <x:f>IF('QS Takeoff'!B22="","",'QS Takeoff'!D22)</x:f>
      </x:c>
      <x:c r="F59" s="556" t="str">
        <x:f>IF('QS Takeoff'!B22="","",'QS Takeoff'!G22)</x:f>
      </x:c>
      <x:c r="G59" s="778"/>
      <x:c r="H59" s="778"/>
      <x:c r="I59" s="778"/>
      <x:c r="J59" s="778"/>
      <x:c r="K59" s="778"/>
      <x:c r="L59" s="778"/>
      <x:c r="M59" s="778"/>
      <x:c r="N59" s="778"/>
      <x:c r="O59" s="778"/>
      <x:c r="P59" s="26" t="str">
        <x:f>IF(A59="","",IF(COUNTIF(G59:O59,"CHALLENGE - OPEN")&gt;0,"HOLD - OPEN CHALLENGE",IF(COUNTBLANK(G59:O59)&gt;0,"HOLD - NOT FULLY REVIEWED",IF(COUNTIF(G59:O59,"NOT REVIEWED")&gt;0,"HOLD - NOT FULLY REVIEWED","PASS"))))</x:f>
      </x:c>
      <x:c r="Q59" s="778"/>
      <x:c r="R59" s="26"/>
      <x:c r="S59" s="26"/>
      <x:c r="T59" s="26"/>
      <x:c r="U59" s="26"/>
      <x:c r="V59" s="26"/>
      <x:c r="W59" s="26"/>
      <x:c r="X59" s="26"/>
    </x:row>
    <x:row r="60" ht="22" customHeight="1">
      <x:c r="A60" s="26" t="str">
        <x:f>IF('QS Takeoff'!B23="","",'QS Takeoff'!B23)</x:f>
      </x:c>
      <x:c r="B60" s="26" t="str">
        <x:f>IF('QS Takeoff'!B23="","",'QS Takeoff'!A23)</x:f>
      </x:c>
      <x:c r="C60" s="26" t="str">
        <x:f>IF('QS Takeoff'!B23="","",'QS Takeoff'!C23)</x:f>
      </x:c>
      <x:c r="D60" s="550" t="str">
        <x:f>IF('QS Takeoff'!B23="","",'QS Takeoff'!E23)</x:f>
      </x:c>
      <x:c r="E60" s="26" t="str">
        <x:f>IF('QS Takeoff'!B23="","",'QS Takeoff'!D23)</x:f>
      </x:c>
      <x:c r="F60" s="556" t="str">
        <x:f>IF('QS Takeoff'!B23="","",'QS Takeoff'!G23)</x:f>
      </x:c>
      <x:c r="G60" s="778"/>
      <x:c r="H60" s="778"/>
      <x:c r="I60" s="778"/>
      <x:c r="J60" s="778"/>
      <x:c r="K60" s="778"/>
      <x:c r="L60" s="778"/>
      <x:c r="M60" s="778"/>
      <x:c r="N60" s="778"/>
      <x:c r="O60" s="778"/>
      <x:c r="P60" s="26" t="str">
        <x:f>IF(A60="","",IF(COUNTIF(G60:O60,"CHALLENGE - OPEN")&gt;0,"HOLD - OPEN CHALLENGE",IF(COUNTBLANK(G60:O60)&gt;0,"HOLD - NOT FULLY REVIEWED",IF(COUNTIF(G60:O60,"NOT REVIEWED")&gt;0,"HOLD - NOT FULLY REVIEWED","PASS"))))</x:f>
      </x:c>
      <x:c r="Q60" s="778"/>
      <x:c r="R60" s="26"/>
      <x:c r="S60" s="26"/>
      <x:c r="T60" s="26"/>
      <x:c r="U60" s="26"/>
      <x:c r="V60" s="26"/>
      <x:c r="W60" s="26"/>
      <x:c r="X60" s="26"/>
    </x:row>
    <x:row r="61" ht="22" customHeight="1">
      <x:c r="A61" s="26" t="str">
        <x:f>IF('QS Takeoff'!B24="","",'QS Takeoff'!B24)</x:f>
      </x:c>
      <x:c r="B61" s="26" t="str">
        <x:f>IF('QS Takeoff'!B24="","",'QS Takeoff'!A24)</x:f>
      </x:c>
      <x:c r="C61" s="26" t="str">
        <x:f>IF('QS Takeoff'!B24="","",'QS Takeoff'!C24)</x:f>
      </x:c>
      <x:c r="D61" s="550" t="str">
        <x:f>IF('QS Takeoff'!B24="","",'QS Takeoff'!E24)</x:f>
      </x:c>
      <x:c r="E61" s="26" t="str">
        <x:f>IF('QS Takeoff'!B24="","",'QS Takeoff'!D24)</x:f>
      </x:c>
      <x:c r="F61" s="556" t="str">
        <x:f>IF('QS Takeoff'!B24="","",'QS Takeoff'!G24)</x:f>
      </x:c>
      <x:c r="G61" s="778"/>
      <x:c r="H61" s="778"/>
      <x:c r="I61" s="778"/>
      <x:c r="J61" s="778"/>
      <x:c r="K61" s="778"/>
      <x:c r="L61" s="778"/>
      <x:c r="M61" s="778"/>
      <x:c r="N61" s="778"/>
      <x:c r="O61" s="778"/>
      <x:c r="P61" s="26" t="str">
        <x:f>IF(A61="","",IF(COUNTIF(G61:O61,"CHALLENGE - OPEN")&gt;0,"HOLD - OPEN CHALLENGE",IF(COUNTBLANK(G61:O61)&gt;0,"HOLD - NOT FULLY REVIEWED",IF(COUNTIF(G61:O61,"NOT REVIEWED")&gt;0,"HOLD - NOT FULLY REVIEWED","PASS"))))</x:f>
      </x:c>
      <x:c r="Q61" s="778"/>
      <x:c r="R61" s="26"/>
      <x:c r="S61" s="26"/>
      <x:c r="T61" s="26"/>
      <x:c r="U61" s="26"/>
      <x:c r="V61" s="26"/>
      <x:c r="W61" s="26"/>
      <x:c r="X61" s="26"/>
    </x:row>
    <x:row r="62" ht="22" customHeight="1">
      <x:c r="A62" s="26" t="str">
        <x:f>IF('QS Takeoff'!B25="","",'QS Takeoff'!B25)</x:f>
      </x:c>
      <x:c r="B62" s="26" t="str">
        <x:f>IF('QS Takeoff'!B25="","",'QS Takeoff'!A25)</x:f>
      </x:c>
      <x:c r="C62" s="26" t="str">
        <x:f>IF('QS Takeoff'!B25="","",'QS Takeoff'!C25)</x:f>
      </x:c>
      <x:c r="D62" s="550" t="str">
        <x:f>IF('QS Takeoff'!B25="","",'QS Takeoff'!E25)</x:f>
      </x:c>
      <x:c r="E62" s="26" t="str">
        <x:f>IF('QS Takeoff'!B25="","",'QS Takeoff'!D25)</x:f>
      </x:c>
      <x:c r="F62" s="556" t="str">
        <x:f>IF('QS Takeoff'!B25="","",'QS Takeoff'!G25)</x:f>
      </x:c>
      <x:c r="G62" s="778"/>
      <x:c r="H62" s="778"/>
      <x:c r="I62" s="778"/>
      <x:c r="J62" s="778"/>
      <x:c r="K62" s="778"/>
      <x:c r="L62" s="778"/>
      <x:c r="M62" s="778"/>
      <x:c r="N62" s="778"/>
      <x:c r="O62" s="778"/>
      <x:c r="P62" s="26" t="str">
        <x:f>IF(A62="","",IF(COUNTIF(G62:O62,"CHALLENGE - OPEN")&gt;0,"HOLD - OPEN CHALLENGE",IF(COUNTBLANK(G62:O62)&gt;0,"HOLD - NOT FULLY REVIEWED",IF(COUNTIF(G62:O62,"NOT REVIEWED")&gt;0,"HOLD - NOT FULLY REVIEWED","PASS"))))</x:f>
      </x:c>
      <x:c r="Q62" s="778"/>
      <x:c r="R62" s="26"/>
      <x:c r="S62" s="26"/>
      <x:c r="T62" s="26"/>
      <x:c r="U62" s="26"/>
      <x:c r="V62" s="26"/>
      <x:c r="W62" s="26"/>
      <x:c r="X62" s="26"/>
    </x:row>
    <x:row r="63" ht="22" customHeight="1">
      <x:c r="A63" s="26" t="str">
        <x:f>IF('QS Takeoff'!B26="","",'QS Takeoff'!B26)</x:f>
      </x:c>
      <x:c r="B63" s="26" t="str">
        <x:f>IF('QS Takeoff'!B26="","",'QS Takeoff'!A26)</x:f>
      </x:c>
      <x:c r="C63" s="26" t="str">
        <x:f>IF('QS Takeoff'!B26="","",'QS Takeoff'!C26)</x:f>
      </x:c>
      <x:c r="D63" s="550" t="str">
        <x:f>IF('QS Takeoff'!B26="","",'QS Takeoff'!E26)</x:f>
      </x:c>
      <x:c r="E63" s="26" t="str">
        <x:f>IF('QS Takeoff'!B26="","",'QS Takeoff'!D26)</x:f>
      </x:c>
      <x:c r="F63" s="556" t="str">
        <x:f>IF('QS Takeoff'!B26="","",'QS Takeoff'!G26)</x:f>
      </x:c>
      <x:c r="G63" s="778"/>
      <x:c r="H63" s="778"/>
      <x:c r="I63" s="778"/>
      <x:c r="J63" s="778"/>
      <x:c r="K63" s="778"/>
      <x:c r="L63" s="778"/>
      <x:c r="M63" s="778"/>
      <x:c r="N63" s="778"/>
      <x:c r="O63" s="778"/>
      <x:c r="P63" s="26" t="str">
        <x:f>IF(A63="","",IF(COUNTIF(G63:O63,"CHALLENGE - OPEN")&gt;0,"HOLD - OPEN CHALLENGE",IF(COUNTBLANK(G63:O63)&gt;0,"HOLD - NOT FULLY REVIEWED",IF(COUNTIF(G63:O63,"NOT REVIEWED")&gt;0,"HOLD - NOT FULLY REVIEWED","PASS"))))</x:f>
      </x:c>
      <x:c r="Q63" s="778"/>
      <x:c r="R63" s="26"/>
      <x:c r="S63" s="26"/>
      <x:c r="T63" s="26"/>
      <x:c r="U63" s="26"/>
      <x:c r="V63" s="26"/>
      <x:c r="W63" s="26"/>
      <x:c r="X63" s="26"/>
    </x:row>
    <x:row r="64" ht="22" customHeight="1">
      <x:c r="A64" s="26" t="str">
        <x:f>IF('QS Takeoff'!B27="","",'QS Takeoff'!B27)</x:f>
      </x:c>
      <x:c r="B64" s="26" t="str">
        <x:f>IF('QS Takeoff'!B27="","",'QS Takeoff'!A27)</x:f>
      </x:c>
      <x:c r="C64" s="26" t="str">
        <x:f>IF('QS Takeoff'!B27="","",'QS Takeoff'!C27)</x:f>
      </x:c>
      <x:c r="D64" s="550" t="str">
        <x:f>IF('QS Takeoff'!B27="","",'QS Takeoff'!E27)</x:f>
      </x:c>
      <x:c r="E64" s="26" t="str">
        <x:f>IF('QS Takeoff'!B27="","",'QS Takeoff'!D27)</x:f>
      </x:c>
      <x:c r="F64" s="556" t="str">
        <x:f>IF('QS Takeoff'!B27="","",'QS Takeoff'!G27)</x:f>
      </x:c>
      <x:c r="G64" s="778"/>
      <x:c r="H64" s="778"/>
      <x:c r="I64" s="778"/>
      <x:c r="J64" s="778"/>
      <x:c r="K64" s="778"/>
      <x:c r="L64" s="778"/>
      <x:c r="M64" s="778"/>
      <x:c r="N64" s="778"/>
      <x:c r="O64" s="778"/>
      <x:c r="P64" s="26" t="str">
        <x:f>IF(A64="","",IF(COUNTIF(G64:O64,"CHALLENGE - OPEN")&gt;0,"HOLD - OPEN CHALLENGE",IF(COUNTBLANK(G64:O64)&gt;0,"HOLD - NOT FULLY REVIEWED",IF(COUNTIF(G64:O64,"NOT REVIEWED")&gt;0,"HOLD - NOT FULLY REVIEWED","PASS"))))</x:f>
      </x:c>
      <x:c r="Q64" s="778"/>
      <x:c r="R64" s="26"/>
      <x:c r="S64" s="26"/>
      <x:c r="T64" s="26"/>
      <x:c r="U64" s="26"/>
      <x:c r="V64" s="26"/>
      <x:c r="W64" s="26"/>
      <x:c r="X64" s="26"/>
    </x:row>
    <x:row r="65" ht="22" customHeight="1">
      <x:c r="A65" s="26" t="str">
        <x:f>IF('QS Takeoff'!B28="","",'QS Takeoff'!B28)</x:f>
      </x:c>
      <x:c r="B65" s="26" t="str">
        <x:f>IF('QS Takeoff'!B28="","",'QS Takeoff'!A28)</x:f>
      </x:c>
      <x:c r="C65" s="26" t="str">
        <x:f>IF('QS Takeoff'!B28="","",'QS Takeoff'!C28)</x:f>
      </x:c>
      <x:c r="D65" s="550" t="str">
        <x:f>IF('QS Takeoff'!B28="","",'QS Takeoff'!E28)</x:f>
      </x:c>
      <x:c r="E65" s="26" t="str">
        <x:f>IF('QS Takeoff'!B28="","",'QS Takeoff'!D28)</x:f>
      </x:c>
      <x:c r="F65" s="556" t="str">
        <x:f>IF('QS Takeoff'!B28="","",'QS Takeoff'!G28)</x:f>
      </x:c>
      <x:c r="G65" s="778"/>
      <x:c r="H65" s="778"/>
      <x:c r="I65" s="778"/>
      <x:c r="J65" s="778"/>
      <x:c r="K65" s="778"/>
      <x:c r="L65" s="778"/>
      <x:c r="M65" s="778"/>
      <x:c r="N65" s="778"/>
      <x:c r="O65" s="778"/>
      <x:c r="P65" s="26" t="str">
        <x:f>IF(A65="","",IF(COUNTIF(G65:O65,"CHALLENGE - OPEN")&gt;0,"HOLD - OPEN CHALLENGE",IF(COUNTBLANK(G65:O65)&gt;0,"HOLD - NOT FULLY REVIEWED",IF(COUNTIF(G65:O65,"NOT REVIEWED")&gt;0,"HOLD - NOT FULLY REVIEWED","PASS"))))</x:f>
      </x:c>
      <x:c r="Q65" s="778"/>
      <x:c r="R65" s="26"/>
      <x:c r="S65" s="26"/>
      <x:c r="T65" s="26"/>
      <x:c r="U65" s="26"/>
      <x:c r="V65" s="26"/>
      <x:c r="W65" s="26"/>
      <x:c r="X65" s="26"/>
    </x:row>
    <x:row r="66" ht="22" customHeight="1">
      <x:c r="A66" s="26" t="str">
        <x:f>IF('QS Takeoff'!B29="","",'QS Takeoff'!B29)</x:f>
      </x:c>
      <x:c r="B66" s="26" t="str">
        <x:f>IF('QS Takeoff'!B29="","",'QS Takeoff'!A29)</x:f>
      </x:c>
      <x:c r="C66" s="26" t="str">
        <x:f>IF('QS Takeoff'!B29="","",'QS Takeoff'!C29)</x:f>
      </x:c>
      <x:c r="D66" s="550" t="str">
        <x:f>IF('QS Takeoff'!B29="","",'QS Takeoff'!E29)</x:f>
      </x:c>
      <x:c r="E66" s="26" t="str">
        <x:f>IF('QS Takeoff'!B29="","",'QS Takeoff'!D29)</x:f>
      </x:c>
      <x:c r="F66" s="556" t="str">
        <x:f>IF('QS Takeoff'!B29="","",'QS Takeoff'!G29)</x:f>
      </x:c>
      <x:c r="G66" s="778"/>
      <x:c r="H66" s="778"/>
      <x:c r="I66" s="778"/>
      <x:c r="J66" s="778"/>
      <x:c r="K66" s="778"/>
      <x:c r="L66" s="778"/>
      <x:c r="M66" s="778"/>
      <x:c r="N66" s="778"/>
      <x:c r="O66" s="778"/>
      <x:c r="P66" s="26" t="str">
        <x:f>IF(A66="","",IF(COUNTIF(G66:O66,"CHALLENGE - OPEN")&gt;0,"HOLD - OPEN CHALLENGE",IF(COUNTBLANK(G66:O66)&gt;0,"HOLD - NOT FULLY REVIEWED",IF(COUNTIF(G66:O66,"NOT REVIEWED")&gt;0,"HOLD - NOT FULLY REVIEWED","PASS"))))</x:f>
      </x:c>
      <x:c r="Q66" s="778"/>
      <x:c r="R66" s="26"/>
      <x:c r="S66" s="26"/>
      <x:c r="T66" s="26"/>
      <x:c r="U66" s="26"/>
      <x:c r="V66" s="26"/>
      <x:c r="W66" s="26"/>
      <x:c r="X66" s="26"/>
    </x:row>
    <x:row r="67" ht="22" customHeight="1">
      <x:c r="A67" s="26" t="str">
        <x:f>IF('QS Takeoff'!B30="","",'QS Takeoff'!B30)</x:f>
      </x:c>
      <x:c r="B67" s="26" t="str">
        <x:f>IF('QS Takeoff'!B30="","",'QS Takeoff'!A30)</x:f>
      </x:c>
      <x:c r="C67" s="26" t="str">
        <x:f>IF('QS Takeoff'!B30="","",'QS Takeoff'!C30)</x:f>
      </x:c>
      <x:c r="D67" s="550" t="str">
        <x:f>IF('QS Takeoff'!B30="","",'QS Takeoff'!E30)</x:f>
      </x:c>
      <x:c r="E67" s="26" t="str">
        <x:f>IF('QS Takeoff'!B30="","",'QS Takeoff'!D30)</x:f>
      </x:c>
      <x:c r="F67" s="556" t="str">
        <x:f>IF('QS Takeoff'!B30="","",'QS Takeoff'!G30)</x:f>
      </x:c>
      <x:c r="G67" s="778"/>
      <x:c r="H67" s="778"/>
      <x:c r="I67" s="778"/>
      <x:c r="J67" s="778"/>
      <x:c r="K67" s="778"/>
      <x:c r="L67" s="778"/>
      <x:c r="M67" s="778"/>
      <x:c r="N67" s="778"/>
      <x:c r="O67" s="778"/>
      <x:c r="P67" s="26" t="str">
        <x:f>IF(A67="","",IF(COUNTIF(G67:O67,"CHALLENGE - OPEN")&gt;0,"HOLD - OPEN CHALLENGE",IF(COUNTBLANK(G67:O67)&gt;0,"HOLD - NOT FULLY REVIEWED",IF(COUNTIF(G67:O67,"NOT REVIEWED")&gt;0,"HOLD - NOT FULLY REVIEWED","PASS"))))</x:f>
      </x:c>
      <x:c r="Q67" s="778"/>
      <x:c r="R67" s="26"/>
      <x:c r="S67" s="26"/>
      <x:c r="T67" s="26"/>
      <x:c r="U67" s="26"/>
      <x:c r="V67" s="26"/>
      <x:c r="W67" s="26"/>
      <x:c r="X67" s="26"/>
    </x:row>
    <x:row r="68" ht="22" customHeight="1">
      <x:c r="A68" s="26" t="str">
        <x:f>IF('QS Takeoff'!B31="","",'QS Takeoff'!B31)</x:f>
      </x:c>
      <x:c r="B68" s="26" t="str">
        <x:f>IF('QS Takeoff'!B31="","",'QS Takeoff'!A31)</x:f>
      </x:c>
      <x:c r="C68" s="26" t="str">
        <x:f>IF('QS Takeoff'!B31="","",'QS Takeoff'!C31)</x:f>
      </x:c>
      <x:c r="D68" s="550" t="str">
        <x:f>IF('QS Takeoff'!B31="","",'QS Takeoff'!E31)</x:f>
      </x:c>
      <x:c r="E68" s="26" t="str">
        <x:f>IF('QS Takeoff'!B31="","",'QS Takeoff'!D31)</x:f>
      </x:c>
      <x:c r="F68" s="556" t="str">
        <x:f>IF('QS Takeoff'!B31="","",'QS Takeoff'!G31)</x:f>
      </x:c>
      <x:c r="G68" s="778"/>
      <x:c r="H68" s="778"/>
      <x:c r="I68" s="778"/>
      <x:c r="J68" s="778"/>
      <x:c r="K68" s="778"/>
      <x:c r="L68" s="778"/>
      <x:c r="M68" s="778"/>
      <x:c r="N68" s="778"/>
      <x:c r="O68" s="778"/>
      <x:c r="P68" s="26" t="str">
        <x:f>IF(A68="","",IF(COUNTIF(G68:O68,"CHALLENGE - OPEN")&gt;0,"HOLD - OPEN CHALLENGE",IF(COUNTBLANK(G68:O68)&gt;0,"HOLD - NOT FULLY REVIEWED",IF(COUNTIF(G68:O68,"NOT REVIEWED")&gt;0,"HOLD - NOT FULLY REVIEWED","PASS"))))</x:f>
      </x:c>
      <x:c r="Q68" s="778"/>
      <x:c r="R68" s="26"/>
      <x:c r="S68" s="26"/>
      <x:c r="T68" s="26"/>
      <x:c r="U68" s="26"/>
      <x:c r="V68" s="26"/>
      <x:c r="W68" s="26"/>
      <x:c r="X68" s="26"/>
    </x:row>
    <x:row r="69" ht="22" customHeight="1">
      <x:c r="A69" s="26" t="str">
        <x:f>IF('QS Takeoff'!B32="","",'QS Takeoff'!B32)</x:f>
      </x:c>
      <x:c r="B69" s="26" t="str">
        <x:f>IF('QS Takeoff'!B32="","",'QS Takeoff'!A32)</x:f>
      </x:c>
      <x:c r="C69" s="26" t="str">
        <x:f>IF('QS Takeoff'!B32="","",'QS Takeoff'!C32)</x:f>
      </x:c>
      <x:c r="D69" s="550" t="str">
        <x:f>IF('QS Takeoff'!B32="","",'QS Takeoff'!E32)</x:f>
      </x:c>
      <x:c r="E69" s="26" t="str">
        <x:f>IF('QS Takeoff'!B32="","",'QS Takeoff'!D32)</x:f>
      </x:c>
      <x:c r="F69" s="556" t="str">
        <x:f>IF('QS Takeoff'!B32="","",'QS Takeoff'!G32)</x:f>
      </x:c>
      <x:c r="G69" s="778"/>
      <x:c r="H69" s="778"/>
      <x:c r="I69" s="778"/>
      <x:c r="J69" s="778"/>
      <x:c r="K69" s="778"/>
      <x:c r="L69" s="778"/>
      <x:c r="M69" s="778"/>
      <x:c r="N69" s="778"/>
      <x:c r="O69" s="778"/>
      <x:c r="P69" s="26" t="str">
        <x:f>IF(A69="","",IF(COUNTIF(G69:O69,"CHALLENGE - OPEN")&gt;0,"HOLD - OPEN CHALLENGE",IF(COUNTBLANK(G69:O69)&gt;0,"HOLD - NOT FULLY REVIEWED",IF(COUNTIF(G69:O69,"NOT REVIEWED")&gt;0,"HOLD - NOT FULLY REVIEWED","PASS"))))</x:f>
      </x:c>
      <x:c r="Q69" s="778"/>
      <x:c r="R69" s="26"/>
      <x:c r="S69" s="26"/>
      <x:c r="T69" s="26"/>
      <x:c r="U69" s="26"/>
      <x:c r="V69" s="26"/>
      <x:c r="W69" s="26"/>
      <x:c r="X69" s="26"/>
    </x:row>
    <x:row r="70" ht="22" customHeight="1">
      <x:c r="A70" s="26" t="str">
        <x:f>IF('QS Takeoff'!B33="","",'QS Takeoff'!B33)</x:f>
      </x:c>
      <x:c r="B70" s="26" t="str">
        <x:f>IF('QS Takeoff'!B33="","",'QS Takeoff'!A33)</x:f>
      </x:c>
      <x:c r="C70" s="26" t="str">
        <x:f>IF('QS Takeoff'!B33="","",'QS Takeoff'!C33)</x:f>
      </x:c>
      <x:c r="D70" s="550" t="str">
        <x:f>IF('QS Takeoff'!B33="","",'QS Takeoff'!E33)</x:f>
      </x:c>
      <x:c r="E70" s="26" t="str">
        <x:f>IF('QS Takeoff'!B33="","",'QS Takeoff'!D33)</x:f>
      </x:c>
      <x:c r="F70" s="556" t="str">
        <x:f>IF('QS Takeoff'!B33="","",'QS Takeoff'!G33)</x:f>
      </x:c>
      <x:c r="G70" s="778"/>
      <x:c r="H70" s="778"/>
      <x:c r="I70" s="778"/>
      <x:c r="J70" s="778"/>
      <x:c r="K70" s="778"/>
      <x:c r="L70" s="778"/>
      <x:c r="M70" s="778"/>
      <x:c r="N70" s="778"/>
      <x:c r="O70" s="778"/>
      <x:c r="P70" s="26" t="str">
        <x:f>IF(A70="","",IF(COUNTIF(G70:O70,"CHALLENGE - OPEN")&gt;0,"HOLD - OPEN CHALLENGE",IF(COUNTBLANK(G70:O70)&gt;0,"HOLD - NOT FULLY REVIEWED",IF(COUNTIF(G70:O70,"NOT REVIEWED")&gt;0,"HOLD - NOT FULLY REVIEWED","PASS"))))</x:f>
      </x:c>
      <x:c r="Q70" s="778"/>
      <x:c r="R70" s="26"/>
      <x:c r="S70" s="26"/>
      <x:c r="T70" s="26"/>
      <x:c r="U70" s="26"/>
      <x:c r="V70" s="26"/>
      <x:c r="W70" s="26"/>
      <x:c r="X70" s="26"/>
    </x:row>
    <x:row r="71" ht="22" customHeight="1">
      <x:c r="A71" s="26" t="str">
        <x:f>IF('QS Takeoff'!B34="","",'QS Takeoff'!B34)</x:f>
      </x:c>
      <x:c r="B71" s="26" t="str">
        <x:f>IF('QS Takeoff'!B34="","",'QS Takeoff'!A34)</x:f>
      </x:c>
      <x:c r="C71" s="26" t="str">
        <x:f>IF('QS Takeoff'!B34="","",'QS Takeoff'!C34)</x:f>
      </x:c>
      <x:c r="D71" s="550" t="str">
        <x:f>IF('QS Takeoff'!B34="","",'QS Takeoff'!E34)</x:f>
      </x:c>
      <x:c r="E71" s="26" t="str">
        <x:f>IF('QS Takeoff'!B34="","",'QS Takeoff'!D34)</x:f>
      </x:c>
      <x:c r="F71" s="556" t="str">
        <x:f>IF('QS Takeoff'!B34="","",'QS Takeoff'!G34)</x:f>
      </x:c>
      <x:c r="G71" s="778"/>
      <x:c r="H71" s="778"/>
      <x:c r="I71" s="778"/>
      <x:c r="J71" s="778"/>
      <x:c r="K71" s="778"/>
      <x:c r="L71" s="778"/>
      <x:c r="M71" s="778"/>
      <x:c r="N71" s="778"/>
      <x:c r="O71" s="778"/>
      <x:c r="P71" s="26" t="str">
        <x:f>IF(A71="","",IF(COUNTIF(G71:O71,"CHALLENGE - OPEN")&gt;0,"HOLD - OPEN CHALLENGE",IF(COUNTBLANK(G71:O71)&gt;0,"HOLD - NOT FULLY REVIEWED",IF(COUNTIF(G71:O71,"NOT REVIEWED")&gt;0,"HOLD - NOT FULLY REVIEWED","PASS"))))</x:f>
      </x:c>
      <x:c r="Q71" s="778"/>
      <x:c r="R71" s="26"/>
      <x:c r="S71" s="26"/>
      <x:c r="T71" s="26"/>
      <x:c r="U71" s="26"/>
      <x:c r="V71" s="26"/>
      <x:c r="W71" s="26"/>
      <x:c r="X71" s="26"/>
    </x:row>
    <x:row r="72" ht="22" customHeight="1">
      <x:c r="A72" s="26" t="str">
        <x:f>IF('QS Takeoff'!B35="","",'QS Takeoff'!B35)</x:f>
      </x:c>
      <x:c r="B72" s="26" t="str">
        <x:f>IF('QS Takeoff'!B35="","",'QS Takeoff'!A35)</x:f>
      </x:c>
      <x:c r="C72" s="26" t="str">
        <x:f>IF('QS Takeoff'!B35="","",'QS Takeoff'!C35)</x:f>
      </x:c>
      <x:c r="D72" s="550" t="str">
        <x:f>IF('QS Takeoff'!B35="","",'QS Takeoff'!E35)</x:f>
      </x:c>
      <x:c r="E72" s="26" t="str">
        <x:f>IF('QS Takeoff'!B35="","",'QS Takeoff'!D35)</x:f>
      </x:c>
      <x:c r="F72" s="556" t="str">
        <x:f>IF('QS Takeoff'!B35="","",'QS Takeoff'!G35)</x:f>
      </x:c>
      <x:c r="G72" s="778"/>
      <x:c r="H72" s="778"/>
      <x:c r="I72" s="778"/>
      <x:c r="J72" s="778"/>
      <x:c r="K72" s="778"/>
      <x:c r="L72" s="778"/>
      <x:c r="M72" s="778"/>
      <x:c r="N72" s="778"/>
      <x:c r="O72" s="778"/>
      <x:c r="P72" s="26" t="str">
        <x:f>IF(A72="","",IF(COUNTIF(G72:O72,"CHALLENGE - OPEN")&gt;0,"HOLD - OPEN CHALLENGE",IF(COUNTBLANK(G72:O72)&gt;0,"HOLD - NOT FULLY REVIEWED",IF(COUNTIF(G72:O72,"NOT REVIEWED")&gt;0,"HOLD - NOT FULLY REVIEWED","PASS"))))</x:f>
      </x:c>
      <x:c r="Q72" s="778"/>
      <x:c r="R72" s="26"/>
      <x:c r="S72" s="26"/>
      <x:c r="T72" s="26"/>
      <x:c r="U72" s="26"/>
      <x:c r="V72" s="26"/>
      <x:c r="W72" s="26"/>
      <x:c r="X72" s="26"/>
    </x:row>
    <x:row r="73" ht="22" customHeight="1">
      <x:c r="A73" s="26" t="str">
        <x:f>IF('QS Takeoff'!B36="","",'QS Takeoff'!B36)</x:f>
      </x:c>
      <x:c r="B73" s="26" t="str">
        <x:f>IF('QS Takeoff'!B36="","",'QS Takeoff'!A36)</x:f>
      </x:c>
      <x:c r="C73" s="26" t="str">
        <x:f>IF('QS Takeoff'!B36="","",'QS Takeoff'!C36)</x:f>
      </x:c>
      <x:c r="D73" s="550" t="str">
        <x:f>IF('QS Takeoff'!B36="","",'QS Takeoff'!E36)</x:f>
      </x:c>
      <x:c r="E73" s="26" t="str">
        <x:f>IF('QS Takeoff'!B36="","",'QS Takeoff'!D36)</x:f>
      </x:c>
      <x:c r="F73" s="556" t="str">
        <x:f>IF('QS Takeoff'!B36="","",'QS Takeoff'!G36)</x:f>
      </x:c>
      <x:c r="G73" s="778"/>
      <x:c r="H73" s="778"/>
      <x:c r="I73" s="778"/>
      <x:c r="J73" s="778"/>
      <x:c r="K73" s="778"/>
      <x:c r="L73" s="778"/>
      <x:c r="M73" s="778"/>
      <x:c r="N73" s="778"/>
      <x:c r="O73" s="778"/>
      <x:c r="P73" s="26" t="str">
        <x:f>IF(A73="","",IF(COUNTIF(G73:O73,"CHALLENGE - OPEN")&gt;0,"HOLD - OPEN CHALLENGE",IF(COUNTBLANK(G73:O73)&gt;0,"HOLD - NOT FULLY REVIEWED",IF(COUNTIF(G73:O73,"NOT REVIEWED")&gt;0,"HOLD - NOT FULLY REVIEWED","PASS"))))</x:f>
      </x:c>
      <x:c r="Q73" s="778"/>
      <x:c r="R73" s="26"/>
      <x:c r="S73" s="26"/>
      <x:c r="T73" s="26"/>
      <x:c r="U73" s="26"/>
      <x:c r="V73" s="26"/>
      <x:c r="W73" s="26"/>
      <x:c r="X73" s="26"/>
    </x:row>
    <x:row r="74" ht="22" customHeight="1">
      <x:c r="A74" s="26" t="str">
        <x:f>IF('QS Takeoff'!B37="","",'QS Takeoff'!B37)</x:f>
      </x:c>
      <x:c r="B74" s="26" t="str">
        <x:f>IF('QS Takeoff'!B37="","",'QS Takeoff'!A37)</x:f>
      </x:c>
      <x:c r="C74" s="26" t="str">
        <x:f>IF('QS Takeoff'!B37="","",'QS Takeoff'!C37)</x:f>
      </x:c>
      <x:c r="D74" s="550" t="str">
        <x:f>IF('QS Takeoff'!B37="","",'QS Takeoff'!E37)</x:f>
      </x:c>
      <x:c r="E74" s="26" t="str">
        <x:f>IF('QS Takeoff'!B37="","",'QS Takeoff'!D37)</x:f>
      </x:c>
      <x:c r="F74" s="556" t="str">
        <x:f>IF('QS Takeoff'!B37="","",'QS Takeoff'!G37)</x:f>
      </x:c>
      <x:c r="G74" s="778"/>
      <x:c r="H74" s="778"/>
      <x:c r="I74" s="778"/>
      <x:c r="J74" s="778"/>
      <x:c r="K74" s="778"/>
      <x:c r="L74" s="778"/>
      <x:c r="M74" s="778"/>
      <x:c r="N74" s="778"/>
      <x:c r="O74" s="778"/>
      <x:c r="P74" s="26" t="str">
        <x:f>IF(A74="","",IF(COUNTIF(G74:O74,"CHALLENGE - OPEN")&gt;0,"HOLD - OPEN CHALLENGE",IF(COUNTBLANK(G74:O74)&gt;0,"HOLD - NOT FULLY REVIEWED",IF(COUNTIF(G74:O74,"NOT REVIEWED")&gt;0,"HOLD - NOT FULLY REVIEWED","PASS"))))</x:f>
      </x:c>
      <x:c r="Q74" s="778"/>
      <x:c r="R74" s="26"/>
      <x:c r="S74" s="26"/>
      <x:c r="T74" s="26"/>
      <x:c r="U74" s="26"/>
      <x:c r="V74" s="26"/>
      <x:c r="W74" s="26"/>
      <x:c r="X74" s="26"/>
    </x:row>
    <x:row r="75" ht="22" customHeight="1">
      <x:c r="A75" s="26" t="str">
        <x:f>IF('QS Takeoff'!B38="","",'QS Takeoff'!B38)</x:f>
      </x:c>
      <x:c r="B75" s="26" t="str">
        <x:f>IF('QS Takeoff'!B38="","",'QS Takeoff'!A38)</x:f>
      </x:c>
      <x:c r="C75" s="26" t="str">
        <x:f>IF('QS Takeoff'!B38="","",'QS Takeoff'!C38)</x:f>
      </x:c>
      <x:c r="D75" s="550" t="str">
        <x:f>IF('QS Takeoff'!B38="","",'QS Takeoff'!E38)</x:f>
      </x:c>
      <x:c r="E75" s="26" t="str">
        <x:f>IF('QS Takeoff'!B38="","",'QS Takeoff'!D38)</x:f>
      </x:c>
      <x:c r="F75" s="556" t="str">
        <x:f>IF('QS Takeoff'!B38="","",'QS Takeoff'!G38)</x:f>
      </x:c>
      <x:c r="G75" s="778"/>
      <x:c r="H75" s="778"/>
      <x:c r="I75" s="778"/>
      <x:c r="J75" s="778"/>
      <x:c r="K75" s="778"/>
      <x:c r="L75" s="778"/>
      <x:c r="M75" s="778"/>
      <x:c r="N75" s="778"/>
      <x:c r="O75" s="778"/>
      <x:c r="P75" s="26" t="str">
        <x:f>IF(A75="","",IF(COUNTIF(G75:O75,"CHALLENGE - OPEN")&gt;0,"HOLD - OPEN CHALLENGE",IF(COUNTBLANK(G75:O75)&gt;0,"HOLD - NOT FULLY REVIEWED",IF(COUNTIF(G75:O75,"NOT REVIEWED")&gt;0,"HOLD - NOT FULLY REVIEWED","PASS"))))</x:f>
      </x:c>
      <x:c r="Q75" s="778"/>
      <x:c r="R75" s="26"/>
      <x:c r="S75" s="26"/>
      <x:c r="T75" s="26"/>
      <x:c r="U75" s="26"/>
      <x:c r="V75" s="26"/>
      <x:c r="W75" s="26"/>
      <x:c r="X75" s="26"/>
    </x:row>
    <x:row r="76" ht="22" customHeight="1">
      <x:c r="A76" s="26" t="str">
        <x:f>IF('QS Takeoff'!B39="","",'QS Takeoff'!B39)</x:f>
      </x:c>
      <x:c r="B76" s="26" t="str">
        <x:f>IF('QS Takeoff'!B39="","",'QS Takeoff'!A39)</x:f>
      </x:c>
      <x:c r="C76" s="26" t="str">
        <x:f>IF('QS Takeoff'!B39="","",'QS Takeoff'!C39)</x:f>
      </x:c>
      <x:c r="D76" s="550" t="str">
        <x:f>IF('QS Takeoff'!B39="","",'QS Takeoff'!E39)</x:f>
      </x:c>
      <x:c r="E76" s="26" t="str">
        <x:f>IF('QS Takeoff'!B39="","",'QS Takeoff'!D39)</x:f>
      </x:c>
      <x:c r="F76" s="556" t="str">
        <x:f>IF('QS Takeoff'!B39="","",'QS Takeoff'!G39)</x:f>
      </x:c>
      <x:c r="G76" s="778"/>
      <x:c r="H76" s="778"/>
      <x:c r="I76" s="778"/>
      <x:c r="J76" s="778"/>
      <x:c r="K76" s="778"/>
      <x:c r="L76" s="778"/>
      <x:c r="M76" s="778"/>
      <x:c r="N76" s="778"/>
      <x:c r="O76" s="778"/>
      <x:c r="P76" s="26" t="str">
        <x:f>IF(A76="","",IF(COUNTIF(G76:O76,"CHALLENGE - OPEN")&gt;0,"HOLD - OPEN CHALLENGE",IF(COUNTBLANK(G76:O76)&gt;0,"HOLD - NOT FULLY REVIEWED",IF(COUNTIF(G76:O76,"NOT REVIEWED")&gt;0,"HOLD - NOT FULLY REVIEWED","PASS"))))</x:f>
      </x:c>
      <x:c r="Q76" s="778"/>
      <x:c r="R76" s="26"/>
      <x:c r="S76" s="26"/>
      <x:c r="T76" s="26"/>
      <x:c r="U76" s="26"/>
      <x:c r="V76" s="26"/>
      <x:c r="W76" s="26"/>
      <x:c r="X76" s="26"/>
    </x:row>
    <x:row r="77" ht="22" customHeight="1">
      <x:c r="A77" s="26" t="str">
        <x:f>IF('QS Takeoff'!B40="","",'QS Takeoff'!B40)</x:f>
      </x:c>
      <x:c r="B77" s="26" t="str">
        <x:f>IF('QS Takeoff'!B40="","",'QS Takeoff'!A40)</x:f>
      </x:c>
      <x:c r="C77" s="26" t="str">
        <x:f>IF('QS Takeoff'!B40="","",'QS Takeoff'!C40)</x:f>
      </x:c>
      <x:c r="D77" s="550" t="str">
        <x:f>IF('QS Takeoff'!B40="","",'QS Takeoff'!E40)</x:f>
      </x:c>
      <x:c r="E77" s="26" t="str">
        <x:f>IF('QS Takeoff'!B40="","",'QS Takeoff'!D40)</x:f>
      </x:c>
      <x:c r="F77" s="556" t="str">
        <x:f>IF('QS Takeoff'!B40="","",'QS Takeoff'!G40)</x:f>
      </x:c>
      <x:c r="G77" s="778"/>
      <x:c r="H77" s="778"/>
      <x:c r="I77" s="778"/>
      <x:c r="J77" s="778"/>
      <x:c r="K77" s="778"/>
      <x:c r="L77" s="778"/>
      <x:c r="M77" s="778"/>
      <x:c r="N77" s="778"/>
      <x:c r="O77" s="778"/>
      <x:c r="P77" s="26" t="str">
        <x:f>IF(A77="","",IF(COUNTIF(G77:O77,"CHALLENGE - OPEN")&gt;0,"HOLD - OPEN CHALLENGE",IF(COUNTBLANK(G77:O77)&gt;0,"HOLD - NOT FULLY REVIEWED",IF(COUNTIF(G77:O77,"NOT REVIEWED")&gt;0,"HOLD - NOT FULLY REVIEWED","PASS"))))</x:f>
      </x:c>
      <x:c r="Q77" s="778"/>
      <x:c r="R77" s="26"/>
      <x:c r="S77" s="26"/>
      <x:c r="T77" s="26"/>
      <x:c r="U77" s="26"/>
      <x:c r="V77" s="26"/>
      <x:c r="W77" s="26"/>
      <x:c r="X77" s="26"/>
    </x:row>
    <x:row r="78" ht="22" customHeight="1">
      <x:c r="A78" s="26" t="str">
        <x:f>IF('QS Takeoff'!B41="","",'QS Takeoff'!B41)</x:f>
      </x:c>
      <x:c r="B78" s="26" t="str">
        <x:f>IF('QS Takeoff'!B41="","",'QS Takeoff'!A41)</x:f>
      </x:c>
      <x:c r="C78" s="26" t="str">
        <x:f>IF('QS Takeoff'!B41="","",'QS Takeoff'!C41)</x:f>
      </x:c>
      <x:c r="D78" s="550" t="str">
        <x:f>IF('QS Takeoff'!B41="","",'QS Takeoff'!E41)</x:f>
      </x:c>
      <x:c r="E78" s="26" t="str">
        <x:f>IF('QS Takeoff'!B41="","",'QS Takeoff'!D41)</x:f>
      </x:c>
      <x:c r="F78" s="556" t="str">
        <x:f>IF('QS Takeoff'!B41="","",'QS Takeoff'!G41)</x:f>
      </x:c>
      <x:c r="G78" s="778"/>
      <x:c r="H78" s="778"/>
      <x:c r="I78" s="778"/>
      <x:c r="J78" s="778"/>
      <x:c r="K78" s="778"/>
      <x:c r="L78" s="778"/>
      <x:c r="M78" s="778"/>
      <x:c r="N78" s="778"/>
      <x:c r="O78" s="778"/>
      <x:c r="P78" s="26" t="str">
        <x:f>IF(A78="","",IF(COUNTIF(G78:O78,"CHALLENGE - OPEN")&gt;0,"HOLD - OPEN CHALLENGE",IF(COUNTBLANK(G78:O78)&gt;0,"HOLD - NOT FULLY REVIEWED",IF(COUNTIF(G78:O78,"NOT REVIEWED")&gt;0,"HOLD - NOT FULLY REVIEWED","PASS"))))</x:f>
      </x:c>
      <x:c r="Q78" s="778"/>
      <x:c r="R78" s="26"/>
      <x:c r="S78" s="26"/>
      <x:c r="T78" s="26"/>
      <x:c r="U78" s="26"/>
      <x:c r="V78" s="26"/>
      <x:c r="W78" s="26"/>
      <x:c r="X78" s="26"/>
    </x:row>
    <x:row r="79" ht="22" customHeight="1">
      <x:c r="A79" s="26" t="str">
        <x:f>IF('QS Takeoff'!B42="","",'QS Takeoff'!B42)</x:f>
      </x:c>
      <x:c r="B79" s="26" t="str">
        <x:f>IF('QS Takeoff'!B42="","",'QS Takeoff'!A42)</x:f>
      </x:c>
      <x:c r="C79" s="26" t="str">
        <x:f>IF('QS Takeoff'!B42="","",'QS Takeoff'!C42)</x:f>
      </x:c>
      <x:c r="D79" s="550" t="str">
        <x:f>IF('QS Takeoff'!B42="","",'QS Takeoff'!E42)</x:f>
      </x:c>
      <x:c r="E79" s="26" t="str">
        <x:f>IF('QS Takeoff'!B42="","",'QS Takeoff'!D42)</x:f>
      </x:c>
      <x:c r="F79" s="556" t="str">
        <x:f>IF('QS Takeoff'!B42="","",'QS Takeoff'!G42)</x:f>
      </x:c>
      <x:c r="G79" s="778"/>
      <x:c r="H79" s="778"/>
      <x:c r="I79" s="778"/>
      <x:c r="J79" s="778"/>
      <x:c r="K79" s="778"/>
      <x:c r="L79" s="778"/>
      <x:c r="M79" s="778"/>
      <x:c r="N79" s="778"/>
      <x:c r="O79" s="778"/>
      <x:c r="P79" s="26" t="str">
        <x:f>IF(A79="","",IF(COUNTIF(G79:O79,"CHALLENGE - OPEN")&gt;0,"HOLD - OPEN CHALLENGE",IF(COUNTBLANK(G79:O79)&gt;0,"HOLD - NOT FULLY REVIEWED",IF(COUNTIF(G79:O79,"NOT REVIEWED")&gt;0,"HOLD - NOT FULLY REVIEWED","PASS"))))</x:f>
      </x:c>
      <x:c r="Q79" s="778"/>
      <x:c r="R79" s="26"/>
      <x:c r="S79" s="26"/>
      <x:c r="T79" s="26"/>
      <x:c r="U79" s="26"/>
      <x:c r="V79" s="26"/>
      <x:c r="W79" s="26"/>
      <x:c r="X79" s="26"/>
    </x:row>
    <x:row r="80" ht="22" customHeight="1">
      <x:c r="A80" s="26" t="str">
        <x:f>IF('QS Takeoff'!B43="","",'QS Takeoff'!B43)</x:f>
      </x:c>
      <x:c r="B80" s="26" t="str">
        <x:f>IF('QS Takeoff'!B43="","",'QS Takeoff'!A43)</x:f>
      </x:c>
      <x:c r="C80" s="26" t="str">
        <x:f>IF('QS Takeoff'!B43="","",'QS Takeoff'!C43)</x:f>
      </x:c>
      <x:c r="D80" s="550" t="str">
        <x:f>IF('QS Takeoff'!B43="","",'QS Takeoff'!E43)</x:f>
      </x:c>
      <x:c r="E80" s="26" t="str">
        <x:f>IF('QS Takeoff'!B43="","",'QS Takeoff'!D43)</x:f>
      </x:c>
      <x:c r="F80" s="556" t="str">
        <x:f>IF('QS Takeoff'!B43="","",'QS Takeoff'!G43)</x:f>
      </x:c>
      <x:c r="G80" s="778"/>
      <x:c r="H80" s="778"/>
      <x:c r="I80" s="778"/>
      <x:c r="J80" s="778"/>
      <x:c r="K80" s="778"/>
      <x:c r="L80" s="778"/>
      <x:c r="M80" s="778"/>
      <x:c r="N80" s="778"/>
      <x:c r="O80" s="778"/>
      <x:c r="P80" s="26" t="str">
        <x:f>IF(A80="","",IF(COUNTIF(G80:O80,"CHALLENGE - OPEN")&gt;0,"HOLD - OPEN CHALLENGE",IF(COUNTBLANK(G80:O80)&gt;0,"HOLD - NOT FULLY REVIEWED",IF(COUNTIF(G80:O80,"NOT REVIEWED")&gt;0,"HOLD - NOT FULLY REVIEWED","PASS"))))</x:f>
      </x:c>
      <x:c r="Q80" s="778"/>
      <x:c r="R80" s="26"/>
      <x:c r="S80" s="26"/>
      <x:c r="T80" s="26"/>
      <x:c r="U80" s="26"/>
      <x:c r="V80" s="26"/>
      <x:c r="W80" s="26"/>
      <x:c r="X80" s="26"/>
    </x:row>
    <x:row r="81" ht="22" customHeight="1">
      <x:c r="A81" s="26" t="str">
        <x:f>IF('QS Takeoff'!B44="","",'QS Takeoff'!B44)</x:f>
      </x:c>
      <x:c r="B81" s="26" t="str">
        <x:f>IF('QS Takeoff'!B44="","",'QS Takeoff'!A44)</x:f>
      </x:c>
      <x:c r="C81" s="26" t="str">
        <x:f>IF('QS Takeoff'!B44="","",'QS Takeoff'!C44)</x:f>
      </x:c>
      <x:c r="D81" s="550" t="str">
        <x:f>IF('QS Takeoff'!B44="","",'QS Takeoff'!E44)</x:f>
      </x:c>
      <x:c r="E81" s="26" t="str">
        <x:f>IF('QS Takeoff'!B44="","",'QS Takeoff'!D44)</x:f>
      </x:c>
      <x:c r="F81" s="556" t="str">
        <x:f>IF('QS Takeoff'!B44="","",'QS Takeoff'!G44)</x:f>
      </x:c>
      <x:c r="G81" s="778"/>
      <x:c r="H81" s="778"/>
      <x:c r="I81" s="778"/>
      <x:c r="J81" s="778"/>
      <x:c r="K81" s="778"/>
      <x:c r="L81" s="778"/>
      <x:c r="M81" s="778"/>
      <x:c r="N81" s="778"/>
      <x:c r="O81" s="778"/>
      <x:c r="P81" s="26" t="str">
        <x:f>IF(A81="","",IF(COUNTIF(G81:O81,"CHALLENGE - OPEN")&gt;0,"HOLD - OPEN CHALLENGE",IF(COUNTBLANK(G81:O81)&gt;0,"HOLD - NOT FULLY REVIEWED",IF(COUNTIF(G81:O81,"NOT REVIEWED")&gt;0,"HOLD - NOT FULLY REVIEWED","PASS"))))</x:f>
      </x:c>
      <x:c r="Q81" s="778"/>
      <x:c r="R81" s="26"/>
      <x:c r="S81" s="26"/>
      <x:c r="T81" s="26"/>
      <x:c r="U81" s="26"/>
      <x:c r="V81" s="26"/>
      <x:c r="W81" s="26"/>
      <x:c r="X81" s="26"/>
    </x:row>
    <x:row r="82" ht="22" customHeight="1">
      <x:c r="A82" s="26" t="str">
        <x:f>IF('QS Takeoff'!B45="","",'QS Takeoff'!B45)</x:f>
      </x:c>
      <x:c r="B82" s="26" t="str">
        <x:f>IF('QS Takeoff'!B45="","",'QS Takeoff'!A45)</x:f>
      </x:c>
      <x:c r="C82" s="26" t="str">
        <x:f>IF('QS Takeoff'!B45="","",'QS Takeoff'!C45)</x:f>
      </x:c>
      <x:c r="D82" s="550" t="str">
        <x:f>IF('QS Takeoff'!B45="","",'QS Takeoff'!E45)</x:f>
      </x:c>
      <x:c r="E82" s="26" t="str">
        <x:f>IF('QS Takeoff'!B45="","",'QS Takeoff'!D45)</x:f>
      </x:c>
      <x:c r="F82" s="556" t="str">
        <x:f>IF('QS Takeoff'!B45="","",'QS Takeoff'!G45)</x:f>
      </x:c>
      <x:c r="G82" s="778"/>
      <x:c r="H82" s="778"/>
      <x:c r="I82" s="778"/>
      <x:c r="J82" s="778"/>
      <x:c r="K82" s="778"/>
      <x:c r="L82" s="778"/>
      <x:c r="M82" s="778"/>
      <x:c r="N82" s="778"/>
      <x:c r="O82" s="778"/>
      <x:c r="P82" s="26" t="str">
        <x:f>IF(A82="","",IF(COUNTIF(G82:O82,"CHALLENGE - OPEN")&gt;0,"HOLD - OPEN CHALLENGE",IF(COUNTBLANK(G82:O82)&gt;0,"HOLD - NOT FULLY REVIEWED",IF(COUNTIF(G82:O82,"NOT REVIEWED")&gt;0,"HOLD - NOT FULLY REVIEWED","PASS"))))</x:f>
      </x:c>
      <x:c r="Q82" s="778"/>
      <x:c r="R82" s="26"/>
      <x:c r="S82" s="26"/>
      <x:c r="T82" s="26"/>
      <x:c r="U82" s="26"/>
      <x:c r="V82" s="26"/>
      <x:c r="W82" s="26"/>
      <x:c r="X82" s="26"/>
    </x:row>
    <x:row r="83" ht="22" customHeight="1">
      <x:c r="A83" s="26" t="str">
        <x:f>IF('QS Takeoff'!B46="","",'QS Takeoff'!B46)</x:f>
      </x:c>
      <x:c r="B83" s="26" t="str">
        <x:f>IF('QS Takeoff'!B46="","",'QS Takeoff'!A46)</x:f>
      </x:c>
      <x:c r="C83" s="26" t="str">
        <x:f>IF('QS Takeoff'!B46="","",'QS Takeoff'!C46)</x:f>
      </x:c>
      <x:c r="D83" s="550" t="str">
        <x:f>IF('QS Takeoff'!B46="","",'QS Takeoff'!E46)</x:f>
      </x:c>
      <x:c r="E83" s="26" t="str">
        <x:f>IF('QS Takeoff'!B46="","",'QS Takeoff'!D46)</x:f>
      </x:c>
      <x:c r="F83" s="556" t="str">
        <x:f>IF('QS Takeoff'!B46="","",'QS Takeoff'!G46)</x:f>
      </x:c>
      <x:c r="G83" s="778"/>
      <x:c r="H83" s="778"/>
      <x:c r="I83" s="778"/>
      <x:c r="J83" s="778"/>
      <x:c r="K83" s="778"/>
      <x:c r="L83" s="778"/>
      <x:c r="M83" s="778"/>
      <x:c r="N83" s="778"/>
      <x:c r="O83" s="778"/>
      <x:c r="P83" s="26" t="str">
        <x:f>IF(A83="","",IF(COUNTIF(G83:O83,"CHALLENGE - OPEN")&gt;0,"HOLD - OPEN CHALLENGE",IF(COUNTBLANK(G83:O83)&gt;0,"HOLD - NOT FULLY REVIEWED",IF(COUNTIF(G83:O83,"NOT REVIEWED")&gt;0,"HOLD - NOT FULLY REVIEWED","PASS"))))</x:f>
      </x:c>
      <x:c r="Q83" s="778"/>
      <x:c r="R83" s="26"/>
      <x:c r="S83" s="26"/>
      <x:c r="T83" s="26"/>
      <x:c r="U83" s="26"/>
      <x:c r="V83" s="26"/>
      <x:c r="W83" s="26"/>
      <x:c r="X83" s="26"/>
    </x:row>
    <x:row r="84" ht="22" customHeight="1">
      <x:c r="A84" s="26" t="str">
        <x:f>IF('QS Takeoff'!B47="","",'QS Takeoff'!B47)</x:f>
      </x:c>
      <x:c r="B84" s="26" t="str">
        <x:f>IF('QS Takeoff'!B47="","",'QS Takeoff'!A47)</x:f>
      </x:c>
      <x:c r="C84" s="26" t="str">
        <x:f>IF('QS Takeoff'!B47="","",'QS Takeoff'!C47)</x:f>
      </x:c>
      <x:c r="D84" s="550" t="str">
        <x:f>IF('QS Takeoff'!B47="","",'QS Takeoff'!E47)</x:f>
      </x:c>
      <x:c r="E84" s="26" t="str">
        <x:f>IF('QS Takeoff'!B47="","",'QS Takeoff'!D47)</x:f>
      </x:c>
      <x:c r="F84" s="556" t="str">
        <x:f>IF('QS Takeoff'!B47="","",'QS Takeoff'!G47)</x:f>
      </x:c>
      <x:c r="G84" s="778"/>
      <x:c r="H84" s="778"/>
      <x:c r="I84" s="778"/>
      <x:c r="J84" s="778"/>
      <x:c r="K84" s="778"/>
      <x:c r="L84" s="778"/>
      <x:c r="M84" s="778"/>
      <x:c r="N84" s="778"/>
      <x:c r="O84" s="778"/>
      <x:c r="P84" s="26" t="str">
        <x:f>IF(A84="","",IF(COUNTIF(G84:O84,"CHALLENGE - OPEN")&gt;0,"HOLD - OPEN CHALLENGE",IF(COUNTBLANK(G84:O84)&gt;0,"HOLD - NOT FULLY REVIEWED",IF(COUNTIF(G84:O84,"NOT REVIEWED")&gt;0,"HOLD - NOT FULLY REVIEWED","PASS"))))</x:f>
      </x:c>
      <x:c r="Q84" s="778"/>
      <x:c r="R84" s="26"/>
      <x:c r="S84" s="26"/>
      <x:c r="T84" s="26"/>
      <x:c r="U84" s="26"/>
      <x:c r="V84" s="26"/>
      <x:c r="W84" s="26"/>
      <x:c r="X84" s="26"/>
    </x:row>
    <x:row r="85" ht="22" customHeight="1">
      <x:c r="A85" s="26" t="str">
        <x:f>IF('QS Takeoff'!B48="","",'QS Takeoff'!B48)</x:f>
      </x:c>
      <x:c r="B85" s="26" t="str">
        <x:f>IF('QS Takeoff'!B48="","",'QS Takeoff'!A48)</x:f>
      </x:c>
      <x:c r="C85" s="26" t="str">
        <x:f>IF('QS Takeoff'!B48="","",'QS Takeoff'!C48)</x:f>
      </x:c>
      <x:c r="D85" s="550" t="str">
        <x:f>IF('QS Takeoff'!B48="","",'QS Takeoff'!E48)</x:f>
      </x:c>
      <x:c r="E85" s="26" t="str">
        <x:f>IF('QS Takeoff'!B48="","",'QS Takeoff'!D48)</x:f>
      </x:c>
      <x:c r="F85" s="556" t="str">
        <x:f>IF('QS Takeoff'!B48="","",'QS Takeoff'!G48)</x:f>
      </x:c>
      <x:c r="G85" s="778"/>
      <x:c r="H85" s="778"/>
      <x:c r="I85" s="778"/>
      <x:c r="J85" s="778"/>
      <x:c r="K85" s="778"/>
      <x:c r="L85" s="778"/>
      <x:c r="M85" s="778"/>
      <x:c r="N85" s="778"/>
      <x:c r="O85" s="778"/>
      <x:c r="P85" s="26" t="str">
        <x:f>IF(A85="","",IF(COUNTIF(G85:O85,"CHALLENGE - OPEN")&gt;0,"HOLD - OPEN CHALLENGE",IF(COUNTBLANK(G85:O85)&gt;0,"HOLD - NOT FULLY REVIEWED",IF(COUNTIF(G85:O85,"NOT REVIEWED")&gt;0,"HOLD - NOT FULLY REVIEWED","PASS"))))</x:f>
      </x:c>
      <x:c r="Q85" s="778"/>
      <x:c r="R85" s="26"/>
      <x:c r="S85" s="26"/>
      <x:c r="T85" s="26"/>
      <x:c r="U85" s="26"/>
      <x:c r="V85" s="26"/>
      <x:c r="W85" s="26"/>
      <x:c r="X85" s="26"/>
    </x:row>
    <x:row r="86" ht="22" customHeight="1">
      <x:c r="A86" s="26" t="str">
        <x:f>IF('QS Takeoff'!B49="","",'QS Takeoff'!B49)</x:f>
      </x:c>
      <x:c r="B86" s="26" t="str">
        <x:f>IF('QS Takeoff'!B49="","",'QS Takeoff'!A49)</x:f>
      </x:c>
      <x:c r="C86" s="26" t="str">
        <x:f>IF('QS Takeoff'!B49="","",'QS Takeoff'!C49)</x:f>
      </x:c>
      <x:c r="D86" s="550" t="str">
        <x:f>IF('QS Takeoff'!B49="","",'QS Takeoff'!E49)</x:f>
      </x:c>
      <x:c r="E86" s="26" t="str">
        <x:f>IF('QS Takeoff'!B49="","",'QS Takeoff'!D49)</x:f>
      </x:c>
      <x:c r="F86" s="556" t="str">
        <x:f>IF('QS Takeoff'!B49="","",'QS Takeoff'!G49)</x:f>
      </x:c>
      <x:c r="G86" s="778"/>
      <x:c r="H86" s="778"/>
      <x:c r="I86" s="778"/>
      <x:c r="J86" s="778"/>
      <x:c r="K86" s="778"/>
      <x:c r="L86" s="778"/>
      <x:c r="M86" s="778"/>
      <x:c r="N86" s="778"/>
      <x:c r="O86" s="778"/>
      <x:c r="P86" s="26" t="str">
        <x:f>IF(A86="","",IF(COUNTIF(G86:O86,"CHALLENGE - OPEN")&gt;0,"HOLD - OPEN CHALLENGE",IF(COUNTBLANK(G86:O86)&gt;0,"HOLD - NOT FULLY REVIEWED",IF(COUNTIF(G86:O86,"NOT REVIEWED")&gt;0,"HOLD - NOT FULLY REVIEWED","PASS"))))</x:f>
      </x:c>
      <x:c r="Q86" s="778"/>
      <x:c r="R86" s="26"/>
      <x:c r="S86" s="26"/>
      <x:c r="T86" s="26"/>
      <x:c r="U86" s="26"/>
      <x:c r="V86" s="26"/>
      <x:c r="W86" s="26"/>
      <x:c r="X86" s="26"/>
    </x:row>
    <x:row r="87" ht="22" customHeight="1">
      <x:c r="A87" s="26" t="str">
        <x:f>IF('QS Takeoff'!B50="","",'QS Takeoff'!B50)</x:f>
      </x:c>
      <x:c r="B87" s="26" t="str">
        <x:f>IF('QS Takeoff'!B50="","",'QS Takeoff'!A50)</x:f>
      </x:c>
      <x:c r="C87" s="26" t="str">
        <x:f>IF('QS Takeoff'!B50="","",'QS Takeoff'!C50)</x:f>
      </x:c>
      <x:c r="D87" s="550" t="str">
        <x:f>IF('QS Takeoff'!B50="","",'QS Takeoff'!E50)</x:f>
      </x:c>
      <x:c r="E87" s="26" t="str">
        <x:f>IF('QS Takeoff'!B50="","",'QS Takeoff'!D50)</x:f>
      </x:c>
      <x:c r="F87" s="556" t="str">
        <x:f>IF('QS Takeoff'!B50="","",'QS Takeoff'!G50)</x:f>
      </x:c>
      <x:c r="G87" s="778"/>
      <x:c r="H87" s="778"/>
      <x:c r="I87" s="778"/>
      <x:c r="J87" s="778"/>
      <x:c r="K87" s="778"/>
      <x:c r="L87" s="778"/>
      <x:c r="M87" s="778"/>
      <x:c r="N87" s="778"/>
      <x:c r="O87" s="778"/>
      <x:c r="P87" s="26" t="str">
        <x:f>IF(A87="","",IF(COUNTIF(G87:O87,"CHALLENGE - OPEN")&gt;0,"HOLD - OPEN CHALLENGE",IF(COUNTBLANK(G87:O87)&gt;0,"HOLD - NOT FULLY REVIEWED",IF(COUNTIF(G87:O87,"NOT REVIEWED")&gt;0,"HOLD - NOT FULLY REVIEWED","PASS"))))</x:f>
      </x:c>
      <x:c r="Q87" s="778"/>
      <x:c r="R87" s="26"/>
      <x:c r="S87" s="26"/>
      <x:c r="T87" s="26"/>
      <x:c r="U87" s="26"/>
      <x:c r="V87" s="26"/>
      <x:c r="W87" s="26"/>
      <x:c r="X87" s="26"/>
    </x:row>
    <x:row r="88" ht="22" customHeight="1">
      <x:c r="A88" s="26" t="str">
        <x:f>IF('QS Takeoff'!B51="","",'QS Takeoff'!B51)</x:f>
      </x:c>
      <x:c r="B88" s="26" t="str">
        <x:f>IF('QS Takeoff'!B51="","",'QS Takeoff'!A51)</x:f>
      </x:c>
      <x:c r="C88" s="26" t="str">
        <x:f>IF('QS Takeoff'!B51="","",'QS Takeoff'!C51)</x:f>
      </x:c>
      <x:c r="D88" s="550" t="str">
        <x:f>IF('QS Takeoff'!B51="","",'QS Takeoff'!E51)</x:f>
      </x:c>
      <x:c r="E88" s="26" t="str">
        <x:f>IF('QS Takeoff'!B51="","",'QS Takeoff'!D51)</x:f>
      </x:c>
      <x:c r="F88" s="556" t="str">
        <x:f>IF('QS Takeoff'!B51="","",'QS Takeoff'!G51)</x:f>
      </x:c>
      <x:c r="G88" s="778"/>
      <x:c r="H88" s="778"/>
      <x:c r="I88" s="778"/>
      <x:c r="J88" s="778"/>
      <x:c r="K88" s="778"/>
      <x:c r="L88" s="778"/>
      <x:c r="M88" s="778"/>
      <x:c r="N88" s="778"/>
      <x:c r="O88" s="778"/>
      <x:c r="P88" s="26" t="str">
        <x:f>IF(A88="","",IF(COUNTIF(G88:O88,"CHALLENGE - OPEN")&gt;0,"HOLD - OPEN CHALLENGE",IF(COUNTBLANK(G88:O88)&gt;0,"HOLD - NOT FULLY REVIEWED",IF(COUNTIF(G88:O88,"NOT REVIEWED")&gt;0,"HOLD - NOT FULLY REVIEWED","PASS"))))</x:f>
      </x:c>
      <x:c r="Q88" s="778"/>
      <x:c r="R88" s="26"/>
      <x:c r="S88" s="26"/>
      <x:c r="T88" s="26"/>
      <x:c r="U88" s="26"/>
      <x:c r="V88" s="26"/>
      <x:c r="W88" s="26"/>
      <x:c r="X88" s="26"/>
    </x:row>
    <x:row r="89" ht="22" customHeight="1">
      <x:c r="A89" s="26" t="str">
        <x:f>IF('QS Takeoff'!B52="","",'QS Takeoff'!B52)</x:f>
      </x:c>
      <x:c r="B89" s="26" t="str">
        <x:f>IF('QS Takeoff'!B52="","",'QS Takeoff'!A52)</x:f>
      </x:c>
      <x:c r="C89" s="26" t="str">
        <x:f>IF('QS Takeoff'!B52="","",'QS Takeoff'!C52)</x:f>
      </x:c>
      <x:c r="D89" s="550" t="str">
        <x:f>IF('QS Takeoff'!B52="","",'QS Takeoff'!E52)</x:f>
      </x:c>
      <x:c r="E89" s="26" t="str">
        <x:f>IF('QS Takeoff'!B52="","",'QS Takeoff'!D52)</x:f>
      </x:c>
      <x:c r="F89" s="556" t="str">
        <x:f>IF('QS Takeoff'!B52="","",'QS Takeoff'!G52)</x:f>
      </x:c>
      <x:c r="G89" s="778"/>
      <x:c r="H89" s="778"/>
      <x:c r="I89" s="778"/>
      <x:c r="J89" s="778"/>
      <x:c r="K89" s="778"/>
      <x:c r="L89" s="778"/>
      <x:c r="M89" s="778"/>
      <x:c r="N89" s="778"/>
      <x:c r="O89" s="778"/>
      <x:c r="P89" s="26" t="str">
        <x:f>IF(A89="","",IF(COUNTIF(G89:O89,"CHALLENGE - OPEN")&gt;0,"HOLD - OPEN CHALLENGE",IF(COUNTBLANK(G89:O89)&gt;0,"HOLD - NOT FULLY REVIEWED",IF(COUNTIF(G89:O89,"NOT REVIEWED")&gt;0,"HOLD - NOT FULLY REVIEWED","PASS"))))</x:f>
      </x:c>
      <x:c r="Q89" s="778"/>
      <x:c r="R89" s="26"/>
      <x:c r="S89" s="26"/>
      <x:c r="T89" s="26"/>
      <x:c r="U89" s="26"/>
      <x:c r="V89" s="26"/>
      <x:c r="W89" s="26"/>
      <x:c r="X89" s="26"/>
    </x:row>
    <x:row r="90" ht="22" customHeight="1">
      <x:c r="A90" s="26" t="str">
        <x:f>IF('QS Takeoff'!B53="","",'QS Takeoff'!B53)</x:f>
      </x:c>
      <x:c r="B90" s="26" t="str">
        <x:f>IF('QS Takeoff'!B53="","",'QS Takeoff'!A53)</x:f>
      </x:c>
      <x:c r="C90" s="26" t="str">
        <x:f>IF('QS Takeoff'!B53="","",'QS Takeoff'!C53)</x:f>
      </x:c>
      <x:c r="D90" s="550" t="str">
        <x:f>IF('QS Takeoff'!B53="","",'QS Takeoff'!E53)</x:f>
      </x:c>
      <x:c r="E90" s="26" t="str">
        <x:f>IF('QS Takeoff'!B53="","",'QS Takeoff'!D53)</x:f>
      </x:c>
      <x:c r="F90" s="556" t="str">
        <x:f>IF('QS Takeoff'!B53="","",'QS Takeoff'!G53)</x:f>
      </x:c>
      <x:c r="G90" s="778"/>
      <x:c r="H90" s="778"/>
      <x:c r="I90" s="778"/>
      <x:c r="J90" s="778"/>
      <x:c r="K90" s="778"/>
      <x:c r="L90" s="778"/>
      <x:c r="M90" s="778"/>
      <x:c r="N90" s="778"/>
      <x:c r="O90" s="778"/>
      <x:c r="P90" s="26" t="str">
        <x:f>IF(A90="","",IF(COUNTIF(G90:O90,"CHALLENGE - OPEN")&gt;0,"HOLD - OPEN CHALLENGE",IF(COUNTBLANK(G90:O90)&gt;0,"HOLD - NOT FULLY REVIEWED",IF(COUNTIF(G90:O90,"NOT REVIEWED")&gt;0,"HOLD - NOT FULLY REVIEWED","PASS"))))</x:f>
      </x:c>
      <x:c r="Q90" s="778"/>
      <x:c r="R90" s="26"/>
      <x:c r="S90" s="26"/>
      <x:c r="T90" s="26"/>
      <x:c r="U90" s="26"/>
      <x:c r="V90" s="26"/>
      <x:c r="W90" s="26"/>
      <x:c r="X90" s="26"/>
    </x:row>
    <x:row r="91" ht="22" customHeight="1">
      <x:c r="A91" s="26" t="str">
        <x:f>IF('QS Takeoff'!B54="","",'QS Takeoff'!B54)</x:f>
      </x:c>
      <x:c r="B91" s="26" t="str">
        <x:f>IF('QS Takeoff'!B54="","",'QS Takeoff'!A54)</x:f>
      </x:c>
      <x:c r="C91" s="26" t="str">
        <x:f>IF('QS Takeoff'!B54="","",'QS Takeoff'!C54)</x:f>
      </x:c>
      <x:c r="D91" s="550" t="str">
        <x:f>IF('QS Takeoff'!B54="","",'QS Takeoff'!E54)</x:f>
      </x:c>
      <x:c r="E91" s="26" t="str">
        <x:f>IF('QS Takeoff'!B54="","",'QS Takeoff'!D54)</x:f>
      </x:c>
      <x:c r="F91" s="556" t="str">
        <x:f>IF('QS Takeoff'!B54="","",'QS Takeoff'!G54)</x:f>
      </x:c>
      <x:c r="G91" s="778"/>
      <x:c r="H91" s="778"/>
      <x:c r="I91" s="778"/>
      <x:c r="J91" s="778"/>
      <x:c r="K91" s="778"/>
      <x:c r="L91" s="778"/>
      <x:c r="M91" s="778"/>
      <x:c r="N91" s="778"/>
      <x:c r="O91" s="778"/>
      <x:c r="P91" s="26" t="str">
        <x:f>IF(A91="","",IF(COUNTIF(G91:O91,"CHALLENGE - OPEN")&gt;0,"HOLD - OPEN CHALLENGE",IF(COUNTBLANK(G91:O91)&gt;0,"HOLD - NOT FULLY REVIEWED",IF(COUNTIF(G91:O91,"NOT REVIEWED")&gt;0,"HOLD - NOT FULLY REVIEWED","PASS"))))</x:f>
      </x:c>
      <x:c r="Q91" s="778"/>
      <x:c r="R91" s="26"/>
      <x:c r="S91" s="26"/>
      <x:c r="T91" s="26"/>
      <x:c r="U91" s="26"/>
      <x:c r="V91" s="26"/>
      <x:c r="W91" s="26"/>
      <x:c r="X91" s="26"/>
    </x:row>
    <x:row r="92" ht="22" customHeight="1">
      <x:c r="A92" s="26" t="str">
        <x:f>IF('QS Takeoff'!B55="","",'QS Takeoff'!B55)</x:f>
      </x:c>
      <x:c r="B92" s="26" t="str">
        <x:f>IF('QS Takeoff'!B55="","",'QS Takeoff'!A55)</x:f>
      </x:c>
      <x:c r="C92" s="26" t="str">
        <x:f>IF('QS Takeoff'!B55="","",'QS Takeoff'!C55)</x:f>
      </x:c>
      <x:c r="D92" s="550" t="str">
        <x:f>IF('QS Takeoff'!B55="","",'QS Takeoff'!E55)</x:f>
      </x:c>
      <x:c r="E92" s="26" t="str">
        <x:f>IF('QS Takeoff'!B55="","",'QS Takeoff'!D55)</x:f>
      </x:c>
      <x:c r="F92" s="556" t="str">
        <x:f>IF('QS Takeoff'!B55="","",'QS Takeoff'!G55)</x:f>
      </x:c>
      <x:c r="G92" s="778"/>
      <x:c r="H92" s="778"/>
      <x:c r="I92" s="778"/>
      <x:c r="J92" s="778"/>
      <x:c r="K92" s="778"/>
      <x:c r="L92" s="778"/>
      <x:c r="M92" s="778"/>
      <x:c r="N92" s="778"/>
      <x:c r="O92" s="778"/>
      <x:c r="P92" s="26" t="str">
        <x:f>IF(A92="","",IF(COUNTIF(G92:O92,"CHALLENGE - OPEN")&gt;0,"HOLD - OPEN CHALLENGE",IF(COUNTBLANK(G92:O92)&gt;0,"HOLD - NOT FULLY REVIEWED",IF(COUNTIF(G92:O92,"NOT REVIEWED")&gt;0,"HOLD - NOT FULLY REVIEWED","PASS"))))</x:f>
      </x:c>
      <x:c r="Q92" s="778"/>
      <x:c r="R92" s="26"/>
      <x:c r="S92" s="26"/>
      <x:c r="T92" s="26"/>
      <x:c r="U92" s="26"/>
      <x:c r="V92" s="26"/>
      <x:c r="W92" s="26"/>
      <x:c r="X92" s="26"/>
    </x:row>
    <x:row r="93" ht="22" customHeight="1">
      <x:c r="A93" s="26" t="str">
        <x:f>IF('QS Takeoff'!B56="","",'QS Takeoff'!B56)</x:f>
      </x:c>
      <x:c r="B93" s="26" t="str">
        <x:f>IF('QS Takeoff'!B56="","",'QS Takeoff'!A56)</x:f>
      </x:c>
      <x:c r="C93" s="26" t="str">
        <x:f>IF('QS Takeoff'!B56="","",'QS Takeoff'!C56)</x:f>
      </x:c>
      <x:c r="D93" s="550" t="str">
        <x:f>IF('QS Takeoff'!B56="","",'QS Takeoff'!E56)</x:f>
      </x:c>
      <x:c r="E93" s="26" t="str">
        <x:f>IF('QS Takeoff'!B56="","",'QS Takeoff'!D56)</x:f>
      </x:c>
      <x:c r="F93" s="556" t="str">
        <x:f>IF('QS Takeoff'!B56="","",'QS Takeoff'!G56)</x:f>
      </x:c>
      <x:c r="G93" s="778"/>
      <x:c r="H93" s="778"/>
      <x:c r="I93" s="778"/>
      <x:c r="J93" s="778"/>
      <x:c r="K93" s="778"/>
      <x:c r="L93" s="778"/>
      <x:c r="M93" s="778"/>
      <x:c r="N93" s="778"/>
      <x:c r="O93" s="778"/>
      <x:c r="P93" s="26" t="str">
        <x:f>IF(A93="","",IF(COUNTIF(G93:O93,"CHALLENGE - OPEN")&gt;0,"HOLD - OPEN CHALLENGE",IF(COUNTBLANK(G93:O93)&gt;0,"HOLD - NOT FULLY REVIEWED",IF(COUNTIF(G93:O93,"NOT REVIEWED")&gt;0,"HOLD - NOT FULLY REVIEWED","PASS"))))</x:f>
      </x:c>
      <x:c r="Q93" s="778"/>
      <x:c r="R93" s="26"/>
      <x:c r="S93" s="26"/>
      <x:c r="T93" s="26"/>
      <x:c r="U93" s="26"/>
      <x:c r="V93" s="26"/>
      <x:c r="W93" s="26"/>
      <x:c r="X93" s="26"/>
    </x:row>
    <x:row r="94" ht="22" customHeight="1">
      <x:c r="A94" s="26" t="str">
        <x:f>IF('QS Takeoff'!B57="","",'QS Takeoff'!B57)</x:f>
      </x:c>
      <x:c r="B94" s="26" t="str">
        <x:f>IF('QS Takeoff'!B57="","",'QS Takeoff'!A57)</x:f>
      </x:c>
      <x:c r="C94" s="26" t="str">
        <x:f>IF('QS Takeoff'!B57="","",'QS Takeoff'!C57)</x:f>
      </x:c>
      <x:c r="D94" s="550" t="str">
        <x:f>IF('QS Takeoff'!B57="","",'QS Takeoff'!E57)</x:f>
      </x:c>
      <x:c r="E94" s="26" t="str">
        <x:f>IF('QS Takeoff'!B57="","",'QS Takeoff'!D57)</x:f>
      </x:c>
      <x:c r="F94" s="556" t="str">
        <x:f>IF('QS Takeoff'!B57="","",'QS Takeoff'!G57)</x:f>
      </x:c>
      <x:c r="G94" s="778"/>
      <x:c r="H94" s="778"/>
      <x:c r="I94" s="778"/>
      <x:c r="J94" s="778"/>
      <x:c r="K94" s="778"/>
      <x:c r="L94" s="778"/>
      <x:c r="M94" s="778"/>
      <x:c r="N94" s="778"/>
      <x:c r="O94" s="778"/>
      <x:c r="P94" s="26" t="str">
        <x:f>IF(A94="","",IF(COUNTIF(G94:O94,"CHALLENGE - OPEN")&gt;0,"HOLD - OPEN CHALLENGE",IF(COUNTBLANK(G94:O94)&gt;0,"HOLD - NOT FULLY REVIEWED",IF(COUNTIF(G94:O94,"NOT REVIEWED")&gt;0,"HOLD - NOT FULLY REVIEWED","PASS"))))</x:f>
      </x:c>
      <x:c r="Q94" s="778"/>
      <x:c r="R94" s="26"/>
      <x:c r="S94" s="26"/>
      <x:c r="T94" s="26"/>
      <x:c r="U94" s="26"/>
      <x:c r="V94" s="26"/>
      <x:c r="W94" s="26"/>
      <x:c r="X94" s="26"/>
    </x:row>
    <x:row r="95" ht="22" customHeight="1">
      <x:c r="A95" s="26" t="str">
        <x:f>IF('QS Takeoff'!B58="","",'QS Takeoff'!B58)</x:f>
      </x:c>
      <x:c r="B95" s="26" t="str">
        <x:f>IF('QS Takeoff'!B58="","",'QS Takeoff'!A58)</x:f>
      </x:c>
      <x:c r="C95" s="26" t="str">
        <x:f>IF('QS Takeoff'!B58="","",'QS Takeoff'!C58)</x:f>
      </x:c>
      <x:c r="D95" s="550" t="str">
        <x:f>IF('QS Takeoff'!B58="","",'QS Takeoff'!E58)</x:f>
      </x:c>
      <x:c r="E95" s="26" t="str">
        <x:f>IF('QS Takeoff'!B58="","",'QS Takeoff'!D58)</x:f>
      </x:c>
      <x:c r="F95" s="556" t="str">
        <x:f>IF('QS Takeoff'!B58="","",'QS Takeoff'!G58)</x:f>
      </x:c>
      <x:c r="G95" s="778"/>
      <x:c r="H95" s="778"/>
      <x:c r="I95" s="778"/>
      <x:c r="J95" s="778"/>
      <x:c r="K95" s="778"/>
      <x:c r="L95" s="778"/>
      <x:c r="M95" s="778"/>
      <x:c r="N95" s="778"/>
      <x:c r="O95" s="778"/>
      <x:c r="P95" s="26" t="str">
        <x:f>IF(A95="","",IF(COUNTIF(G95:O95,"CHALLENGE - OPEN")&gt;0,"HOLD - OPEN CHALLENGE",IF(COUNTBLANK(G95:O95)&gt;0,"HOLD - NOT FULLY REVIEWED",IF(COUNTIF(G95:O95,"NOT REVIEWED")&gt;0,"HOLD - NOT FULLY REVIEWED","PASS"))))</x:f>
      </x:c>
      <x:c r="Q95" s="778"/>
      <x:c r="R95" s="26"/>
      <x:c r="S95" s="26"/>
      <x:c r="T95" s="26"/>
      <x:c r="U95" s="26"/>
      <x:c r="V95" s="26"/>
      <x:c r="W95" s="26"/>
      <x:c r="X95" s="26"/>
    </x:row>
    <x:row r="96" ht="22" customHeight="1">
      <x:c r="A96" s="26" t="str">
        <x:f>IF('QS Takeoff'!B59="","",'QS Takeoff'!B59)</x:f>
      </x:c>
      <x:c r="B96" s="26" t="str">
        <x:f>IF('QS Takeoff'!B59="","",'QS Takeoff'!A59)</x:f>
      </x:c>
      <x:c r="C96" s="26" t="str">
        <x:f>IF('QS Takeoff'!B59="","",'QS Takeoff'!C59)</x:f>
      </x:c>
      <x:c r="D96" s="550" t="str">
        <x:f>IF('QS Takeoff'!B59="","",'QS Takeoff'!E59)</x:f>
      </x:c>
      <x:c r="E96" s="26" t="str">
        <x:f>IF('QS Takeoff'!B59="","",'QS Takeoff'!D59)</x:f>
      </x:c>
      <x:c r="F96" s="556" t="str">
        <x:f>IF('QS Takeoff'!B59="","",'QS Takeoff'!G59)</x:f>
      </x:c>
      <x:c r="G96" s="778"/>
      <x:c r="H96" s="778"/>
      <x:c r="I96" s="778"/>
      <x:c r="J96" s="778"/>
      <x:c r="K96" s="778"/>
      <x:c r="L96" s="778"/>
      <x:c r="M96" s="778"/>
      <x:c r="N96" s="778"/>
      <x:c r="O96" s="778"/>
      <x:c r="P96" s="26" t="str">
        <x:f>IF(A96="","",IF(COUNTIF(G96:O96,"CHALLENGE - OPEN")&gt;0,"HOLD - OPEN CHALLENGE",IF(COUNTBLANK(G96:O96)&gt;0,"HOLD - NOT FULLY REVIEWED",IF(COUNTIF(G96:O96,"NOT REVIEWED")&gt;0,"HOLD - NOT FULLY REVIEWED","PASS"))))</x:f>
      </x:c>
      <x:c r="Q96" s="778"/>
      <x:c r="R96" s="26"/>
      <x:c r="S96" s="26"/>
      <x:c r="T96" s="26"/>
      <x:c r="U96" s="26"/>
      <x:c r="V96" s="26"/>
      <x:c r="W96" s="26"/>
      <x:c r="X96" s="26"/>
    </x:row>
    <x:row r="97" ht="22" customHeight="1">
      <x:c r="A97" s="26" t="str">
        <x:f>IF('QS Takeoff'!B60="","",'QS Takeoff'!B60)</x:f>
      </x:c>
      <x:c r="B97" s="26" t="str">
        <x:f>IF('QS Takeoff'!B60="","",'QS Takeoff'!A60)</x:f>
      </x:c>
      <x:c r="C97" s="26" t="str">
        <x:f>IF('QS Takeoff'!B60="","",'QS Takeoff'!C60)</x:f>
      </x:c>
      <x:c r="D97" s="550" t="str">
        <x:f>IF('QS Takeoff'!B60="","",'QS Takeoff'!E60)</x:f>
      </x:c>
      <x:c r="E97" s="26" t="str">
        <x:f>IF('QS Takeoff'!B60="","",'QS Takeoff'!D60)</x:f>
      </x:c>
      <x:c r="F97" s="556" t="str">
        <x:f>IF('QS Takeoff'!B60="","",'QS Takeoff'!G60)</x:f>
      </x:c>
      <x:c r="G97" s="778"/>
      <x:c r="H97" s="778"/>
      <x:c r="I97" s="778"/>
      <x:c r="J97" s="778"/>
      <x:c r="K97" s="778"/>
      <x:c r="L97" s="778"/>
      <x:c r="M97" s="778"/>
      <x:c r="N97" s="778"/>
      <x:c r="O97" s="778"/>
      <x:c r="P97" s="26" t="str">
        <x:f>IF(A97="","",IF(COUNTIF(G97:O97,"CHALLENGE - OPEN")&gt;0,"HOLD - OPEN CHALLENGE",IF(COUNTBLANK(G97:O97)&gt;0,"HOLD - NOT FULLY REVIEWED",IF(COUNTIF(G97:O97,"NOT REVIEWED")&gt;0,"HOLD - NOT FULLY REVIEWED","PASS"))))</x:f>
      </x:c>
      <x:c r="Q97" s="778"/>
      <x:c r="R97" s="26"/>
      <x:c r="S97" s="26"/>
      <x:c r="T97" s="26"/>
      <x:c r="U97" s="26"/>
      <x:c r="V97" s="26"/>
      <x:c r="W97" s="26"/>
      <x:c r="X97" s="26"/>
    </x:row>
    <x:row r="98" ht="22" customHeight="1">
      <x:c r="A98" s="26" t="str">
        <x:f>IF('QS Takeoff'!B61="","",'QS Takeoff'!B61)</x:f>
      </x:c>
      <x:c r="B98" s="26" t="str">
        <x:f>IF('QS Takeoff'!B61="","",'QS Takeoff'!A61)</x:f>
      </x:c>
      <x:c r="C98" s="26" t="str">
        <x:f>IF('QS Takeoff'!B61="","",'QS Takeoff'!C61)</x:f>
      </x:c>
      <x:c r="D98" s="550" t="str">
        <x:f>IF('QS Takeoff'!B61="","",'QS Takeoff'!E61)</x:f>
      </x:c>
      <x:c r="E98" s="26" t="str">
        <x:f>IF('QS Takeoff'!B61="","",'QS Takeoff'!D61)</x:f>
      </x:c>
      <x:c r="F98" s="556" t="str">
        <x:f>IF('QS Takeoff'!B61="","",'QS Takeoff'!G61)</x:f>
      </x:c>
      <x:c r="G98" s="778"/>
      <x:c r="H98" s="778"/>
      <x:c r="I98" s="778"/>
      <x:c r="J98" s="778"/>
      <x:c r="K98" s="778"/>
      <x:c r="L98" s="778"/>
      <x:c r="M98" s="778"/>
      <x:c r="N98" s="778"/>
      <x:c r="O98" s="778"/>
      <x:c r="P98" s="26" t="str">
        <x:f>IF(A98="","",IF(COUNTIF(G98:O98,"CHALLENGE - OPEN")&gt;0,"HOLD - OPEN CHALLENGE",IF(COUNTBLANK(G98:O98)&gt;0,"HOLD - NOT FULLY REVIEWED",IF(COUNTIF(G98:O98,"NOT REVIEWED")&gt;0,"HOLD - NOT FULLY REVIEWED","PASS"))))</x:f>
      </x:c>
      <x:c r="Q98" s="778"/>
      <x:c r="R98" s="26"/>
      <x:c r="S98" s="26"/>
      <x:c r="T98" s="26"/>
      <x:c r="U98" s="26"/>
      <x:c r="V98" s="26"/>
      <x:c r="W98" s="26"/>
      <x:c r="X98" s="26"/>
    </x:row>
    <x:row r="99" ht="22" customHeight="1">
      <x:c r="A99" s="26" t="str">
        <x:f>IF('QS Takeoff'!B62="","",'QS Takeoff'!B62)</x:f>
      </x:c>
      <x:c r="B99" s="26" t="str">
        <x:f>IF('QS Takeoff'!B62="","",'QS Takeoff'!A62)</x:f>
      </x:c>
      <x:c r="C99" s="26" t="str">
        <x:f>IF('QS Takeoff'!B62="","",'QS Takeoff'!C62)</x:f>
      </x:c>
      <x:c r="D99" s="550" t="str">
        <x:f>IF('QS Takeoff'!B62="","",'QS Takeoff'!E62)</x:f>
      </x:c>
      <x:c r="E99" s="26" t="str">
        <x:f>IF('QS Takeoff'!B62="","",'QS Takeoff'!D62)</x:f>
      </x:c>
      <x:c r="F99" s="556" t="str">
        <x:f>IF('QS Takeoff'!B62="","",'QS Takeoff'!G62)</x:f>
      </x:c>
      <x:c r="G99" s="778"/>
      <x:c r="H99" s="778"/>
      <x:c r="I99" s="778"/>
      <x:c r="J99" s="778"/>
      <x:c r="K99" s="778"/>
      <x:c r="L99" s="778"/>
      <x:c r="M99" s="778"/>
      <x:c r="N99" s="778"/>
      <x:c r="O99" s="778"/>
      <x:c r="P99" s="26" t="str">
        <x:f>IF(A99="","",IF(COUNTIF(G99:O99,"CHALLENGE - OPEN")&gt;0,"HOLD - OPEN CHALLENGE",IF(COUNTBLANK(G99:O99)&gt;0,"HOLD - NOT FULLY REVIEWED",IF(COUNTIF(G99:O99,"NOT REVIEWED")&gt;0,"HOLD - NOT FULLY REVIEWED","PASS"))))</x:f>
      </x:c>
      <x:c r="Q99" s="778"/>
      <x:c r="R99" s="26"/>
      <x:c r="S99" s="26"/>
      <x:c r="T99" s="26"/>
      <x:c r="U99" s="26"/>
      <x:c r="V99" s="26"/>
      <x:c r="W99" s="26"/>
      <x:c r="X99" s="26"/>
    </x:row>
    <x:row r="100" ht="22" customHeight="1">
      <x:c r="A100" s="26" t="str">
        <x:f>IF('QS Takeoff'!B63="","",'QS Takeoff'!B63)</x:f>
      </x:c>
      <x:c r="B100" s="26" t="str">
        <x:f>IF('QS Takeoff'!B63="","",'QS Takeoff'!A63)</x:f>
      </x:c>
      <x:c r="C100" s="26" t="str">
        <x:f>IF('QS Takeoff'!B63="","",'QS Takeoff'!C63)</x:f>
      </x:c>
      <x:c r="D100" s="550" t="str">
        <x:f>IF('QS Takeoff'!B63="","",'QS Takeoff'!E63)</x:f>
      </x:c>
      <x:c r="E100" s="26" t="str">
        <x:f>IF('QS Takeoff'!B63="","",'QS Takeoff'!D63)</x:f>
      </x:c>
      <x:c r="F100" s="556" t="str">
        <x:f>IF('QS Takeoff'!B63="","",'QS Takeoff'!G63)</x:f>
      </x:c>
      <x:c r="G100" s="778"/>
      <x:c r="H100" s="778"/>
      <x:c r="I100" s="778"/>
      <x:c r="J100" s="778"/>
      <x:c r="K100" s="778"/>
      <x:c r="L100" s="778"/>
      <x:c r="M100" s="778"/>
      <x:c r="N100" s="778"/>
      <x:c r="O100" s="778"/>
      <x:c r="P100" s="26" t="str">
        <x:f>IF(A100="","",IF(COUNTIF(G100:O100,"CHALLENGE - OPEN")&gt;0,"HOLD - OPEN CHALLENGE",IF(COUNTBLANK(G100:O100)&gt;0,"HOLD - NOT FULLY REVIEWED",IF(COUNTIF(G100:O100,"NOT REVIEWED")&gt;0,"HOLD - NOT FULLY REVIEWED","PASS"))))</x:f>
      </x:c>
      <x:c r="Q100" s="778"/>
      <x:c r="R100" s="26"/>
      <x:c r="S100" s="26"/>
      <x:c r="T100" s="26"/>
      <x:c r="U100" s="26"/>
      <x:c r="V100" s="26"/>
      <x:c r="W100" s="26"/>
      <x:c r="X100" s="26"/>
    </x:row>
    <x:row r="101" ht="22" customHeight="1">
      <x:c r="A101" s="26" t="str">
        <x:f>IF('QS Takeoff'!B64="","",'QS Takeoff'!B64)</x:f>
      </x:c>
      <x:c r="B101" s="26" t="str">
        <x:f>IF('QS Takeoff'!B64="","",'QS Takeoff'!A64)</x:f>
      </x:c>
      <x:c r="C101" s="26" t="str">
        <x:f>IF('QS Takeoff'!B64="","",'QS Takeoff'!C64)</x:f>
      </x:c>
      <x:c r="D101" s="550" t="str">
        <x:f>IF('QS Takeoff'!B64="","",'QS Takeoff'!E64)</x:f>
      </x:c>
      <x:c r="E101" s="26" t="str">
        <x:f>IF('QS Takeoff'!B64="","",'QS Takeoff'!D64)</x:f>
      </x:c>
      <x:c r="F101" s="556" t="str">
        <x:f>IF('QS Takeoff'!B64="","",'QS Takeoff'!G64)</x:f>
      </x:c>
      <x:c r="G101" s="778"/>
      <x:c r="H101" s="778"/>
      <x:c r="I101" s="778"/>
      <x:c r="J101" s="778"/>
      <x:c r="K101" s="778"/>
      <x:c r="L101" s="778"/>
      <x:c r="M101" s="778"/>
      <x:c r="N101" s="778"/>
      <x:c r="O101" s="778"/>
      <x:c r="P101" s="26" t="str">
        <x:f>IF(A101="","",IF(COUNTIF(G101:O101,"CHALLENGE - OPEN")&gt;0,"HOLD - OPEN CHALLENGE",IF(COUNTBLANK(G101:O101)&gt;0,"HOLD - NOT FULLY REVIEWED",IF(COUNTIF(G101:O101,"NOT REVIEWED")&gt;0,"HOLD - NOT FULLY REVIEWED","PASS"))))</x:f>
      </x:c>
      <x:c r="Q101" s="778"/>
      <x:c r="R101" s="26"/>
      <x:c r="S101" s="26"/>
      <x:c r="T101" s="26"/>
      <x:c r="U101" s="26"/>
      <x:c r="V101" s="26"/>
      <x:c r="W101" s="26"/>
      <x:c r="X101" s="26"/>
    </x:row>
    <x:row r="102" ht="22" customHeight="1">
      <x:c r="A102" s="26" t="str">
        <x:f>IF('QS Takeoff'!B65="","",'QS Takeoff'!B65)</x:f>
      </x:c>
      <x:c r="B102" s="26" t="str">
        <x:f>IF('QS Takeoff'!B65="","",'QS Takeoff'!A65)</x:f>
      </x:c>
      <x:c r="C102" s="26" t="str">
        <x:f>IF('QS Takeoff'!B65="","",'QS Takeoff'!C65)</x:f>
      </x:c>
      <x:c r="D102" s="550" t="str">
        <x:f>IF('QS Takeoff'!B65="","",'QS Takeoff'!E65)</x:f>
      </x:c>
      <x:c r="E102" s="26" t="str">
        <x:f>IF('QS Takeoff'!B65="","",'QS Takeoff'!D65)</x:f>
      </x:c>
      <x:c r="F102" s="556" t="str">
        <x:f>IF('QS Takeoff'!B65="","",'QS Takeoff'!G65)</x:f>
      </x:c>
      <x:c r="G102" s="778"/>
      <x:c r="H102" s="778"/>
      <x:c r="I102" s="778"/>
      <x:c r="J102" s="778"/>
      <x:c r="K102" s="778"/>
      <x:c r="L102" s="778"/>
      <x:c r="M102" s="778"/>
      <x:c r="N102" s="778"/>
      <x:c r="O102" s="778"/>
      <x:c r="P102" s="26" t="str">
        <x:f>IF(A102="","",IF(COUNTIF(G102:O102,"CHALLENGE - OPEN")&gt;0,"HOLD - OPEN CHALLENGE",IF(COUNTBLANK(G102:O102)&gt;0,"HOLD - NOT FULLY REVIEWED",IF(COUNTIF(G102:O102,"NOT REVIEWED")&gt;0,"HOLD - NOT FULLY REVIEWED","PASS"))))</x:f>
      </x:c>
      <x:c r="Q102" s="778"/>
      <x:c r="R102" s="26"/>
      <x:c r="S102" s="26"/>
      <x:c r="T102" s="26"/>
      <x:c r="U102" s="26"/>
      <x:c r="V102" s="26"/>
      <x:c r="W102" s="26"/>
      <x:c r="X102" s="26"/>
    </x:row>
    <x:row r="103" ht="22" customHeight="1">
      <x:c r="A103" s="26" t="str">
        <x:f>IF('QS Takeoff'!B66="","",'QS Takeoff'!B66)</x:f>
      </x:c>
      <x:c r="B103" s="26" t="str">
        <x:f>IF('QS Takeoff'!B66="","",'QS Takeoff'!A66)</x:f>
      </x:c>
      <x:c r="C103" s="26" t="str">
        <x:f>IF('QS Takeoff'!B66="","",'QS Takeoff'!C66)</x:f>
      </x:c>
      <x:c r="D103" s="550" t="str">
        <x:f>IF('QS Takeoff'!B66="","",'QS Takeoff'!E66)</x:f>
      </x:c>
      <x:c r="E103" s="26" t="str">
        <x:f>IF('QS Takeoff'!B66="","",'QS Takeoff'!D66)</x:f>
      </x:c>
      <x:c r="F103" s="556" t="str">
        <x:f>IF('QS Takeoff'!B66="","",'QS Takeoff'!G66)</x:f>
      </x:c>
      <x:c r="G103" s="778"/>
      <x:c r="H103" s="778"/>
      <x:c r="I103" s="778"/>
      <x:c r="J103" s="778"/>
      <x:c r="K103" s="778"/>
      <x:c r="L103" s="778"/>
      <x:c r="M103" s="778"/>
      <x:c r="N103" s="778"/>
      <x:c r="O103" s="778"/>
      <x:c r="P103" s="26" t="str">
        <x:f>IF(A103="","",IF(COUNTIF(G103:O103,"CHALLENGE - OPEN")&gt;0,"HOLD - OPEN CHALLENGE",IF(COUNTBLANK(G103:O103)&gt;0,"HOLD - NOT FULLY REVIEWED",IF(COUNTIF(G103:O103,"NOT REVIEWED")&gt;0,"HOLD - NOT FULLY REVIEWED","PASS"))))</x:f>
      </x:c>
      <x:c r="Q103" s="778"/>
      <x:c r="R103" s="26"/>
      <x:c r="S103" s="26"/>
      <x:c r="T103" s="26"/>
      <x:c r="U103" s="26"/>
      <x:c r="V103" s="26"/>
      <x:c r="W103" s="26"/>
      <x:c r="X103" s="26"/>
    </x:row>
    <x:row r="104" ht="22" customHeight="1">
      <x:c r="A104" s="26" t="str">
        <x:f>IF('QS Takeoff'!B67="","",'QS Takeoff'!B67)</x:f>
      </x:c>
      <x:c r="B104" s="26" t="str">
        <x:f>IF('QS Takeoff'!B67="","",'QS Takeoff'!A67)</x:f>
      </x:c>
      <x:c r="C104" s="26" t="str">
        <x:f>IF('QS Takeoff'!B67="","",'QS Takeoff'!C67)</x:f>
      </x:c>
      <x:c r="D104" s="550" t="str">
        <x:f>IF('QS Takeoff'!B67="","",'QS Takeoff'!E67)</x:f>
      </x:c>
      <x:c r="E104" s="26" t="str">
        <x:f>IF('QS Takeoff'!B67="","",'QS Takeoff'!D67)</x:f>
      </x:c>
      <x:c r="F104" s="556" t="str">
        <x:f>IF('QS Takeoff'!B67="","",'QS Takeoff'!G67)</x:f>
      </x:c>
      <x:c r="G104" s="778"/>
      <x:c r="H104" s="778"/>
      <x:c r="I104" s="778"/>
      <x:c r="J104" s="778"/>
      <x:c r="K104" s="778"/>
      <x:c r="L104" s="778"/>
      <x:c r="M104" s="778"/>
      <x:c r="N104" s="778"/>
      <x:c r="O104" s="778"/>
      <x:c r="P104" s="26" t="str">
        <x:f>IF(A104="","",IF(COUNTIF(G104:O104,"CHALLENGE - OPEN")&gt;0,"HOLD - OPEN CHALLENGE",IF(COUNTBLANK(G104:O104)&gt;0,"HOLD - NOT FULLY REVIEWED",IF(COUNTIF(G104:O104,"NOT REVIEWED")&gt;0,"HOLD - NOT FULLY REVIEWED","PASS"))))</x:f>
      </x:c>
      <x:c r="Q104" s="778"/>
      <x:c r="R104" s="26"/>
      <x:c r="S104" s="26"/>
      <x:c r="T104" s="26"/>
      <x:c r="U104" s="26"/>
      <x:c r="V104" s="26"/>
      <x:c r="W104" s="26"/>
      <x:c r="X104" s="26"/>
    </x:row>
    <x:row r="105" ht="22" customHeight="1">
      <x:c r="A105" s="26" t="str">
        <x:f>IF('QS Takeoff'!B68="","",'QS Takeoff'!B68)</x:f>
      </x:c>
      <x:c r="B105" s="26" t="str">
        <x:f>IF('QS Takeoff'!B68="","",'QS Takeoff'!A68)</x:f>
      </x:c>
      <x:c r="C105" s="26" t="str">
        <x:f>IF('QS Takeoff'!B68="","",'QS Takeoff'!C68)</x:f>
      </x:c>
      <x:c r="D105" s="550" t="str">
        <x:f>IF('QS Takeoff'!B68="","",'QS Takeoff'!E68)</x:f>
      </x:c>
      <x:c r="E105" s="26" t="str">
        <x:f>IF('QS Takeoff'!B68="","",'QS Takeoff'!D68)</x:f>
      </x:c>
      <x:c r="F105" s="556" t="str">
        <x:f>IF('QS Takeoff'!B68="","",'QS Takeoff'!G68)</x:f>
      </x:c>
      <x:c r="G105" s="778"/>
      <x:c r="H105" s="778"/>
      <x:c r="I105" s="778"/>
      <x:c r="J105" s="778"/>
      <x:c r="K105" s="778"/>
      <x:c r="L105" s="778"/>
      <x:c r="M105" s="778"/>
      <x:c r="N105" s="778"/>
      <x:c r="O105" s="778"/>
      <x:c r="P105" s="26" t="str">
        <x:f>IF(A105="","",IF(COUNTIF(G105:O105,"CHALLENGE - OPEN")&gt;0,"HOLD - OPEN CHALLENGE",IF(COUNTBLANK(G105:O105)&gt;0,"HOLD - NOT FULLY REVIEWED",IF(COUNTIF(G105:O105,"NOT REVIEWED")&gt;0,"HOLD - NOT FULLY REVIEWED","PASS"))))</x:f>
      </x:c>
      <x:c r="Q105" s="778"/>
      <x:c r="R105" s="26"/>
      <x:c r="S105" s="26"/>
      <x:c r="T105" s="26"/>
      <x:c r="U105" s="26"/>
      <x:c r="V105" s="26"/>
      <x:c r="W105" s="26"/>
      <x:c r="X105" s="26"/>
    </x:row>
    <x:row r="106" ht="22" customHeight="1">
      <x:c r="A106" s="26" t="str">
        <x:f>IF('QS Takeoff'!B69="","",'QS Takeoff'!B69)</x:f>
      </x:c>
      <x:c r="B106" s="26" t="str">
        <x:f>IF('QS Takeoff'!B69="","",'QS Takeoff'!A69)</x:f>
      </x:c>
      <x:c r="C106" s="26" t="str">
        <x:f>IF('QS Takeoff'!B69="","",'QS Takeoff'!C69)</x:f>
      </x:c>
      <x:c r="D106" s="550" t="str">
        <x:f>IF('QS Takeoff'!B69="","",'QS Takeoff'!E69)</x:f>
      </x:c>
      <x:c r="E106" s="26" t="str">
        <x:f>IF('QS Takeoff'!B69="","",'QS Takeoff'!D69)</x:f>
      </x:c>
      <x:c r="F106" s="556" t="str">
        <x:f>IF('QS Takeoff'!B69="","",'QS Takeoff'!G69)</x:f>
      </x:c>
      <x:c r="G106" s="778"/>
      <x:c r="H106" s="778"/>
      <x:c r="I106" s="778"/>
      <x:c r="J106" s="778"/>
      <x:c r="K106" s="778"/>
      <x:c r="L106" s="778"/>
      <x:c r="M106" s="778"/>
      <x:c r="N106" s="778"/>
      <x:c r="O106" s="778"/>
      <x:c r="P106" s="26" t="str">
        <x:f>IF(A106="","",IF(COUNTIF(G106:O106,"CHALLENGE - OPEN")&gt;0,"HOLD - OPEN CHALLENGE",IF(COUNTBLANK(G106:O106)&gt;0,"HOLD - NOT FULLY REVIEWED",IF(COUNTIF(G106:O106,"NOT REVIEWED")&gt;0,"HOLD - NOT FULLY REVIEWED","PASS"))))</x:f>
      </x:c>
      <x:c r="Q106" s="778"/>
      <x:c r="R106" s="26"/>
      <x:c r="S106" s="26"/>
      <x:c r="T106" s="26"/>
      <x:c r="U106" s="26"/>
      <x:c r="V106" s="26"/>
      <x:c r="W106" s="26"/>
      <x:c r="X106" s="26"/>
    </x:row>
    <x:row r="107" ht="22" customHeight="1">
      <x:c r="A107" s="26" t="str">
        <x:f>IF('QS Takeoff'!B70="","",'QS Takeoff'!B70)</x:f>
      </x:c>
      <x:c r="B107" s="26" t="str">
        <x:f>IF('QS Takeoff'!B70="","",'QS Takeoff'!A70)</x:f>
      </x:c>
      <x:c r="C107" s="26" t="str">
        <x:f>IF('QS Takeoff'!B70="","",'QS Takeoff'!C70)</x:f>
      </x:c>
      <x:c r="D107" s="550" t="str">
        <x:f>IF('QS Takeoff'!B70="","",'QS Takeoff'!E70)</x:f>
      </x:c>
      <x:c r="E107" s="26" t="str">
        <x:f>IF('QS Takeoff'!B70="","",'QS Takeoff'!D70)</x:f>
      </x:c>
      <x:c r="F107" s="556" t="str">
        <x:f>IF('QS Takeoff'!B70="","",'QS Takeoff'!G70)</x:f>
      </x:c>
      <x:c r="G107" s="778"/>
      <x:c r="H107" s="778"/>
      <x:c r="I107" s="778"/>
      <x:c r="J107" s="778"/>
      <x:c r="K107" s="778"/>
      <x:c r="L107" s="778"/>
      <x:c r="M107" s="778"/>
      <x:c r="N107" s="778"/>
      <x:c r="O107" s="778"/>
      <x:c r="P107" s="26" t="str">
        <x:f>IF(A107="","",IF(COUNTIF(G107:O107,"CHALLENGE - OPEN")&gt;0,"HOLD - OPEN CHALLENGE",IF(COUNTBLANK(G107:O107)&gt;0,"HOLD - NOT FULLY REVIEWED",IF(COUNTIF(G107:O107,"NOT REVIEWED")&gt;0,"HOLD - NOT FULLY REVIEWED","PASS"))))</x:f>
      </x:c>
      <x:c r="Q107" s="778"/>
      <x:c r="R107" s="26"/>
      <x:c r="S107" s="26"/>
      <x:c r="T107" s="26"/>
      <x:c r="U107" s="26"/>
      <x:c r="V107" s="26"/>
      <x:c r="W107" s="26"/>
      <x:c r="X107" s="26"/>
    </x:row>
    <x:row r="108" ht="22" customHeight="1">
      <x:c r="A108" s="26" t="str">
        <x:f>IF('QS Takeoff'!B71="","",'QS Takeoff'!B71)</x:f>
      </x:c>
      <x:c r="B108" s="26" t="str">
        <x:f>IF('QS Takeoff'!B71="","",'QS Takeoff'!A71)</x:f>
      </x:c>
      <x:c r="C108" s="26" t="str">
        <x:f>IF('QS Takeoff'!B71="","",'QS Takeoff'!C71)</x:f>
      </x:c>
      <x:c r="D108" s="550" t="str">
        <x:f>IF('QS Takeoff'!B71="","",'QS Takeoff'!E71)</x:f>
      </x:c>
      <x:c r="E108" s="26" t="str">
        <x:f>IF('QS Takeoff'!B71="","",'QS Takeoff'!D71)</x:f>
      </x:c>
      <x:c r="F108" s="556" t="str">
        <x:f>IF('QS Takeoff'!B71="","",'QS Takeoff'!G71)</x:f>
      </x:c>
      <x:c r="G108" s="778"/>
      <x:c r="H108" s="778"/>
      <x:c r="I108" s="778"/>
      <x:c r="J108" s="778"/>
      <x:c r="K108" s="778"/>
      <x:c r="L108" s="778"/>
      <x:c r="M108" s="778"/>
      <x:c r="N108" s="778"/>
      <x:c r="O108" s="778"/>
      <x:c r="P108" s="26" t="str">
        <x:f>IF(A108="","",IF(COUNTIF(G108:O108,"CHALLENGE - OPEN")&gt;0,"HOLD - OPEN CHALLENGE",IF(COUNTBLANK(G108:O108)&gt;0,"HOLD - NOT FULLY REVIEWED",IF(COUNTIF(G108:O108,"NOT REVIEWED")&gt;0,"HOLD - NOT FULLY REVIEWED","PASS"))))</x:f>
      </x:c>
      <x:c r="Q108" s="778"/>
      <x:c r="R108" s="26"/>
      <x:c r="S108" s="26"/>
      <x:c r="T108" s="26"/>
      <x:c r="U108" s="26"/>
      <x:c r="V108" s="26"/>
      <x:c r="W108" s="26"/>
      <x:c r="X108" s="26"/>
    </x:row>
    <x:row r="109" ht="22" customHeight="1">
      <x:c r="A109" s="26" t="str">
        <x:f>IF('QS Takeoff'!B72="","",'QS Takeoff'!B72)</x:f>
      </x:c>
      <x:c r="B109" s="26" t="str">
        <x:f>IF('QS Takeoff'!B72="","",'QS Takeoff'!A72)</x:f>
      </x:c>
      <x:c r="C109" s="26" t="str">
        <x:f>IF('QS Takeoff'!B72="","",'QS Takeoff'!C72)</x:f>
      </x:c>
      <x:c r="D109" s="550" t="str">
        <x:f>IF('QS Takeoff'!B72="","",'QS Takeoff'!E72)</x:f>
      </x:c>
      <x:c r="E109" s="26" t="str">
        <x:f>IF('QS Takeoff'!B72="","",'QS Takeoff'!D72)</x:f>
      </x:c>
      <x:c r="F109" s="556" t="str">
        <x:f>IF('QS Takeoff'!B72="","",'QS Takeoff'!G72)</x:f>
      </x:c>
      <x:c r="G109" s="778"/>
      <x:c r="H109" s="778"/>
      <x:c r="I109" s="778"/>
      <x:c r="J109" s="778"/>
      <x:c r="K109" s="778"/>
      <x:c r="L109" s="778"/>
      <x:c r="M109" s="778"/>
      <x:c r="N109" s="778"/>
      <x:c r="O109" s="778"/>
      <x:c r="P109" s="26" t="str">
        <x:f>IF(A109="","",IF(COUNTIF(G109:O109,"CHALLENGE - OPEN")&gt;0,"HOLD - OPEN CHALLENGE",IF(COUNTBLANK(G109:O109)&gt;0,"HOLD - NOT FULLY REVIEWED",IF(COUNTIF(G109:O109,"NOT REVIEWED")&gt;0,"HOLD - NOT FULLY REVIEWED","PASS"))))</x:f>
      </x:c>
      <x:c r="Q109" s="778"/>
      <x:c r="R109" s="26"/>
      <x:c r="S109" s="26"/>
      <x:c r="T109" s="26"/>
      <x:c r="U109" s="26"/>
      <x:c r="V109" s="26"/>
      <x:c r="W109" s="26"/>
      <x:c r="X109" s="26"/>
    </x:row>
    <x:row r="110" ht="22" customHeight="1">
      <x:c r="A110" s="26" t="str">
        <x:f>IF('QS Takeoff'!B73="","",'QS Takeoff'!B73)</x:f>
      </x:c>
      <x:c r="B110" s="26" t="str">
        <x:f>IF('QS Takeoff'!B73="","",'QS Takeoff'!A73)</x:f>
      </x:c>
      <x:c r="C110" s="26" t="str">
        <x:f>IF('QS Takeoff'!B73="","",'QS Takeoff'!C73)</x:f>
      </x:c>
      <x:c r="D110" s="550" t="str">
        <x:f>IF('QS Takeoff'!B73="","",'QS Takeoff'!E73)</x:f>
      </x:c>
      <x:c r="E110" s="26" t="str">
        <x:f>IF('QS Takeoff'!B73="","",'QS Takeoff'!D73)</x:f>
      </x:c>
      <x:c r="F110" s="556" t="str">
        <x:f>IF('QS Takeoff'!B73="","",'QS Takeoff'!G73)</x:f>
      </x:c>
      <x:c r="G110" s="778"/>
      <x:c r="H110" s="778"/>
      <x:c r="I110" s="778"/>
      <x:c r="J110" s="778"/>
      <x:c r="K110" s="778"/>
      <x:c r="L110" s="778"/>
      <x:c r="M110" s="778"/>
      <x:c r="N110" s="778"/>
      <x:c r="O110" s="778"/>
      <x:c r="P110" s="26" t="str">
        <x:f>IF(A110="","",IF(COUNTIF(G110:O110,"CHALLENGE - OPEN")&gt;0,"HOLD - OPEN CHALLENGE",IF(COUNTBLANK(G110:O110)&gt;0,"HOLD - NOT FULLY REVIEWED",IF(COUNTIF(G110:O110,"NOT REVIEWED")&gt;0,"HOLD - NOT FULLY REVIEWED","PASS"))))</x:f>
      </x:c>
      <x:c r="Q110" s="778"/>
      <x:c r="R110" s="26"/>
      <x:c r="S110" s="26"/>
      <x:c r="T110" s="26"/>
      <x:c r="U110" s="26"/>
      <x:c r="V110" s="26"/>
      <x:c r="W110" s="26"/>
      <x:c r="X110" s="26"/>
    </x:row>
    <x:row r="111">
      <x:c r="A111" s="26"/>
      <x:c r="B111" s="26"/>
      <x:c r="C111" s="26"/>
      <x:c r="D111" s="26"/>
      <x:c r="E111" s="26"/>
      <x:c r="F111" s="26"/>
      <x:c r="G111" s="26"/>
      <x:c r="H111" s="26"/>
      <x:c r="I111" s="26"/>
      <x:c r="J111" s="26"/>
      <x:c r="K111" s="26"/>
      <x:c r="L111" s="26"/>
      <x:c r="M111" s="26"/>
      <x:c r="N111" s="26"/>
      <x:c r="O111" s="26"/>
      <x:c r="P111" s="26"/>
      <x:c r="Q111" s="26"/>
      <x:c r="R111" s="26"/>
      <x:c r="S111" s="26"/>
      <x:c r="T111" s="26"/>
      <x:c r="U111" s="26"/>
      <x:c r="V111" s="26"/>
      <x:c r="W111" s="26"/>
      <x:c r="X111" s="26"/>
    </x:row>
    <x:row r="112">
      <x:c r="A112" s="26"/>
      <x:c r="B112" s="26"/>
      <x:c r="C112" s="26"/>
      <x:c r="D112" s="26"/>
      <x:c r="E112" s="26"/>
      <x:c r="F112" s="26"/>
      <x:c r="G112" s="26"/>
      <x:c r="H112" s="26"/>
      <x:c r="I112" s="26"/>
      <x:c r="J112" s="26"/>
      <x:c r="K112" s="26"/>
      <x:c r="L112" s="26"/>
      <x:c r="M112" s="26"/>
      <x:c r="N112" s="26"/>
      <x:c r="O112" s="26"/>
      <x:c r="P112" s="26"/>
      <x:c r="Q112" s="26"/>
      <x:c r="R112" s="26"/>
      <x:c r="S112" s="26"/>
      <x:c r="T112" s="26"/>
      <x:c r="U112" s="26"/>
      <x:c r="V112" s="26"/>
      <x:c r="W112" s="26"/>
      <x:c r="X112" s="26"/>
    </x:row>
    <x:row r="113">
      <x:c r="A113" s="770" t="str">
        <x:v>CHALLENGE FINDINGS &amp; EVIDENCE-LED ADJUDICATION REGISTER</x:v>
      </x:c>
      <x:c r="B113" s="770"/>
      <x:c r="C113" s="770"/>
      <x:c r="D113" s="770"/>
      <x:c r="E113" s="770"/>
      <x:c r="F113" s="770"/>
      <x:c r="G113" s="770"/>
      <x:c r="H113" s="770"/>
      <x:c r="I113" s="770"/>
      <x:c r="J113" s="770"/>
      <x:c r="K113" s="770"/>
      <x:c r="L113" s="770"/>
      <x:c r="M113" s="770"/>
      <x:c r="N113" s="770"/>
      <x:c r="O113" s="770"/>
      <x:c r="P113" s="770"/>
      <x:c r="Q113" s="770"/>
      <x:c r="R113" s="770"/>
      <x:c r="S113" s="770"/>
      <x:c r="T113" s="770"/>
      <x:c r="U113" s="770"/>
      <x:c r="V113" s="770"/>
      <x:c r="W113" s="770"/>
      <x:c r="X113" s="770"/>
    </x:row>
    <x:row r="114" ht="38" customHeight="1">
      <x:c r="A114" s="772" t="str">
        <x:v>Only record disagreements / material challenges here. The primary estimate is revealed only after the reviewer has committed the independent position. Accepted changes are integrated at the original source cell/path and then the affected review is rerun.</x:v>
      </x:c>
      <x:c r="B114" s="772"/>
      <x:c r="C114" s="772"/>
      <x:c r="D114" s="772"/>
      <x:c r="E114" s="772"/>
      <x:c r="F114" s="772"/>
      <x:c r="G114" s="772"/>
      <x:c r="H114" s="772"/>
      <x:c r="I114" s="772"/>
      <x:c r="J114" s="772"/>
      <x:c r="K114" s="772"/>
      <x:c r="L114" s="772"/>
      <x:c r="M114" s="772"/>
      <x:c r="N114" s="772"/>
      <x:c r="O114" s="772"/>
      <x:c r="P114" s="772"/>
      <x:c r="Q114" s="772"/>
      <x:c r="R114" s="772"/>
      <x:c r="S114" s="772"/>
      <x:c r="T114" s="772"/>
      <x:c r="U114" s="772"/>
      <x:c r="V114" s="772"/>
      <x:c r="W114" s="772"/>
      <x:c r="X114" s="772"/>
    </x:row>
    <x:row r="115">
      <x:c r="A115" s="26"/>
      <x:c r="B115" s="26"/>
      <x:c r="C115" s="26"/>
      <x:c r="D115" s="26"/>
      <x:c r="E115" s="26"/>
      <x:c r="F115" s="26"/>
      <x:c r="G115" s="26"/>
      <x:c r="H115" s="26"/>
      <x:c r="I115" s="26"/>
      <x:c r="J115" s="26"/>
      <x:c r="K115" s="26"/>
      <x:c r="L115" s="26"/>
      <x:c r="M115" s="26"/>
      <x:c r="N115" s="26"/>
      <x:c r="O115" s="26"/>
      <x:c r="P115" s="26"/>
      <x:c r="Q115" s="26"/>
      <x:c r="R115" s="26"/>
      <x:c r="S115" s="26"/>
      <x:c r="T115" s="26"/>
      <x:c r="U115" s="26"/>
      <x:c r="V115" s="26"/>
      <x:c r="W115" s="26"/>
      <x:c r="X115" s="26"/>
    </x:row>
    <x:row r="116" ht="44" customHeight="1">
      <x:c r="A116" s="776" t="str">
        <x:v>Finding ID</x:v>
      </x:c>
      <x:c r="B116" s="776" t="str">
        <x:v>Target Type</x:v>
      </x:c>
      <x:c r="C116" s="776" t="str">
        <x:v>Target ID</x:v>
      </x:c>
      <x:c r="D116" s="776" t="str">
        <x:v>WBS / Description</x:v>
      </x:c>
      <x:c r="E116" s="776" t="str">
        <x:v>Reviewer ID</x:v>
      </x:c>
      <x:c r="F116" s="776" t="str">
        <x:v>Challenge Area</x:v>
      </x:c>
      <x:c r="G116" s="776" t="str">
        <x:v>Independent Position / Recalculation</x:v>
      </x:c>
      <x:c r="H116" s="776" t="str">
        <x:v>Independent Numeric</x:v>
      </x:c>
      <x:c r="I116" s="776" t="str">
        <x:v>Unit</x:v>
      </x:c>
      <x:c r="J116" s="776" t="str">
        <x:v>Primary Position / Basis (post-commitment)</x:v>
      </x:c>
      <x:c r="K116" s="776" t="str">
        <x:v>Primary Numeric</x:v>
      </x:c>
      <x:c r="L116" s="776" t="str">
        <x:v>Variance %</x:v>
      </x:c>
      <x:c r="M116" s="776" t="str">
        <x:v>Evidence / Source 1</x:v>
      </x:c>
      <x:c r="N116" s="776" t="str">
        <x:v>Independent Evidence / Source 2</x:v>
      </x:c>
      <x:c r="O116" s="776" t="str">
        <x:v>First-Principles Basis</x:v>
      </x:c>
      <x:c r="P116" s="776" t="str">
        <x:v>Material?</x:v>
      </x:c>
      <x:c r="Q116" s="776" t="str">
        <x:v>Severity</x:v>
      </x:c>
      <x:c r="R116" s="776" t="str">
        <x:v>Finding / Why Primary May Be Wrong</x:v>
      </x:c>
      <x:c r="S116" s="776" t="str">
        <x:v>Adjudication Decision</x:v>
      </x:c>
      <x:c r="T116" s="776" t="str">
        <x:v>Accepted Value / Basis</x:v>
      </x:c>
      <x:c r="U116" s="776" t="str">
        <x:v>Integration Target</x:v>
      </x:c>
      <x:c r="V116" s="776" t="str">
        <x:v>Integrated?</x:v>
      </x:c>
      <x:c r="W116" s="776" t="str">
        <x:v>Final Status</x:v>
      </x:c>
      <x:c r="X116" s="776" t="str">
        <x:v>RFI / Action ID</x:v>
      </x:c>
    </x:row>
    <x:row r="117" ht="28" customHeight="1">
      <x:c r="A117" s="26" t="str">
        <x:v>ERF-001</x:v>
      </x:c>
      <x:c r="B117" s="778"/>
      <x:c r="C117" s="778"/>
      <x:c r="D117" s="778"/>
      <x:c r="E117" s="778"/>
      <x:c r="F117" s="778"/>
      <x:c r="G117" s="778"/>
      <x:c r="H117" s="778"/>
      <x:c r="I117" s="778"/>
      <x:c r="J117" s="778"/>
      <x:c r="K117" s="778"/>
      <x:c r="L117" s="781" t="str">
        <x:f>IF(OR(H117="",K117="",K117=0),"",(H117-K117)/K117)</x:f>
      </x:c>
      <x:c r="M117" s="778"/>
      <x:c r="N117" s="778"/>
      <x:c r="O117" s="778"/>
      <x:c r="P117" s="778"/>
      <x:c r="Q117" s="778"/>
      <x:c r="R117" s="778"/>
      <x:c r="S117" s="778"/>
      <x:c r="T117" s="778"/>
      <x:c r="U117" s="778"/>
      <x:c r="V117" s="778"/>
      <x:c r="W117" s="26" t="str">
        <x:f>IF(AND(C117="",R117=""),"",IF(P117&lt;&gt;"Yes","INFO",IF(Q117="RED",IF(S117="","OPEN - RED",IF(AND(OR(S117="CHANGE ACCEPTED",S117="PARTIAL CHANGE"),V117&lt;&gt;"Yes"),"RED - NOT INTEGRATED","RESOLVED")),IF(Q117="AMBER",IF(S117="","OPEN - AMBER",IF(AND(OR(S117="CHANGE ACCEPTED",S117="PARTIAL CHANGE"),V117&lt;&gt;"Yes"),"AMBER - NOT INTEGRATED","RESOLVED")),IF(S117="","REVIEWED","RESOLVED")))))</x:f>
      </x:c>
      <x:c r="X117" s="778"/>
    </x:row>
    <x:row r="118" ht="28" customHeight="1">
      <x:c r="A118" s="26" t="str">
        <x:v>ERF-002</x:v>
      </x:c>
      <x:c r="B118" s="778"/>
      <x:c r="C118" s="778"/>
      <x:c r="D118" s="778"/>
      <x:c r="E118" s="778"/>
      <x:c r="F118" s="778"/>
      <x:c r="G118" s="778"/>
      <x:c r="H118" s="778"/>
      <x:c r="I118" s="778"/>
      <x:c r="J118" s="778"/>
      <x:c r="K118" s="778"/>
      <x:c r="L118" s="781" t="str">
        <x:f>IF(OR(H118="",K118="",K118=0),"",(H118-K118)/K118)</x:f>
      </x:c>
      <x:c r="M118" s="778"/>
      <x:c r="N118" s="778"/>
      <x:c r="O118" s="778"/>
      <x:c r="P118" s="778"/>
      <x:c r="Q118" s="778"/>
      <x:c r="R118" s="778"/>
      <x:c r="S118" s="778"/>
      <x:c r="T118" s="778"/>
      <x:c r="U118" s="778"/>
      <x:c r="V118" s="778"/>
      <x:c r="W118" s="26" t="str">
        <x:f>IF(AND(C118="",R118=""),"",IF(P118&lt;&gt;"Yes","INFO",IF(Q118="RED",IF(S118="","OPEN - RED",IF(AND(OR(S118="CHANGE ACCEPTED",S118="PARTIAL CHANGE"),V118&lt;&gt;"Yes"),"RED - NOT INTEGRATED","RESOLVED")),IF(Q118="AMBER",IF(S118="","OPEN - AMBER",IF(AND(OR(S118="CHANGE ACCEPTED",S118="PARTIAL CHANGE"),V118&lt;&gt;"Yes"),"AMBER - NOT INTEGRATED","RESOLVED")),IF(S118="","REVIEWED","RESOLVED")))))</x:f>
      </x:c>
      <x:c r="X118" s="778"/>
    </x:row>
    <x:row r="119" ht="28" customHeight="1">
      <x:c r="A119" s="26" t="str">
        <x:v>ERF-003</x:v>
      </x:c>
      <x:c r="B119" s="778"/>
      <x:c r="C119" s="778"/>
      <x:c r="D119" s="778"/>
      <x:c r="E119" s="778"/>
      <x:c r="F119" s="778"/>
      <x:c r="G119" s="778"/>
      <x:c r="H119" s="778"/>
      <x:c r="I119" s="778"/>
      <x:c r="J119" s="778"/>
      <x:c r="K119" s="778"/>
      <x:c r="L119" s="781" t="str">
        <x:f>IF(OR(H119="",K119="",K119=0),"",(H119-K119)/K119)</x:f>
      </x:c>
      <x:c r="M119" s="778"/>
      <x:c r="N119" s="778"/>
      <x:c r="O119" s="778"/>
      <x:c r="P119" s="778"/>
      <x:c r="Q119" s="778"/>
      <x:c r="R119" s="778"/>
      <x:c r="S119" s="778"/>
      <x:c r="T119" s="778"/>
      <x:c r="U119" s="778"/>
      <x:c r="V119" s="778"/>
      <x:c r="W119" s="26" t="str">
        <x:f>IF(AND(C119="",R119=""),"",IF(P119&lt;&gt;"Yes","INFO",IF(Q119="RED",IF(S119="","OPEN - RED",IF(AND(OR(S119="CHANGE ACCEPTED",S119="PARTIAL CHANGE"),V119&lt;&gt;"Yes"),"RED - NOT INTEGRATED","RESOLVED")),IF(Q119="AMBER",IF(S119="","OPEN - AMBER",IF(AND(OR(S119="CHANGE ACCEPTED",S119="PARTIAL CHANGE"),V119&lt;&gt;"Yes"),"AMBER - NOT INTEGRATED","RESOLVED")),IF(S119="","REVIEWED","RESOLVED")))))</x:f>
      </x:c>
      <x:c r="X119" s="778"/>
    </x:row>
    <x:row r="120" ht="28" customHeight="1">
      <x:c r="A120" s="26" t="str">
        <x:v>ERF-004</x:v>
      </x:c>
      <x:c r="B120" s="778"/>
      <x:c r="C120" s="778"/>
      <x:c r="D120" s="778"/>
      <x:c r="E120" s="778"/>
      <x:c r="F120" s="778"/>
      <x:c r="G120" s="778"/>
      <x:c r="H120" s="778"/>
      <x:c r="I120" s="778"/>
      <x:c r="J120" s="778"/>
      <x:c r="K120" s="778"/>
      <x:c r="L120" s="781" t="str">
        <x:f>IF(OR(H120="",K120="",K120=0),"",(H120-K120)/K120)</x:f>
      </x:c>
      <x:c r="M120" s="778"/>
      <x:c r="N120" s="778"/>
      <x:c r="O120" s="778"/>
      <x:c r="P120" s="778"/>
      <x:c r="Q120" s="778"/>
      <x:c r="R120" s="778"/>
      <x:c r="S120" s="778"/>
      <x:c r="T120" s="778"/>
      <x:c r="U120" s="778"/>
      <x:c r="V120" s="778"/>
      <x:c r="W120" s="26" t="str">
        <x:f>IF(AND(C120="",R120=""),"",IF(P120&lt;&gt;"Yes","INFO",IF(Q120="RED",IF(S120="","OPEN - RED",IF(AND(OR(S120="CHANGE ACCEPTED",S120="PARTIAL CHANGE"),V120&lt;&gt;"Yes"),"RED - NOT INTEGRATED","RESOLVED")),IF(Q120="AMBER",IF(S120="","OPEN - AMBER",IF(AND(OR(S120="CHANGE ACCEPTED",S120="PARTIAL CHANGE"),V120&lt;&gt;"Yes"),"AMBER - NOT INTEGRATED","RESOLVED")),IF(S120="","REVIEWED","RESOLVED")))))</x:f>
      </x:c>
      <x:c r="X120" s="778"/>
    </x:row>
    <x:row r="121" ht="28" customHeight="1">
      <x:c r="A121" s="26" t="str">
        <x:v>ERF-005</x:v>
      </x:c>
      <x:c r="B121" s="778"/>
      <x:c r="C121" s="778"/>
      <x:c r="D121" s="778"/>
      <x:c r="E121" s="778"/>
      <x:c r="F121" s="778"/>
      <x:c r="G121" s="778"/>
      <x:c r="H121" s="778"/>
      <x:c r="I121" s="778"/>
      <x:c r="J121" s="778"/>
      <x:c r="K121" s="778"/>
      <x:c r="L121" s="781" t="str">
        <x:f>IF(OR(H121="",K121="",K121=0),"",(H121-K121)/K121)</x:f>
      </x:c>
      <x:c r="M121" s="778"/>
      <x:c r="N121" s="778"/>
      <x:c r="O121" s="778"/>
      <x:c r="P121" s="778"/>
      <x:c r="Q121" s="778"/>
      <x:c r="R121" s="778"/>
      <x:c r="S121" s="778"/>
      <x:c r="T121" s="778"/>
      <x:c r="U121" s="778"/>
      <x:c r="V121" s="778"/>
      <x:c r="W121" s="26" t="str">
        <x:f>IF(AND(C121="",R121=""),"",IF(P121&lt;&gt;"Yes","INFO",IF(Q121="RED",IF(S121="","OPEN - RED",IF(AND(OR(S121="CHANGE ACCEPTED",S121="PARTIAL CHANGE"),V121&lt;&gt;"Yes"),"RED - NOT INTEGRATED","RESOLVED")),IF(Q121="AMBER",IF(S121="","OPEN - AMBER",IF(AND(OR(S121="CHANGE ACCEPTED",S121="PARTIAL CHANGE"),V121&lt;&gt;"Yes"),"AMBER - NOT INTEGRATED","RESOLVED")),IF(S121="","REVIEWED","RESOLVED")))))</x:f>
      </x:c>
      <x:c r="X121" s="778"/>
    </x:row>
    <x:row r="122" ht="28" customHeight="1">
      <x:c r="A122" s="26" t="str">
        <x:v>ERF-006</x:v>
      </x:c>
      <x:c r="B122" s="778"/>
      <x:c r="C122" s="778"/>
      <x:c r="D122" s="778"/>
      <x:c r="E122" s="778"/>
      <x:c r="F122" s="778"/>
      <x:c r="G122" s="778"/>
      <x:c r="H122" s="778"/>
      <x:c r="I122" s="778"/>
      <x:c r="J122" s="778"/>
      <x:c r="K122" s="778"/>
      <x:c r="L122" s="781" t="str">
        <x:f>IF(OR(H122="",K122="",K122=0),"",(H122-K122)/K122)</x:f>
      </x:c>
      <x:c r="M122" s="778"/>
      <x:c r="N122" s="778"/>
      <x:c r="O122" s="778"/>
      <x:c r="P122" s="778"/>
      <x:c r="Q122" s="778"/>
      <x:c r="R122" s="778"/>
      <x:c r="S122" s="778"/>
      <x:c r="T122" s="778"/>
      <x:c r="U122" s="778"/>
      <x:c r="V122" s="778"/>
      <x:c r="W122" s="26" t="str">
        <x:f>IF(AND(C122="",R122=""),"",IF(P122&lt;&gt;"Yes","INFO",IF(Q122="RED",IF(S122="","OPEN - RED",IF(AND(OR(S122="CHANGE ACCEPTED",S122="PARTIAL CHANGE"),V122&lt;&gt;"Yes"),"RED - NOT INTEGRATED","RESOLVED")),IF(Q122="AMBER",IF(S122="","OPEN - AMBER",IF(AND(OR(S122="CHANGE ACCEPTED",S122="PARTIAL CHANGE"),V122&lt;&gt;"Yes"),"AMBER - NOT INTEGRATED","RESOLVED")),IF(S122="","REVIEWED","RESOLVED")))))</x:f>
      </x:c>
      <x:c r="X122" s="778"/>
    </x:row>
    <x:row r="123" ht="28" customHeight="1">
      <x:c r="A123" s="26" t="str">
        <x:v>ERF-007</x:v>
      </x:c>
      <x:c r="B123" s="778"/>
      <x:c r="C123" s="778"/>
      <x:c r="D123" s="778"/>
      <x:c r="E123" s="778"/>
      <x:c r="F123" s="778"/>
      <x:c r="G123" s="778"/>
      <x:c r="H123" s="778"/>
      <x:c r="I123" s="778"/>
      <x:c r="J123" s="778"/>
      <x:c r="K123" s="778"/>
      <x:c r="L123" s="781" t="str">
        <x:f>IF(OR(H123="",K123="",K123=0),"",(H123-K123)/K123)</x:f>
      </x:c>
      <x:c r="M123" s="778"/>
      <x:c r="N123" s="778"/>
      <x:c r="O123" s="778"/>
      <x:c r="P123" s="778"/>
      <x:c r="Q123" s="778"/>
      <x:c r="R123" s="778"/>
      <x:c r="S123" s="778"/>
      <x:c r="T123" s="778"/>
      <x:c r="U123" s="778"/>
      <x:c r="V123" s="778"/>
      <x:c r="W123" s="26" t="str">
        <x:f>IF(AND(C123="",R123=""),"",IF(P123&lt;&gt;"Yes","INFO",IF(Q123="RED",IF(S123="","OPEN - RED",IF(AND(OR(S123="CHANGE ACCEPTED",S123="PARTIAL CHANGE"),V123&lt;&gt;"Yes"),"RED - NOT INTEGRATED","RESOLVED")),IF(Q123="AMBER",IF(S123="","OPEN - AMBER",IF(AND(OR(S123="CHANGE ACCEPTED",S123="PARTIAL CHANGE"),V123&lt;&gt;"Yes"),"AMBER - NOT INTEGRATED","RESOLVED")),IF(S123="","REVIEWED","RESOLVED")))))</x:f>
      </x:c>
      <x:c r="X123" s="778"/>
    </x:row>
    <x:row r="124" ht="28" customHeight="1">
      <x:c r="A124" s="26" t="str">
        <x:v>ERF-008</x:v>
      </x:c>
      <x:c r="B124" s="778"/>
      <x:c r="C124" s="778"/>
      <x:c r="D124" s="778"/>
      <x:c r="E124" s="778"/>
      <x:c r="F124" s="778"/>
      <x:c r="G124" s="778"/>
      <x:c r="H124" s="778"/>
      <x:c r="I124" s="778"/>
      <x:c r="J124" s="778"/>
      <x:c r="K124" s="778"/>
      <x:c r="L124" s="781" t="str">
        <x:f>IF(OR(H124="",K124="",K124=0),"",(H124-K124)/K124)</x:f>
      </x:c>
      <x:c r="M124" s="778"/>
      <x:c r="N124" s="778"/>
      <x:c r="O124" s="778"/>
      <x:c r="P124" s="778"/>
      <x:c r="Q124" s="778"/>
      <x:c r="R124" s="778"/>
      <x:c r="S124" s="778"/>
      <x:c r="T124" s="778"/>
      <x:c r="U124" s="778"/>
      <x:c r="V124" s="778"/>
      <x:c r="W124" s="26" t="str">
        <x:f>IF(AND(C124="",R124=""),"",IF(P124&lt;&gt;"Yes","INFO",IF(Q124="RED",IF(S124="","OPEN - RED",IF(AND(OR(S124="CHANGE ACCEPTED",S124="PARTIAL CHANGE"),V124&lt;&gt;"Yes"),"RED - NOT INTEGRATED","RESOLVED")),IF(Q124="AMBER",IF(S124="","OPEN - AMBER",IF(AND(OR(S124="CHANGE ACCEPTED",S124="PARTIAL CHANGE"),V124&lt;&gt;"Yes"),"AMBER - NOT INTEGRATED","RESOLVED")),IF(S124="","REVIEWED","RESOLVED")))))</x:f>
      </x:c>
      <x:c r="X124" s="778"/>
    </x:row>
    <x:row r="125" ht="28" customHeight="1">
      <x:c r="A125" s="26" t="str">
        <x:v>ERF-009</x:v>
      </x:c>
      <x:c r="B125" s="778"/>
      <x:c r="C125" s="778"/>
      <x:c r="D125" s="778"/>
      <x:c r="E125" s="778"/>
      <x:c r="F125" s="778"/>
      <x:c r="G125" s="778"/>
      <x:c r="H125" s="778"/>
      <x:c r="I125" s="778"/>
      <x:c r="J125" s="778"/>
      <x:c r="K125" s="778"/>
      <x:c r="L125" s="781" t="str">
        <x:f>IF(OR(H125="",K125="",K125=0),"",(H125-K125)/K125)</x:f>
      </x:c>
      <x:c r="M125" s="778"/>
      <x:c r="N125" s="778"/>
      <x:c r="O125" s="778"/>
      <x:c r="P125" s="778"/>
      <x:c r="Q125" s="778"/>
      <x:c r="R125" s="778"/>
      <x:c r="S125" s="778"/>
      <x:c r="T125" s="778"/>
      <x:c r="U125" s="778"/>
      <x:c r="V125" s="778"/>
      <x:c r="W125" s="26" t="str">
        <x:f>IF(AND(C125="",R125=""),"",IF(P125&lt;&gt;"Yes","INFO",IF(Q125="RED",IF(S125="","OPEN - RED",IF(AND(OR(S125="CHANGE ACCEPTED",S125="PARTIAL CHANGE"),V125&lt;&gt;"Yes"),"RED - NOT INTEGRATED","RESOLVED")),IF(Q125="AMBER",IF(S125="","OPEN - AMBER",IF(AND(OR(S125="CHANGE ACCEPTED",S125="PARTIAL CHANGE"),V125&lt;&gt;"Yes"),"AMBER - NOT INTEGRATED","RESOLVED")),IF(S125="","REVIEWED","RESOLVED")))))</x:f>
      </x:c>
      <x:c r="X125" s="778"/>
    </x:row>
    <x:row r="126" ht="28" customHeight="1">
      <x:c r="A126" s="26" t="str">
        <x:v>ERF-010</x:v>
      </x:c>
      <x:c r="B126" s="778"/>
      <x:c r="C126" s="778"/>
      <x:c r="D126" s="778"/>
      <x:c r="E126" s="778"/>
      <x:c r="F126" s="778"/>
      <x:c r="G126" s="778"/>
      <x:c r="H126" s="778"/>
      <x:c r="I126" s="778"/>
      <x:c r="J126" s="778"/>
      <x:c r="K126" s="778"/>
      <x:c r="L126" s="781" t="str">
        <x:f>IF(OR(H126="",K126="",K126=0),"",(H126-K126)/K126)</x:f>
      </x:c>
      <x:c r="M126" s="778"/>
      <x:c r="N126" s="778"/>
      <x:c r="O126" s="778"/>
      <x:c r="P126" s="778"/>
      <x:c r="Q126" s="778"/>
      <x:c r="R126" s="778"/>
      <x:c r="S126" s="778"/>
      <x:c r="T126" s="778"/>
      <x:c r="U126" s="778"/>
      <x:c r="V126" s="778"/>
      <x:c r="W126" s="26" t="str">
        <x:f>IF(AND(C126="",R126=""),"",IF(P126&lt;&gt;"Yes","INFO",IF(Q126="RED",IF(S126="","OPEN - RED",IF(AND(OR(S126="CHANGE ACCEPTED",S126="PARTIAL CHANGE"),V126&lt;&gt;"Yes"),"RED - NOT INTEGRATED","RESOLVED")),IF(Q126="AMBER",IF(S126="","OPEN - AMBER",IF(AND(OR(S126="CHANGE ACCEPTED",S126="PARTIAL CHANGE"),V126&lt;&gt;"Yes"),"AMBER - NOT INTEGRATED","RESOLVED")),IF(S126="","REVIEWED","RESOLVED")))))</x:f>
      </x:c>
      <x:c r="X126" s="778"/>
    </x:row>
    <x:row r="127" ht="28" customHeight="1">
      <x:c r="A127" s="26" t="str">
        <x:v>ERF-011</x:v>
      </x:c>
      <x:c r="B127" s="778"/>
      <x:c r="C127" s="778"/>
      <x:c r="D127" s="778"/>
      <x:c r="E127" s="778"/>
      <x:c r="F127" s="778"/>
      <x:c r="G127" s="778"/>
      <x:c r="H127" s="778"/>
      <x:c r="I127" s="778"/>
      <x:c r="J127" s="778"/>
      <x:c r="K127" s="778"/>
      <x:c r="L127" s="781" t="str">
        <x:f>IF(OR(H127="",K127="",K127=0),"",(H127-K127)/K127)</x:f>
      </x:c>
      <x:c r="M127" s="778"/>
      <x:c r="N127" s="778"/>
      <x:c r="O127" s="778"/>
      <x:c r="P127" s="778"/>
      <x:c r="Q127" s="778"/>
      <x:c r="R127" s="778"/>
      <x:c r="S127" s="778"/>
      <x:c r="T127" s="778"/>
      <x:c r="U127" s="778"/>
      <x:c r="V127" s="778"/>
      <x:c r="W127" s="26" t="str">
        <x:f>IF(AND(C127="",R127=""),"",IF(P127&lt;&gt;"Yes","INFO",IF(Q127="RED",IF(S127="","OPEN - RED",IF(AND(OR(S127="CHANGE ACCEPTED",S127="PARTIAL CHANGE"),V127&lt;&gt;"Yes"),"RED - NOT INTEGRATED","RESOLVED")),IF(Q127="AMBER",IF(S127="","OPEN - AMBER",IF(AND(OR(S127="CHANGE ACCEPTED",S127="PARTIAL CHANGE"),V127&lt;&gt;"Yes"),"AMBER - NOT INTEGRATED","RESOLVED")),IF(S127="","REVIEWED","RESOLVED")))))</x:f>
      </x:c>
      <x:c r="X127" s="778"/>
    </x:row>
    <x:row r="128" ht="28" customHeight="1">
      <x:c r="A128" s="26" t="str">
        <x:v>ERF-012</x:v>
      </x:c>
      <x:c r="B128" s="778"/>
      <x:c r="C128" s="778"/>
      <x:c r="D128" s="778"/>
      <x:c r="E128" s="778"/>
      <x:c r="F128" s="778"/>
      <x:c r="G128" s="778"/>
      <x:c r="H128" s="778"/>
      <x:c r="I128" s="778"/>
      <x:c r="J128" s="778"/>
      <x:c r="K128" s="778"/>
      <x:c r="L128" s="781" t="str">
        <x:f>IF(OR(H128="",K128="",K128=0),"",(H128-K128)/K128)</x:f>
      </x:c>
      <x:c r="M128" s="778"/>
      <x:c r="N128" s="778"/>
      <x:c r="O128" s="778"/>
      <x:c r="P128" s="778"/>
      <x:c r="Q128" s="778"/>
      <x:c r="R128" s="778"/>
      <x:c r="S128" s="778"/>
      <x:c r="T128" s="778"/>
      <x:c r="U128" s="778"/>
      <x:c r="V128" s="778"/>
      <x:c r="W128" s="26" t="str">
        <x:f>IF(AND(C128="",R128=""),"",IF(P128&lt;&gt;"Yes","INFO",IF(Q128="RED",IF(S128="","OPEN - RED",IF(AND(OR(S128="CHANGE ACCEPTED",S128="PARTIAL CHANGE"),V128&lt;&gt;"Yes"),"RED - NOT INTEGRATED","RESOLVED")),IF(Q128="AMBER",IF(S128="","OPEN - AMBER",IF(AND(OR(S128="CHANGE ACCEPTED",S128="PARTIAL CHANGE"),V128&lt;&gt;"Yes"),"AMBER - NOT INTEGRATED","RESOLVED")),IF(S128="","REVIEWED","RESOLVED")))))</x:f>
      </x:c>
      <x:c r="X128" s="778"/>
    </x:row>
    <x:row r="129" ht="28" customHeight="1">
      <x:c r="A129" s="26" t="str">
        <x:v>ERF-013</x:v>
      </x:c>
      <x:c r="B129" s="778"/>
      <x:c r="C129" s="778"/>
      <x:c r="D129" s="778"/>
      <x:c r="E129" s="778"/>
      <x:c r="F129" s="778"/>
      <x:c r="G129" s="778"/>
      <x:c r="H129" s="778"/>
      <x:c r="I129" s="778"/>
      <x:c r="J129" s="778"/>
      <x:c r="K129" s="778"/>
      <x:c r="L129" s="781" t="str">
        <x:f>IF(OR(H129="",K129="",K129=0),"",(H129-K129)/K129)</x:f>
      </x:c>
      <x:c r="M129" s="778"/>
      <x:c r="N129" s="778"/>
      <x:c r="O129" s="778"/>
      <x:c r="P129" s="778"/>
      <x:c r="Q129" s="778"/>
      <x:c r="R129" s="778"/>
      <x:c r="S129" s="778"/>
      <x:c r="T129" s="778"/>
      <x:c r="U129" s="778"/>
      <x:c r="V129" s="778"/>
      <x:c r="W129" s="26" t="str">
        <x:f>IF(AND(C129="",R129=""),"",IF(P129&lt;&gt;"Yes","INFO",IF(Q129="RED",IF(S129="","OPEN - RED",IF(AND(OR(S129="CHANGE ACCEPTED",S129="PARTIAL CHANGE"),V129&lt;&gt;"Yes"),"RED - NOT INTEGRATED","RESOLVED")),IF(Q129="AMBER",IF(S129="","OPEN - AMBER",IF(AND(OR(S129="CHANGE ACCEPTED",S129="PARTIAL CHANGE"),V129&lt;&gt;"Yes"),"AMBER - NOT INTEGRATED","RESOLVED")),IF(S129="","REVIEWED","RESOLVED")))))</x:f>
      </x:c>
      <x:c r="X129" s="778"/>
    </x:row>
    <x:row r="130" ht="28" customHeight="1">
      <x:c r="A130" s="26" t="str">
        <x:v>ERF-014</x:v>
      </x:c>
      <x:c r="B130" s="778"/>
      <x:c r="C130" s="778"/>
      <x:c r="D130" s="778"/>
      <x:c r="E130" s="778"/>
      <x:c r="F130" s="778"/>
      <x:c r="G130" s="778"/>
      <x:c r="H130" s="778"/>
      <x:c r="I130" s="778"/>
      <x:c r="J130" s="778"/>
      <x:c r="K130" s="778"/>
      <x:c r="L130" s="781" t="str">
        <x:f>IF(OR(H130="",K130="",K130=0),"",(H130-K130)/K130)</x:f>
      </x:c>
      <x:c r="M130" s="778"/>
      <x:c r="N130" s="778"/>
      <x:c r="O130" s="778"/>
      <x:c r="P130" s="778"/>
      <x:c r="Q130" s="778"/>
      <x:c r="R130" s="778"/>
      <x:c r="S130" s="778"/>
      <x:c r="T130" s="778"/>
      <x:c r="U130" s="778"/>
      <x:c r="V130" s="778"/>
      <x:c r="W130" s="26" t="str">
        <x:f>IF(AND(C130="",R130=""),"",IF(P130&lt;&gt;"Yes","INFO",IF(Q130="RED",IF(S130="","OPEN - RED",IF(AND(OR(S130="CHANGE ACCEPTED",S130="PARTIAL CHANGE"),V130&lt;&gt;"Yes"),"RED - NOT INTEGRATED","RESOLVED")),IF(Q130="AMBER",IF(S130="","OPEN - AMBER",IF(AND(OR(S130="CHANGE ACCEPTED",S130="PARTIAL CHANGE"),V130&lt;&gt;"Yes"),"AMBER - NOT INTEGRATED","RESOLVED")),IF(S130="","REVIEWED","RESOLVED")))))</x:f>
      </x:c>
      <x:c r="X130" s="778"/>
    </x:row>
    <x:row r="131" ht="28" customHeight="1">
      <x:c r="A131" s="26" t="str">
        <x:v>ERF-015</x:v>
      </x:c>
      <x:c r="B131" s="778"/>
      <x:c r="C131" s="778"/>
      <x:c r="D131" s="778"/>
      <x:c r="E131" s="778"/>
      <x:c r="F131" s="778"/>
      <x:c r="G131" s="778"/>
      <x:c r="H131" s="778"/>
      <x:c r="I131" s="778"/>
      <x:c r="J131" s="778"/>
      <x:c r="K131" s="778"/>
      <x:c r="L131" s="781" t="str">
        <x:f>IF(OR(H131="",K131="",K131=0),"",(H131-K131)/K131)</x:f>
      </x:c>
      <x:c r="M131" s="778"/>
      <x:c r="N131" s="778"/>
      <x:c r="O131" s="778"/>
      <x:c r="P131" s="778"/>
      <x:c r="Q131" s="778"/>
      <x:c r="R131" s="778"/>
      <x:c r="S131" s="778"/>
      <x:c r="T131" s="778"/>
      <x:c r="U131" s="778"/>
      <x:c r="V131" s="778"/>
      <x:c r="W131" s="26" t="str">
        <x:f>IF(AND(C131="",R131=""),"",IF(P131&lt;&gt;"Yes","INFO",IF(Q131="RED",IF(S131="","OPEN - RED",IF(AND(OR(S131="CHANGE ACCEPTED",S131="PARTIAL CHANGE"),V131&lt;&gt;"Yes"),"RED - NOT INTEGRATED","RESOLVED")),IF(Q131="AMBER",IF(S131="","OPEN - AMBER",IF(AND(OR(S131="CHANGE ACCEPTED",S131="PARTIAL CHANGE"),V131&lt;&gt;"Yes"),"AMBER - NOT INTEGRATED","RESOLVED")),IF(S131="","REVIEWED","RESOLVED")))))</x:f>
      </x:c>
      <x:c r="X131" s="778"/>
    </x:row>
    <x:row r="132" ht="28" customHeight="1">
      <x:c r="A132" s="26" t="str">
        <x:v>ERF-016</x:v>
      </x:c>
      <x:c r="B132" s="778"/>
      <x:c r="C132" s="778"/>
      <x:c r="D132" s="778"/>
      <x:c r="E132" s="778"/>
      <x:c r="F132" s="778"/>
      <x:c r="G132" s="778"/>
      <x:c r="H132" s="778"/>
      <x:c r="I132" s="778"/>
      <x:c r="J132" s="778"/>
      <x:c r="K132" s="778"/>
      <x:c r="L132" s="781" t="str">
        <x:f>IF(OR(H132="",K132="",K132=0),"",(H132-K132)/K132)</x:f>
      </x:c>
      <x:c r="M132" s="778"/>
      <x:c r="N132" s="778"/>
      <x:c r="O132" s="778"/>
      <x:c r="P132" s="778"/>
      <x:c r="Q132" s="778"/>
      <x:c r="R132" s="778"/>
      <x:c r="S132" s="778"/>
      <x:c r="T132" s="778"/>
      <x:c r="U132" s="778"/>
      <x:c r="V132" s="778"/>
      <x:c r="W132" s="26" t="str">
        <x:f>IF(AND(C132="",R132=""),"",IF(P132&lt;&gt;"Yes","INFO",IF(Q132="RED",IF(S132="","OPEN - RED",IF(AND(OR(S132="CHANGE ACCEPTED",S132="PARTIAL CHANGE"),V132&lt;&gt;"Yes"),"RED - NOT INTEGRATED","RESOLVED")),IF(Q132="AMBER",IF(S132="","OPEN - AMBER",IF(AND(OR(S132="CHANGE ACCEPTED",S132="PARTIAL CHANGE"),V132&lt;&gt;"Yes"),"AMBER - NOT INTEGRATED","RESOLVED")),IF(S132="","REVIEWED","RESOLVED")))))</x:f>
      </x:c>
      <x:c r="X132" s="778"/>
    </x:row>
    <x:row r="133" ht="28" customHeight="1">
      <x:c r="A133" s="26" t="str">
        <x:v>ERF-017</x:v>
      </x:c>
      <x:c r="B133" s="778"/>
      <x:c r="C133" s="778"/>
      <x:c r="D133" s="778"/>
      <x:c r="E133" s="778"/>
      <x:c r="F133" s="778"/>
      <x:c r="G133" s="778"/>
      <x:c r="H133" s="778"/>
      <x:c r="I133" s="778"/>
      <x:c r="J133" s="778"/>
      <x:c r="K133" s="778"/>
      <x:c r="L133" s="781" t="str">
        <x:f>IF(OR(H133="",K133="",K133=0),"",(H133-K133)/K133)</x:f>
      </x:c>
      <x:c r="M133" s="778"/>
      <x:c r="N133" s="778"/>
      <x:c r="O133" s="778"/>
      <x:c r="P133" s="778"/>
      <x:c r="Q133" s="778"/>
      <x:c r="R133" s="778"/>
      <x:c r="S133" s="778"/>
      <x:c r="T133" s="778"/>
      <x:c r="U133" s="778"/>
      <x:c r="V133" s="778"/>
      <x:c r="W133" s="26" t="str">
        <x:f>IF(AND(C133="",R133=""),"",IF(P133&lt;&gt;"Yes","INFO",IF(Q133="RED",IF(S133="","OPEN - RED",IF(AND(OR(S133="CHANGE ACCEPTED",S133="PARTIAL CHANGE"),V133&lt;&gt;"Yes"),"RED - NOT INTEGRATED","RESOLVED")),IF(Q133="AMBER",IF(S133="","OPEN - AMBER",IF(AND(OR(S133="CHANGE ACCEPTED",S133="PARTIAL CHANGE"),V133&lt;&gt;"Yes"),"AMBER - NOT INTEGRATED","RESOLVED")),IF(S133="","REVIEWED","RESOLVED")))))</x:f>
      </x:c>
      <x:c r="X133" s="778"/>
    </x:row>
    <x:row r="134" ht="28" customHeight="1">
      <x:c r="A134" s="26" t="str">
        <x:v>ERF-018</x:v>
      </x:c>
      <x:c r="B134" s="778"/>
      <x:c r="C134" s="778"/>
      <x:c r="D134" s="778"/>
      <x:c r="E134" s="778"/>
      <x:c r="F134" s="778"/>
      <x:c r="G134" s="778"/>
      <x:c r="H134" s="778"/>
      <x:c r="I134" s="778"/>
      <x:c r="J134" s="778"/>
      <x:c r="K134" s="778"/>
      <x:c r="L134" s="781" t="str">
        <x:f>IF(OR(H134="",K134="",K134=0),"",(H134-K134)/K134)</x:f>
      </x:c>
      <x:c r="M134" s="778"/>
      <x:c r="N134" s="778"/>
      <x:c r="O134" s="778"/>
      <x:c r="P134" s="778"/>
      <x:c r="Q134" s="778"/>
      <x:c r="R134" s="778"/>
      <x:c r="S134" s="778"/>
      <x:c r="T134" s="778"/>
      <x:c r="U134" s="778"/>
      <x:c r="V134" s="778"/>
      <x:c r="W134" s="26" t="str">
        <x:f>IF(AND(C134="",R134=""),"",IF(P134&lt;&gt;"Yes","INFO",IF(Q134="RED",IF(S134="","OPEN - RED",IF(AND(OR(S134="CHANGE ACCEPTED",S134="PARTIAL CHANGE"),V134&lt;&gt;"Yes"),"RED - NOT INTEGRATED","RESOLVED")),IF(Q134="AMBER",IF(S134="","OPEN - AMBER",IF(AND(OR(S134="CHANGE ACCEPTED",S134="PARTIAL CHANGE"),V134&lt;&gt;"Yes"),"AMBER - NOT INTEGRATED","RESOLVED")),IF(S134="","REVIEWED","RESOLVED")))))</x:f>
      </x:c>
      <x:c r="X134" s="778"/>
    </x:row>
    <x:row r="135" ht="28" customHeight="1">
      <x:c r="A135" s="26" t="str">
        <x:v>ERF-019</x:v>
      </x:c>
      <x:c r="B135" s="778"/>
      <x:c r="C135" s="778"/>
      <x:c r="D135" s="778"/>
      <x:c r="E135" s="778"/>
      <x:c r="F135" s="778"/>
      <x:c r="G135" s="778"/>
      <x:c r="H135" s="778"/>
      <x:c r="I135" s="778"/>
      <x:c r="J135" s="778"/>
      <x:c r="K135" s="778"/>
      <x:c r="L135" s="781" t="str">
        <x:f>IF(OR(H135="",K135="",K135=0),"",(H135-K135)/K135)</x:f>
      </x:c>
      <x:c r="M135" s="778"/>
      <x:c r="N135" s="778"/>
      <x:c r="O135" s="778"/>
      <x:c r="P135" s="778"/>
      <x:c r="Q135" s="778"/>
      <x:c r="R135" s="778"/>
      <x:c r="S135" s="778"/>
      <x:c r="T135" s="778"/>
      <x:c r="U135" s="778"/>
      <x:c r="V135" s="778"/>
      <x:c r="W135" s="26" t="str">
        <x:f>IF(AND(C135="",R135=""),"",IF(P135&lt;&gt;"Yes","INFO",IF(Q135="RED",IF(S135="","OPEN - RED",IF(AND(OR(S135="CHANGE ACCEPTED",S135="PARTIAL CHANGE"),V135&lt;&gt;"Yes"),"RED - NOT INTEGRATED","RESOLVED")),IF(Q135="AMBER",IF(S135="","OPEN - AMBER",IF(AND(OR(S135="CHANGE ACCEPTED",S135="PARTIAL CHANGE"),V135&lt;&gt;"Yes"),"AMBER - NOT INTEGRATED","RESOLVED")),IF(S135="","REVIEWED","RESOLVED")))))</x:f>
      </x:c>
      <x:c r="X135" s="778"/>
    </x:row>
    <x:row r="136" ht="28" customHeight="1">
      <x:c r="A136" s="26" t="str">
        <x:v>ERF-020</x:v>
      </x:c>
      <x:c r="B136" s="778"/>
      <x:c r="C136" s="778"/>
      <x:c r="D136" s="778"/>
      <x:c r="E136" s="778"/>
      <x:c r="F136" s="778"/>
      <x:c r="G136" s="778"/>
      <x:c r="H136" s="778"/>
      <x:c r="I136" s="778"/>
      <x:c r="J136" s="778"/>
      <x:c r="K136" s="778"/>
      <x:c r="L136" s="781" t="str">
        <x:f>IF(OR(H136="",K136="",K136=0),"",(H136-K136)/K136)</x:f>
      </x:c>
      <x:c r="M136" s="778"/>
      <x:c r="N136" s="778"/>
      <x:c r="O136" s="778"/>
      <x:c r="P136" s="778"/>
      <x:c r="Q136" s="778"/>
      <x:c r="R136" s="778"/>
      <x:c r="S136" s="778"/>
      <x:c r="T136" s="778"/>
      <x:c r="U136" s="778"/>
      <x:c r="V136" s="778"/>
      <x:c r="W136" s="26" t="str">
        <x:f>IF(AND(C136="",R136=""),"",IF(P136&lt;&gt;"Yes","INFO",IF(Q136="RED",IF(S136="","OPEN - RED",IF(AND(OR(S136="CHANGE ACCEPTED",S136="PARTIAL CHANGE"),V136&lt;&gt;"Yes"),"RED - NOT INTEGRATED","RESOLVED")),IF(Q136="AMBER",IF(S136="","OPEN - AMBER",IF(AND(OR(S136="CHANGE ACCEPTED",S136="PARTIAL CHANGE"),V136&lt;&gt;"Yes"),"AMBER - NOT INTEGRATED","RESOLVED")),IF(S136="","REVIEWED","RESOLVED")))))</x:f>
      </x:c>
      <x:c r="X136" s="778"/>
    </x:row>
    <x:row r="137" ht="28" customHeight="1">
      <x:c r="A137" s="26" t="str">
        <x:v>ERF-021</x:v>
      </x:c>
      <x:c r="B137" s="778"/>
      <x:c r="C137" s="778"/>
      <x:c r="D137" s="778"/>
      <x:c r="E137" s="778"/>
      <x:c r="F137" s="778"/>
      <x:c r="G137" s="778"/>
      <x:c r="H137" s="778"/>
      <x:c r="I137" s="778"/>
      <x:c r="J137" s="778"/>
      <x:c r="K137" s="778"/>
      <x:c r="L137" s="781" t="str">
        <x:f>IF(OR(H137="",K137="",K137=0),"",(H137-K137)/K137)</x:f>
      </x:c>
      <x:c r="M137" s="778"/>
      <x:c r="N137" s="778"/>
      <x:c r="O137" s="778"/>
      <x:c r="P137" s="778"/>
      <x:c r="Q137" s="778"/>
      <x:c r="R137" s="778"/>
      <x:c r="S137" s="778"/>
      <x:c r="T137" s="778"/>
      <x:c r="U137" s="778"/>
      <x:c r="V137" s="778"/>
      <x:c r="W137" s="26" t="str">
        <x:f>IF(AND(C137="",R137=""),"",IF(P137&lt;&gt;"Yes","INFO",IF(Q137="RED",IF(S137="","OPEN - RED",IF(AND(OR(S137="CHANGE ACCEPTED",S137="PARTIAL CHANGE"),V137&lt;&gt;"Yes"),"RED - NOT INTEGRATED","RESOLVED")),IF(Q137="AMBER",IF(S137="","OPEN - AMBER",IF(AND(OR(S137="CHANGE ACCEPTED",S137="PARTIAL CHANGE"),V137&lt;&gt;"Yes"),"AMBER - NOT INTEGRATED","RESOLVED")),IF(S137="","REVIEWED","RESOLVED")))))</x:f>
      </x:c>
      <x:c r="X137" s="778"/>
    </x:row>
    <x:row r="138" ht="28" customHeight="1">
      <x:c r="A138" s="26" t="str">
        <x:v>ERF-022</x:v>
      </x:c>
      <x:c r="B138" s="778"/>
      <x:c r="C138" s="778"/>
      <x:c r="D138" s="778"/>
      <x:c r="E138" s="778"/>
      <x:c r="F138" s="778"/>
      <x:c r="G138" s="778"/>
      <x:c r="H138" s="778"/>
      <x:c r="I138" s="778"/>
      <x:c r="J138" s="778"/>
      <x:c r="K138" s="778"/>
      <x:c r="L138" s="781" t="str">
        <x:f>IF(OR(H138="",K138="",K138=0),"",(H138-K138)/K138)</x:f>
      </x:c>
      <x:c r="M138" s="778"/>
      <x:c r="N138" s="778"/>
      <x:c r="O138" s="778"/>
      <x:c r="P138" s="778"/>
      <x:c r="Q138" s="778"/>
      <x:c r="R138" s="778"/>
      <x:c r="S138" s="778"/>
      <x:c r="T138" s="778"/>
      <x:c r="U138" s="778"/>
      <x:c r="V138" s="778"/>
      <x:c r="W138" s="26" t="str">
        <x:f>IF(AND(C138="",R138=""),"",IF(P138&lt;&gt;"Yes","INFO",IF(Q138="RED",IF(S138="","OPEN - RED",IF(AND(OR(S138="CHANGE ACCEPTED",S138="PARTIAL CHANGE"),V138&lt;&gt;"Yes"),"RED - NOT INTEGRATED","RESOLVED")),IF(Q138="AMBER",IF(S138="","OPEN - AMBER",IF(AND(OR(S138="CHANGE ACCEPTED",S138="PARTIAL CHANGE"),V138&lt;&gt;"Yes"),"AMBER - NOT INTEGRATED","RESOLVED")),IF(S138="","REVIEWED","RESOLVED")))))</x:f>
      </x:c>
      <x:c r="X138" s="778"/>
    </x:row>
    <x:row r="139" ht="28" customHeight="1">
      <x:c r="A139" s="26" t="str">
        <x:v>ERF-023</x:v>
      </x:c>
      <x:c r="B139" s="778"/>
      <x:c r="C139" s="778"/>
      <x:c r="D139" s="778"/>
      <x:c r="E139" s="778"/>
      <x:c r="F139" s="778"/>
      <x:c r="G139" s="778"/>
      <x:c r="H139" s="778"/>
      <x:c r="I139" s="778"/>
      <x:c r="J139" s="778"/>
      <x:c r="K139" s="778"/>
      <x:c r="L139" s="781" t="str">
        <x:f>IF(OR(H139="",K139="",K139=0),"",(H139-K139)/K139)</x:f>
      </x:c>
      <x:c r="M139" s="778"/>
      <x:c r="N139" s="778"/>
      <x:c r="O139" s="778"/>
      <x:c r="P139" s="778"/>
      <x:c r="Q139" s="778"/>
      <x:c r="R139" s="778"/>
      <x:c r="S139" s="778"/>
      <x:c r="T139" s="778"/>
      <x:c r="U139" s="778"/>
      <x:c r="V139" s="778"/>
      <x:c r="W139" s="26" t="str">
        <x:f>IF(AND(C139="",R139=""),"",IF(P139&lt;&gt;"Yes","INFO",IF(Q139="RED",IF(S139="","OPEN - RED",IF(AND(OR(S139="CHANGE ACCEPTED",S139="PARTIAL CHANGE"),V139&lt;&gt;"Yes"),"RED - NOT INTEGRATED","RESOLVED")),IF(Q139="AMBER",IF(S139="","OPEN - AMBER",IF(AND(OR(S139="CHANGE ACCEPTED",S139="PARTIAL CHANGE"),V139&lt;&gt;"Yes"),"AMBER - NOT INTEGRATED","RESOLVED")),IF(S139="","REVIEWED","RESOLVED")))))</x:f>
      </x:c>
      <x:c r="X139" s="778"/>
    </x:row>
    <x:row r="140" ht="28" customHeight="1">
      <x:c r="A140" s="26" t="str">
        <x:v>ERF-024</x:v>
      </x:c>
      <x:c r="B140" s="778"/>
      <x:c r="C140" s="778"/>
      <x:c r="D140" s="778"/>
      <x:c r="E140" s="778"/>
      <x:c r="F140" s="778"/>
      <x:c r="G140" s="778"/>
      <x:c r="H140" s="778"/>
      <x:c r="I140" s="778"/>
      <x:c r="J140" s="778"/>
      <x:c r="K140" s="778"/>
      <x:c r="L140" s="781" t="str">
        <x:f>IF(OR(H140="",K140="",K140=0),"",(H140-K140)/K140)</x:f>
      </x:c>
      <x:c r="M140" s="778"/>
      <x:c r="N140" s="778"/>
      <x:c r="O140" s="778"/>
      <x:c r="P140" s="778"/>
      <x:c r="Q140" s="778"/>
      <x:c r="R140" s="778"/>
      <x:c r="S140" s="778"/>
      <x:c r="T140" s="778"/>
      <x:c r="U140" s="778"/>
      <x:c r="V140" s="778"/>
      <x:c r="W140" s="26" t="str">
        <x:f>IF(AND(C140="",R140=""),"",IF(P140&lt;&gt;"Yes","INFO",IF(Q140="RED",IF(S140="","OPEN - RED",IF(AND(OR(S140="CHANGE ACCEPTED",S140="PARTIAL CHANGE"),V140&lt;&gt;"Yes"),"RED - NOT INTEGRATED","RESOLVED")),IF(Q140="AMBER",IF(S140="","OPEN - AMBER",IF(AND(OR(S140="CHANGE ACCEPTED",S140="PARTIAL CHANGE"),V140&lt;&gt;"Yes"),"AMBER - NOT INTEGRATED","RESOLVED")),IF(S140="","REVIEWED","RESOLVED")))))</x:f>
      </x:c>
      <x:c r="X140" s="778"/>
    </x:row>
    <x:row r="141" ht="28" customHeight="1">
      <x:c r="A141" s="26" t="str">
        <x:v>ERF-025</x:v>
      </x:c>
      <x:c r="B141" s="778"/>
      <x:c r="C141" s="778"/>
      <x:c r="D141" s="778"/>
      <x:c r="E141" s="778"/>
      <x:c r="F141" s="778"/>
      <x:c r="G141" s="778"/>
      <x:c r="H141" s="778"/>
      <x:c r="I141" s="778"/>
      <x:c r="J141" s="778"/>
      <x:c r="K141" s="778"/>
      <x:c r="L141" s="781" t="str">
        <x:f>IF(OR(H141="",K141="",K141=0),"",(H141-K141)/K141)</x:f>
      </x:c>
      <x:c r="M141" s="778"/>
      <x:c r="N141" s="778"/>
      <x:c r="O141" s="778"/>
      <x:c r="P141" s="778"/>
      <x:c r="Q141" s="778"/>
      <x:c r="R141" s="778"/>
      <x:c r="S141" s="778"/>
      <x:c r="T141" s="778"/>
      <x:c r="U141" s="778"/>
      <x:c r="V141" s="778"/>
      <x:c r="W141" s="26" t="str">
        <x:f>IF(AND(C141="",R141=""),"",IF(P141&lt;&gt;"Yes","INFO",IF(Q141="RED",IF(S141="","OPEN - RED",IF(AND(OR(S141="CHANGE ACCEPTED",S141="PARTIAL CHANGE"),V141&lt;&gt;"Yes"),"RED - NOT INTEGRATED","RESOLVED")),IF(Q141="AMBER",IF(S141="","OPEN - AMBER",IF(AND(OR(S141="CHANGE ACCEPTED",S141="PARTIAL CHANGE"),V141&lt;&gt;"Yes"),"AMBER - NOT INTEGRATED","RESOLVED")),IF(S141="","REVIEWED","RESOLVED")))))</x:f>
      </x:c>
      <x:c r="X141" s="778"/>
    </x:row>
    <x:row r="142" ht="28" customHeight="1">
      <x:c r="A142" s="26" t="str">
        <x:v>ERF-026</x:v>
      </x:c>
      <x:c r="B142" s="778"/>
      <x:c r="C142" s="778"/>
      <x:c r="D142" s="778"/>
      <x:c r="E142" s="778"/>
      <x:c r="F142" s="778"/>
      <x:c r="G142" s="778"/>
      <x:c r="H142" s="778"/>
      <x:c r="I142" s="778"/>
      <x:c r="J142" s="778"/>
      <x:c r="K142" s="778"/>
      <x:c r="L142" s="781" t="str">
        <x:f>IF(OR(H142="",K142="",K142=0),"",(H142-K142)/K142)</x:f>
      </x:c>
      <x:c r="M142" s="778"/>
      <x:c r="N142" s="778"/>
      <x:c r="O142" s="778"/>
      <x:c r="P142" s="778"/>
      <x:c r="Q142" s="778"/>
      <x:c r="R142" s="778"/>
      <x:c r="S142" s="778"/>
      <x:c r="T142" s="778"/>
      <x:c r="U142" s="778"/>
      <x:c r="V142" s="778"/>
      <x:c r="W142" s="26" t="str">
        <x:f>IF(AND(C142="",R142=""),"",IF(P142&lt;&gt;"Yes","INFO",IF(Q142="RED",IF(S142="","OPEN - RED",IF(AND(OR(S142="CHANGE ACCEPTED",S142="PARTIAL CHANGE"),V142&lt;&gt;"Yes"),"RED - NOT INTEGRATED","RESOLVED")),IF(Q142="AMBER",IF(S142="","OPEN - AMBER",IF(AND(OR(S142="CHANGE ACCEPTED",S142="PARTIAL CHANGE"),V142&lt;&gt;"Yes"),"AMBER - NOT INTEGRATED","RESOLVED")),IF(S142="","REVIEWED","RESOLVED")))))</x:f>
      </x:c>
      <x:c r="X142" s="778"/>
    </x:row>
    <x:row r="143" ht="28" customHeight="1">
      <x:c r="A143" s="26" t="str">
        <x:v>ERF-027</x:v>
      </x:c>
      <x:c r="B143" s="778"/>
      <x:c r="C143" s="778"/>
      <x:c r="D143" s="778"/>
      <x:c r="E143" s="778"/>
      <x:c r="F143" s="778"/>
      <x:c r="G143" s="778"/>
      <x:c r="H143" s="778"/>
      <x:c r="I143" s="778"/>
      <x:c r="J143" s="778"/>
      <x:c r="K143" s="778"/>
      <x:c r="L143" s="781" t="str">
        <x:f>IF(OR(H143="",K143="",K143=0),"",(H143-K143)/K143)</x:f>
      </x:c>
      <x:c r="M143" s="778"/>
      <x:c r="N143" s="778"/>
      <x:c r="O143" s="778"/>
      <x:c r="P143" s="778"/>
      <x:c r="Q143" s="778"/>
      <x:c r="R143" s="778"/>
      <x:c r="S143" s="778"/>
      <x:c r="T143" s="778"/>
      <x:c r="U143" s="778"/>
      <x:c r="V143" s="778"/>
      <x:c r="W143" s="26" t="str">
        <x:f>IF(AND(C143="",R143=""),"",IF(P143&lt;&gt;"Yes","INFO",IF(Q143="RED",IF(S143="","OPEN - RED",IF(AND(OR(S143="CHANGE ACCEPTED",S143="PARTIAL CHANGE"),V143&lt;&gt;"Yes"),"RED - NOT INTEGRATED","RESOLVED")),IF(Q143="AMBER",IF(S143="","OPEN - AMBER",IF(AND(OR(S143="CHANGE ACCEPTED",S143="PARTIAL CHANGE"),V143&lt;&gt;"Yes"),"AMBER - NOT INTEGRATED","RESOLVED")),IF(S143="","REVIEWED","RESOLVED")))))</x:f>
      </x:c>
      <x:c r="X143" s="778"/>
    </x:row>
    <x:row r="144" ht="28" customHeight="1">
      <x:c r="A144" s="26" t="str">
        <x:v>ERF-028</x:v>
      </x:c>
      <x:c r="B144" s="778"/>
      <x:c r="C144" s="778"/>
      <x:c r="D144" s="778"/>
      <x:c r="E144" s="778"/>
      <x:c r="F144" s="778"/>
      <x:c r="G144" s="778"/>
      <x:c r="H144" s="778"/>
      <x:c r="I144" s="778"/>
      <x:c r="J144" s="778"/>
      <x:c r="K144" s="778"/>
      <x:c r="L144" s="781" t="str">
        <x:f>IF(OR(H144="",K144="",K144=0),"",(H144-K144)/K144)</x:f>
      </x:c>
      <x:c r="M144" s="778"/>
      <x:c r="N144" s="778"/>
      <x:c r="O144" s="778"/>
      <x:c r="P144" s="778"/>
      <x:c r="Q144" s="778"/>
      <x:c r="R144" s="778"/>
      <x:c r="S144" s="778"/>
      <x:c r="T144" s="778"/>
      <x:c r="U144" s="778"/>
      <x:c r="V144" s="778"/>
      <x:c r="W144" s="26" t="str">
        <x:f>IF(AND(C144="",R144=""),"",IF(P144&lt;&gt;"Yes","INFO",IF(Q144="RED",IF(S144="","OPEN - RED",IF(AND(OR(S144="CHANGE ACCEPTED",S144="PARTIAL CHANGE"),V144&lt;&gt;"Yes"),"RED - NOT INTEGRATED","RESOLVED")),IF(Q144="AMBER",IF(S144="","OPEN - AMBER",IF(AND(OR(S144="CHANGE ACCEPTED",S144="PARTIAL CHANGE"),V144&lt;&gt;"Yes"),"AMBER - NOT INTEGRATED","RESOLVED")),IF(S144="","REVIEWED","RESOLVED")))))</x:f>
      </x:c>
      <x:c r="X144" s="778"/>
    </x:row>
    <x:row r="145" ht="28" customHeight="1">
      <x:c r="A145" s="26" t="str">
        <x:v>ERF-029</x:v>
      </x:c>
      <x:c r="B145" s="778"/>
      <x:c r="C145" s="778"/>
      <x:c r="D145" s="778"/>
      <x:c r="E145" s="778"/>
      <x:c r="F145" s="778"/>
      <x:c r="G145" s="778"/>
      <x:c r="H145" s="778"/>
      <x:c r="I145" s="778"/>
      <x:c r="J145" s="778"/>
      <x:c r="K145" s="778"/>
      <x:c r="L145" s="781" t="str">
        <x:f>IF(OR(H145="",K145="",K145=0),"",(H145-K145)/K145)</x:f>
      </x:c>
      <x:c r="M145" s="778"/>
      <x:c r="N145" s="778"/>
      <x:c r="O145" s="778"/>
      <x:c r="P145" s="778"/>
      <x:c r="Q145" s="778"/>
      <x:c r="R145" s="778"/>
      <x:c r="S145" s="778"/>
      <x:c r="T145" s="778"/>
      <x:c r="U145" s="778"/>
      <x:c r="V145" s="778"/>
      <x:c r="W145" s="26" t="str">
        <x:f>IF(AND(C145="",R145=""),"",IF(P145&lt;&gt;"Yes","INFO",IF(Q145="RED",IF(S145="","OPEN - RED",IF(AND(OR(S145="CHANGE ACCEPTED",S145="PARTIAL CHANGE"),V145&lt;&gt;"Yes"),"RED - NOT INTEGRATED","RESOLVED")),IF(Q145="AMBER",IF(S145="","OPEN - AMBER",IF(AND(OR(S145="CHANGE ACCEPTED",S145="PARTIAL CHANGE"),V145&lt;&gt;"Yes"),"AMBER - NOT INTEGRATED","RESOLVED")),IF(S145="","REVIEWED","RESOLVED")))))</x:f>
      </x:c>
      <x:c r="X145" s="778"/>
    </x:row>
    <x:row r="146" ht="28" customHeight="1">
      <x:c r="A146" s="26" t="str">
        <x:v>ERF-030</x:v>
      </x:c>
      <x:c r="B146" s="778"/>
      <x:c r="C146" s="778"/>
      <x:c r="D146" s="778"/>
      <x:c r="E146" s="778"/>
      <x:c r="F146" s="778"/>
      <x:c r="G146" s="778"/>
      <x:c r="H146" s="778"/>
      <x:c r="I146" s="778"/>
      <x:c r="J146" s="778"/>
      <x:c r="K146" s="778"/>
      <x:c r="L146" s="781" t="str">
        <x:f>IF(OR(H146="",K146="",K146=0),"",(H146-K146)/K146)</x:f>
      </x:c>
      <x:c r="M146" s="778"/>
      <x:c r="N146" s="778"/>
      <x:c r="O146" s="778"/>
      <x:c r="P146" s="778"/>
      <x:c r="Q146" s="778"/>
      <x:c r="R146" s="778"/>
      <x:c r="S146" s="778"/>
      <x:c r="T146" s="778"/>
      <x:c r="U146" s="778"/>
      <x:c r="V146" s="778"/>
      <x:c r="W146" s="26" t="str">
        <x:f>IF(AND(C146="",R146=""),"",IF(P146&lt;&gt;"Yes","INFO",IF(Q146="RED",IF(S146="","OPEN - RED",IF(AND(OR(S146="CHANGE ACCEPTED",S146="PARTIAL CHANGE"),V146&lt;&gt;"Yes"),"RED - NOT INTEGRATED","RESOLVED")),IF(Q146="AMBER",IF(S146="","OPEN - AMBER",IF(AND(OR(S146="CHANGE ACCEPTED",S146="PARTIAL CHANGE"),V146&lt;&gt;"Yes"),"AMBER - NOT INTEGRATED","RESOLVED")),IF(S146="","REVIEWED","RESOLVED")))))</x:f>
      </x:c>
      <x:c r="X146" s="778"/>
    </x:row>
    <x:row r="147" ht="28" customHeight="1">
      <x:c r="A147" s="26" t="str">
        <x:v>ERF-031</x:v>
      </x:c>
      <x:c r="B147" s="778"/>
      <x:c r="C147" s="778"/>
      <x:c r="D147" s="778"/>
      <x:c r="E147" s="778"/>
      <x:c r="F147" s="778"/>
      <x:c r="G147" s="778"/>
      <x:c r="H147" s="778"/>
      <x:c r="I147" s="778"/>
      <x:c r="J147" s="778"/>
      <x:c r="K147" s="778"/>
      <x:c r="L147" s="781" t="str">
        <x:f>IF(OR(H147="",K147="",K147=0),"",(H147-K147)/K147)</x:f>
      </x:c>
      <x:c r="M147" s="778"/>
      <x:c r="N147" s="778"/>
      <x:c r="O147" s="778"/>
      <x:c r="P147" s="778"/>
      <x:c r="Q147" s="778"/>
      <x:c r="R147" s="778"/>
      <x:c r="S147" s="778"/>
      <x:c r="T147" s="778"/>
      <x:c r="U147" s="778"/>
      <x:c r="V147" s="778"/>
      <x:c r="W147" s="26" t="str">
        <x:f>IF(AND(C147="",R147=""),"",IF(P147&lt;&gt;"Yes","INFO",IF(Q147="RED",IF(S147="","OPEN - RED",IF(AND(OR(S147="CHANGE ACCEPTED",S147="PARTIAL CHANGE"),V147&lt;&gt;"Yes"),"RED - NOT INTEGRATED","RESOLVED")),IF(Q147="AMBER",IF(S147="","OPEN - AMBER",IF(AND(OR(S147="CHANGE ACCEPTED",S147="PARTIAL CHANGE"),V147&lt;&gt;"Yes"),"AMBER - NOT INTEGRATED","RESOLVED")),IF(S147="","REVIEWED","RESOLVED")))))</x:f>
      </x:c>
      <x:c r="X147" s="778"/>
    </x:row>
    <x:row r="148" ht="28" customHeight="1">
      <x:c r="A148" s="26" t="str">
        <x:v>ERF-032</x:v>
      </x:c>
      <x:c r="B148" s="778"/>
      <x:c r="C148" s="778"/>
      <x:c r="D148" s="778"/>
      <x:c r="E148" s="778"/>
      <x:c r="F148" s="778"/>
      <x:c r="G148" s="778"/>
      <x:c r="H148" s="778"/>
      <x:c r="I148" s="778"/>
      <x:c r="J148" s="778"/>
      <x:c r="K148" s="778"/>
      <x:c r="L148" s="781" t="str">
        <x:f>IF(OR(H148="",K148="",K148=0),"",(H148-K148)/K148)</x:f>
      </x:c>
      <x:c r="M148" s="778"/>
      <x:c r="N148" s="778"/>
      <x:c r="O148" s="778"/>
      <x:c r="P148" s="778"/>
      <x:c r="Q148" s="778"/>
      <x:c r="R148" s="778"/>
      <x:c r="S148" s="778"/>
      <x:c r="T148" s="778"/>
      <x:c r="U148" s="778"/>
      <x:c r="V148" s="778"/>
      <x:c r="W148" s="26" t="str">
        <x:f>IF(AND(C148="",R148=""),"",IF(P148&lt;&gt;"Yes","INFO",IF(Q148="RED",IF(S148="","OPEN - RED",IF(AND(OR(S148="CHANGE ACCEPTED",S148="PARTIAL CHANGE"),V148&lt;&gt;"Yes"),"RED - NOT INTEGRATED","RESOLVED")),IF(Q148="AMBER",IF(S148="","OPEN - AMBER",IF(AND(OR(S148="CHANGE ACCEPTED",S148="PARTIAL CHANGE"),V148&lt;&gt;"Yes"),"AMBER - NOT INTEGRATED","RESOLVED")),IF(S148="","REVIEWED","RESOLVED")))))</x:f>
      </x:c>
      <x:c r="X148" s="778"/>
    </x:row>
    <x:row r="149" ht="28" customHeight="1">
      <x:c r="A149" s="26" t="str">
        <x:v>ERF-033</x:v>
      </x:c>
      <x:c r="B149" s="778"/>
      <x:c r="C149" s="778"/>
      <x:c r="D149" s="778"/>
      <x:c r="E149" s="778"/>
      <x:c r="F149" s="778"/>
      <x:c r="G149" s="778"/>
      <x:c r="H149" s="778"/>
      <x:c r="I149" s="778"/>
      <x:c r="J149" s="778"/>
      <x:c r="K149" s="778"/>
      <x:c r="L149" s="781" t="str">
        <x:f>IF(OR(H149="",K149="",K149=0),"",(H149-K149)/K149)</x:f>
      </x:c>
      <x:c r="M149" s="778"/>
      <x:c r="N149" s="778"/>
      <x:c r="O149" s="778"/>
      <x:c r="P149" s="778"/>
      <x:c r="Q149" s="778"/>
      <x:c r="R149" s="778"/>
      <x:c r="S149" s="778"/>
      <x:c r="T149" s="778"/>
      <x:c r="U149" s="778"/>
      <x:c r="V149" s="778"/>
      <x:c r="W149" s="26" t="str">
        <x:f>IF(AND(C149="",R149=""),"",IF(P149&lt;&gt;"Yes","INFO",IF(Q149="RED",IF(S149="","OPEN - RED",IF(AND(OR(S149="CHANGE ACCEPTED",S149="PARTIAL CHANGE"),V149&lt;&gt;"Yes"),"RED - NOT INTEGRATED","RESOLVED")),IF(Q149="AMBER",IF(S149="","OPEN - AMBER",IF(AND(OR(S149="CHANGE ACCEPTED",S149="PARTIAL CHANGE"),V149&lt;&gt;"Yes"),"AMBER - NOT INTEGRATED","RESOLVED")),IF(S149="","REVIEWED","RESOLVED")))))</x:f>
      </x:c>
      <x:c r="X149" s="778"/>
    </x:row>
    <x:row r="150" ht="28" customHeight="1">
      <x:c r="A150" s="26" t="str">
        <x:v>ERF-034</x:v>
      </x:c>
      <x:c r="B150" s="778"/>
      <x:c r="C150" s="778"/>
      <x:c r="D150" s="778"/>
      <x:c r="E150" s="778"/>
      <x:c r="F150" s="778"/>
      <x:c r="G150" s="778"/>
      <x:c r="H150" s="778"/>
      <x:c r="I150" s="778"/>
      <x:c r="J150" s="778"/>
      <x:c r="K150" s="778"/>
      <x:c r="L150" s="781" t="str">
        <x:f>IF(OR(H150="",K150="",K150=0),"",(H150-K150)/K150)</x:f>
      </x:c>
      <x:c r="M150" s="778"/>
      <x:c r="N150" s="778"/>
      <x:c r="O150" s="778"/>
      <x:c r="P150" s="778"/>
      <x:c r="Q150" s="778"/>
      <x:c r="R150" s="778"/>
      <x:c r="S150" s="778"/>
      <x:c r="T150" s="778"/>
      <x:c r="U150" s="778"/>
      <x:c r="V150" s="778"/>
      <x:c r="W150" s="26" t="str">
        <x:f>IF(AND(C150="",R150=""),"",IF(P150&lt;&gt;"Yes","INFO",IF(Q150="RED",IF(S150="","OPEN - RED",IF(AND(OR(S150="CHANGE ACCEPTED",S150="PARTIAL CHANGE"),V150&lt;&gt;"Yes"),"RED - NOT INTEGRATED","RESOLVED")),IF(Q150="AMBER",IF(S150="","OPEN - AMBER",IF(AND(OR(S150="CHANGE ACCEPTED",S150="PARTIAL CHANGE"),V150&lt;&gt;"Yes"),"AMBER - NOT INTEGRATED","RESOLVED")),IF(S150="","REVIEWED","RESOLVED")))))</x:f>
      </x:c>
      <x:c r="X150" s="778"/>
    </x:row>
    <x:row r="151" ht="28" customHeight="1">
      <x:c r="A151" s="26" t="str">
        <x:v>ERF-035</x:v>
      </x:c>
      <x:c r="B151" s="778"/>
      <x:c r="C151" s="778"/>
      <x:c r="D151" s="778"/>
      <x:c r="E151" s="778"/>
      <x:c r="F151" s="778"/>
      <x:c r="G151" s="778"/>
      <x:c r="H151" s="778"/>
      <x:c r="I151" s="778"/>
      <x:c r="J151" s="778"/>
      <x:c r="K151" s="778"/>
      <x:c r="L151" s="781" t="str">
        <x:f>IF(OR(H151="",K151="",K151=0),"",(H151-K151)/K151)</x:f>
      </x:c>
      <x:c r="M151" s="778"/>
      <x:c r="N151" s="778"/>
      <x:c r="O151" s="778"/>
      <x:c r="P151" s="778"/>
      <x:c r="Q151" s="778"/>
      <x:c r="R151" s="778"/>
      <x:c r="S151" s="778"/>
      <x:c r="T151" s="778"/>
      <x:c r="U151" s="778"/>
      <x:c r="V151" s="778"/>
      <x:c r="W151" s="26" t="str">
        <x:f>IF(AND(C151="",R151=""),"",IF(P151&lt;&gt;"Yes","INFO",IF(Q151="RED",IF(S151="","OPEN - RED",IF(AND(OR(S151="CHANGE ACCEPTED",S151="PARTIAL CHANGE"),V151&lt;&gt;"Yes"),"RED - NOT INTEGRATED","RESOLVED")),IF(Q151="AMBER",IF(S151="","OPEN - AMBER",IF(AND(OR(S151="CHANGE ACCEPTED",S151="PARTIAL CHANGE"),V151&lt;&gt;"Yes"),"AMBER - NOT INTEGRATED","RESOLVED")),IF(S151="","REVIEWED","RESOLVED")))))</x:f>
      </x:c>
      <x:c r="X151" s="778"/>
    </x:row>
    <x:row r="152" ht="28" customHeight="1">
      <x:c r="A152" s="26" t="str">
        <x:v>ERF-036</x:v>
      </x:c>
      <x:c r="B152" s="778"/>
      <x:c r="C152" s="778"/>
      <x:c r="D152" s="778"/>
      <x:c r="E152" s="778"/>
      <x:c r="F152" s="778"/>
      <x:c r="G152" s="778"/>
      <x:c r="H152" s="778"/>
      <x:c r="I152" s="778"/>
      <x:c r="J152" s="778"/>
      <x:c r="K152" s="778"/>
      <x:c r="L152" s="781" t="str">
        <x:f>IF(OR(H152="",K152="",K152=0),"",(H152-K152)/K152)</x:f>
      </x:c>
      <x:c r="M152" s="778"/>
      <x:c r="N152" s="778"/>
      <x:c r="O152" s="778"/>
      <x:c r="P152" s="778"/>
      <x:c r="Q152" s="778"/>
      <x:c r="R152" s="778"/>
      <x:c r="S152" s="778"/>
      <x:c r="T152" s="778"/>
      <x:c r="U152" s="778"/>
      <x:c r="V152" s="778"/>
      <x:c r="W152" s="26" t="str">
        <x:f>IF(AND(C152="",R152=""),"",IF(P152&lt;&gt;"Yes","INFO",IF(Q152="RED",IF(S152="","OPEN - RED",IF(AND(OR(S152="CHANGE ACCEPTED",S152="PARTIAL CHANGE"),V152&lt;&gt;"Yes"),"RED - NOT INTEGRATED","RESOLVED")),IF(Q152="AMBER",IF(S152="","OPEN - AMBER",IF(AND(OR(S152="CHANGE ACCEPTED",S152="PARTIAL CHANGE"),V152&lt;&gt;"Yes"),"AMBER - NOT INTEGRATED","RESOLVED")),IF(S152="","REVIEWED","RESOLVED")))))</x:f>
      </x:c>
      <x:c r="X152" s="778"/>
    </x:row>
    <x:row r="153" ht="28" customHeight="1">
      <x:c r="A153" s="26" t="str">
        <x:v>ERF-037</x:v>
      </x:c>
      <x:c r="B153" s="778"/>
      <x:c r="C153" s="778"/>
      <x:c r="D153" s="778"/>
      <x:c r="E153" s="778"/>
      <x:c r="F153" s="778"/>
      <x:c r="G153" s="778"/>
      <x:c r="H153" s="778"/>
      <x:c r="I153" s="778"/>
      <x:c r="J153" s="778"/>
      <x:c r="K153" s="778"/>
      <x:c r="L153" s="781" t="str">
        <x:f>IF(OR(H153="",K153="",K153=0),"",(H153-K153)/K153)</x:f>
      </x:c>
      <x:c r="M153" s="778"/>
      <x:c r="N153" s="778"/>
      <x:c r="O153" s="778"/>
      <x:c r="P153" s="778"/>
      <x:c r="Q153" s="778"/>
      <x:c r="R153" s="778"/>
      <x:c r="S153" s="778"/>
      <x:c r="T153" s="778"/>
      <x:c r="U153" s="778"/>
      <x:c r="V153" s="778"/>
      <x:c r="W153" s="26" t="str">
        <x:f>IF(AND(C153="",R153=""),"",IF(P153&lt;&gt;"Yes","INFO",IF(Q153="RED",IF(S153="","OPEN - RED",IF(AND(OR(S153="CHANGE ACCEPTED",S153="PARTIAL CHANGE"),V153&lt;&gt;"Yes"),"RED - NOT INTEGRATED","RESOLVED")),IF(Q153="AMBER",IF(S153="","OPEN - AMBER",IF(AND(OR(S153="CHANGE ACCEPTED",S153="PARTIAL CHANGE"),V153&lt;&gt;"Yes"),"AMBER - NOT INTEGRATED","RESOLVED")),IF(S153="","REVIEWED","RESOLVED")))))</x:f>
      </x:c>
      <x:c r="X153" s="778"/>
    </x:row>
    <x:row r="154" ht="28" customHeight="1">
      <x:c r="A154" s="26" t="str">
        <x:v>ERF-038</x:v>
      </x:c>
      <x:c r="B154" s="778"/>
      <x:c r="C154" s="778"/>
      <x:c r="D154" s="778"/>
      <x:c r="E154" s="778"/>
      <x:c r="F154" s="778"/>
      <x:c r="G154" s="778"/>
      <x:c r="H154" s="778"/>
      <x:c r="I154" s="778"/>
      <x:c r="J154" s="778"/>
      <x:c r="K154" s="778"/>
      <x:c r="L154" s="781" t="str">
        <x:f>IF(OR(H154="",K154="",K154=0),"",(H154-K154)/K154)</x:f>
      </x:c>
      <x:c r="M154" s="778"/>
      <x:c r="N154" s="778"/>
      <x:c r="O154" s="778"/>
      <x:c r="P154" s="778"/>
      <x:c r="Q154" s="778"/>
      <x:c r="R154" s="778"/>
      <x:c r="S154" s="778"/>
      <x:c r="T154" s="778"/>
      <x:c r="U154" s="778"/>
      <x:c r="V154" s="778"/>
      <x:c r="W154" s="26" t="str">
        <x:f>IF(AND(C154="",R154=""),"",IF(P154&lt;&gt;"Yes","INFO",IF(Q154="RED",IF(S154="","OPEN - RED",IF(AND(OR(S154="CHANGE ACCEPTED",S154="PARTIAL CHANGE"),V154&lt;&gt;"Yes"),"RED - NOT INTEGRATED","RESOLVED")),IF(Q154="AMBER",IF(S154="","OPEN - AMBER",IF(AND(OR(S154="CHANGE ACCEPTED",S154="PARTIAL CHANGE"),V154&lt;&gt;"Yes"),"AMBER - NOT INTEGRATED","RESOLVED")),IF(S154="","REVIEWED","RESOLVED")))))</x:f>
      </x:c>
      <x:c r="X154" s="778"/>
    </x:row>
    <x:row r="155" ht="28" customHeight="1">
      <x:c r="A155" s="26" t="str">
        <x:v>ERF-039</x:v>
      </x:c>
      <x:c r="B155" s="778"/>
      <x:c r="C155" s="778"/>
      <x:c r="D155" s="778"/>
      <x:c r="E155" s="778"/>
      <x:c r="F155" s="778"/>
      <x:c r="G155" s="778"/>
      <x:c r="H155" s="778"/>
      <x:c r="I155" s="778"/>
      <x:c r="J155" s="778"/>
      <x:c r="K155" s="778"/>
      <x:c r="L155" s="781" t="str">
        <x:f>IF(OR(H155="",K155="",K155=0),"",(H155-K155)/K155)</x:f>
      </x:c>
      <x:c r="M155" s="778"/>
      <x:c r="N155" s="778"/>
      <x:c r="O155" s="778"/>
      <x:c r="P155" s="778"/>
      <x:c r="Q155" s="778"/>
      <x:c r="R155" s="778"/>
      <x:c r="S155" s="778"/>
      <x:c r="T155" s="778"/>
      <x:c r="U155" s="778"/>
      <x:c r="V155" s="778"/>
      <x:c r="W155" s="26" t="str">
        <x:f>IF(AND(C155="",R155=""),"",IF(P155&lt;&gt;"Yes","INFO",IF(Q155="RED",IF(S155="","OPEN - RED",IF(AND(OR(S155="CHANGE ACCEPTED",S155="PARTIAL CHANGE"),V155&lt;&gt;"Yes"),"RED - NOT INTEGRATED","RESOLVED")),IF(Q155="AMBER",IF(S155="","OPEN - AMBER",IF(AND(OR(S155="CHANGE ACCEPTED",S155="PARTIAL CHANGE"),V155&lt;&gt;"Yes"),"AMBER - NOT INTEGRATED","RESOLVED")),IF(S155="","REVIEWED","RESOLVED")))))</x:f>
      </x:c>
      <x:c r="X155" s="778"/>
    </x:row>
    <x:row r="156" ht="28" customHeight="1">
      <x:c r="A156" s="26" t="str">
        <x:v>ERF-040</x:v>
      </x:c>
      <x:c r="B156" s="778"/>
      <x:c r="C156" s="778"/>
      <x:c r="D156" s="778"/>
      <x:c r="E156" s="778"/>
      <x:c r="F156" s="778"/>
      <x:c r="G156" s="778"/>
      <x:c r="H156" s="778"/>
      <x:c r="I156" s="778"/>
      <x:c r="J156" s="778"/>
      <x:c r="K156" s="778"/>
      <x:c r="L156" s="781" t="str">
        <x:f>IF(OR(H156="",K156="",K156=0),"",(H156-K156)/K156)</x:f>
      </x:c>
      <x:c r="M156" s="778"/>
      <x:c r="N156" s="778"/>
      <x:c r="O156" s="778"/>
      <x:c r="P156" s="778"/>
      <x:c r="Q156" s="778"/>
      <x:c r="R156" s="778"/>
      <x:c r="S156" s="778"/>
      <x:c r="T156" s="778"/>
      <x:c r="U156" s="778"/>
      <x:c r="V156" s="778"/>
      <x:c r="W156" s="26" t="str">
        <x:f>IF(AND(C156="",R156=""),"",IF(P156&lt;&gt;"Yes","INFO",IF(Q156="RED",IF(S156="","OPEN - RED",IF(AND(OR(S156="CHANGE ACCEPTED",S156="PARTIAL CHANGE"),V156&lt;&gt;"Yes"),"RED - NOT INTEGRATED","RESOLVED")),IF(Q156="AMBER",IF(S156="","OPEN - AMBER",IF(AND(OR(S156="CHANGE ACCEPTED",S156="PARTIAL CHANGE"),V156&lt;&gt;"Yes"),"AMBER - NOT INTEGRATED","RESOLVED")),IF(S156="","REVIEWED","RESOLVED")))))</x:f>
      </x:c>
      <x:c r="X156" s="778"/>
    </x:row>
    <x:row r="157" ht="28" customHeight="1">
      <x:c r="A157" s="26" t="str">
        <x:v>ERF-041</x:v>
      </x:c>
      <x:c r="B157" s="778"/>
      <x:c r="C157" s="778"/>
      <x:c r="D157" s="778"/>
      <x:c r="E157" s="778"/>
      <x:c r="F157" s="778"/>
      <x:c r="G157" s="778"/>
      <x:c r="H157" s="778"/>
      <x:c r="I157" s="778"/>
      <x:c r="J157" s="778"/>
      <x:c r="K157" s="778"/>
      <x:c r="L157" s="781" t="str">
        <x:f>IF(OR(H157="",K157="",K157=0),"",(H157-K157)/K157)</x:f>
      </x:c>
      <x:c r="M157" s="778"/>
      <x:c r="N157" s="778"/>
      <x:c r="O157" s="778"/>
      <x:c r="P157" s="778"/>
      <x:c r="Q157" s="778"/>
      <x:c r="R157" s="778"/>
      <x:c r="S157" s="778"/>
      <x:c r="T157" s="778"/>
      <x:c r="U157" s="778"/>
      <x:c r="V157" s="778"/>
      <x:c r="W157" s="26" t="str">
        <x:f>IF(AND(C157="",R157=""),"",IF(P157&lt;&gt;"Yes","INFO",IF(Q157="RED",IF(S157="","OPEN - RED",IF(AND(OR(S157="CHANGE ACCEPTED",S157="PARTIAL CHANGE"),V157&lt;&gt;"Yes"),"RED - NOT INTEGRATED","RESOLVED")),IF(Q157="AMBER",IF(S157="","OPEN - AMBER",IF(AND(OR(S157="CHANGE ACCEPTED",S157="PARTIAL CHANGE"),V157&lt;&gt;"Yes"),"AMBER - NOT INTEGRATED","RESOLVED")),IF(S157="","REVIEWED","RESOLVED")))))</x:f>
      </x:c>
      <x:c r="X157" s="778"/>
    </x:row>
    <x:row r="158" ht="28" customHeight="1">
      <x:c r="A158" s="26" t="str">
        <x:v>ERF-042</x:v>
      </x:c>
      <x:c r="B158" s="778"/>
      <x:c r="C158" s="778"/>
      <x:c r="D158" s="778"/>
      <x:c r="E158" s="778"/>
      <x:c r="F158" s="778"/>
      <x:c r="G158" s="778"/>
      <x:c r="H158" s="778"/>
      <x:c r="I158" s="778"/>
      <x:c r="J158" s="778"/>
      <x:c r="K158" s="778"/>
      <x:c r="L158" s="781" t="str">
        <x:f>IF(OR(H158="",K158="",K158=0),"",(H158-K158)/K158)</x:f>
      </x:c>
      <x:c r="M158" s="778"/>
      <x:c r="N158" s="778"/>
      <x:c r="O158" s="778"/>
      <x:c r="P158" s="778"/>
      <x:c r="Q158" s="778"/>
      <x:c r="R158" s="778"/>
      <x:c r="S158" s="778"/>
      <x:c r="T158" s="778"/>
      <x:c r="U158" s="778"/>
      <x:c r="V158" s="778"/>
      <x:c r="W158" s="26" t="str">
        <x:f>IF(AND(C158="",R158=""),"",IF(P158&lt;&gt;"Yes","INFO",IF(Q158="RED",IF(S158="","OPEN - RED",IF(AND(OR(S158="CHANGE ACCEPTED",S158="PARTIAL CHANGE"),V158&lt;&gt;"Yes"),"RED - NOT INTEGRATED","RESOLVED")),IF(Q158="AMBER",IF(S158="","OPEN - AMBER",IF(AND(OR(S158="CHANGE ACCEPTED",S158="PARTIAL CHANGE"),V158&lt;&gt;"Yes"),"AMBER - NOT INTEGRATED","RESOLVED")),IF(S158="","REVIEWED","RESOLVED")))))</x:f>
      </x:c>
      <x:c r="X158" s="778"/>
    </x:row>
    <x:row r="159" ht="28" customHeight="1">
      <x:c r="A159" s="26" t="str">
        <x:v>ERF-043</x:v>
      </x:c>
      <x:c r="B159" s="778"/>
      <x:c r="C159" s="778"/>
      <x:c r="D159" s="778"/>
      <x:c r="E159" s="778"/>
      <x:c r="F159" s="778"/>
      <x:c r="G159" s="778"/>
      <x:c r="H159" s="778"/>
      <x:c r="I159" s="778"/>
      <x:c r="J159" s="778"/>
      <x:c r="K159" s="778"/>
      <x:c r="L159" s="781" t="str">
        <x:f>IF(OR(H159="",K159="",K159=0),"",(H159-K159)/K159)</x:f>
      </x:c>
      <x:c r="M159" s="778"/>
      <x:c r="N159" s="778"/>
      <x:c r="O159" s="778"/>
      <x:c r="P159" s="778"/>
      <x:c r="Q159" s="778"/>
      <x:c r="R159" s="778"/>
      <x:c r="S159" s="778"/>
      <x:c r="T159" s="778"/>
      <x:c r="U159" s="778"/>
      <x:c r="V159" s="778"/>
      <x:c r="W159" s="26" t="str">
        <x:f>IF(AND(C159="",R159=""),"",IF(P159&lt;&gt;"Yes","INFO",IF(Q159="RED",IF(S159="","OPEN - RED",IF(AND(OR(S159="CHANGE ACCEPTED",S159="PARTIAL CHANGE"),V159&lt;&gt;"Yes"),"RED - NOT INTEGRATED","RESOLVED")),IF(Q159="AMBER",IF(S159="","OPEN - AMBER",IF(AND(OR(S159="CHANGE ACCEPTED",S159="PARTIAL CHANGE"),V159&lt;&gt;"Yes"),"AMBER - NOT INTEGRATED","RESOLVED")),IF(S159="","REVIEWED","RESOLVED")))))</x:f>
      </x:c>
      <x:c r="X159" s="778"/>
    </x:row>
    <x:row r="160" ht="28" customHeight="1">
      <x:c r="A160" s="26" t="str">
        <x:v>ERF-044</x:v>
      </x:c>
      <x:c r="B160" s="778"/>
      <x:c r="C160" s="778"/>
      <x:c r="D160" s="778"/>
      <x:c r="E160" s="778"/>
      <x:c r="F160" s="778"/>
      <x:c r="G160" s="778"/>
      <x:c r="H160" s="778"/>
      <x:c r="I160" s="778"/>
      <x:c r="J160" s="778"/>
      <x:c r="K160" s="778"/>
      <x:c r="L160" s="781" t="str">
        <x:f>IF(OR(H160="",K160="",K160=0),"",(H160-K160)/K160)</x:f>
      </x:c>
      <x:c r="M160" s="778"/>
      <x:c r="N160" s="778"/>
      <x:c r="O160" s="778"/>
      <x:c r="P160" s="778"/>
      <x:c r="Q160" s="778"/>
      <x:c r="R160" s="778"/>
      <x:c r="S160" s="778"/>
      <x:c r="T160" s="778"/>
      <x:c r="U160" s="778"/>
      <x:c r="V160" s="778"/>
      <x:c r="W160" s="26" t="str">
        <x:f>IF(AND(C160="",R160=""),"",IF(P160&lt;&gt;"Yes","INFO",IF(Q160="RED",IF(S160="","OPEN - RED",IF(AND(OR(S160="CHANGE ACCEPTED",S160="PARTIAL CHANGE"),V160&lt;&gt;"Yes"),"RED - NOT INTEGRATED","RESOLVED")),IF(Q160="AMBER",IF(S160="","OPEN - AMBER",IF(AND(OR(S160="CHANGE ACCEPTED",S160="PARTIAL CHANGE"),V160&lt;&gt;"Yes"),"AMBER - NOT INTEGRATED","RESOLVED")),IF(S160="","REVIEWED","RESOLVED")))))</x:f>
      </x:c>
      <x:c r="X160" s="778"/>
    </x:row>
    <x:row r="161" ht="28" customHeight="1">
      <x:c r="A161" s="26" t="str">
        <x:v>ERF-045</x:v>
      </x:c>
      <x:c r="B161" s="778"/>
      <x:c r="C161" s="778"/>
      <x:c r="D161" s="778"/>
      <x:c r="E161" s="778"/>
      <x:c r="F161" s="778"/>
      <x:c r="G161" s="778"/>
      <x:c r="H161" s="778"/>
      <x:c r="I161" s="778"/>
      <x:c r="J161" s="778"/>
      <x:c r="K161" s="778"/>
      <x:c r="L161" s="781" t="str">
        <x:f>IF(OR(H161="",K161="",K161=0),"",(H161-K161)/K161)</x:f>
      </x:c>
      <x:c r="M161" s="778"/>
      <x:c r="N161" s="778"/>
      <x:c r="O161" s="778"/>
      <x:c r="P161" s="778"/>
      <x:c r="Q161" s="778"/>
      <x:c r="R161" s="778"/>
      <x:c r="S161" s="778"/>
      <x:c r="T161" s="778"/>
      <x:c r="U161" s="778"/>
      <x:c r="V161" s="778"/>
      <x:c r="W161" s="26" t="str">
        <x:f>IF(AND(C161="",R161=""),"",IF(P161&lt;&gt;"Yes","INFO",IF(Q161="RED",IF(S161="","OPEN - RED",IF(AND(OR(S161="CHANGE ACCEPTED",S161="PARTIAL CHANGE"),V161&lt;&gt;"Yes"),"RED - NOT INTEGRATED","RESOLVED")),IF(Q161="AMBER",IF(S161="","OPEN - AMBER",IF(AND(OR(S161="CHANGE ACCEPTED",S161="PARTIAL CHANGE"),V161&lt;&gt;"Yes"),"AMBER - NOT INTEGRATED","RESOLVED")),IF(S161="","REVIEWED","RESOLVED")))))</x:f>
      </x:c>
      <x:c r="X161" s="778"/>
    </x:row>
    <x:row r="162" ht="28" customHeight="1">
      <x:c r="A162" s="26" t="str">
        <x:v>ERF-046</x:v>
      </x:c>
      <x:c r="B162" s="778"/>
      <x:c r="C162" s="778"/>
      <x:c r="D162" s="778"/>
      <x:c r="E162" s="778"/>
      <x:c r="F162" s="778"/>
      <x:c r="G162" s="778"/>
      <x:c r="H162" s="778"/>
      <x:c r="I162" s="778"/>
      <x:c r="J162" s="778"/>
      <x:c r="K162" s="778"/>
      <x:c r="L162" s="781" t="str">
        <x:f>IF(OR(H162="",K162="",K162=0),"",(H162-K162)/K162)</x:f>
      </x:c>
      <x:c r="M162" s="778"/>
      <x:c r="N162" s="778"/>
      <x:c r="O162" s="778"/>
      <x:c r="P162" s="778"/>
      <x:c r="Q162" s="778"/>
      <x:c r="R162" s="778"/>
      <x:c r="S162" s="778"/>
      <x:c r="T162" s="778"/>
      <x:c r="U162" s="778"/>
      <x:c r="V162" s="778"/>
      <x:c r="W162" s="26" t="str">
        <x:f>IF(AND(C162="",R162=""),"",IF(P162&lt;&gt;"Yes","INFO",IF(Q162="RED",IF(S162="","OPEN - RED",IF(AND(OR(S162="CHANGE ACCEPTED",S162="PARTIAL CHANGE"),V162&lt;&gt;"Yes"),"RED - NOT INTEGRATED","RESOLVED")),IF(Q162="AMBER",IF(S162="","OPEN - AMBER",IF(AND(OR(S162="CHANGE ACCEPTED",S162="PARTIAL CHANGE"),V162&lt;&gt;"Yes"),"AMBER - NOT INTEGRATED","RESOLVED")),IF(S162="","REVIEWED","RESOLVED")))))</x:f>
      </x:c>
      <x:c r="X162" s="778"/>
    </x:row>
    <x:row r="163" ht="28" customHeight="1">
      <x:c r="A163" s="26" t="str">
        <x:v>ERF-047</x:v>
      </x:c>
      <x:c r="B163" s="778"/>
      <x:c r="C163" s="778"/>
      <x:c r="D163" s="778"/>
      <x:c r="E163" s="778"/>
      <x:c r="F163" s="778"/>
      <x:c r="G163" s="778"/>
      <x:c r="H163" s="778"/>
      <x:c r="I163" s="778"/>
      <x:c r="J163" s="778"/>
      <x:c r="K163" s="778"/>
      <x:c r="L163" s="781" t="str">
        <x:f>IF(OR(H163="",K163="",K163=0),"",(H163-K163)/K163)</x:f>
      </x:c>
      <x:c r="M163" s="778"/>
      <x:c r="N163" s="778"/>
      <x:c r="O163" s="778"/>
      <x:c r="P163" s="778"/>
      <x:c r="Q163" s="778"/>
      <x:c r="R163" s="778"/>
      <x:c r="S163" s="778"/>
      <x:c r="T163" s="778"/>
      <x:c r="U163" s="778"/>
      <x:c r="V163" s="778"/>
      <x:c r="W163" s="26" t="str">
        <x:f>IF(AND(C163="",R163=""),"",IF(P163&lt;&gt;"Yes","INFO",IF(Q163="RED",IF(S163="","OPEN - RED",IF(AND(OR(S163="CHANGE ACCEPTED",S163="PARTIAL CHANGE"),V163&lt;&gt;"Yes"),"RED - NOT INTEGRATED","RESOLVED")),IF(Q163="AMBER",IF(S163="","OPEN - AMBER",IF(AND(OR(S163="CHANGE ACCEPTED",S163="PARTIAL CHANGE"),V163&lt;&gt;"Yes"),"AMBER - NOT INTEGRATED","RESOLVED")),IF(S163="","REVIEWED","RESOLVED")))))</x:f>
      </x:c>
      <x:c r="X163" s="778"/>
    </x:row>
    <x:row r="164" ht="28" customHeight="1">
      <x:c r="A164" s="26" t="str">
        <x:v>ERF-048</x:v>
      </x:c>
      <x:c r="B164" s="778"/>
      <x:c r="C164" s="778"/>
      <x:c r="D164" s="778"/>
      <x:c r="E164" s="778"/>
      <x:c r="F164" s="778"/>
      <x:c r="G164" s="778"/>
      <x:c r="H164" s="778"/>
      <x:c r="I164" s="778"/>
      <x:c r="J164" s="778"/>
      <x:c r="K164" s="778"/>
      <x:c r="L164" s="781" t="str">
        <x:f>IF(OR(H164="",K164="",K164=0),"",(H164-K164)/K164)</x:f>
      </x:c>
      <x:c r="M164" s="778"/>
      <x:c r="N164" s="778"/>
      <x:c r="O164" s="778"/>
      <x:c r="P164" s="778"/>
      <x:c r="Q164" s="778"/>
      <x:c r="R164" s="778"/>
      <x:c r="S164" s="778"/>
      <x:c r="T164" s="778"/>
      <x:c r="U164" s="778"/>
      <x:c r="V164" s="778"/>
      <x:c r="W164" s="26" t="str">
        <x:f>IF(AND(C164="",R164=""),"",IF(P164&lt;&gt;"Yes","INFO",IF(Q164="RED",IF(S164="","OPEN - RED",IF(AND(OR(S164="CHANGE ACCEPTED",S164="PARTIAL CHANGE"),V164&lt;&gt;"Yes"),"RED - NOT INTEGRATED","RESOLVED")),IF(Q164="AMBER",IF(S164="","OPEN - AMBER",IF(AND(OR(S164="CHANGE ACCEPTED",S164="PARTIAL CHANGE"),V164&lt;&gt;"Yes"),"AMBER - NOT INTEGRATED","RESOLVED")),IF(S164="","REVIEWED","RESOLVED")))))</x:f>
      </x:c>
      <x:c r="X164" s="778"/>
    </x:row>
    <x:row r="165" ht="28" customHeight="1">
      <x:c r="A165" s="26" t="str">
        <x:v>ERF-049</x:v>
      </x:c>
      <x:c r="B165" s="778"/>
      <x:c r="C165" s="778"/>
      <x:c r="D165" s="778"/>
      <x:c r="E165" s="778"/>
      <x:c r="F165" s="778"/>
      <x:c r="G165" s="778"/>
      <x:c r="H165" s="778"/>
      <x:c r="I165" s="778"/>
      <x:c r="J165" s="778"/>
      <x:c r="K165" s="778"/>
      <x:c r="L165" s="781" t="str">
        <x:f>IF(OR(H165="",K165="",K165=0),"",(H165-K165)/K165)</x:f>
      </x:c>
      <x:c r="M165" s="778"/>
      <x:c r="N165" s="778"/>
      <x:c r="O165" s="778"/>
      <x:c r="P165" s="778"/>
      <x:c r="Q165" s="778"/>
      <x:c r="R165" s="778"/>
      <x:c r="S165" s="778"/>
      <x:c r="T165" s="778"/>
      <x:c r="U165" s="778"/>
      <x:c r="V165" s="778"/>
      <x:c r="W165" s="26" t="str">
        <x:f>IF(AND(C165="",R165=""),"",IF(P165&lt;&gt;"Yes","INFO",IF(Q165="RED",IF(S165="","OPEN - RED",IF(AND(OR(S165="CHANGE ACCEPTED",S165="PARTIAL CHANGE"),V165&lt;&gt;"Yes"),"RED - NOT INTEGRATED","RESOLVED")),IF(Q165="AMBER",IF(S165="","OPEN - AMBER",IF(AND(OR(S165="CHANGE ACCEPTED",S165="PARTIAL CHANGE"),V165&lt;&gt;"Yes"),"AMBER - NOT INTEGRATED","RESOLVED")),IF(S165="","REVIEWED","RESOLVED")))))</x:f>
      </x:c>
      <x:c r="X165" s="778"/>
    </x:row>
    <x:row r="166" ht="28" customHeight="1">
      <x:c r="A166" s="26" t="str">
        <x:v>ERF-050</x:v>
      </x:c>
      <x:c r="B166" s="778"/>
      <x:c r="C166" s="778"/>
      <x:c r="D166" s="778"/>
      <x:c r="E166" s="778"/>
      <x:c r="F166" s="778"/>
      <x:c r="G166" s="778"/>
      <x:c r="H166" s="778"/>
      <x:c r="I166" s="778"/>
      <x:c r="J166" s="778"/>
      <x:c r="K166" s="778"/>
      <x:c r="L166" s="781" t="str">
        <x:f>IF(OR(H166="",K166="",K166=0),"",(H166-K166)/K166)</x:f>
      </x:c>
      <x:c r="M166" s="778"/>
      <x:c r="N166" s="778"/>
      <x:c r="O166" s="778"/>
      <x:c r="P166" s="778"/>
      <x:c r="Q166" s="778"/>
      <x:c r="R166" s="778"/>
      <x:c r="S166" s="778"/>
      <x:c r="T166" s="778"/>
      <x:c r="U166" s="778"/>
      <x:c r="V166" s="778"/>
      <x:c r="W166" s="26" t="str">
        <x:f>IF(AND(C166="",R166=""),"",IF(P166&lt;&gt;"Yes","INFO",IF(Q166="RED",IF(S166="","OPEN - RED",IF(AND(OR(S166="CHANGE ACCEPTED",S166="PARTIAL CHANGE"),V166&lt;&gt;"Yes"),"RED - NOT INTEGRATED","RESOLVED")),IF(Q166="AMBER",IF(S166="","OPEN - AMBER",IF(AND(OR(S166="CHANGE ACCEPTED",S166="PARTIAL CHANGE"),V166&lt;&gt;"Yes"),"AMBER - NOT INTEGRATED","RESOLVED")),IF(S166="","REVIEWED","RESOLVED")))))</x:f>
      </x:c>
      <x:c r="X166" s="778"/>
    </x:row>
    <x:row r="167" ht="28" customHeight="1">
      <x:c r="A167" s="26" t="str">
        <x:v>ERF-051</x:v>
      </x:c>
      <x:c r="B167" s="778"/>
      <x:c r="C167" s="778"/>
      <x:c r="D167" s="778"/>
      <x:c r="E167" s="778"/>
      <x:c r="F167" s="778"/>
      <x:c r="G167" s="778"/>
      <x:c r="H167" s="778"/>
      <x:c r="I167" s="778"/>
      <x:c r="J167" s="778"/>
      <x:c r="K167" s="778"/>
      <x:c r="L167" s="781" t="str">
        <x:f>IF(OR(H167="",K167="",K167=0),"",(H167-K167)/K167)</x:f>
      </x:c>
      <x:c r="M167" s="778"/>
      <x:c r="N167" s="778"/>
      <x:c r="O167" s="778"/>
      <x:c r="P167" s="778"/>
      <x:c r="Q167" s="778"/>
      <x:c r="R167" s="778"/>
      <x:c r="S167" s="778"/>
      <x:c r="T167" s="778"/>
      <x:c r="U167" s="778"/>
      <x:c r="V167" s="778"/>
      <x:c r="W167" s="26" t="str">
        <x:f>IF(AND(C167="",R167=""),"",IF(P167&lt;&gt;"Yes","INFO",IF(Q167="RED",IF(S167="","OPEN - RED",IF(AND(OR(S167="CHANGE ACCEPTED",S167="PARTIAL CHANGE"),V167&lt;&gt;"Yes"),"RED - NOT INTEGRATED","RESOLVED")),IF(Q167="AMBER",IF(S167="","OPEN - AMBER",IF(AND(OR(S167="CHANGE ACCEPTED",S167="PARTIAL CHANGE"),V167&lt;&gt;"Yes"),"AMBER - NOT INTEGRATED","RESOLVED")),IF(S167="","REVIEWED","RESOLVED")))))</x:f>
      </x:c>
      <x:c r="X167" s="778"/>
    </x:row>
    <x:row r="168" ht="28" customHeight="1">
      <x:c r="A168" s="26" t="str">
        <x:v>ERF-052</x:v>
      </x:c>
      <x:c r="B168" s="778"/>
      <x:c r="C168" s="778"/>
      <x:c r="D168" s="778"/>
      <x:c r="E168" s="778"/>
      <x:c r="F168" s="778"/>
      <x:c r="G168" s="778"/>
      <x:c r="H168" s="778"/>
      <x:c r="I168" s="778"/>
      <x:c r="J168" s="778"/>
      <x:c r="K168" s="778"/>
      <x:c r="L168" s="781" t="str">
        <x:f>IF(OR(H168="",K168="",K168=0),"",(H168-K168)/K168)</x:f>
      </x:c>
      <x:c r="M168" s="778"/>
      <x:c r="N168" s="778"/>
      <x:c r="O168" s="778"/>
      <x:c r="P168" s="778"/>
      <x:c r="Q168" s="778"/>
      <x:c r="R168" s="778"/>
      <x:c r="S168" s="778"/>
      <x:c r="T168" s="778"/>
      <x:c r="U168" s="778"/>
      <x:c r="V168" s="778"/>
      <x:c r="W168" s="26" t="str">
        <x:f>IF(AND(C168="",R168=""),"",IF(P168&lt;&gt;"Yes","INFO",IF(Q168="RED",IF(S168="","OPEN - RED",IF(AND(OR(S168="CHANGE ACCEPTED",S168="PARTIAL CHANGE"),V168&lt;&gt;"Yes"),"RED - NOT INTEGRATED","RESOLVED")),IF(Q168="AMBER",IF(S168="","OPEN - AMBER",IF(AND(OR(S168="CHANGE ACCEPTED",S168="PARTIAL CHANGE"),V168&lt;&gt;"Yes"),"AMBER - NOT INTEGRATED","RESOLVED")),IF(S168="","REVIEWED","RESOLVED")))))</x:f>
      </x:c>
      <x:c r="X168" s="778"/>
    </x:row>
    <x:row r="169" ht="28" customHeight="1">
      <x:c r="A169" s="26" t="str">
        <x:v>ERF-053</x:v>
      </x:c>
      <x:c r="B169" s="778"/>
      <x:c r="C169" s="778"/>
      <x:c r="D169" s="778"/>
      <x:c r="E169" s="778"/>
      <x:c r="F169" s="778"/>
      <x:c r="G169" s="778"/>
      <x:c r="H169" s="778"/>
      <x:c r="I169" s="778"/>
      <x:c r="J169" s="778"/>
      <x:c r="K169" s="778"/>
      <x:c r="L169" s="781" t="str">
        <x:f>IF(OR(H169="",K169="",K169=0),"",(H169-K169)/K169)</x:f>
      </x:c>
      <x:c r="M169" s="778"/>
      <x:c r="N169" s="778"/>
      <x:c r="O169" s="778"/>
      <x:c r="P169" s="778"/>
      <x:c r="Q169" s="778"/>
      <x:c r="R169" s="778"/>
      <x:c r="S169" s="778"/>
      <x:c r="T169" s="778"/>
      <x:c r="U169" s="778"/>
      <x:c r="V169" s="778"/>
      <x:c r="W169" s="26" t="str">
        <x:f>IF(AND(C169="",R169=""),"",IF(P169&lt;&gt;"Yes","INFO",IF(Q169="RED",IF(S169="","OPEN - RED",IF(AND(OR(S169="CHANGE ACCEPTED",S169="PARTIAL CHANGE"),V169&lt;&gt;"Yes"),"RED - NOT INTEGRATED","RESOLVED")),IF(Q169="AMBER",IF(S169="","OPEN - AMBER",IF(AND(OR(S169="CHANGE ACCEPTED",S169="PARTIAL CHANGE"),V169&lt;&gt;"Yes"),"AMBER - NOT INTEGRATED","RESOLVED")),IF(S169="","REVIEWED","RESOLVED")))))</x:f>
      </x:c>
      <x:c r="X169" s="778"/>
    </x:row>
    <x:row r="170" ht="28" customHeight="1">
      <x:c r="A170" s="26" t="str">
        <x:v>ERF-054</x:v>
      </x:c>
      <x:c r="B170" s="778"/>
      <x:c r="C170" s="778"/>
      <x:c r="D170" s="778"/>
      <x:c r="E170" s="778"/>
      <x:c r="F170" s="778"/>
      <x:c r="G170" s="778"/>
      <x:c r="H170" s="778"/>
      <x:c r="I170" s="778"/>
      <x:c r="J170" s="778"/>
      <x:c r="K170" s="778"/>
      <x:c r="L170" s="781" t="str">
        <x:f>IF(OR(H170="",K170="",K170=0),"",(H170-K170)/K170)</x:f>
      </x:c>
      <x:c r="M170" s="778"/>
      <x:c r="N170" s="778"/>
      <x:c r="O170" s="778"/>
      <x:c r="P170" s="778"/>
      <x:c r="Q170" s="778"/>
      <x:c r="R170" s="778"/>
      <x:c r="S170" s="778"/>
      <x:c r="T170" s="778"/>
      <x:c r="U170" s="778"/>
      <x:c r="V170" s="778"/>
      <x:c r="W170" s="26" t="str">
        <x:f>IF(AND(C170="",R170=""),"",IF(P170&lt;&gt;"Yes","INFO",IF(Q170="RED",IF(S170="","OPEN - RED",IF(AND(OR(S170="CHANGE ACCEPTED",S170="PARTIAL CHANGE"),V170&lt;&gt;"Yes"),"RED - NOT INTEGRATED","RESOLVED")),IF(Q170="AMBER",IF(S170="","OPEN - AMBER",IF(AND(OR(S170="CHANGE ACCEPTED",S170="PARTIAL CHANGE"),V170&lt;&gt;"Yes"),"AMBER - NOT INTEGRATED","RESOLVED")),IF(S170="","REVIEWED","RESOLVED")))))</x:f>
      </x:c>
      <x:c r="X170" s="778"/>
    </x:row>
    <x:row r="171" ht="28" customHeight="1">
      <x:c r="A171" s="26" t="str">
        <x:v>ERF-055</x:v>
      </x:c>
      <x:c r="B171" s="778"/>
      <x:c r="C171" s="778"/>
      <x:c r="D171" s="778"/>
      <x:c r="E171" s="778"/>
      <x:c r="F171" s="778"/>
      <x:c r="G171" s="778"/>
      <x:c r="H171" s="778"/>
      <x:c r="I171" s="778"/>
      <x:c r="J171" s="778"/>
      <x:c r="K171" s="778"/>
      <x:c r="L171" s="781" t="str">
        <x:f>IF(OR(H171="",K171="",K171=0),"",(H171-K171)/K171)</x:f>
      </x:c>
      <x:c r="M171" s="778"/>
      <x:c r="N171" s="778"/>
      <x:c r="O171" s="778"/>
      <x:c r="P171" s="778"/>
      <x:c r="Q171" s="778"/>
      <x:c r="R171" s="778"/>
      <x:c r="S171" s="778"/>
      <x:c r="T171" s="778"/>
      <x:c r="U171" s="778"/>
      <x:c r="V171" s="778"/>
      <x:c r="W171" s="26" t="str">
        <x:f>IF(AND(C171="",R171=""),"",IF(P171&lt;&gt;"Yes","INFO",IF(Q171="RED",IF(S171="","OPEN - RED",IF(AND(OR(S171="CHANGE ACCEPTED",S171="PARTIAL CHANGE"),V171&lt;&gt;"Yes"),"RED - NOT INTEGRATED","RESOLVED")),IF(Q171="AMBER",IF(S171="","OPEN - AMBER",IF(AND(OR(S171="CHANGE ACCEPTED",S171="PARTIAL CHANGE"),V171&lt;&gt;"Yes"),"AMBER - NOT INTEGRATED","RESOLVED")),IF(S171="","REVIEWED","RESOLVED")))))</x:f>
      </x:c>
      <x:c r="X171" s="778"/>
    </x:row>
    <x:row r="172" ht="28" customHeight="1">
      <x:c r="A172" s="26" t="str">
        <x:v>ERF-056</x:v>
      </x:c>
      <x:c r="B172" s="778"/>
      <x:c r="C172" s="778"/>
      <x:c r="D172" s="778"/>
      <x:c r="E172" s="778"/>
      <x:c r="F172" s="778"/>
      <x:c r="G172" s="778"/>
      <x:c r="H172" s="778"/>
      <x:c r="I172" s="778"/>
      <x:c r="J172" s="778"/>
      <x:c r="K172" s="778"/>
      <x:c r="L172" s="781" t="str">
        <x:f>IF(OR(H172="",K172="",K172=0),"",(H172-K172)/K172)</x:f>
      </x:c>
      <x:c r="M172" s="778"/>
      <x:c r="N172" s="778"/>
      <x:c r="O172" s="778"/>
      <x:c r="P172" s="778"/>
      <x:c r="Q172" s="778"/>
      <x:c r="R172" s="778"/>
      <x:c r="S172" s="778"/>
      <x:c r="T172" s="778"/>
      <x:c r="U172" s="778"/>
      <x:c r="V172" s="778"/>
      <x:c r="W172" s="26" t="str">
        <x:f>IF(AND(C172="",R172=""),"",IF(P172&lt;&gt;"Yes","INFO",IF(Q172="RED",IF(S172="","OPEN - RED",IF(AND(OR(S172="CHANGE ACCEPTED",S172="PARTIAL CHANGE"),V172&lt;&gt;"Yes"),"RED - NOT INTEGRATED","RESOLVED")),IF(Q172="AMBER",IF(S172="","OPEN - AMBER",IF(AND(OR(S172="CHANGE ACCEPTED",S172="PARTIAL CHANGE"),V172&lt;&gt;"Yes"),"AMBER - NOT INTEGRATED","RESOLVED")),IF(S172="","REVIEWED","RESOLVED")))))</x:f>
      </x:c>
      <x:c r="X172" s="778"/>
    </x:row>
    <x:row r="173" ht="28" customHeight="1">
      <x:c r="A173" s="26" t="str">
        <x:v>ERF-057</x:v>
      </x:c>
      <x:c r="B173" s="778"/>
      <x:c r="C173" s="778"/>
      <x:c r="D173" s="778"/>
      <x:c r="E173" s="778"/>
      <x:c r="F173" s="778"/>
      <x:c r="G173" s="778"/>
      <x:c r="H173" s="778"/>
      <x:c r="I173" s="778"/>
      <x:c r="J173" s="778"/>
      <x:c r="K173" s="778"/>
      <x:c r="L173" s="781" t="str">
        <x:f>IF(OR(H173="",K173="",K173=0),"",(H173-K173)/K173)</x:f>
      </x:c>
      <x:c r="M173" s="778"/>
      <x:c r="N173" s="778"/>
      <x:c r="O173" s="778"/>
      <x:c r="P173" s="778"/>
      <x:c r="Q173" s="778"/>
      <x:c r="R173" s="778"/>
      <x:c r="S173" s="778"/>
      <x:c r="T173" s="778"/>
      <x:c r="U173" s="778"/>
      <x:c r="V173" s="778"/>
      <x:c r="W173" s="26" t="str">
        <x:f>IF(AND(C173="",R173=""),"",IF(P173&lt;&gt;"Yes","INFO",IF(Q173="RED",IF(S173="","OPEN - RED",IF(AND(OR(S173="CHANGE ACCEPTED",S173="PARTIAL CHANGE"),V173&lt;&gt;"Yes"),"RED - NOT INTEGRATED","RESOLVED")),IF(Q173="AMBER",IF(S173="","OPEN - AMBER",IF(AND(OR(S173="CHANGE ACCEPTED",S173="PARTIAL CHANGE"),V173&lt;&gt;"Yes"),"AMBER - NOT INTEGRATED","RESOLVED")),IF(S173="","REVIEWED","RESOLVED")))))</x:f>
      </x:c>
      <x:c r="X173" s="778"/>
    </x:row>
    <x:row r="174" ht="28" customHeight="1">
      <x:c r="A174" s="26" t="str">
        <x:v>ERF-058</x:v>
      </x:c>
      <x:c r="B174" s="778"/>
      <x:c r="C174" s="778"/>
      <x:c r="D174" s="778"/>
      <x:c r="E174" s="778"/>
      <x:c r="F174" s="778"/>
      <x:c r="G174" s="778"/>
      <x:c r="H174" s="778"/>
      <x:c r="I174" s="778"/>
      <x:c r="J174" s="778"/>
      <x:c r="K174" s="778"/>
      <x:c r="L174" s="781" t="str">
        <x:f>IF(OR(H174="",K174="",K174=0),"",(H174-K174)/K174)</x:f>
      </x:c>
      <x:c r="M174" s="778"/>
      <x:c r="N174" s="778"/>
      <x:c r="O174" s="778"/>
      <x:c r="P174" s="778"/>
      <x:c r="Q174" s="778"/>
      <x:c r="R174" s="778"/>
      <x:c r="S174" s="778"/>
      <x:c r="T174" s="778"/>
      <x:c r="U174" s="778"/>
      <x:c r="V174" s="778"/>
      <x:c r="W174" s="26" t="str">
        <x:f>IF(AND(C174="",R174=""),"",IF(P174&lt;&gt;"Yes","INFO",IF(Q174="RED",IF(S174="","OPEN - RED",IF(AND(OR(S174="CHANGE ACCEPTED",S174="PARTIAL CHANGE"),V174&lt;&gt;"Yes"),"RED - NOT INTEGRATED","RESOLVED")),IF(Q174="AMBER",IF(S174="","OPEN - AMBER",IF(AND(OR(S174="CHANGE ACCEPTED",S174="PARTIAL CHANGE"),V174&lt;&gt;"Yes"),"AMBER - NOT INTEGRATED","RESOLVED")),IF(S174="","REVIEWED","RESOLVED")))))</x:f>
      </x:c>
      <x:c r="X174" s="778"/>
    </x:row>
    <x:row r="175" ht="28" customHeight="1">
      <x:c r="A175" s="26" t="str">
        <x:v>ERF-059</x:v>
      </x:c>
      <x:c r="B175" s="778"/>
      <x:c r="C175" s="778"/>
      <x:c r="D175" s="778"/>
      <x:c r="E175" s="778"/>
      <x:c r="F175" s="778"/>
      <x:c r="G175" s="778"/>
      <x:c r="H175" s="778"/>
      <x:c r="I175" s="778"/>
      <x:c r="J175" s="778"/>
      <x:c r="K175" s="778"/>
      <x:c r="L175" s="781" t="str">
        <x:f>IF(OR(H175="",K175="",K175=0),"",(H175-K175)/K175)</x:f>
      </x:c>
      <x:c r="M175" s="778"/>
      <x:c r="N175" s="778"/>
      <x:c r="O175" s="778"/>
      <x:c r="P175" s="778"/>
      <x:c r="Q175" s="778"/>
      <x:c r="R175" s="778"/>
      <x:c r="S175" s="778"/>
      <x:c r="T175" s="778"/>
      <x:c r="U175" s="778"/>
      <x:c r="V175" s="778"/>
      <x:c r="W175" s="26" t="str">
        <x:f>IF(AND(C175="",R175=""),"",IF(P175&lt;&gt;"Yes","INFO",IF(Q175="RED",IF(S175="","OPEN - RED",IF(AND(OR(S175="CHANGE ACCEPTED",S175="PARTIAL CHANGE"),V175&lt;&gt;"Yes"),"RED - NOT INTEGRATED","RESOLVED")),IF(Q175="AMBER",IF(S175="","OPEN - AMBER",IF(AND(OR(S175="CHANGE ACCEPTED",S175="PARTIAL CHANGE"),V175&lt;&gt;"Yes"),"AMBER - NOT INTEGRATED","RESOLVED")),IF(S175="","REVIEWED","RESOLVED")))))</x:f>
      </x:c>
      <x:c r="X175" s="778"/>
    </x:row>
    <x:row r="176" ht="28" customHeight="1">
      <x:c r="A176" s="26" t="str">
        <x:v>ERF-060</x:v>
      </x:c>
      <x:c r="B176" s="778"/>
      <x:c r="C176" s="778"/>
      <x:c r="D176" s="778"/>
      <x:c r="E176" s="778"/>
      <x:c r="F176" s="778"/>
      <x:c r="G176" s="778"/>
      <x:c r="H176" s="778"/>
      <x:c r="I176" s="778"/>
      <x:c r="J176" s="778"/>
      <x:c r="K176" s="778"/>
      <x:c r="L176" s="781" t="str">
        <x:f>IF(OR(H176="",K176="",K176=0),"",(H176-K176)/K176)</x:f>
      </x:c>
      <x:c r="M176" s="778"/>
      <x:c r="N176" s="778"/>
      <x:c r="O176" s="778"/>
      <x:c r="P176" s="778"/>
      <x:c r="Q176" s="778"/>
      <x:c r="R176" s="778"/>
      <x:c r="S176" s="778"/>
      <x:c r="T176" s="778"/>
      <x:c r="U176" s="778"/>
      <x:c r="V176" s="778"/>
      <x:c r="W176" s="26" t="str">
        <x:f>IF(AND(C176="",R176=""),"",IF(P176&lt;&gt;"Yes","INFO",IF(Q176="RED",IF(S176="","OPEN - RED",IF(AND(OR(S176="CHANGE ACCEPTED",S176="PARTIAL CHANGE"),V176&lt;&gt;"Yes"),"RED - NOT INTEGRATED","RESOLVED")),IF(Q176="AMBER",IF(S176="","OPEN - AMBER",IF(AND(OR(S176="CHANGE ACCEPTED",S176="PARTIAL CHANGE"),V176&lt;&gt;"Yes"),"AMBER - NOT INTEGRATED","RESOLVED")),IF(S176="","REVIEWED","RESOLVED")))))</x:f>
      </x:c>
      <x:c r="X176" s="778"/>
    </x:row>
    <x:row r="177" ht="28" customHeight="1">
      <x:c r="A177" s="26" t="str">
        <x:v>ERF-061</x:v>
      </x:c>
      <x:c r="B177" s="778"/>
      <x:c r="C177" s="778"/>
      <x:c r="D177" s="778"/>
      <x:c r="E177" s="778"/>
      <x:c r="F177" s="778"/>
      <x:c r="G177" s="778"/>
      <x:c r="H177" s="778"/>
      <x:c r="I177" s="778"/>
      <x:c r="J177" s="778"/>
      <x:c r="K177" s="778"/>
      <x:c r="L177" s="781" t="str">
        <x:f>IF(OR(H177="",K177="",K177=0),"",(H177-K177)/K177)</x:f>
      </x:c>
      <x:c r="M177" s="778"/>
      <x:c r="N177" s="778"/>
      <x:c r="O177" s="778"/>
      <x:c r="P177" s="778"/>
      <x:c r="Q177" s="778"/>
      <x:c r="R177" s="778"/>
      <x:c r="S177" s="778"/>
      <x:c r="T177" s="778"/>
      <x:c r="U177" s="778"/>
      <x:c r="V177" s="778"/>
      <x:c r="W177" s="26" t="str">
        <x:f>IF(AND(C177="",R177=""),"",IF(P177&lt;&gt;"Yes","INFO",IF(Q177="RED",IF(S177="","OPEN - RED",IF(AND(OR(S177="CHANGE ACCEPTED",S177="PARTIAL CHANGE"),V177&lt;&gt;"Yes"),"RED - NOT INTEGRATED","RESOLVED")),IF(Q177="AMBER",IF(S177="","OPEN - AMBER",IF(AND(OR(S177="CHANGE ACCEPTED",S177="PARTIAL CHANGE"),V177&lt;&gt;"Yes"),"AMBER - NOT INTEGRATED","RESOLVED")),IF(S177="","REVIEWED","RESOLVED")))))</x:f>
      </x:c>
      <x:c r="X177" s="778"/>
    </x:row>
    <x:row r="178" ht="28" customHeight="1">
      <x:c r="A178" s="26" t="str">
        <x:v>ERF-062</x:v>
      </x:c>
      <x:c r="B178" s="778"/>
      <x:c r="C178" s="778"/>
      <x:c r="D178" s="778"/>
      <x:c r="E178" s="778"/>
      <x:c r="F178" s="778"/>
      <x:c r="G178" s="778"/>
      <x:c r="H178" s="778"/>
      <x:c r="I178" s="778"/>
      <x:c r="J178" s="778"/>
      <x:c r="K178" s="778"/>
      <x:c r="L178" s="781" t="str">
        <x:f>IF(OR(H178="",K178="",K178=0),"",(H178-K178)/K178)</x:f>
      </x:c>
      <x:c r="M178" s="778"/>
      <x:c r="N178" s="778"/>
      <x:c r="O178" s="778"/>
      <x:c r="P178" s="778"/>
      <x:c r="Q178" s="778"/>
      <x:c r="R178" s="778"/>
      <x:c r="S178" s="778"/>
      <x:c r="T178" s="778"/>
      <x:c r="U178" s="778"/>
      <x:c r="V178" s="778"/>
      <x:c r="W178" s="26" t="str">
        <x:f>IF(AND(C178="",R178=""),"",IF(P178&lt;&gt;"Yes","INFO",IF(Q178="RED",IF(S178="","OPEN - RED",IF(AND(OR(S178="CHANGE ACCEPTED",S178="PARTIAL CHANGE"),V178&lt;&gt;"Yes"),"RED - NOT INTEGRATED","RESOLVED")),IF(Q178="AMBER",IF(S178="","OPEN - AMBER",IF(AND(OR(S178="CHANGE ACCEPTED",S178="PARTIAL CHANGE"),V178&lt;&gt;"Yes"),"AMBER - NOT INTEGRATED","RESOLVED")),IF(S178="","REVIEWED","RESOLVED")))))</x:f>
      </x:c>
      <x:c r="X178" s="778"/>
    </x:row>
    <x:row r="179" ht="28" customHeight="1">
      <x:c r="A179" s="26" t="str">
        <x:v>ERF-063</x:v>
      </x:c>
      <x:c r="B179" s="778"/>
      <x:c r="C179" s="778"/>
      <x:c r="D179" s="778"/>
      <x:c r="E179" s="778"/>
      <x:c r="F179" s="778"/>
      <x:c r="G179" s="778"/>
      <x:c r="H179" s="778"/>
      <x:c r="I179" s="778"/>
      <x:c r="J179" s="778"/>
      <x:c r="K179" s="778"/>
      <x:c r="L179" s="781" t="str">
        <x:f>IF(OR(H179="",K179="",K179=0),"",(H179-K179)/K179)</x:f>
      </x:c>
      <x:c r="M179" s="778"/>
      <x:c r="N179" s="778"/>
      <x:c r="O179" s="778"/>
      <x:c r="P179" s="778"/>
      <x:c r="Q179" s="778"/>
      <x:c r="R179" s="778"/>
      <x:c r="S179" s="778"/>
      <x:c r="T179" s="778"/>
      <x:c r="U179" s="778"/>
      <x:c r="V179" s="778"/>
      <x:c r="W179" s="26" t="str">
        <x:f>IF(AND(C179="",R179=""),"",IF(P179&lt;&gt;"Yes","INFO",IF(Q179="RED",IF(S179="","OPEN - RED",IF(AND(OR(S179="CHANGE ACCEPTED",S179="PARTIAL CHANGE"),V179&lt;&gt;"Yes"),"RED - NOT INTEGRATED","RESOLVED")),IF(Q179="AMBER",IF(S179="","OPEN - AMBER",IF(AND(OR(S179="CHANGE ACCEPTED",S179="PARTIAL CHANGE"),V179&lt;&gt;"Yes"),"AMBER - NOT INTEGRATED","RESOLVED")),IF(S179="","REVIEWED","RESOLVED")))))</x:f>
      </x:c>
      <x:c r="X179" s="778"/>
    </x:row>
    <x:row r="180" ht="28" customHeight="1">
      <x:c r="A180" s="26" t="str">
        <x:v>ERF-064</x:v>
      </x:c>
      <x:c r="B180" s="778"/>
      <x:c r="C180" s="778"/>
      <x:c r="D180" s="778"/>
      <x:c r="E180" s="778"/>
      <x:c r="F180" s="778"/>
      <x:c r="G180" s="778"/>
      <x:c r="H180" s="778"/>
      <x:c r="I180" s="778"/>
      <x:c r="J180" s="778"/>
      <x:c r="K180" s="778"/>
      <x:c r="L180" s="781" t="str">
        <x:f>IF(OR(H180="",K180="",K180=0),"",(H180-K180)/K180)</x:f>
      </x:c>
      <x:c r="M180" s="778"/>
      <x:c r="N180" s="778"/>
      <x:c r="O180" s="778"/>
      <x:c r="P180" s="778"/>
      <x:c r="Q180" s="778"/>
      <x:c r="R180" s="778"/>
      <x:c r="S180" s="778"/>
      <x:c r="T180" s="778"/>
      <x:c r="U180" s="778"/>
      <x:c r="V180" s="778"/>
      <x:c r="W180" s="26" t="str">
        <x:f>IF(AND(C180="",R180=""),"",IF(P180&lt;&gt;"Yes","INFO",IF(Q180="RED",IF(S180="","OPEN - RED",IF(AND(OR(S180="CHANGE ACCEPTED",S180="PARTIAL CHANGE"),V180&lt;&gt;"Yes"),"RED - NOT INTEGRATED","RESOLVED")),IF(Q180="AMBER",IF(S180="","OPEN - AMBER",IF(AND(OR(S180="CHANGE ACCEPTED",S180="PARTIAL CHANGE"),V180&lt;&gt;"Yes"),"AMBER - NOT INTEGRATED","RESOLVED")),IF(S180="","REVIEWED","RESOLVED")))))</x:f>
      </x:c>
      <x:c r="X180" s="778"/>
    </x:row>
    <x:row r="181" ht="28" customHeight="1">
      <x:c r="A181" s="26" t="str">
        <x:v>ERF-065</x:v>
      </x:c>
      <x:c r="B181" s="778"/>
      <x:c r="C181" s="778"/>
      <x:c r="D181" s="778"/>
      <x:c r="E181" s="778"/>
      <x:c r="F181" s="778"/>
      <x:c r="G181" s="778"/>
      <x:c r="H181" s="778"/>
      <x:c r="I181" s="778"/>
      <x:c r="J181" s="778"/>
      <x:c r="K181" s="778"/>
      <x:c r="L181" s="781" t="str">
        <x:f>IF(OR(H181="",K181="",K181=0),"",(H181-K181)/K181)</x:f>
      </x:c>
      <x:c r="M181" s="778"/>
      <x:c r="N181" s="778"/>
      <x:c r="O181" s="778"/>
      <x:c r="P181" s="778"/>
      <x:c r="Q181" s="778"/>
      <x:c r="R181" s="778"/>
      <x:c r="S181" s="778"/>
      <x:c r="T181" s="778"/>
      <x:c r="U181" s="778"/>
      <x:c r="V181" s="778"/>
      <x:c r="W181" s="26" t="str">
        <x:f>IF(AND(C181="",R181=""),"",IF(P181&lt;&gt;"Yes","INFO",IF(Q181="RED",IF(S181="","OPEN - RED",IF(AND(OR(S181="CHANGE ACCEPTED",S181="PARTIAL CHANGE"),V181&lt;&gt;"Yes"),"RED - NOT INTEGRATED","RESOLVED")),IF(Q181="AMBER",IF(S181="","OPEN - AMBER",IF(AND(OR(S181="CHANGE ACCEPTED",S181="PARTIAL CHANGE"),V181&lt;&gt;"Yes"),"AMBER - NOT INTEGRATED","RESOLVED")),IF(S181="","REVIEWED","RESOLVED")))))</x:f>
      </x:c>
      <x:c r="X181" s="778"/>
    </x:row>
    <x:row r="182" ht="28" customHeight="1">
      <x:c r="A182" s="26" t="str">
        <x:v>ERF-066</x:v>
      </x:c>
      <x:c r="B182" s="778"/>
      <x:c r="C182" s="778"/>
      <x:c r="D182" s="778"/>
      <x:c r="E182" s="778"/>
      <x:c r="F182" s="778"/>
      <x:c r="G182" s="778"/>
      <x:c r="H182" s="778"/>
      <x:c r="I182" s="778"/>
      <x:c r="J182" s="778"/>
      <x:c r="K182" s="778"/>
      <x:c r="L182" s="781" t="str">
        <x:f>IF(OR(H182="",K182="",K182=0),"",(H182-K182)/K182)</x:f>
      </x:c>
      <x:c r="M182" s="778"/>
      <x:c r="N182" s="778"/>
      <x:c r="O182" s="778"/>
      <x:c r="P182" s="778"/>
      <x:c r="Q182" s="778"/>
      <x:c r="R182" s="778"/>
      <x:c r="S182" s="778"/>
      <x:c r="T182" s="778"/>
      <x:c r="U182" s="778"/>
      <x:c r="V182" s="778"/>
      <x:c r="W182" s="26" t="str">
        <x:f>IF(AND(C182="",R182=""),"",IF(P182&lt;&gt;"Yes","INFO",IF(Q182="RED",IF(S182="","OPEN - RED",IF(AND(OR(S182="CHANGE ACCEPTED",S182="PARTIAL CHANGE"),V182&lt;&gt;"Yes"),"RED - NOT INTEGRATED","RESOLVED")),IF(Q182="AMBER",IF(S182="","OPEN - AMBER",IF(AND(OR(S182="CHANGE ACCEPTED",S182="PARTIAL CHANGE"),V182&lt;&gt;"Yes"),"AMBER - NOT INTEGRATED","RESOLVED")),IF(S182="","REVIEWED","RESOLVED")))))</x:f>
      </x:c>
      <x:c r="X182" s="778"/>
    </x:row>
    <x:row r="183" ht="28" customHeight="1">
      <x:c r="A183" s="26" t="str">
        <x:v>ERF-067</x:v>
      </x:c>
      <x:c r="B183" s="778"/>
      <x:c r="C183" s="778"/>
      <x:c r="D183" s="778"/>
      <x:c r="E183" s="778"/>
      <x:c r="F183" s="778"/>
      <x:c r="G183" s="778"/>
      <x:c r="H183" s="778"/>
      <x:c r="I183" s="778"/>
      <x:c r="J183" s="778"/>
      <x:c r="K183" s="778"/>
      <x:c r="L183" s="781" t="str">
        <x:f>IF(OR(H183="",K183="",K183=0),"",(H183-K183)/K183)</x:f>
      </x:c>
      <x:c r="M183" s="778"/>
      <x:c r="N183" s="778"/>
      <x:c r="O183" s="778"/>
      <x:c r="P183" s="778"/>
      <x:c r="Q183" s="778"/>
      <x:c r="R183" s="778"/>
      <x:c r="S183" s="778"/>
      <x:c r="T183" s="778"/>
      <x:c r="U183" s="778"/>
      <x:c r="V183" s="778"/>
      <x:c r="W183" s="26" t="str">
        <x:f>IF(AND(C183="",R183=""),"",IF(P183&lt;&gt;"Yes","INFO",IF(Q183="RED",IF(S183="","OPEN - RED",IF(AND(OR(S183="CHANGE ACCEPTED",S183="PARTIAL CHANGE"),V183&lt;&gt;"Yes"),"RED - NOT INTEGRATED","RESOLVED")),IF(Q183="AMBER",IF(S183="","OPEN - AMBER",IF(AND(OR(S183="CHANGE ACCEPTED",S183="PARTIAL CHANGE"),V183&lt;&gt;"Yes"),"AMBER - NOT INTEGRATED","RESOLVED")),IF(S183="","REVIEWED","RESOLVED")))))</x:f>
      </x:c>
      <x:c r="X183" s="778"/>
    </x:row>
    <x:row r="184" ht="28" customHeight="1">
      <x:c r="A184" s="26" t="str">
        <x:v>ERF-068</x:v>
      </x:c>
      <x:c r="B184" s="778"/>
      <x:c r="C184" s="778"/>
      <x:c r="D184" s="778"/>
      <x:c r="E184" s="778"/>
      <x:c r="F184" s="778"/>
      <x:c r="G184" s="778"/>
      <x:c r="H184" s="778"/>
      <x:c r="I184" s="778"/>
      <x:c r="J184" s="778"/>
      <x:c r="K184" s="778"/>
      <x:c r="L184" s="781" t="str">
        <x:f>IF(OR(H184="",K184="",K184=0),"",(H184-K184)/K184)</x:f>
      </x:c>
      <x:c r="M184" s="778"/>
      <x:c r="N184" s="778"/>
      <x:c r="O184" s="778"/>
      <x:c r="P184" s="778"/>
      <x:c r="Q184" s="778"/>
      <x:c r="R184" s="778"/>
      <x:c r="S184" s="778"/>
      <x:c r="T184" s="778"/>
      <x:c r="U184" s="778"/>
      <x:c r="V184" s="778"/>
      <x:c r="W184" s="26" t="str">
        <x:f>IF(AND(C184="",R184=""),"",IF(P184&lt;&gt;"Yes","INFO",IF(Q184="RED",IF(S184="","OPEN - RED",IF(AND(OR(S184="CHANGE ACCEPTED",S184="PARTIAL CHANGE"),V184&lt;&gt;"Yes"),"RED - NOT INTEGRATED","RESOLVED")),IF(Q184="AMBER",IF(S184="","OPEN - AMBER",IF(AND(OR(S184="CHANGE ACCEPTED",S184="PARTIAL CHANGE"),V184&lt;&gt;"Yes"),"AMBER - NOT INTEGRATED","RESOLVED")),IF(S184="","REVIEWED","RESOLVED")))))</x:f>
      </x:c>
      <x:c r="X184" s="778"/>
    </x:row>
    <x:row r="185" ht="28" customHeight="1">
      <x:c r="A185" s="26" t="str">
        <x:v>ERF-069</x:v>
      </x:c>
      <x:c r="B185" s="778"/>
      <x:c r="C185" s="778"/>
      <x:c r="D185" s="778"/>
      <x:c r="E185" s="778"/>
      <x:c r="F185" s="778"/>
      <x:c r="G185" s="778"/>
      <x:c r="H185" s="778"/>
      <x:c r="I185" s="778"/>
      <x:c r="J185" s="778"/>
      <x:c r="K185" s="778"/>
      <x:c r="L185" s="781" t="str">
        <x:f>IF(OR(H185="",K185="",K185=0),"",(H185-K185)/K185)</x:f>
      </x:c>
      <x:c r="M185" s="778"/>
      <x:c r="N185" s="778"/>
      <x:c r="O185" s="778"/>
      <x:c r="P185" s="778"/>
      <x:c r="Q185" s="778"/>
      <x:c r="R185" s="778"/>
      <x:c r="S185" s="778"/>
      <x:c r="T185" s="778"/>
      <x:c r="U185" s="778"/>
      <x:c r="V185" s="778"/>
      <x:c r="W185" s="26" t="str">
        <x:f>IF(AND(C185="",R185=""),"",IF(P185&lt;&gt;"Yes","INFO",IF(Q185="RED",IF(S185="","OPEN - RED",IF(AND(OR(S185="CHANGE ACCEPTED",S185="PARTIAL CHANGE"),V185&lt;&gt;"Yes"),"RED - NOT INTEGRATED","RESOLVED")),IF(Q185="AMBER",IF(S185="","OPEN - AMBER",IF(AND(OR(S185="CHANGE ACCEPTED",S185="PARTIAL CHANGE"),V185&lt;&gt;"Yes"),"AMBER - NOT INTEGRATED","RESOLVED")),IF(S185="","REVIEWED","RESOLVED")))))</x:f>
      </x:c>
      <x:c r="X185" s="778"/>
    </x:row>
    <x:row r="186" ht="28" customHeight="1">
      <x:c r="A186" s="26" t="str">
        <x:v>ERF-070</x:v>
      </x:c>
      <x:c r="B186" s="778"/>
      <x:c r="C186" s="778"/>
      <x:c r="D186" s="778"/>
      <x:c r="E186" s="778"/>
      <x:c r="F186" s="778"/>
      <x:c r="G186" s="778"/>
      <x:c r="H186" s="778"/>
      <x:c r="I186" s="778"/>
      <x:c r="J186" s="778"/>
      <x:c r="K186" s="778"/>
      <x:c r="L186" s="781" t="str">
        <x:f>IF(OR(H186="",K186="",K186=0),"",(H186-K186)/K186)</x:f>
      </x:c>
      <x:c r="M186" s="778"/>
      <x:c r="N186" s="778"/>
      <x:c r="O186" s="778"/>
      <x:c r="P186" s="778"/>
      <x:c r="Q186" s="778"/>
      <x:c r="R186" s="778"/>
      <x:c r="S186" s="778"/>
      <x:c r="T186" s="778"/>
      <x:c r="U186" s="778"/>
      <x:c r="V186" s="778"/>
      <x:c r="W186" s="26" t="str">
        <x:f>IF(AND(C186="",R186=""),"",IF(P186&lt;&gt;"Yes","INFO",IF(Q186="RED",IF(S186="","OPEN - RED",IF(AND(OR(S186="CHANGE ACCEPTED",S186="PARTIAL CHANGE"),V186&lt;&gt;"Yes"),"RED - NOT INTEGRATED","RESOLVED")),IF(Q186="AMBER",IF(S186="","OPEN - AMBER",IF(AND(OR(S186="CHANGE ACCEPTED",S186="PARTIAL CHANGE"),V186&lt;&gt;"Yes"),"AMBER - NOT INTEGRATED","RESOLVED")),IF(S186="","REVIEWED","RESOLVED")))))</x:f>
      </x:c>
      <x:c r="X186" s="778"/>
    </x:row>
    <x:row r="187" ht="28" customHeight="1">
      <x:c r="A187" s="26" t="str">
        <x:v>ERF-071</x:v>
      </x:c>
      <x:c r="B187" s="778"/>
      <x:c r="C187" s="778"/>
      <x:c r="D187" s="778"/>
      <x:c r="E187" s="778"/>
      <x:c r="F187" s="778"/>
      <x:c r="G187" s="778"/>
      <x:c r="H187" s="778"/>
      <x:c r="I187" s="778"/>
      <x:c r="J187" s="778"/>
      <x:c r="K187" s="778"/>
      <x:c r="L187" s="781" t="str">
        <x:f>IF(OR(H187="",K187="",K187=0),"",(H187-K187)/K187)</x:f>
      </x:c>
      <x:c r="M187" s="778"/>
      <x:c r="N187" s="778"/>
      <x:c r="O187" s="778"/>
      <x:c r="P187" s="778"/>
      <x:c r="Q187" s="778"/>
      <x:c r="R187" s="778"/>
      <x:c r="S187" s="778"/>
      <x:c r="T187" s="778"/>
      <x:c r="U187" s="778"/>
      <x:c r="V187" s="778"/>
      <x:c r="W187" s="26" t="str">
        <x:f>IF(AND(C187="",R187=""),"",IF(P187&lt;&gt;"Yes","INFO",IF(Q187="RED",IF(S187="","OPEN - RED",IF(AND(OR(S187="CHANGE ACCEPTED",S187="PARTIAL CHANGE"),V187&lt;&gt;"Yes"),"RED - NOT INTEGRATED","RESOLVED")),IF(Q187="AMBER",IF(S187="","OPEN - AMBER",IF(AND(OR(S187="CHANGE ACCEPTED",S187="PARTIAL CHANGE"),V187&lt;&gt;"Yes"),"AMBER - NOT INTEGRATED","RESOLVED")),IF(S187="","REVIEWED","RESOLVED")))))</x:f>
      </x:c>
      <x:c r="X187" s="778"/>
    </x:row>
    <x:row r="188" ht="28" customHeight="1">
      <x:c r="A188" s="26" t="str">
        <x:v>ERF-072</x:v>
      </x:c>
      <x:c r="B188" s="778"/>
      <x:c r="C188" s="778"/>
      <x:c r="D188" s="778"/>
      <x:c r="E188" s="778"/>
      <x:c r="F188" s="778"/>
      <x:c r="G188" s="778"/>
      <x:c r="H188" s="778"/>
      <x:c r="I188" s="778"/>
      <x:c r="J188" s="778"/>
      <x:c r="K188" s="778"/>
      <x:c r="L188" s="781" t="str">
        <x:f>IF(OR(H188="",K188="",K188=0),"",(H188-K188)/K188)</x:f>
      </x:c>
      <x:c r="M188" s="778"/>
      <x:c r="N188" s="778"/>
      <x:c r="O188" s="778"/>
      <x:c r="P188" s="778"/>
      <x:c r="Q188" s="778"/>
      <x:c r="R188" s="778"/>
      <x:c r="S188" s="778"/>
      <x:c r="T188" s="778"/>
      <x:c r="U188" s="778"/>
      <x:c r="V188" s="778"/>
      <x:c r="W188" s="26" t="str">
        <x:f>IF(AND(C188="",R188=""),"",IF(P188&lt;&gt;"Yes","INFO",IF(Q188="RED",IF(S188="","OPEN - RED",IF(AND(OR(S188="CHANGE ACCEPTED",S188="PARTIAL CHANGE"),V188&lt;&gt;"Yes"),"RED - NOT INTEGRATED","RESOLVED")),IF(Q188="AMBER",IF(S188="","OPEN - AMBER",IF(AND(OR(S188="CHANGE ACCEPTED",S188="PARTIAL CHANGE"),V188&lt;&gt;"Yes"),"AMBER - NOT INTEGRATED","RESOLVED")),IF(S188="","REVIEWED","RESOLVED")))))</x:f>
      </x:c>
      <x:c r="X188" s="778"/>
    </x:row>
    <x:row r="189" ht="28" customHeight="1">
      <x:c r="A189" s="26" t="str">
        <x:v>ERF-073</x:v>
      </x:c>
      <x:c r="B189" s="778"/>
      <x:c r="C189" s="778"/>
      <x:c r="D189" s="778"/>
      <x:c r="E189" s="778"/>
      <x:c r="F189" s="778"/>
      <x:c r="G189" s="778"/>
      <x:c r="H189" s="778"/>
      <x:c r="I189" s="778"/>
      <x:c r="J189" s="778"/>
      <x:c r="K189" s="778"/>
      <x:c r="L189" s="781" t="str">
        <x:f>IF(OR(H189="",K189="",K189=0),"",(H189-K189)/K189)</x:f>
      </x:c>
      <x:c r="M189" s="778"/>
      <x:c r="N189" s="778"/>
      <x:c r="O189" s="778"/>
      <x:c r="P189" s="778"/>
      <x:c r="Q189" s="778"/>
      <x:c r="R189" s="778"/>
      <x:c r="S189" s="778"/>
      <x:c r="T189" s="778"/>
      <x:c r="U189" s="778"/>
      <x:c r="V189" s="778"/>
      <x:c r="W189" s="26" t="str">
        <x:f>IF(AND(C189="",R189=""),"",IF(P189&lt;&gt;"Yes","INFO",IF(Q189="RED",IF(S189="","OPEN - RED",IF(AND(OR(S189="CHANGE ACCEPTED",S189="PARTIAL CHANGE"),V189&lt;&gt;"Yes"),"RED - NOT INTEGRATED","RESOLVED")),IF(Q189="AMBER",IF(S189="","OPEN - AMBER",IF(AND(OR(S189="CHANGE ACCEPTED",S189="PARTIAL CHANGE"),V189&lt;&gt;"Yes"),"AMBER - NOT INTEGRATED","RESOLVED")),IF(S189="","REVIEWED","RESOLVED")))))</x:f>
      </x:c>
      <x:c r="X189" s="778"/>
    </x:row>
    <x:row r="190" ht="28" customHeight="1">
      <x:c r="A190" s="26" t="str">
        <x:v>ERF-074</x:v>
      </x:c>
      <x:c r="B190" s="778"/>
      <x:c r="C190" s="778"/>
      <x:c r="D190" s="778"/>
      <x:c r="E190" s="778"/>
      <x:c r="F190" s="778"/>
      <x:c r="G190" s="778"/>
      <x:c r="H190" s="778"/>
      <x:c r="I190" s="778"/>
      <x:c r="J190" s="778"/>
      <x:c r="K190" s="778"/>
      <x:c r="L190" s="781" t="str">
        <x:f>IF(OR(H190="",K190="",K190=0),"",(H190-K190)/K190)</x:f>
      </x:c>
      <x:c r="M190" s="778"/>
      <x:c r="N190" s="778"/>
      <x:c r="O190" s="778"/>
      <x:c r="P190" s="778"/>
      <x:c r="Q190" s="778"/>
      <x:c r="R190" s="778"/>
      <x:c r="S190" s="778"/>
      <x:c r="T190" s="778"/>
      <x:c r="U190" s="778"/>
      <x:c r="V190" s="778"/>
      <x:c r="W190" s="26" t="str">
        <x:f>IF(AND(C190="",R190=""),"",IF(P190&lt;&gt;"Yes","INFO",IF(Q190="RED",IF(S190="","OPEN - RED",IF(AND(OR(S190="CHANGE ACCEPTED",S190="PARTIAL CHANGE"),V190&lt;&gt;"Yes"),"RED - NOT INTEGRATED","RESOLVED")),IF(Q190="AMBER",IF(S190="","OPEN - AMBER",IF(AND(OR(S190="CHANGE ACCEPTED",S190="PARTIAL CHANGE"),V190&lt;&gt;"Yes"),"AMBER - NOT INTEGRATED","RESOLVED")),IF(S190="","REVIEWED","RESOLVED")))))</x:f>
      </x:c>
      <x:c r="X190" s="778"/>
    </x:row>
    <x:row r="191" ht="28" customHeight="1">
      <x:c r="A191" s="26" t="str">
        <x:v>ERF-075</x:v>
      </x:c>
      <x:c r="B191" s="778"/>
      <x:c r="C191" s="778"/>
      <x:c r="D191" s="778"/>
      <x:c r="E191" s="778"/>
      <x:c r="F191" s="778"/>
      <x:c r="G191" s="778"/>
      <x:c r="H191" s="778"/>
      <x:c r="I191" s="778"/>
      <x:c r="J191" s="778"/>
      <x:c r="K191" s="778"/>
      <x:c r="L191" s="781" t="str">
        <x:f>IF(OR(H191="",K191="",K191=0),"",(H191-K191)/K191)</x:f>
      </x:c>
      <x:c r="M191" s="778"/>
      <x:c r="N191" s="778"/>
      <x:c r="O191" s="778"/>
      <x:c r="P191" s="778"/>
      <x:c r="Q191" s="778"/>
      <x:c r="R191" s="778"/>
      <x:c r="S191" s="778"/>
      <x:c r="T191" s="778"/>
      <x:c r="U191" s="778"/>
      <x:c r="V191" s="778"/>
      <x:c r="W191" s="26" t="str">
        <x:f>IF(AND(C191="",R191=""),"",IF(P191&lt;&gt;"Yes","INFO",IF(Q191="RED",IF(S191="","OPEN - RED",IF(AND(OR(S191="CHANGE ACCEPTED",S191="PARTIAL CHANGE"),V191&lt;&gt;"Yes"),"RED - NOT INTEGRATED","RESOLVED")),IF(Q191="AMBER",IF(S191="","OPEN - AMBER",IF(AND(OR(S191="CHANGE ACCEPTED",S191="PARTIAL CHANGE"),V191&lt;&gt;"Yes"),"AMBER - NOT INTEGRATED","RESOLVED")),IF(S191="","REVIEWED","RESOLVED")))))</x:f>
      </x:c>
      <x:c r="X191" s="778"/>
    </x:row>
    <x:row r="192" ht="28" customHeight="1">
      <x:c r="A192" s="26" t="str">
        <x:v>ERF-076</x:v>
      </x:c>
      <x:c r="B192" s="778"/>
      <x:c r="C192" s="778"/>
      <x:c r="D192" s="778"/>
      <x:c r="E192" s="778"/>
      <x:c r="F192" s="778"/>
      <x:c r="G192" s="778"/>
      <x:c r="H192" s="778"/>
      <x:c r="I192" s="778"/>
      <x:c r="J192" s="778"/>
      <x:c r="K192" s="778"/>
      <x:c r="L192" s="781" t="str">
        <x:f>IF(OR(H192="",K192="",K192=0),"",(H192-K192)/K192)</x:f>
      </x:c>
      <x:c r="M192" s="778"/>
      <x:c r="N192" s="778"/>
      <x:c r="O192" s="778"/>
      <x:c r="P192" s="778"/>
      <x:c r="Q192" s="778"/>
      <x:c r="R192" s="778"/>
      <x:c r="S192" s="778"/>
      <x:c r="T192" s="778"/>
      <x:c r="U192" s="778"/>
      <x:c r="V192" s="778"/>
      <x:c r="W192" s="26" t="str">
        <x:f>IF(AND(C192="",R192=""),"",IF(P192&lt;&gt;"Yes","INFO",IF(Q192="RED",IF(S192="","OPEN - RED",IF(AND(OR(S192="CHANGE ACCEPTED",S192="PARTIAL CHANGE"),V192&lt;&gt;"Yes"),"RED - NOT INTEGRATED","RESOLVED")),IF(Q192="AMBER",IF(S192="","OPEN - AMBER",IF(AND(OR(S192="CHANGE ACCEPTED",S192="PARTIAL CHANGE"),V192&lt;&gt;"Yes"),"AMBER - NOT INTEGRATED","RESOLVED")),IF(S192="","REVIEWED","RESOLVED")))))</x:f>
      </x:c>
      <x:c r="X192" s="778"/>
    </x:row>
    <x:row r="193" ht="28" customHeight="1">
      <x:c r="A193" s="26" t="str">
        <x:v>ERF-077</x:v>
      </x:c>
      <x:c r="B193" s="778"/>
      <x:c r="C193" s="778"/>
      <x:c r="D193" s="778"/>
      <x:c r="E193" s="778"/>
      <x:c r="F193" s="778"/>
      <x:c r="G193" s="778"/>
      <x:c r="H193" s="778"/>
      <x:c r="I193" s="778"/>
      <x:c r="J193" s="778"/>
      <x:c r="K193" s="778"/>
      <x:c r="L193" s="781" t="str">
        <x:f>IF(OR(H193="",K193="",K193=0),"",(H193-K193)/K193)</x:f>
      </x:c>
      <x:c r="M193" s="778"/>
      <x:c r="N193" s="778"/>
      <x:c r="O193" s="778"/>
      <x:c r="P193" s="778"/>
      <x:c r="Q193" s="778"/>
      <x:c r="R193" s="778"/>
      <x:c r="S193" s="778"/>
      <x:c r="T193" s="778"/>
      <x:c r="U193" s="778"/>
      <x:c r="V193" s="778"/>
      <x:c r="W193" s="26" t="str">
        <x:f>IF(AND(C193="",R193=""),"",IF(P193&lt;&gt;"Yes","INFO",IF(Q193="RED",IF(S193="","OPEN - RED",IF(AND(OR(S193="CHANGE ACCEPTED",S193="PARTIAL CHANGE"),V193&lt;&gt;"Yes"),"RED - NOT INTEGRATED","RESOLVED")),IF(Q193="AMBER",IF(S193="","OPEN - AMBER",IF(AND(OR(S193="CHANGE ACCEPTED",S193="PARTIAL CHANGE"),V193&lt;&gt;"Yes"),"AMBER - NOT INTEGRATED","RESOLVED")),IF(S193="","REVIEWED","RESOLVED")))))</x:f>
      </x:c>
      <x:c r="X193" s="778"/>
    </x:row>
    <x:row r="194" ht="28" customHeight="1">
      <x:c r="A194" s="26" t="str">
        <x:v>ERF-078</x:v>
      </x:c>
      <x:c r="B194" s="778"/>
      <x:c r="C194" s="778"/>
      <x:c r="D194" s="778"/>
      <x:c r="E194" s="778"/>
      <x:c r="F194" s="778"/>
      <x:c r="G194" s="778"/>
      <x:c r="H194" s="778"/>
      <x:c r="I194" s="778"/>
      <x:c r="J194" s="778"/>
      <x:c r="K194" s="778"/>
      <x:c r="L194" s="781" t="str">
        <x:f>IF(OR(H194="",K194="",K194=0),"",(H194-K194)/K194)</x:f>
      </x:c>
      <x:c r="M194" s="778"/>
      <x:c r="N194" s="778"/>
      <x:c r="O194" s="778"/>
      <x:c r="P194" s="778"/>
      <x:c r="Q194" s="778"/>
      <x:c r="R194" s="778"/>
      <x:c r="S194" s="778"/>
      <x:c r="T194" s="778"/>
      <x:c r="U194" s="778"/>
      <x:c r="V194" s="778"/>
      <x:c r="W194" s="26" t="str">
        <x:f>IF(AND(C194="",R194=""),"",IF(P194&lt;&gt;"Yes","INFO",IF(Q194="RED",IF(S194="","OPEN - RED",IF(AND(OR(S194="CHANGE ACCEPTED",S194="PARTIAL CHANGE"),V194&lt;&gt;"Yes"),"RED - NOT INTEGRATED","RESOLVED")),IF(Q194="AMBER",IF(S194="","OPEN - AMBER",IF(AND(OR(S194="CHANGE ACCEPTED",S194="PARTIAL CHANGE"),V194&lt;&gt;"Yes"),"AMBER - NOT INTEGRATED","RESOLVED")),IF(S194="","REVIEWED","RESOLVED")))))</x:f>
      </x:c>
      <x:c r="X194" s="778"/>
    </x:row>
    <x:row r="195" ht="28" customHeight="1">
      <x:c r="A195" s="26" t="str">
        <x:v>ERF-079</x:v>
      </x:c>
      <x:c r="B195" s="778"/>
      <x:c r="C195" s="778"/>
      <x:c r="D195" s="778"/>
      <x:c r="E195" s="778"/>
      <x:c r="F195" s="778"/>
      <x:c r="G195" s="778"/>
      <x:c r="H195" s="778"/>
      <x:c r="I195" s="778"/>
      <x:c r="J195" s="778"/>
      <x:c r="K195" s="778"/>
      <x:c r="L195" s="781" t="str">
        <x:f>IF(OR(H195="",K195="",K195=0),"",(H195-K195)/K195)</x:f>
      </x:c>
      <x:c r="M195" s="778"/>
      <x:c r="N195" s="778"/>
      <x:c r="O195" s="778"/>
      <x:c r="P195" s="778"/>
      <x:c r="Q195" s="778"/>
      <x:c r="R195" s="778"/>
      <x:c r="S195" s="778"/>
      <x:c r="T195" s="778"/>
      <x:c r="U195" s="778"/>
      <x:c r="V195" s="778"/>
      <x:c r="W195" s="26" t="str">
        <x:f>IF(AND(C195="",R195=""),"",IF(P195&lt;&gt;"Yes","INFO",IF(Q195="RED",IF(S195="","OPEN - RED",IF(AND(OR(S195="CHANGE ACCEPTED",S195="PARTIAL CHANGE"),V195&lt;&gt;"Yes"),"RED - NOT INTEGRATED","RESOLVED")),IF(Q195="AMBER",IF(S195="","OPEN - AMBER",IF(AND(OR(S195="CHANGE ACCEPTED",S195="PARTIAL CHANGE"),V195&lt;&gt;"Yes"),"AMBER - NOT INTEGRATED","RESOLVED")),IF(S195="","REVIEWED","RESOLVED")))))</x:f>
      </x:c>
      <x:c r="X195" s="778"/>
    </x:row>
    <x:row r="196" ht="28" customHeight="1">
      <x:c r="A196" s="26" t="str">
        <x:v>ERF-080</x:v>
      </x:c>
      <x:c r="B196" s="778"/>
      <x:c r="C196" s="778"/>
      <x:c r="D196" s="778"/>
      <x:c r="E196" s="778"/>
      <x:c r="F196" s="778"/>
      <x:c r="G196" s="778"/>
      <x:c r="H196" s="778"/>
      <x:c r="I196" s="778"/>
      <x:c r="J196" s="778"/>
      <x:c r="K196" s="778"/>
      <x:c r="L196" s="781" t="str">
        <x:f>IF(OR(H196="",K196="",K196=0),"",(H196-K196)/K196)</x:f>
      </x:c>
      <x:c r="M196" s="778"/>
      <x:c r="N196" s="778"/>
      <x:c r="O196" s="778"/>
      <x:c r="P196" s="778"/>
      <x:c r="Q196" s="778"/>
      <x:c r="R196" s="778"/>
      <x:c r="S196" s="778"/>
      <x:c r="T196" s="778"/>
      <x:c r="U196" s="778"/>
      <x:c r="V196" s="778"/>
      <x:c r="W196" s="26" t="str">
        <x:f>IF(AND(C196="",R196=""),"",IF(P196&lt;&gt;"Yes","INFO",IF(Q196="RED",IF(S196="","OPEN - RED",IF(AND(OR(S196="CHANGE ACCEPTED",S196="PARTIAL CHANGE"),V196&lt;&gt;"Yes"),"RED - NOT INTEGRATED","RESOLVED")),IF(Q196="AMBER",IF(S196="","OPEN - AMBER",IF(AND(OR(S196="CHANGE ACCEPTED",S196="PARTIAL CHANGE"),V196&lt;&gt;"Yes"),"AMBER - NOT INTEGRATED","RESOLVED")),IF(S196="","REVIEWED","RESOLVED")))))</x:f>
      </x:c>
      <x:c r="X196" s="778"/>
    </x:row>
    <x:row r="197" ht="28" customHeight="1">
      <x:c r="A197" s="26" t="str">
        <x:v>ERF-081</x:v>
      </x:c>
      <x:c r="B197" s="778"/>
      <x:c r="C197" s="778"/>
      <x:c r="D197" s="778"/>
      <x:c r="E197" s="778"/>
      <x:c r="F197" s="778"/>
      <x:c r="G197" s="778"/>
      <x:c r="H197" s="778"/>
      <x:c r="I197" s="778"/>
      <x:c r="J197" s="778"/>
      <x:c r="K197" s="778"/>
      <x:c r="L197" s="781" t="str">
        <x:f>IF(OR(H197="",K197="",K197=0),"",(H197-K197)/K197)</x:f>
      </x:c>
      <x:c r="M197" s="778"/>
      <x:c r="N197" s="778"/>
      <x:c r="O197" s="778"/>
      <x:c r="P197" s="778"/>
      <x:c r="Q197" s="778"/>
      <x:c r="R197" s="778"/>
      <x:c r="S197" s="778"/>
      <x:c r="T197" s="778"/>
      <x:c r="U197" s="778"/>
      <x:c r="V197" s="778"/>
      <x:c r="W197" s="26" t="str">
        <x:f>IF(AND(C197="",R197=""),"",IF(P197&lt;&gt;"Yes","INFO",IF(Q197="RED",IF(S197="","OPEN - RED",IF(AND(OR(S197="CHANGE ACCEPTED",S197="PARTIAL CHANGE"),V197&lt;&gt;"Yes"),"RED - NOT INTEGRATED","RESOLVED")),IF(Q197="AMBER",IF(S197="","OPEN - AMBER",IF(AND(OR(S197="CHANGE ACCEPTED",S197="PARTIAL CHANGE"),V197&lt;&gt;"Yes"),"AMBER - NOT INTEGRATED","RESOLVED")),IF(S197="","REVIEWED","RESOLVED")))))</x:f>
      </x:c>
      <x:c r="X197" s="778"/>
    </x:row>
    <x:row r="198" ht="28" customHeight="1">
      <x:c r="A198" s="26" t="str">
        <x:v>ERF-082</x:v>
      </x:c>
      <x:c r="B198" s="778"/>
      <x:c r="C198" s="778"/>
      <x:c r="D198" s="778"/>
      <x:c r="E198" s="778"/>
      <x:c r="F198" s="778"/>
      <x:c r="G198" s="778"/>
      <x:c r="H198" s="778"/>
      <x:c r="I198" s="778"/>
      <x:c r="J198" s="778"/>
      <x:c r="K198" s="778"/>
      <x:c r="L198" s="781" t="str">
        <x:f>IF(OR(H198="",K198="",K198=0),"",(H198-K198)/K198)</x:f>
      </x:c>
      <x:c r="M198" s="778"/>
      <x:c r="N198" s="778"/>
      <x:c r="O198" s="778"/>
      <x:c r="P198" s="778"/>
      <x:c r="Q198" s="778"/>
      <x:c r="R198" s="778"/>
      <x:c r="S198" s="778"/>
      <x:c r="T198" s="778"/>
      <x:c r="U198" s="778"/>
      <x:c r="V198" s="778"/>
      <x:c r="W198" s="26" t="str">
        <x:f>IF(AND(C198="",R198=""),"",IF(P198&lt;&gt;"Yes","INFO",IF(Q198="RED",IF(S198="","OPEN - RED",IF(AND(OR(S198="CHANGE ACCEPTED",S198="PARTIAL CHANGE"),V198&lt;&gt;"Yes"),"RED - NOT INTEGRATED","RESOLVED")),IF(Q198="AMBER",IF(S198="","OPEN - AMBER",IF(AND(OR(S198="CHANGE ACCEPTED",S198="PARTIAL CHANGE"),V198&lt;&gt;"Yes"),"AMBER - NOT INTEGRATED","RESOLVED")),IF(S198="","REVIEWED","RESOLVED")))))</x:f>
      </x:c>
      <x:c r="X198" s="778"/>
    </x:row>
    <x:row r="199" ht="28" customHeight="1">
      <x:c r="A199" s="26" t="str">
        <x:v>ERF-083</x:v>
      </x:c>
      <x:c r="B199" s="778"/>
      <x:c r="C199" s="778"/>
      <x:c r="D199" s="778"/>
      <x:c r="E199" s="778"/>
      <x:c r="F199" s="778"/>
      <x:c r="G199" s="778"/>
      <x:c r="H199" s="778"/>
      <x:c r="I199" s="778"/>
      <x:c r="J199" s="778"/>
      <x:c r="K199" s="778"/>
      <x:c r="L199" s="781" t="str">
        <x:f>IF(OR(H199="",K199="",K199=0),"",(H199-K199)/K199)</x:f>
      </x:c>
      <x:c r="M199" s="778"/>
      <x:c r="N199" s="778"/>
      <x:c r="O199" s="778"/>
      <x:c r="P199" s="778"/>
      <x:c r="Q199" s="778"/>
      <x:c r="R199" s="778"/>
      <x:c r="S199" s="778"/>
      <x:c r="T199" s="778"/>
      <x:c r="U199" s="778"/>
      <x:c r="V199" s="778"/>
      <x:c r="W199" s="26" t="str">
        <x:f>IF(AND(C199="",R199=""),"",IF(P199&lt;&gt;"Yes","INFO",IF(Q199="RED",IF(S199="","OPEN - RED",IF(AND(OR(S199="CHANGE ACCEPTED",S199="PARTIAL CHANGE"),V199&lt;&gt;"Yes"),"RED - NOT INTEGRATED","RESOLVED")),IF(Q199="AMBER",IF(S199="","OPEN - AMBER",IF(AND(OR(S199="CHANGE ACCEPTED",S199="PARTIAL CHANGE"),V199&lt;&gt;"Yes"),"AMBER - NOT INTEGRATED","RESOLVED")),IF(S199="","REVIEWED","RESOLVED")))))</x:f>
      </x:c>
      <x:c r="X199" s="778"/>
    </x:row>
    <x:row r="200" ht="28" customHeight="1">
      <x:c r="A200" s="26" t="str">
        <x:v>ERF-084</x:v>
      </x:c>
      <x:c r="B200" s="778"/>
      <x:c r="C200" s="778"/>
      <x:c r="D200" s="778"/>
      <x:c r="E200" s="778"/>
      <x:c r="F200" s="778"/>
      <x:c r="G200" s="778"/>
      <x:c r="H200" s="778"/>
      <x:c r="I200" s="778"/>
      <x:c r="J200" s="778"/>
      <x:c r="K200" s="778"/>
      <x:c r="L200" s="781" t="str">
        <x:f>IF(OR(H200="",K200="",K200=0),"",(H200-K200)/K200)</x:f>
      </x:c>
      <x:c r="M200" s="778"/>
      <x:c r="N200" s="778"/>
      <x:c r="O200" s="778"/>
      <x:c r="P200" s="778"/>
      <x:c r="Q200" s="778"/>
      <x:c r="R200" s="778"/>
      <x:c r="S200" s="778"/>
      <x:c r="T200" s="778"/>
      <x:c r="U200" s="778"/>
      <x:c r="V200" s="778"/>
      <x:c r="W200" s="26" t="str">
        <x:f>IF(AND(C200="",R200=""),"",IF(P200&lt;&gt;"Yes","INFO",IF(Q200="RED",IF(S200="","OPEN - RED",IF(AND(OR(S200="CHANGE ACCEPTED",S200="PARTIAL CHANGE"),V200&lt;&gt;"Yes"),"RED - NOT INTEGRATED","RESOLVED")),IF(Q200="AMBER",IF(S200="","OPEN - AMBER",IF(AND(OR(S200="CHANGE ACCEPTED",S200="PARTIAL CHANGE"),V200&lt;&gt;"Yes"),"AMBER - NOT INTEGRATED","RESOLVED")),IF(S200="","REVIEWED","RESOLVED")))))</x:f>
      </x:c>
      <x:c r="X200" s="778"/>
    </x:row>
    <x:row r="201" ht="28" customHeight="1">
      <x:c r="A201" s="26" t="str">
        <x:v>ERF-085</x:v>
      </x:c>
      <x:c r="B201" s="778"/>
      <x:c r="C201" s="778"/>
      <x:c r="D201" s="778"/>
      <x:c r="E201" s="778"/>
      <x:c r="F201" s="778"/>
      <x:c r="G201" s="778"/>
      <x:c r="H201" s="778"/>
      <x:c r="I201" s="778"/>
      <x:c r="J201" s="778"/>
      <x:c r="K201" s="778"/>
      <x:c r="L201" s="781" t="str">
        <x:f>IF(OR(H201="",K201="",K201=0),"",(H201-K201)/K201)</x:f>
      </x:c>
      <x:c r="M201" s="778"/>
      <x:c r="N201" s="778"/>
      <x:c r="O201" s="778"/>
      <x:c r="P201" s="778"/>
      <x:c r="Q201" s="778"/>
      <x:c r="R201" s="778"/>
      <x:c r="S201" s="778"/>
      <x:c r="T201" s="778"/>
      <x:c r="U201" s="778"/>
      <x:c r="V201" s="778"/>
      <x:c r="W201" s="26" t="str">
        <x:f>IF(AND(C201="",R201=""),"",IF(P201&lt;&gt;"Yes","INFO",IF(Q201="RED",IF(S201="","OPEN - RED",IF(AND(OR(S201="CHANGE ACCEPTED",S201="PARTIAL CHANGE"),V201&lt;&gt;"Yes"),"RED - NOT INTEGRATED","RESOLVED")),IF(Q201="AMBER",IF(S201="","OPEN - AMBER",IF(AND(OR(S201="CHANGE ACCEPTED",S201="PARTIAL CHANGE"),V201&lt;&gt;"Yes"),"AMBER - NOT INTEGRATED","RESOLVED")),IF(S201="","REVIEWED","RESOLVED")))))</x:f>
      </x:c>
      <x:c r="X201" s="778"/>
    </x:row>
    <x:row r="202" ht="28" customHeight="1">
      <x:c r="A202" s="26" t="str">
        <x:v>ERF-086</x:v>
      </x:c>
      <x:c r="B202" s="778"/>
      <x:c r="C202" s="778"/>
      <x:c r="D202" s="778"/>
      <x:c r="E202" s="778"/>
      <x:c r="F202" s="778"/>
      <x:c r="G202" s="778"/>
      <x:c r="H202" s="778"/>
      <x:c r="I202" s="778"/>
      <x:c r="J202" s="778"/>
      <x:c r="K202" s="778"/>
      <x:c r="L202" s="781" t="str">
        <x:f>IF(OR(H202="",K202="",K202=0),"",(H202-K202)/K202)</x:f>
      </x:c>
      <x:c r="M202" s="778"/>
      <x:c r="N202" s="778"/>
      <x:c r="O202" s="778"/>
      <x:c r="P202" s="778"/>
      <x:c r="Q202" s="778"/>
      <x:c r="R202" s="778"/>
      <x:c r="S202" s="778"/>
      <x:c r="T202" s="778"/>
      <x:c r="U202" s="778"/>
      <x:c r="V202" s="778"/>
      <x:c r="W202" s="26" t="str">
        <x:f>IF(AND(C202="",R202=""),"",IF(P202&lt;&gt;"Yes","INFO",IF(Q202="RED",IF(S202="","OPEN - RED",IF(AND(OR(S202="CHANGE ACCEPTED",S202="PARTIAL CHANGE"),V202&lt;&gt;"Yes"),"RED - NOT INTEGRATED","RESOLVED")),IF(Q202="AMBER",IF(S202="","OPEN - AMBER",IF(AND(OR(S202="CHANGE ACCEPTED",S202="PARTIAL CHANGE"),V202&lt;&gt;"Yes"),"AMBER - NOT INTEGRATED","RESOLVED")),IF(S202="","REVIEWED","RESOLVED")))))</x:f>
      </x:c>
      <x:c r="X202" s="778"/>
    </x:row>
    <x:row r="203" ht="28" customHeight="1">
      <x:c r="A203" s="26" t="str">
        <x:v>ERF-087</x:v>
      </x:c>
      <x:c r="B203" s="778"/>
      <x:c r="C203" s="778"/>
      <x:c r="D203" s="778"/>
      <x:c r="E203" s="778"/>
      <x:c r="F203" s="778"/>
      <x:c r="G203" s="778"/>
      <x:c r="H203" s="778"/>
      <x:c r="I203" s="778"/>
      <x:c r="J203" s="778"/>
      <x:c r="K203" s="778"/>
      <x:c r="L203" s="781" t="str">
        <x:f>IF(OR(H203="",K203="",K203=0),"",(H203-K203)/K203)</x:f>
      </x:c>
      <x:c r="M203" s="778"/>
      <x:c r="N203" s="778"/>
      <x:c r="O203" s="778"/>
      <x:c r="P203" s="778"/>
      <x:c r="Q203" s="778"/>
      <x:c r="R203" s="778"/>
      <x:c r="S203" s="778"/>
      <x:c r="T203" s="778"/>
      <x:c r="U203" s="778"/>
      <x:c r="V203" s="778"/>
      <x:c r="W203" s="26" t="str">
        <x:f>IF(AND(C203="",R203=""),"",IF(P203&lt;&gt;"Yes","INFO",IF(Q203="RED",IF(S203="","OPEN - RED",IF(AND(OR(S203="CHANGE ACCEPTED",S203="PARTIAL CHANGE"),V203&lt;&gt;"Yes"),"RED - NOT INTEGRATED","RESOLVED")),IF(Q203="AMBER",IF(S203="","OPEN - AMBER",IF(AND(OR(S203="CHANGE ACCEPTED",S203="PARTIAL CHANGE"),V203&lt;&gt;"Yes"),"AMBER - NOT INTEGRATED","RESOLVED")),IF(S203="","REVIEWED","RESOLVED")))))</x:f>
      </x:c>
      <x:c r="X203" s="778"/>
    </x:row>
    <x:row r="204" ht="28" customHeight="1">
      <x:c r="A204" s="26" t="str">
        <x:v>ERF-088</x:v>
      </x:c>
      <x:c r="B204" s="778"/>
      <x:c r="C204" s="778"/>
      <x:c r="D204" s="778"/>
      <x:c r="E204" s="778"/>
      <x:c r="F204" s="778"/>
      <x:c r="G204" s="778"/>
      <x:c r="H204" s="778"/>
      <x:c r="I204" s="778"/>
      <x:c r="J204" s="778"/>
      <x:c r="K204" s="778"/>
      <x:c r="L204" s="781" t="str">
        <x:f>IF(OR(H204="",K204="",K204=0),"",(H204-K204)/K204)</x:f>
      </x:c>
      <x:c r="M204" s="778"/>
      <x:c r="N204" s="778"/>
      <x:c r="O204" s="778"/>
      <x:c r="P204" s="778"/>
      <x:c r="Q204" s="778"/>
      <x:c r="R204" s="778"/>
      <x:c r="S204" s="778"/>
      <x:c r="T204" s="778"/>
      <x:c r="U204" s="778"/>
      <x:c r="V204" s="778"/>
      <x:c r="W204" s="26" t="str">
        <x:f>IF(AND(C204="",R204=""),"",IF(P204&lt;&gt;"Yes","INFO",IF(Q204="RED",IF(S204="","OPEN - RED",IF(AND(OR(S204="CHANGE ACCEPTED",S204="PARTIAL CHANGE"),V204&lt;&gt;"Yes"),"RED - NOT INTEGRATED","RESOLVED")),IF(Q204="AMBER",IF(S204="","OPEN - AMBER",IF(AND(OR(S204="CHANGE ACCEPTED",S204="PARTIAL CHANGE"),V204&lt;&gt;"Yes"),"AMBER - NOT INTEGRATED","RESOLVED")),IF(S204="","REVIEWED","RESOLVED")))))</x:f>
      </x:c>
      <x:c r="X204" s="778"/>
    </x:row>
    <x:row r="205" ht="28" customHeight="1">
      <x:c r="A205" s="26" t="str">
        <x:v>ERF-089</x:v>
      </x:c>
      <x:c r="B205" s="778"/>
      <x:c r="C205" s="778"/>
      <x:c r="D205" s="778"/>
      <x:c r="E205" s="778"/>
      <x:c r="F205" s="778"/>
      <x:c r="G205" s="778"/>
      <x:c r="H205" s="778"/>
      <x:c r="I205" s="778"/>
      <x:c r="J205" s="778"/>
      <x:c r="K205" s="778"/>
      <x:c r="L205" s="781" t="str">
        <x:f>IF(OR(H205="",K205="",K205=0),"",(H205-K205)/K205)</x:f>
      </x:c>
      <x:c r="M205" s="778"/>
      <x:c r="N205" s="778"/>
      <x:c r="O205" s="778"/>
      <x:c r="P205" s="778"/>
      <x:c r="Q205" s="778"/>
      <x:c r="R205" s="778"/>
      <x:c r="S205" s="778"/>
      <x:c r="T205" s="778"/>
      <x:c r="U205" s="778"/>
      <x:c r="V205" s="778"/>
      <x:c r="W205" s="26" t="str">
        <x:f>IF(AND(C205="",R205=""),"",IF(P205&lt;&gt;"Yes","INFO",IF(Q205="RED",IF(S205="","OPEN - RED",IF(AND(OR(S205="CHANGE ACCEPTED",S205="PARTIAL CHANGE"),V205&lt;&gt;"Yes"),"RED - NOT INTEGRATED","RESOLVED")),IF(Q205="AMBER",IF(S205="","OPEN - AMBER",IF(AND(OR(S205="CHANGE ACCEPTED",S205="PARTIAL CHANGE"),V205&lt;&gt;"Yes"),"AMBER - NOT INTEGRATED","RESOLVED")),IF(S205="","REVIEWED","RESOLVED")))))</x:f>
      </x:c>
      <x:c r="X205" s="778"/>
    </x:row>
    <x:row r="206" ht="28" customHeight="1">
      <x:c r="A206" s="26" t="str">
        <x:v>ERF-090</x:v>
      </x:c>
      <x:c r="B206" s="778"/>
      <x:c r="C206" s="778"/>
      <x:c r="D206" s="778"/>
      <x:c r="E206" s="778"/>
      <x:c r="F206" s="778"/>
      <x:c r="G206" s="778"/>
      <x:c r="H206" s="778"/>
      <x:c r="I206" s="778"/>
      <x:c r="J206" s="778"/>
      <x:c r="K206" s="778"/>
      <x:c r="L206" s="781" t="str">
        <x:f>IF(OR(H206="",K206="",K206=0),"",(H206-K206)/K206)</x:f>
      </x:c>
      <x:c r="M206" s="778"/>
      <x:c r="N206" s="778"/>
      <x:c r="O206" s="778"/>
      <x:c r="P206" s="778"/>
      <x:c r="Q206" s="778"/>
      <x:c r="R206" s="778"/>
      <x:c r="S206" s="778"/>
      <x:c r="T206" s="778"/>
      <x:c r="U206" s="778"/>
      <x:c r="V206" s="778"/>
      <x:c r="W206" s="26" t="str">
        <x:f>IF(AND(C206="",R206=""),"",IF(P206&lt;&gt;"Yes","INFO",IF(Q206="RED",IF(S206="","OPEN - RED",IF(AND(OR(S206="CHANGE ACCEPTED",S206="PARTIAL CHANGE"),V206&lt;&gt;"Yes"),"RED - NOT INTEGRATED","RESOLVED")),IF(Q206="AMBER",IF(S206="","OPEN - AMBER",IF(AND(OR(S206="CHANGE ACCEPTED",S206="PARTIAL CHANGE"),V206&lt;&gt;"Yes"),"AMBER - NOT INTEGRATED","RESOLVED")),IF(S206="","REVIEWED","RESOLVED")))))</x:f>
      </x:c>
      <x:c r="X206" s="778"/>
    </x:row>
    <x:row r="207" ht="28" customHeight="1">
      <x:c r="A207" s="26" t="str">
        <x:v>ERF-091</x:v>
      </x:c>
      <x:c r="B207" s="778"/>
      <x:c r="C207" s="778"/>
      <x:c r="D207" s="778"/>
      <x:c r="E207" s="778"/>
      <x:c r="F207" s="778"/>
      <x:c r="G207" s="778"/>
      <x:c r="H207" s="778"/>
      <x:c r="I207" s="778"/>
      <x:c r="J207" s="778"/>
      <x:c r="K207" s="778"/>
      <x:c r="L207" s="781" t="str">
        <x:f>IF(OR(H207="",K207="",K207=0),"",(H207-K207)/K207)</x:f>
      </x:c>
      <x:c r="M207" s="778"/>
      <x:c r="N207" s="778"/>
      <x:c r="O207" s="778"/>
      <x:c r="P207" s="778"/>
      <x:c r="Q207" s="778"/>
      <x:c r="R207" s="778"/>
      <x:c r="S207" s="778"/>
      <x:c r="T207" s="778"/>
      <x:c r="U207" s="778"/>
      <x:c r="V207" s="778"/>
      <x:c r="W207" s="26" t="str">
        <x:f>IF(AND(C207="",R207=""),"",IF(P207&lt;&gt;"Yes","INFO",IF(Q207="RED",IF(S207="","OPEN - RED",IF(AND(OR(S207="CHANGE ACCEPTED",S207="PARTIAL CHANGE"),V207&lt;&gt;"Yes"),"RED - NOT INTEGRATED","RESOLVED")),IF(Q207="AMBER",IF(S207="","OPEN - AMBER",IF(AND(OR(S207="CHANGE ACCEPTED",S207="PARTIAL CHANGE"),V207&lt;&gt;"Yes"),"AMBER - NOT INTEGRATED","RESOLVED")),IF(S207="","REVIEWED","RESOLVED")))))</x:f>
      </x:c>
      <x:c r="X207" s="778"/>
    </x:row>
    <x:row r="208" ht="28" customHeight="1">
      <x:c r="A208" s="26" t="str">
        <x:v>ERF-092</x:v>
      </x:c>
      <x:c r="B208" s="778"/>
      <x:c r="C208" s="778"/>
      <x:c r="D208" s="778"/>
      <x:c r="E208" s="778"/>
      <x:c r="F208" s="778"/>
      <x:c r="G208" s="778"/>
      <x:c r="H208" s="778"/>
      <x:c r="I208" s="778"/>
      <x:c r="J208" s="778"/>
      <x:c r="K208" s="778"/>
      <x:c r="L208" s="781" t="str">
        <x:f>IF(OR(H208="",K208="",K208=0),"",(H208-K208)/K208)</x:f>
      </x:c>
      <x:c r="M208" s="778"/>
      <x:c r="N208" s="778"/>
      <x:c r="O208" s="778"/>
      <x:c r="P208" s="778"/>
      <x:c r="Q208" s="778"/>
      <x:c r="R208" s="778"/>
      <x:c r="S208" s="778"/>
      <x:c r="T208" s="778"/>
      <x:c r="U208" s="778"/>
      <x:c r="V208" s="778"/>
      <x:c r="W208" s="26" t="str">
        <x:f>IF(AND(C208="",R208=""),"",IF(P208&lt;&gt;"Yes","INFO",IF(Q208="RED",IF(S208="","OPEN - RED",IF(AND(OR(S208="CHANGE ACCEPTED",S208="PARTIAL CHANGE"),V208&lt;&gt;"Yes"),"RED - NOT INTEGRATED","RESOLVED")),IF(Q208="AMBER",IF(S208="","OPEN - AMBER",IF(AND(OR(S208="CHANGE ACCEPTED",S208="PARTIAL CHANGE"),V208&lt;&gt;"Yes"),"AMBER - NOT INTEGRATED","RESOLVED")),IF(S208="","REVIEWED","RESOLVED")))))</x:f>
      </x:c>
      <x:c r="X208" s="778"/>
    </x:row>
    <x:row r="209" ht="28" customHeight="1">
      <x:c r="A209" s="26" t="str">
        <x:v>ERF-093</x:v>
      </x:c>
      <x:c r="B209" s="778"/>
      <x:c r="C209" s="778"/>
      <x:c r="D209" s="778"/>
      <x:c r="E209" s="778"/>
      <x:c r="F209" s="778"/>
      <x:c r="G209" s="778"/>
      <x:c r="H209" s="778"/>
      <x:c r="I209" s="778"/>
      <x:c r="J209" s="778"/>
      <x:c r="K209" s="778"/>
      <x:c r="L209" s="781" t="str">
        <x:f>IF(OR(H209="",K209="",K209=0),"",(H209-K209)/K209)</x:f>
      </x:c>
      <x:c r="M209" s="778"/>
      <x:c r="N209" s="778"/>
      <x:c r="O209" s="778"/>
      <x:c r="P209" s="778"/>
      <x:c r="Q209" s="778"/>
      <x:c r="R209" s="778"/>
      <x:c r="S209" s="778"/>
      <x:c r="T209" s="778"/>
      <x:c r="U209" s="778"/>
      <x:c r="V209" s="778"/>
      <x:c r="W209" s="26" t="str">
        <x:f>IF(AND(C209="",R209=""),"",IF(P209&lt;&gt;"Yes","INFO",IF(Q209="RED",IF(S209="","OPEN - RED",IF(AND(OR(S209="CHANGE ACCEPTED",S209="PARTIAL CHANGE"),V209&lt;&gt;"Yes"),"RED - NOT INTEGRATED","RESOLVED")),IF(Q209="AMBER",IF(S209="","OPEN - AMBER",IF(AND(OR(S209="CHANGE ACCEPTED",S209="PARTIAL CHANGE"),V209&lt;&gt;"Yes"),"AMBER - NOT INTEGRATED","RESOLVED")),IF(S209="","REVIEWED","RESOLVED")))))</x:f>
      </x:c>
      <x:c r="X209" s="778"/>
    </x:row>
    <x:row r="210" ht="28" customHeight="1">
      <x:c r="A210" s="26" t="str">
        <x:v>ERF-094</x:v>
      </x:c>
      <x:c r="B210" s="778"/>
      <x:c r="C210" s="778"/>
      <x:c r="D210" s="778"/>
      <x:c r="E210" s="778"/>
      <x:c r="F210" s="778"/>
      <x:c r="G210" s="778"/>
      <x:c r="H210" s="778"/>
      <x:c r="I210" s="778"/>
      <x:c r="J210" s="778"/>
      <x:c r="K210" s="778"/>
      <x:c r="L210" s="781" t="str">
        <x:f>IF(OR(H210="",K210="",K210=0),"",(H210-K210)/K210)</x:f>
      </x:c>
      <x:c r="M210" s="778"/>
      <x:c r="N210" s="778"/>
      <x:c r="O210" s="778"/>
      <x:c r="P210" s="778"/>
      <x:c r="Q210" s="778"/>
      <x:c r="R210" s="778"/>
      <x:c r="S210" s="778"/>
      <x:c r="T210" s="778"/>
      <x:c r="U210" s="778"/>
      <x:c r="V210" s="778"/>
      <x:c r="W210" s="26" t="str">
        <x:f>IF(AND(C210="",R210=""),"",IF(P210&lt;&gt;"Yes","INFO",IF(Q210="RED",IF(S210="","OPEN - RED",IF(AND(OR(S210="CHANGE ACCEPTED",S210="PARTIAL CHANGE"),V210&lt;&gt;"Yes"),"RED - NOT INTEGRATED","RESOLVED")),IF(Q210="AMBER",IF(S210="","OPEN - AMBER",IF(AND(OR(S210="CHANGE ACCEPTED",S210="PARTIAL CHANGE"),V210&lt;&gt;"Yes"),"AMBER - NOT INTEGRATED","RESOLVED")),IF(S210="","REVIEWED","RESOLVED")))))</x:f>
      </x:c>
      <x:c r="X210" s="778"/>
    </x:row>
    <x:row r="211" ht="28" customHeight="1">
      <x:c r="A211" s="26" t="str">
        <x:v>ERF-095</x:v>
      </x:c>
      <x:c r="B211" s="778"/>
      <x:c r="C211" s="778"/>
      <x:c r="D211" s="778"/>
      <x:c r="E211" s="778"/>
      <x:c r="F211" s="778"/>
      <x:c r="G211" s="778"/>
      <x:c r="H211" s="778"/>
      <x:c r="I211" s="778"/>
      <x:c r="J211" s="778"/>
      <x:c r="K211" s="778"/>
      <x:c r="L211" s="781" t="str">
        <x:f>IF(OR(H211="",K211="",K211=0),"",(H211-K211)/K211)</x:f>
      </x:c>
      <x:c r="M211" s="778"/>
      <x:c r="N211" s="778"/>
      <x:c r="O211" s="778"/>
      <x:c r="P211" s="778"/>
      <x:c r="Q211" s="778"/>
      <x:c r="R211" s="778"/>
      <x:c r="S211" s="778"/>
      <x:c r="T211" s="778"/>
      <x:c r="U211" s="778"/>
      <x:c r="V211" s="778"/>
      <x:c r="W211" s="26" t="str">
        <x:f>IF(AND(C211="",R211=""),"",IF(P211&lt;&gt;"Yes","INFO",IF(Q211="RED",IF(S211="","OPEN - RED",IF(AND(OR(S211="CHANGE ACCEPTED",S211="PARTIAL CHANGE"),V211&lt;&gt;"Yes"),"RED - NOT INTEGRATED","RESOLVED")),IF(Q211="AMBER",IF(S211="","OPEN - AMBER",IF(AND(OR(S211="CHANGE ACCEPTED",S211="PARTIAL CHANGE"),V211&lt;&gt;"Yes"),"AMBER - NOT INTEGRATED","RESOLVED")),IF(S211="","REVIEWED","RESOLVED")))))</x:f>
      </x:c>
      <x:c r="X211" s="778"/>
    </x:row>
    <x:row r="212" ht="28" customHeight="1">
      <x:c r="A212" s="26" t="str">
        <x:v>ERF-096</x:v>
      </x:c>
      <x:c r="B212" s="778"/>
      <x:c r="C212" s="778"/>
      <x:c r="D212" s="778"/>
      <x:c r="E212" s="778"/>
      <x:c r="F212" s="778"/>
      <x:c r="G212" s="778"/>
      <x:c r="H212" s="778"/>
      <x:c r="I212" s="778"/>
      <x:c r="J212" s="778"/>
      <x:c r="K212" s="778"/>
      <x:c r="L212" s="781" t="str">
        <x:f>IF(OR(H212="",K212="",K212=0),"",(H212-K212)/K212)</x:f>
      </x:c>
      <x:c r="M212" s="778"/>
      <x:c r="N212" s="778"/>
      <x:c r="O212" s="778"/>
      <x:c r="P212" s="778"/>
      <x:c r="Q212" s="778"/>
      <x:c r="R212" s="778"/>
      <x:c r="S212" s="778"/>
      <x:c r="T212" s="778"/>
      <x:c r="U212" s="778"/>
      <x:c r="V212" s="778"/>
      <x:c r="W212" s="26" t="str">
        <x:f>IF(AND(C212="",R212=""),"",IF(P212&lt;&gt;"Yes","INFO",IF(Q212="RED",IF(S212="","OPEN - RED",IF(AND(OR(S212="CHANGE ACCEPTED",S212="PARTIAL CHANGE"),V212&lt;&gt;"Yes"),"RED - NOT INTEGRATED","RESOLVED")),IF(Q212="AMBER",IF(S212="","OPEN - AMBER",IF(AND(OR(S212="CHANGE ACCEPTED",S212="PARTIAL CHANGE"),V212&lt;&gt;"Yes"),"AMBER - NOT INTEGRATED","RESOLVED")),IF(S212="","REVIEWED","RESOLVED")))))</x:f>
      </x:c>
      <x:c r="X212" s="778"/>
    </x:row>
    <x:row r="213" ht="28" customHeight="1">
      <x:c r="A213" s="26" t="str">
        <x:v>ERF-097</x:v>
      </x:c>
      <x:c r="B213" s="778"/>
      <x:c r="C213" s="778"/>
      <x:c r="D213" s="778"/>
      <x:c r="E213" s="778"/>
      <x:c r="F213" s="778"/>
      <x:c r="G213" s="778"/>
      <x:c r="H213" s="778"/>
      <x:c r="I213" s="778"/>
      <x:c r="J213" s="778"/>
      <x:c r="K213" s="778"/>
      <x:c r="L213" s="781" t="str">
        <x:f>IF(OR(H213="",K213="",K213=0),"",(H213-K213)/K213)</x:f>
      </x:c>
      <x:c r="M213" s="778"/>
      <x:c r="N213" s="778"/>
      <x:c r="O213" s="778"/>
      <x:c r="P213" s="778"/>
      <x:c r="Q213" s="778"/>
      <x:c r="R213" s="778"/>
      <x:c r="S213" s="778"/>
      <x:c r="T213" s="778"/>
      <x:c r="U213" s="778"/>
      <x:c r="V213" s="778"/>
      <x:c r="W213" s="26" t="str">
        <x:f>IF(AND(C213="",R213=""),"",IF(P213&lt;&gt;"Yes","INFO",IF(Q213="RED",IF(S213="","OPEN - RED",IF(AND(OR(S213="CHANGE ACCEPTED",S213="PARTIAL CHANGE"),V213&lt;&gt;"Yes"),"RED - NOT INTEGRATED","RESOLVED")),IF(Q213="AMBER",IF(S213="","OPEN - AMBER",IF(AND(OR(S213="CHANGE ACCEPTED",S213="PARTIAL CHANGE"),V213&lt;&gt;"Yes"),"AMBER - NOT INTEGRATED","RESOLVED")),IF(S213="","REVIEWED","RESOLVED")))))</x:f>
      </x:c>
      <x:c r="X213" s="778"/>
    </x:row>
    <x:row r="214" ht="28" customHeight="1">
      <x:c r="A214" s="26" t="str">
        <x:v>ERF-098</x:v>
      </x:c>
      <x:c r="B214" s="778"/>
      <x:c r="C214" s="778"/>
      <x:c r="D214" s="778"/>
      <x:c r="E214" s="778"/>
      <x:c r="F214" s="778"/>
      <x:c r="G214" s="778"/>
      <x:c r="H214" s="778"/>
      <x:c r="I214" s="778"/>
      <x:c r="J214" s="778"/>
      <x:c r="K214" s="778"/>
      <x:c r="L214" s="781" t="str">
        <x:f>IF(OR(H214="",K214="",K214=0),"",(H214-K214)/K214)</x:f>
      </x:c>
      <x:c r="M214" s="778"/>
      <x:c r="N214" s="778"/>
      <x:c r="O214" s="778"/>
      <x:c r="P214" s="778"/>
      <x:c r="Q214" s="778"/>
      <x:c r="R214" s="778"/>
      <x:c r="S214" s="778"/>
      <x:c r="T214" s="778"/>
      <x:c r="U214" s="778"/>
      <x:c r="V214" s="778"/>
      <x:c r="W214" s="26" t="str">
        <x:f>IF(AND(C214="",R214=""),"",IF(P214&lt;&gt;"Yes","INFO",IF(Q214="RED",IF(S214="","OPEN - RED",IF(AND(OR(S214="CHANGE ACCEPTED",S214="PARTIAL CHANGE"),V214&lt;&gt;"Yes"),"RED - NOT INTEGRATED","RESOLVED")),IF(Q214="AMBER",IF(S214="","OPEN - AMBER",IF(AND(OR(S214="CHANGE ACCEPTED",S214="PARTIAL CHANGE"),V214&lt;&gt;"Yes"),"AMBER - NOT INTEGRATED","RESOLVED")),IF(S214="","REVIEWED","RESOLVED")))))</x:f>
      </x:c>
      <x:c r="X214" s="778"/>
    </x:row>
    <x:row r="215" ht="28" customHeight="1">
      <x:c r="A215" s="26" t="str">
        <x:v>ERF-099</x:v>
      </x:c>
      <x:c r="B215" s="778"/>
      <x:c r="C215" s="778"/>
      <x:c r="D215" s="778"/>
      <x:c r="E215" s="778"/>
      <x:c r="F215" s="778"/>
      <x:c r="G215" s="778"/>
      <x:c r="H215" s="778"/>
      <x:c r="I215" s="778"/>
      <x:c r="J215" s="778"/>
      <x:c r="K215" s="778"/>
      <x:c r="L215" s="781" t="str">
        <x:f>IF(OR(H215="",K215="",K215=0),"",(H215-K215)/K215)</x:f>
      </x:c>
      <x:c r="M215" s="778"/>
      <x:c r="N215" s="778"/>
      <x:c r="O215" s="778"/>
      <x:c r="P215" s="778"/>
      <x:c r="Q215" s="778"/>
      <x:c r="R215" s="778"/>
      <x:c r="S215" s="778"/>
      <x:c r="T215" s="778"/>
      <x:c r="U215" s="778"/>
      <x:c r="V215" s="778"/>
      <x:c r="W215" s="26" t="str">
        <x:f>IF(AND(C215="",R215=""),"",IF(P215&lt;&gt;"Yes","INFO",IF(Q215="RED",IF(S215="","OPEN - RED",IF(AND(OR(S215="CHANGE ACCEPTED",S215="PARTIAL CHANGE"),V215&lt;&gt;"Yes"),"RED - NOT INTEGRATED","RESOLVED")),IF(Q215="AMBER",IF(S215="","OPEN - AMBER",IF(AND(OR(S215="CHANGE ACCEPTED",S215="PARTIAL CHANGE"),V215&lt;&gt;"Yes"),"AMBER - NOT INTEGRATED","RESOLVED")),IF(S215="","REVIEWED","RESOLVED")))))</x:f>
      </x:c>
      <x:c r="X215" s="778"/>
    </x:row>
    <x:row r="216" ht="28" customHeight="1">
      <x:c r="A216" s="26" t="str">
        <x:v>ERF-100</x:v>
      </x:c>
      <x:c r="B216" s="778"/>
      <x:c r="C216" s="778"/>
      <x:c r="D216" s="778"/>
      <x:c r="E216" s="778"/>
      <x:c r="F216" s="778"/>
      <x:c r="G216" s="778"/>
      <x:c r="H216" s="778"/>
      <x:c r="I216" s="778"/>
      <x:c r="J216" s="778"/>
      <x:c r="K216" s="778"/>
      <x:c r="L216" s="781" t="str">
        <x:f>IF(OR(H216="",K216="",K216=0),"",(H216-K216)/K216)</x:f>
      </x:c>
      <x:c r="M216" s="778"/>
      <x:c r="N216" s="778"/>
      <x:c r="O216" s="778"/>
      <x:c r="P216" s="778"/>
      <x:c r="Q216" s="778"/>
      <x:c r="R216" s="778"/>
      <x:c r="S216" s="778"/>
      <x:c r="T216" s="778"/>
      <x:c r="U216" s="778"/>
      <x:c r="V216" s="778"/>
      <x:c r="W216" s="26" t="str">
        <x:f>IF(AND(C216="",R216=""),"",IF(P216&lt;&gt;"Yes","INFO",IF(Q216="RED",IF(S216="","OPEN - RED",IF(AND(OR(S216="CHANGE ACCEPTED",S216="PARTIAL CHANGE"),V216&lt;&gt;"Yes"),"RED - NOT INTEGRATED","RESOLVED")),IF(Q216="AMBER",IF(S216="","OPEN - AMBER",IF(AND(OR(S216="CHANGE ACCEPTED",S216="PARTIAL CHANGE"),V216&lt;&gt;"Yes"),"AMBER - NOT INTEGRATED","RESOLVED")),IF(S216="","REVIEWED","RESOLVED")))))</x:f>
      </x:c>
      <x:c r="X216" s="778"/>
    </x:row>
  </x:sheetData>
  <x:mergeCells>
    <x:mergeCell ref="A1:X1"/>
    <x:mergeCell ref="A2:X2"/>
    <x:mergeCell ref="A3:X3"/>
    <x:mergeCell ref="A5:B5"/>
    <x:mergeCell ref="D5:J5"/>
    <x:mergeCell ref="E6:J6"/>
    <x:mergeCell ref="E7:J7"/>
    <x:mergeCell ref="E8:J8"/>
    <x:mergeCell ref="E9:J9"/>
    <x:mergeCell ref="E10:J10"/>
    <x:mergeCell ref="E11:J11"/>
    <x:mergeCell ref="E12:J12"/>
    <x:mergeCell ref="E13:J13"/>
    <x:mergeCell ref="A36:Q36"/>
    <x:mergeCell ref="A113:X113"/>
    <x:mergeCell ref="A114:X114"/>
    <x:mergeCell ref="A22:L22"/>
  </x:mergeCells>
  <x:conditionalFormatting sqref="K24:K33">
    <x:cfRule type="expression" dxfId="18" priority="1">
      <x:formula>LEFT(K24,8)="COMPLETE"</x:formula>
    </x:cfRule>
    <x:cfRule type="expression" dxfId="19" priority="2">
      <x:formula>LEFT(K24,3)="RED"</x:formula>
    </x:cfRule>
    <x:cfRule type="expression" dxfId="20" priority="3">
      <x:formula>LEFT(K24,4)="HOLD"</x:formula>
    </x:cfRule>
  </x:conditionalFormatting>
  <x:conditionalFormatting sqref="G40:O110">
    <x:cfRule type="expression" dxfId="21" priority="4">
      <x:formula>G40="PROVEN"</x:formula>
    </x:cfRule>
    <x:cfRule type="expression" dxfId="22" priority="5">
      <x:formula>G40="CHALLENGE - OPEN"</x:formula>
    </x:cfRule>
    <x:cfRule type="expression" dxfId="23" priority="6">
      <x:formula>G40="CHALLENGE - RESOLVED"</x:formula>
    </x:cfRule>
    <x:cfRule type="expression" dxfId="24" priority="7">
      <x:formula>G40="NOT REVIEWED"</x:formula>
    </x:cfRule>
  </x:conditionalFormatting>
  <x:conditionalFormatting sqref="P40:P110">
    <x:cfRule type="expression" dxfId="25" priority="8">
      <x:formula>P40="PASS"</x:formula>
    </x:cfRule>
    <x:cfRule type="expression" dxfId="26" priority="9">
      <x:formula>LEFT(P40,4)="HOLD"</x:formula>
    </x:cfRule>
  </x:conditionalFormatting>
  <x:conditionalFormatting sqref="W117:W216">
    <x:cfRule type="expression" dxfId="27" priority="10">
      <x:formula>W117="RESOLVED"</x:formula>
    </x:cfRule>
    <x:cfRule type="expression" dxfId="28" priority="11">
      <x:formula>LEFT(W117,4)="OPEN"</x:formula>
    </x:cfRule>
    <x:cfRule type="expression" dxfId="29" priority="12">
      <x:formula>LEFT(W117,3)="RED"</x:formula>
    </x:cfRule>
    <x:cfRule type="expression" dxfId="30" priority="13">
      <x:formula>LEFT(W117,5)="AMBER"</x:formula>
    </x:cfRule>
  </x:conditionalFormatting>
  <x:conditionalFormatting sqref="B19:B19">
    <x:cfRule type="expression" dxfId="31" priority="14">
      <x:formula>LEFT(B19,4)="PASS"</x:formula>
    </x:cfRule>
    <x:cfRule type="expression" dxfId="32" priority="15">
      <x:formula>LEFT(B19,4)="HOLD"</x:formula>
    </x:cfRule>
  </x:conditionalFormatting>
  <x:conditionalFormatting sqref="L24:L33">
    <x:cfRule type="expression" dxfId="36" priority="16">
      <x:formula>LEFT(L24,8)="COMPLETE"</x:formula>
    </x:cfRule>
    <x:cfRule type="expression" dxfId="37" priority="17">
      <x:formula>LEFT(L24,3)="RED"</x:formula>
    </x:cfRule>
    <x:cfRule type="expression" dxfId="38" priority="18">
      <x:formula>LEFT(L24,4)="HOLD"</x:formula>
    </x:cfRule>
  </x:conditionalFormatting>
  <x:dataValidations count="11">
    <x:dataValidation type="list" sqref="D24:D33">
      <x:formula1>"Yes,No"</x:formula1>
    </x:dataValidation>
    <x:dataValidation type="list" sqref="E24:F32">
      <x:formula1>"Yes,No"</x:formula1>
    </x:dataValidation>
    <x:dataValidation type="list" sqref="G24:G33">
      <x:formula1>"Yes,No"</x:formula1>
    </x:dataValidation>
    <x:dataValidation type="list" sqref="G40:O110">
      <x:formula1>"PROVEN,CHALLENGE - OPEN,CHALLENGE - RESOLVED,N/A,NOT REVIEWED"</x:formula1>
    </x:dataValidation>
    <x:dataValidation type="list" sqref="B117:B216">
      <x:formula1>"Estimate-wide,QS Item,Resource,Programme Task,Risk Truth,Commercial Input,Document / Scope,Weather,Other"</x:formula1>
    </x:dataValidation>
    <x:dataValidation type="list" sqref="E117:E216">
      <x:formula1>"ERB-01,ERB-02,ERB-03,ERB-04,ERB-05,ERB-06,ERB-07,ERB-08,ERB-09"</x:formula1>
    </x:dataValidation>
    <x:dataValidation type="list" sqref="F117:F216">
      <x:formula1>"Scope / omission,Quantity / takeoff,Method / productivity,Rate / procurement,Programme / time cost,Risk / duplication,Commercial,Document contradiction,Interface / by others,Other"</x:formula1>
    </x:dataValidation>
    <x:dataValidation type="list" sqref="P117:P216">
      <x:formula1>"Yes,No"</x:formula1>
    </x:dataValidation>
    <x:dataValidation type="list" sqref="Q117:Q216">
      <x:formula1>"GREEN,AMBER,RED"</x:formula1>
    </x:dataValidation>
    <x:dataValidation type="list" sqref="S117:S216">
      <x:formula1>"NO CHANGE - PRIMARY PROVEN,CHANGE ACCEPTED,PARTIAL CHANGE,RFI / EXCLUSION,DEFER / MORE EVIDENCE"</x:formula1>
    </x:dataValidation>
    <x:dataValidation type="list" sqref="V117:V216">
      <x:formula1>"Yes,No,N/A"</x:formula1>
    </x:dataValidation>
  </x:dataValidations>
  <x:pageMargins left="0.7" right="0.7" top="0.75" bottom="0.75" header="0.3" footer="0.3"/>
</x:worksheet>
</file>